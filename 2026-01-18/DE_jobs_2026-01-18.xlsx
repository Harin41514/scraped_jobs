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in-a16b07ed7de89474</t>
        </is>
      </c>
      <c r="B2" t="inlineStr">
        <is>
          <t>Data Engineer</t>
        </is>
      </c>
      <c r="C2" t="inlineStr">
        <is>
          <t>BLADE CONTRACTING</t>
        </is>
      </c>
      <c r="D2" t="inlineStr">
        <is>
          <t>indeed</t>
        </is>
      </c>
      <c r="E2" t="inlineStr"/>
      <c r="F2" t="inlineStr"/>
      <c r="G2" t="inlineStr">
        <is>
          <t>Remote, US</t>
        </is>
      </c>
      <c r="H2" s="2" t="n">
        <v>46040</v>
      </c>
      <c r="I2" t="inlineStr">
        <is>
          <t>**Overview**  
We are seeking a highly skilled Data Engineer to join our dynamic analytics team. The ideal candidate will be responsible for designing, developing, and maintaining scalable data pipelines and data warehouses that support advanced analytics and business intelligence initiatives. This role offers an exciting opportunity to work with cutting\-edge technologies such as AWS, Hadoop, Spark, and Looker, contributing to the organization’s data\-driven decision\-making processes. The Data Engineer will collaborate closely with data scientists, analysts, and stakeholders to ensure the integrity, security, and accessibility of critical data assets.
**Responsibilities**
* Design, develop, and optimize ETL processes using tools like Talend, Informatica, and custom scripting in Python or Shell Scripting.
* Build and maintain scalable data pipelines utilizing Apache Hive, Spark, Hadoop, Azure Data Lake, and other big data technologies.
* Develop and manage data models and database schemas for data warehouses using Microsoft SQL Server, Oracle, and other relational databases.
* Implement data integration solutions leveraging RESTful APIs and Linked Data principles to enhance data connectivity across platforms.
* Collaborate with cross\-functional teams to understand data requirements and translate them into technical solutions.
* Ensure data quality, security, and compliance standards are met across all systems.
* Perform database design tasks to support efficient storage and retrieval of large datasets.
* Assist in model training workflows by providing clean, well\-organized datasets for machine learning projects.
* Monitor system performance and troubleshoot issues related to data pipelines or storage solutions.
* Participate in Agile development cycles to deliver continuous improvements on data infrastructure.
**Requirements**
* Proven experience with cloud platforms such as AWS and Azure Data Lake for scalable data storage solutions.
* Strong programming skills in Java, Python, Bash (Unix shell), and Shell Scripting for automation tasks.
* Extensive knowledge of big data frameworks including Hadoop, Spark, Apache Hive, and related ecosystems.
* Hands\-on experience with ETL tools like Talend or Informatica as well as SQL\-based database management (Microsoft SQL Server, Oracle).
* Familiarity with modern analytics tools such as Looker for visualization purposes.
* Expertise in database design principles and experience working with Data Warehouses.
* Knowledge of RESTful API integration for seamless data exchange between systems.
* Experience with model training processes in machine learning contexts is a plus.
* Strong analysis skills with the ability to interpret complex datasets effectively.
* Familiarity with Agile methodologies to support iterative development cycles.
* Additional skills such as VBA programming or analysis expertise are advantageous but not mandatory. This position offers a challenging environment where innovative thinking is valued and professional growth is encouraged through exposure to diverse technologies in the big data landscape.
Pay: $97,227\.23 \- $117,090\.86 per year
Benefits:
* 401(k)
* Dental insurance
* Flexible schedule
* Health insurance
* Paid time off
* Vision insurance
Work Location: Remote</t>
        </is>
      </c>
    </row>
    <row r="3">
      <c r="A3" t="inlineStr">
        <is>
          <t>in-7c1a08f99933be0f</t>
        </is>
      </c>
      <c r="B3" t="inlineStr">
        <is>
          <t>Data Engineer, Denied Party Screening, AWS Compliance &amp; Security Assurance</t>
        </is>
      </c>
      <c r="C3" t="inlineStr">
        <is>
          <t>Amazon.com</t>
        </is>
      </c>
      <c r="D3" t="inlineStr">
        <is>
          <t>indeed</t>
        </is>
      </c>
      <c r="E3" t="inlineStr"/>
      <c r="F3" t="inlineStr"/>
      <c r="G3" t="inlineStr">
        <is>
          <t>Seattle, WA, US</t>
        </is>
      </c>
      <c r="H3" s="2" t="n">
        <v>46029</v>
      </c>
      <c r="I3"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4">
      <c r="A4" t="inlineStr">
        <is>
          <t>in-982400feb1314a25</t>
        </is>
      </c>
      <c r="B4" t="inlineStr">
        <is>
          <t>Data Engineer, Denied Party Screening, AWS Compliance &amp; Security Assurance</t>
        </is>
      </c>
      <c r="C4" t="inlineStr">
        <is>
          <t>Amazon.com</t>
        </is>
      </c>
      <c r="D4" t="inlineStr">
        <is>
          <t>indeed</t>
        </is>
      </c>
      <c r="E4" t="inlineStr"/>
      <c r="F4" t="inlineStr"/>
      <c r="G4" t="inlineStr">
        <is>
          <t>Dallas, TX, US</t>
        </is>
      </c>
      <c r="H4" s="2" t="n">
        <v>46029</v>
      </c>
      <c r="I4"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5">
      <c r="A5" t="inlineStr">
        <is>
          <t>in-89aed1564da90189</t>
        </is>
      </c>
      <c r="B5" t="inlineStr">
        <is>
          <t>Data Engineer</t>
        </is>
      </c>
      <c r="C5" t="inlineStr">
        <is>
          <t>Amazon.com</t>
        </is>
      </c>
      <c r="D5" t="inlineStr">
        <is>
          <t>indeed</t>
        </is>
      </c>
      <c r="E5" t="inlineStr"/>
      <c r="F5" t="inlineStr"/>
      <c r="G5" t="inlineStr">
        <is>
          <t>San Francisco, CA, US</t>
        </is>
      </c>
      <c r="H5" s="2" t="n">
        <v>46001</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in-23998fa1a6a9ab03</t>
        </is>
      </c>
      <c r="B6" t="inlineStr">
        <is>
          <t>Data Engineer</t>
        </is>
      </c>
      <c r="C6" t="inlineStr">
        <is>
          <t>Amazon.com</t>
        </is>
      </c>
      <c r="D6" t="inlineStr">
        <is>
          <t>indeed</t>
        </is>
      </c>
      <c r="E6" t="inlineStr"/>
      <c r="F6" t="inlineStr"/>
      <c r="G6" t="inlineStr">
        <is>
          <t>Seattle, WA, US</t>
        </is>
      </c>
      <c r="H6" s="2" t="n">
        <v>46001</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in-2460af227f97ff32</t>
        </is>
      </c>
      <c r="B7" t="inlineStr">
        <is>
          <t>Delivery Consultant - Data Engineer, Data and Machine Learning, WWPS US Federal</t>
        </is>
      </c>
      <c r="C7" t="inlineStr">
        <is>
          <t>Amazon Web Services</t>
        </is>
      </c>
      <c r="D7" t="inlineStr">
        <is>
          <t>indeed</t>
        </is>
      </c>
      <c r="E7" t="inlineStr"/>
      <c r="F7" t="inlineStr"/>
      <c r="G7" t="inlineStr">
        <is>
          <t>Herndon, VA, US</t>
        </is>
      </c>
      <c r="H7" s="2" t="n">
        <v>45991</v>
      </c>
      <c r="I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in-0b43ba9e0dc04926</t>
        </is>
      </c>
      <c r="B8" t="inlineStr">
        <is>
          <t>Delivery Consultant - Data Engineer, Data and Machine Learning, WWPS US Federal</t>
        </is>
      </c>
      <c r="C8" t="inlineStr">
        <is>
          <t>Amazon Web Services</t>
        </is>
      </c>
      <c r="D8" t="inlineStr">
        <is>
          <t>indeed</t>
        </is>
      </c>
      <c r="E8" t="inlineStr"/>
      <c r="F8" t="inlineStr"/>
      <c r="G8" t="inlineStr">
        <is>
          <t>Arlington, VA, US</t>
        </is>
      </c>
      <c r="H8" s="2" t="n">
        <v>45991</v>
      </c>
      <c r="I8"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in-cdbb2aef999d4869</t>
        </is>
      </c>
      <c r="B9" t="inlineStr">
        <is>
          <t>Sr Data Engineer I</t>
        </is>
      </c>
      <c r="C9" t="inlineStr">
        <is>
          <t>Dhara Consulting Group</t>
        </is>
      </c>
      <c r="D9" t="inlineStr">
        <is>
          <t>indeed</t>
        </is>
      </c>
      <c r="E9">
        <f>HYPERLINK("https://www.indeed.com/viewjob?jk=cdbb2aef999d4869", "https://www.indeed.com/viewjob?jk=cdbb2aef999d4869")</f>
        <v/>
      </c>
      <c r="F9">
        <f>HYPERLINK("https://www.clearancejobs.com/jobs/8712608/sr-data-engineer-i", "https://www.clearancejobs.com/jobs/8712608/sr-data-engineer-i")</f>
        <v/>
      </c>
      <c r="G9" t="inlineStr">
        <is>
          <t>Tysons Corner, VA, US</t>
        </is>
      </c>
      <c r="H9" s="3" t="n">
        <v>46039</v>
      </c>
      <c r="I9" t="inlineStr">
        <is>
          <t>Posted today
Top Secret/SCI
Early Career (2\+ yrs experience)
Unspecified
CI Polygraph
IT \- Data Science
Tysons Corner, VA (On\-Site/Office)•Aurora, CO (On\-Site/Office)
As a Sr. Data Engineer I, you’ll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Active TS/SCI with CI poly required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Experience implementing data pipelines in the Cloudera Data Platform environment is highly preferred.
* Strong communication skills, with the ability to clearly convey complex technical concepts
**GROUP ID:** 91074203</t>
        </is>
      </c>
    </row>
    <row r="10">
      <c r="A10" t="inlineStr">
        <is>
          <t>in-646bc13d4cad2596</t>
        </is>
      </c>
      <c r="B10" t="inlineStr">
        <is>
          <t>Sr. Data Engineer : Full-time role</t>
        </is>
      </c>
      <c r="C10" t="inlineStr">
        <is>
          <t>HARAMAIN SYSTEMS INC.</t>
        </is>
      </c>
      <c r="D10" t="inlineStr">
        <is>
          <t>indeed</t>
        </is>
      </c>
      <c r="E10">
        <f>HYPERLINK("https://www.indeed.com/viewjob?jk=646bc13d4cad2596", "https://www.indeed.com/viewjob?jk=646bc13d4cad2596")</f>
        <v/>
      </c>
      <c r="F10">
        <f>HYPERLINK("https://jsco.re/h47sp", "https://jsco.re/h47sp")</f>
        <v/>
      </c>
      <c r="G10" t="inlineStr">
        <is>
          <t>New York, NY, US</t>
        </is>
      </c>
      <c r="H10" s="3" t="n">
        <v>46039</v>
      </c>
      <c r="I10" t="inlineStr">
        <is>
          <t>**\*\*\*Visa: Sponsorship Not available; USC and Green card holders can apply.** \*\*\*
 **Job Title: Sr. Data Engineer**
**Location: NYC**
**Full time Role\-Hybrid**
We're working with a client who is making legal data more accurate, machine\-readable, and programmatically accessible than anything that exists today.
We’re looking for a senior software/data engineer who enjoys working at the intersection of data engineering, applied ML, and real\-world reasoning systems.
 **What you’ll work on:**
You’ll help design and improve the systems that structure, enrich, and surface legal data, including:
Building intelligent data pipelines that automatically annotate legal documents with relationships (e.g., which cases overrule others, which are appeals, remands, or consolidations). Today, much of this work is done manually by expensive human experts — you’ll help automate it.
Improving core extraction and resolution tools
Designing and running evaluations, both human\-in\-the\-loop and synthetic, to measure data quality and system performance
 **We expect you to be:**
A technical generalist with strong backend skills (full\-stack is a plus, but not required)
A data\-minded engineer, comfortable thinking statistically and working with messy, real\-world datasets
Comfortable moving between software engineering, data engineering, and applied ML
Able to own projects end\-to\-end: from design implementation testing deployment
**Skills \&amp; experience (nice to have)**
Strong Python \+ SQL (core stack)
Experience with JS/TS is a bonus
Experience working with both big data and small data
Familiarity with ML/AI, data science, or statistics
Comfort standing up your own infrastructure; production\-grade DevOps/MLOps is a plus but not required
Any deep domain expertise (e.g., physics, medicine, radiology, economics, law, etc.) is a bonus
Flexible work from home options available.</t>
        </is>
      </c>
    </row>
    <row r="11">
      <c r="A11" t="inlineStr">
        <is>
          <t>in-09d52006b985d6ec</t>
        </is>
      </c>
      <c r="B11" t="inlineStr">
        <is>
          <t>Data Engineer, Denied Party Screening, AWS Compliance &amp; Security Assurance</t>
        </is>
      </c>
      <c r="C11" t="inlineStr">
        <is>
          <t>Amazon.com</t>
        </is>
      </c>
      <c r="D11" t="inlineStr">
        <is>
          <t>indeed</t>
        </is>
      </c>
      <c r="E11">
        <f>HYPERLINK("https://www.indeed.com/viewjob?jk=09d52006b985d6ec", "https://www.indeed.com/viewjob?jk=09d52006b985d6ec")</f>
        <v/>
      </c>
      <c r="F11">
        <f>HYPERLINK("https://www.amazon.jobs/jobs/3160403/data-engineer-denied-party-screening-aws-compliance--security-assurance?cmpid=DA_INAD200785B", "https://www.amazon.jobs/jobs/3160403/data-engineer-denied-party-screening-aws-compliance--security-assurance?cmpid=DA_INAD200785B")</f>
        <v/>
      </c>
      <c r="G11" t="inlineStr">
        <is>
          <t>Dallas, TX, US</t>
        </is>
      </c>
      <c r="H11" s="3" t="n">
        <v>46029</v>
      </c>
      <c r="I11"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2">
      <c r="A12" t="inlineStr">
        <is>
          <t>in-6288e01613cff5a8</t>
        </is>
      </c>
      <c r="B12" t="inlineStr">
        <is>
          <t>Data Engineer, Denied Party Screening, AWS Compliance &amp; Security Assurance</t>
        </is>
      </c>
      <c r="C12" t="inlineStr">
        <is>
          <t>Amazon.com</t>
        </is>
      </c>
      <c r="D12" t="inlineStr">
        <is>
          <t>indeed</t>
        </is>
      </c>
      <c r="E12">
        <f>HYPERLINK("https://www.indeed.com/viewjob?jk=6288e01613cff5a8", "https://www.indeed.com/viewjob?jk=6288e01613cff5a8")</f>
        <v/>
      </c>
      <c r="F12">
        <f>HYPERLINK("https://www.amazon.jobs/jobs/3160403/data-engineer-denied-party-screening-aws-compliance--security-assurance?cmpid=DA_INAD200785B", "https://www.amazon.jobs/jobs/3160403/data-engineer-denied-party-screening-aws-compliance--security-assurance?cmpid=DA_INAD200785B")</f>
        <v/>
      </c>
      <c r="G12" t="inlineStr">
        <is>
          <t>Seattle, WA, US</t>
        </is>
      </c>
      <c r="H12" s="3" t="n">
        <v>46029</v>
      </c>
      <c r="I12"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3">
      <c r="A13" t="inlineStr">
        <is>
          <t>in-e299c9cf4b58432a</t>
        </is>
      </c>
      <c r="B13" t="inlineStr">
        <is>
          <t>Data Engineer</t>
        </is>
      </c>
      <c r="C13" t="inlineStr">
        <is>
          <t>Amazon.com</t>
        </is>
      </c>
      <c r="D13" t="inlineStr">
        <is>
          <t>indeed</t>
        </is>
      </c>
      <c r="E13">
        <f>HYPERLINK("https://www.indeed.com/viewjob?jk=e299c9cf4b58432a", "https://www.indeed.com/viewjob?jk=e299c9cf4b58432a")</f>
        <v/>
      </c>
      <c r="F13">
        <f>HYPERLINK("https://www.amazon.jobs/jobs/3141339/data-engineer?cmpid=DA_INAD200785B", "https://www.amazon.jobs/jobs/3141339/data-engineer?cmpid=DA_INAD200785B")</f>
        <v/>
      </c>
      <c r="G13" t="inlineStr">
        <is>
          <t>San Francisco, CA, US</t>
        </is>
      </c>
      <c r="H13" s="3" t="n">
        <v>46001</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in-f5ef5a951f54dcd7</t>
        </is>
      </c>
      <c r="B14" t="inlineStr">
        <is>
          <t>Data Engineer</t>
        </is>
      </c>
      <c r="C14" t="inlineStr">
        <is>
          <t>Amazon.com</t>
        </is>
      </c>
      <c r="D14" t="inlineStr">
        <is>
          <t>indeed</t>
        </is>
      </c>
      <c r="E14">
        <f>HYPERLINK("https://www.indeed.com/viewjob?jk=f5ef5a951f54dcd7", "https://www.indeed.com/viewjob?jk=f5ef5a951f54dcd7")</f>
        <v/>
      </c>
      <c r="F14">
        <f>HYPERLINK("https://www.amazon.jobs/jobs/3141339/data-engineer?cmpid=DA_INAD200785B", "https://www.amazon.jobs/jobs/3141339/data-engineer?cmpid=DA_INAD200785B")</f>
        <v/>
      </c>
      <c r="G14" t="inlineStr">
        <is>
          <t>Seattle, WA, US</t>
        </is>
      </c>
      <c r="H14" s="3" t="n">
        <v>46001</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in-6e8c0126cc0551fd</t>
        </is>
      </c>
      <c r="B15" t="inlineStr">
        <is>
          <t>Delivery Consultant - Data Engineer, Data and Machine Learning, WWPS US Federal</t>
        </is>
      </c>
      <c r="C15" t="inlineStr">
        <is>
          <t>Amazon Web Services</t>
        </is>
      </c>
      <c r="D15" t="inlineStr">
        <is>
          <t>indeed</t>
        </is>
      </c>
      <c r="E15">
        <f>HYPERLINK("https://www.indeed.com/viewjob?jk=6e8c0126cc0551fd", "https://www.indeed.com/viewjob?jk=6e8c0126cc0551fd")</f>
        <v/>
      </c>
      <c r="F15">
        <f>HYPERLINK("https://www.amazon.jobs/jobs/3134583/delivery-consultant--data-engineer-data-and-machine-learning-wwps-us-federal?cmpid=DA_INAD200785B", "https://www.amazon.jobs/jobs/3134583/delivery-consultant--data-engineer-data-and-machine-learning-wwps-us-federal?cmpid=DA_INAD200785B")</f>
        <v/>
      </c>
      <c r="G15" t="inlineStr">
        <is>
          <t>Herndon, VA, US</t>
        </is>
      </c>
      <c r="H15" s="3" t="n">
        <v>45991</v>
      </c>
      <c r="I1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in-a22f7fa07080394b</t>
        </is>
      </c>
      <c r="B16" t="inlineStr">
        <is>
          <t>Delivery Consultant - Data Engineer, Data and Machine Learning, WWPS US Federal</t>
        </is>
      </c>
      <c r="C16" t="inlineStr">
        <is>
          <t>Amazon Web Services</t>
        </is>
      </c>
      <c r="D16" t="inlineStr">
        <is>
          <t>indeed</t>
        </is>
      </c>
      <c r="E16">
        <f>HYPERLINK("https://www.indeed.com/viewjob?jk=a22f7fa07080394b", "https://www.indeed.com/viewjob?jk=a22f7fa07080394b")</f>
        <v/>
      </c>
      <c r="F16">
        <f>HYPERLINK("https://www.amazon.jobs/jobs/3134583/delivery-consultant--data-engineer-data-and-machine-learning-wwps-us-federal?cmpid=DA_INAD200785B", "https://www.amazon.jobs/jobs/3134583/delivery-consultant--data-engineer-data-and-machine-learning-wwps-us-federal?cmpid=DA_INAD200785B")</f>
        <v/>
      </c>
      <c r="G16" t="inlineStr">
        <is>
          <t>Arlington, VA, US</t>
        </is>
      </c>
      <c r="H16" s="3" t="n">
        <v>45991</v>
      </c>
      <c r="I1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in-335ba8ed456beb3a</t>
        </is>
      </c>
      <c r="B17" t="inlineStr">
        <is>
          <t>Associate Software Engineer, Data Engineering</t>
        </is>
      </c>
      <c r="C17" t="inlineStr"/>
      <c r="D17" t="inlineStr">
        <is>
          <t>indeed</t>
        </is>
      </c>
      <c r="E17">
        <f>HYPERLINK("https://www.indeed.com/viewjob?jk=335ba8ed456beb3a", "https://www.indeed.com/viewjob?jk=335ba8ed456beb3a")</f>
        <v/>
      </c>
      <c r="F17">
        <f>HYPERLINK("https://grnh.se/jfohcjq53us", "https://grnh.se/jfohcjq53us")</f>
        <v/>
      </c>
      <c r="G17" t="inlineStr">
        <is>
          <t>Philadelphia, PA, US</t>
        </is>
      </c>
      <c r="H17" s="3" t="n">
        <v>45963</v>
      </c>
      <c r="I17" t="inlineStr">
        <is>
          <t>**Title:** Associate Software Engineer, Data Engineering  
**Department:** Research \&amp; Development
**Reports to:** Manager, Software Engineering  
**Status:** Hourly Part\-Time Seasonal  
**Location:** Philadelphia, PA
**Position Overview:**
The work of an Associate Software Engineer at the Phillies extends well beyond merely coding. Phillies Engineering takes a product\-centered approach in creating the platform, systems, and tooling that empower our entire organization to spend more time thinking about baseball. We turn data into information into action.
As an associate on our data engineering team, you will play a role in how data flows throughout the organization. You will gain hands\-on experience designing, building, and optimizing the data infrastructure that powers predictive models, research, dashboards, reports, and internal applications. You will collaborate with senior engineers and data scientists to ensure our data is reliable, timely, and accessible for decision\-makers.
Your work will directly impact our analytics capabilities by helping to manage a wide range of unique datasets, including ball and player tracking data (Statcast), biomechanical time\-series data, and player contract information.
**Responsibilities:**
* Assist in developing, scheduling, and monitoring scalable data pipelines and systems.
* Contribute to the management and optimization of our cloud\-based data platforms and databases.
* Write and maintain code for data ingestion, transformation, and validation to ensure high data quality.
* Collaborate with data scientists and analysts to understand their data requirements and provide support.
* Learn and apply data engineering best practices, including participating in code reviews, documentation, and testing.
**Required Qualifications:**
* Possess or are pursuing a BS degree in Computer Science, similar technical field of study or equivalent practical experience.
* Software development experience in one or more general purpose programming languages (our stack is Python, Typescript, and Go).
* Familiarity with SQL and relational databases (e.g. MySQL, Postgres).
* Familiarity with data engineering concepts such as ETL/ELT, data warehousing, and data modeling.
* Excellent problem\-solving skills and a strong desire to learn new technologies.
* Ability to work collaboratively in a team environment.
* Self\-motivated with a strong sense of curiosity.
**Preferred Qualifications:**
* Experience with workflow orchestration tools such as Apache Airflow, Dagster, or Prefect.
* Familiarity with cloud platforms (e.g., Google Cloud, AWS) and their data services.
* Experience with containerization (Docker).
* Exposure to data transformation frameworks like dbt.
* A demonstrated passion for baseball and sports analytics.
**Interested applicants should submit their resume, cover letter, and answers to the following questions:**
Tell us about a technical decision you made for a project where you had to make a significant trade\-off (e.g., choosing a simpler but less performant solution, picking a library you didn't know well, etc.). What was the situation, what were the pros and cons you weighed, and in hindsight, would you make the same decision again? (300 words or less)
Why do you want to work for a baseball team, and how do you see your technical skills contributing to a baseball operations or research \&amp; development environment? (200 words or less)
**We are an equal opportunity employer, and all qualified applicants will receive consideration for employment without regard to race, color, religion, national origin, sex, sexual orientation, age, disability, gender identity, marital or veteran status, or any other protected class.**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li-4364019505</t>
        </is>
      </c>
      <c r="B2" t="inlineStr">
        <is>
          <t>Data Engineer</t>
        </is>
      </c>
      <c r="C2" t="inlineStr">
        <is>
          <t>Calyptus</t>
        </is>
      </c>
      <c r="D2" t="inlineStr">
        <is>
          <t>linkedin</t>
        </is>
      </c>
      <c r="E2" t="inlineStr"/>
      <c r="F2" t="inlineStr"/>
      <c r="G2" t="inlineStr">
        <is>
          <t>New York, United States</t>
        </is>
      </c>
      <c r="H2" t="inlineStr"/>
      <c r="I2"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3">
      <c r="A3" t="inlineStr">
        <is>
          <t>li-4363729318</t>
        </is>
      </c>
      <c r="B3" t="inlineStr">
        <is>
          <t>Data Engineer</t>
        </is>
      </c>
      <c r="C3" t="inlineStr">
        <is>
          <t>HyerTek</t>
        </is>
      </c>
      <c r="D3" t="inlineStr">
        <is>
          <t>linkedin</t>
        </is>
      </c>
      <c r="E3" t="inlineStr"/>
      <c r="F3" t="inlineStr"/>
      <c r="G3" t="inlineStr">
        <is>
          <t>Brookeville, MD</t>
        </is>
      </c>
      <c r="H3" t="inlineStr"/>
      <c r="I3" t="inlineStr">
        <is>
          <t>**Description**
 HyerTek is seeking a Data Engineer to build ETL pipelines, dataflows, and analytics foundations for federal government clients. You'll extract data from legacy systems, transform it, load it into Microsoft Dynamics 365 and Dataverse, and support the reporting layer in Power BI and Microsoft Fabric.
 This role covers the full data lifecycle — from source extraction through pipeline development to analytics\-ready datasets. You'll work with sources such as Oracle, Jira, Confluence, SharePoint, Planner, and legacy databases, migrating data to modern platforms and making it usable for reporting and insights for Microsoft technologies.
**Requirements**
**ETL \&amp; Data Pipelines**
* Build and maintain ETL pipelines using Azure Data Factory
* Develop Power Platform Dataflows for data transformation and loading
* Extract from diverse sources — Oracle, SQL Server, Jira, Confluence, SharePoint, Planner, REST APIs, flat files
* Write complex transformations using Data Factory expressions, Power Query M, and SQL
* Implement incremental load and change data capture patterns
* Schedule, monitor, and troubleshoot pipeline runs
**Analytics \&amp; BI Support**
* Build semantic models and datasets in Power BI and Microsoft Fabric
* Develop and optimize dataflows that feed Power BI reports
* Support report developers with data preparation and modeling
* Create Fabric lakehouses and data pipelines where applicable
* Write DAX measures and optimize dataset performance
* Ensure data quality and consistency across reporting layers
**Required Qualifications**
* 4\+ years of ETL development and data pipeline experience
* Strong hands\-on experience with Azure Data Factory
* Experience with Power Query / Dataflows
* Strong SQL skills
* Experience building Power BI datasets and semantic models
* Understanding of data modeling for analytics (star schema, relationships)
* Ability to troubleshoot pipeline failures and data quality issues
**Preferred Qualifications**
* Experience with Microsoft Fabric (lakehouses, pipelines, warehouses)
* DAX proficiency
* Experience with D365 Data Migration Framework (DMF)
* Experience loading data into Dataverse / Power Platform
* Familiarity with Jira, Confluence, SharePoint, Oracle APIs
* Python or PowerShell scripting
* Federal or DoD project experience
* Azure/Fabric certifications (DP\-203, DP\-600, PL\-300\)
**Clearance \&amp; Work Authorization**
 This position requires U.S. citizenship and the ability to successfully obtain and maintain a U.S. Department of Defense (DoD) clearance. Candidates must be authorized to work in the United States without the need for employment\-based visa sponsorship now or in the future. HyerTek will not sponsor applicants for U.S. work visa status for this opportunity, and no sponsorship is available for H\-1B, L\-1, TN, O\-1, E\-3, H\-1B1, F\-1, J\-1, OPT, CPT, or any other employment\-based visa.
**Salary Range**
 $125,000 – $140,000 annually, depending on experience and clearance status.
**Equal Employment Opportunity (EEO)**
 HyerTek is an Equal Opportunity Employer. All qualified applicants will receive consideration for employment without regard to race, color, religion, sex, sexual orientation, gender identity, national origin, disability, veteran status, age, or any other protected status.</t>
        </is>
      </c>
    </row>
    <row r="4">
      <c r="A4" t="inlineStr">
        <is>
          <t>li-4353910274</t>
        </is>
      </c>
      <c r="B4" t="inlineStr">
        <is>
          <t>Data Engineer</t>
        </is>
      </c>
      <c r="C4" t="inlineStr">
        <is>
          <t>SoTalent</t>
        </is>
      </c>
      <c r="D4" t="inlineStr">
        <is>
          <t>linkedin</t>
        </is>
      </c>
      <c r="E4" t="inlineStr"/>
      <c r="F4" t="inlineStr"/>
      <c r="G4" t="inlineStr">
        <is>
          <t>Herndon, VA</t>
        </is>
      </c>
      <c r="H4" t="inlineStr"/>
      <c r="I4" t="inlineStr">
        <is>
          <t>Data Engineer
 📍 Herndon, VA (Hybrid)
 💼 Full\-time
 💰 $86,000–$138,000
 About the Role
 We are seeking an experienced
 **Data Engineer** 
 to support a large\-scale government systems modernization program. This role focuses on designing, building, and optimizing secure, scalable data platforms that enable analytics, reporting, and advanced modeling in a cloud\-based environment.
 You will work with large, complex datasets, develop robust ETL pipelines, and collaborate closely with engineers, analysts, and data scientists to deliver reliable, high\-quality data solutions.
 Key Responsibilities
* Design, build, and maintain data pipelines, ETL processes, and data warehouses
* Develop relational database solutions for structured and unstructured data
* Implement cloud\-based analytics solutions (Azure Synapse, Azure SQL, Databricks)
* Optimize database performance, reliability, and scalability
* Ensure data solutions meet security standards (NIST, DISA STIG)
* Support CI/CD pipelines, testing, deployments, and production operations
* Create clear technical documentation and data models
* Collaborate in an Agile development environment
 What You Bring
* Bachelor’s degree plus 8\+ years of relevant experience
* 5\+ years working with RDBMS (Oracle, PostgreSQL, MySQL, SQL Server)
* Strong experience with ETL, data ingestion (batch \&amp; streaming), and data modeling
* Cloud experience, preferably Azure\-based data platforms
* Experience supporting enterprise web applications
* Strong communication and problem\-solving skills
* Ability to obtain or hold an active Secret (or higher) clearance
 Nice to Have
* Experience with large\-scale system modernization
* Hybrid or multi\-cloud data architectures
* High\-volume, highly available, secure data systems
* Familiarity with ML/AI\-enabled analytics</t>
        </is>
      </c>
    </row>
    <row r="5">
      <c r="A5" t="inlineStr">
        <is>
          <t>li-4364019594</t>
        </is>
      </c>
      <c r="B5" t="inlineStr">
        <is>
          <t>Data Engineer II</t>
        </is>
      </c>
      <c r="C5" t="inlineStr">
        <is>
          <t>First Citizens Bank</t>
        </is>
      </c>
      <c r="D5" t="inlineStr">
        <is>
          <t>linkedin</t>
        </is>
      </c>
      <c r="E5" t="inlineStr"/>
      <c r="F5" t="inlineStr"/>
      <c r="G5" t="inlineStr"/>
      <c r="H5" t="inlineStr"/>
      <c r="I5" t="inlineStr">
        <is>
          <t>**About The Company**
 First Citizens Bank is a leading financial institution committed to providing exceptional banking services to its clients. With a focus on innovation, integrity, and customer\-centric solutions, the bank has established a strong reputation in the financial industry. Its enterprise data warehouse supports critical functions such as Regulatory Reporting, Finance, Risk Steering, and Customer 360, enabling data\-driven decision\-making across the organization. The company values its employees and fosters a collaborative environment that encourages professional growth, technological advancement, and operational excellence. As a remote\-first organization, First Citizens Bank offers flexible work arrangements, supporting a diverse and inclusive workforce dedicated to delivering superior financial services.
**About The Role**
 The Data Engineer role at First Citizens Bank is a vital position responsible for building, maintaining, and enhancing the enterprise data platform. This remote opportunity is available for candidates located in North Carolina, Arizona, and Texas. The primary focus is on designing scalable data integration solutions that support the enterprise data warehouse, operational data store, and data marts. The role involves collaborating with cross\-functional teams to develop resilient data pipelines, optimize data processes, and ensure data security, privacy, and governance standards are met. The Data Engineer will serve as a key technical resource, providing support for production systems, resolving issues promptly, and leading initiatives to automate and improve data workflows. This position may also involve overseeing junior analysts and participating in special projects aligned with strategic business objectives.
**Qualifications**
* Bachelor's Degree in Computer Science, Information Technology, Data Science, or related field with at least 2 years of experience in data engineering or database management.
* High School Diploma or GED with a minimum of 6 years of relevant experience in data engineering or related disciplines.
* Proficiency in designing and building data warehouses and data lakes.
* Hands\-on experience with large\-scale data warehousing applications and databases such as Oracle, Netezza, Teradata, and SQL Server.
* Knowledge of cloud\-based data platforms, particularly Snowflake, AWS Redshift, and Google BigQuery.
* Expertise in developing complex data pipelines using industry\-leading ETL and ELT tools such as Informatica, SAP Data Services, Fivetran, AWS Glue, and DBT.
* Strong SQL development skills and experience with scripting languages like Python.
* Understanding of data architecture, data modeling, and performance tuning of data pipelines and database objects.
* Experience with version control systems like GitLab and familiarity with CI/CD processes.
* Preferred: Experience working in the financial industry is a plus.
**Responsibilities**
* Design, build, and maintain a scalable data platform supporting enterprise data integrations across data warehouses, data lakes, and data marts.
* Establish enterprise\-scale data integration procedures, pipelines, and frameworks throughout the data development lifecycle.
* Create data ingestion pipelines using scheduled and trigger\-based patterns, ensuring data security, privacy, and governance compliance.
* Develop performance\-optimized DDLs for relational and columnar databases such as Oracle, Postgres, and Netezza.
* Perform performance tuning of complex data pipelines and SQL queries to ensure efficient data processing.
* Conduct impact analysis of proposed changes on existing architecture, capabilities, and technology solutions.
* Manage deliverables, perform design reviews, and coordinate release activities with development teams.
* Estimate project timelines, identify technical risks, and communicate issues and solutions effectively.
* Drive automation initiatives, optimize processes, and recommend improvements to enhance data flow efficiency.
* Utilize agile methodologies and modern data development technologies to rapidly develop and deploy data products.
* Collaborate with Product Owners during PI planning, requirement clarification, and delivery execution.
* Provide technical support for production incidents, troubleshooting, and failure resolution.
* Work closely with global technology teams across different time zones to ensure timely delivery of business value.
**Benefits**
* Competitive salary packages aligned with industry standards.
* Comprehensive health, dental, and vision insurance plans.
* Retirement savings plans including 401(k) options.
* Paid time off, holidays, and flexible work arrangements.
* Professional development opportunities and continuous learning support.
* Employee assistance programs and wellness initiatives.
* Inclusive and collaborative work culture that values diversity and innovation.
 Equal Opportunity
 First Citizens Bank is an equal opportunity employer. We celebrate diversity and are committed to creating an inclusive environment for all employees. We do not discriminate based on race, color, religion, sex, national origin, age, disability, sexual orientation, gender identity, or any other protected status under applicable law. We encourage all qualified candidates to apply and join our team dedicated to excellence in financial services.</t>
        </is>
      </c>
    </row>
    <row r="6">
      <c r="A6" t="inlineStr">
        <is>
          <t>li-4348790162</t>
        </is>
      </c>
      <c r="B6" t="inlineStr">
        <is>
          <t>Data Engineer</t>
        </is>
      </c>
      <c r="C6" t="inlineStr">
        <is>
          <t>Takeda</t>
        </is>
      </c>
      <c r="D6" t="inlineStr">
        <is>
          <t>linkedin</t>
        </is>
      </c>
      <c r="E6" t="inlineStr"/>
      <c r="F6" t="inlineStr"/>
      <c r="G6" t="inlineStr">
        <is>
          <t>Lexington, MA</t>
        </is>
      </c>
      <c r="H6" t="inlineStr"/>
      <c r="I6"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The AD Technology Development and Implementation team within Analytical Development, Pharmaceutical Sciences \- Takeda is in search of a Data Engineer to design, implement, and deploy event driven ETL (Extract, Transform, Load) data pipelines that ingest and process structured and unstructured laboratory records into Takeda’s data architecture for efficient use of data and information. Our team leverages modern data platforms, best practices, and advanced predictive modeling to analyze laboratory methods and characterization data and unlock actionable insights.
**In this role, a typical day might include the following :**
* Develop and maintain Analytical Development (AD) digital transformation road map. Deliver established vision, roadmap, projects, and timeline to support the digital transformation of analytical laboratory results.
* Support large database activities, design and maintain open\-source code extraction algorithms
* Assume technical ownership on digital transformation projects, which include but are not limited to data analytics and predictive modeling, dashboards using Spotfire, Tableau, Power BI, and open\-sourced coding (i.e., R and Python)
* Develop and maintain core software engineering infrastructure within data platform engineering \&amp; operations, including data wrangling, data logging, performance benchmarking, and multi\-platform integration
* Contribute to multiple software engineering efforts, including data engineering/analytic pipelines, and data platforms
* Coordinate with other development teams to promote collaborative data management efforts, interoperability, and shared infrastructure
* Monitor data capture systems to identify inefficiencies and remove bottlenecks
* Support R\&amp;D Digital, Data \&amp; Technology projects, working closely with domain experts and internal/external partners to mature POCs into production\-quality tools
**What you bring to Takeda :**
* To be considered for this role you must have a B.S. degree in computer science, software engineering, or a related field with 8\+ years of relevant industry experience, M.S. and 6\+ years of relevant industry experience.
* Combined experience in the analytical environment utilizing SQL, Cloud environments, AWS, Python, Dev\-Ops and R Studio.
* Experience with ETL pipelines, data pre\-processing, and statistical concepts and can work in multiple languages (Python, R, Scala, C/C\+\+, SQL).
* Exposure to cloud computing environments and technologies in the data \&amp; analytics engineering domain (Spark, Databricks, data lakes, data QA tools, ML tools) are a plus but not required.
* Strong understanding of analytical software (Spotfire, Minitab, JMP, MATLAB) and demonstrated experience contributing to and maintaining multi\-contributor software projects (open or closed source), pipelines, and/or enterprise systems required.
* Previous direct involvement in technology implementations for use in biologics, pharmaceuticals or devices, either in manufacturing operations or support function is highly desirable.
* Interacts with vendors of applications, integrators and consultants during front end studies, design workshops and system implementation.
* Will need to be able to collaborate with other coworkers and work with multi\-functional teams of developers, engineers, and scientists.
**Takeda Compensation and Benefits Summary:**
 We understand compensation is an important factor as you consider the next step in your career. We are committed to equitable pay for all employees, and we strive to be more transparent with our pay practices.
**For Location:**
 Lexington, MA
**U.S. Base Salary Range :**
 $111,800\.00 \- $175,670\.00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Lexington, MA
**Worker Type:**
 Employee
**Worker Sub\-Type:**
 Regular
**Time Type:**
 Full time
**Job Exempt:**
 Yes
 It is unlawful in Massachusetts to require or administer a lie detector test as a condition of employment or continued employment. An employer who violates this law shall be subject to criminal penalties and civil liability.</t>
        </is>
      </c>
    </row>
    <row r="7">
      <c r="A7" t="inlineStr">
        <is>
          <t>li-4263301303</t>
        </is>
      </c>
      <c r="B7" t="inlineStr">
        <is>
          <t>Data Engineer III</t>
        </is>
      </c>
      <c r="C7" t="inlineStr">
        <is>
          <t>Press Ganey</t>
        </is>
      </c>
      <c r="D7" t="inlineStr">
        <is>
          <t>linkedin</t>
        </is>
      </c>
      <c r="E7" t="inlineStr"/>
      <c r="F7" t="inlineStr"/>
      <c r="G7" t="inlineStr">
        <is>
          <t>Chicago, IL</t>
        </is>
      </c>
      <c r="H7" t="inlineStr"/>
      <c r="I7" t="inlineStr">
        <is>
          <t>**Company Description**
 PG Forsta is the leading experience measurement, data analytics, and insights provider for complex industries—a status we earned over decades of deep partnership with clients to help them understand and meet the needs of their key stakeholders. Our earliest roots are in U.S. healthcare –perhaps the most complex of all industries. Today we serve clients around the globe in every industry to help them improve the Human Experiences at the heart of their business. We serve our clients through an unparalleled offering that combines technology, data, and expertise to enable them to pinpoint and prioritize opportunities, accelerate improvement efforts and build lifetime loyalty among their customers and employees.
 Like all great companies, our success is a function of our people and our culture. Our employees have world\-class talent, a collaborative work ethic, and a passion for the work that have earned us trusted advisor status among the world’s most recognized brands. As a member of the team, you will help us create value for our clients, you will make us better through your contribution to the work and your voice in the process. Ours is a path of learning and continuous improvement; team efforts chart the course for corporate success.
**Our Mission**
 We empower organizations to deliver the best experiences. With industry expertise and technology, we turn data into insights that drive innovation and action.
**Our Values**
 To put Human Experience at the heart of organizations so every person can be seen and understood.
* Energize the customer relationship: Our clients are our partners. We make their goals our own, working side by side to turn challenges into solutions.
* Success starts with me: Personal ownership fuels collective success. We each play our part and empower our teammates to do the same.
* Commit to learning: Every win is a springboard. Every hurdle is a lesson. We use each experience as an opportunity to grow.
* Dare to innovate: We challenge the status quo with creativity and innovation as our true north.
* Better together: We check our egos at the door. We work together, so we win together.
 The Data Engineer III will design, develop, and support solutions to transport, store, and analyze data for our Unified Data Platform and multiple On\-Prem data marts using Azure, Azure Databricks, and On Premises SQL Server extracting data from our source systems.
 Analyze, design, architect, develop and test software systems that simulate business processes and can be used to optimize and increase their efficiency, using various computer languages and Windows based platforms.
 Gather customer requirements and create high\-level component level architecture and confer with personnel of organizational units involved to analyze current operational procedures, identify problems, oversee specific input, and output requirements.
 Format reports, write detailed description of user needs, program functions, and steps required to develop or modify computer programs.
 Review computer system capabilities, workflow, and schedule limitations to determine if requested program or program change is possible within existing system.
 Serve as key member in evolving and maturing our enterprise data strategy and capabilities at Press Ganey.
**Technical Skills**
* 2\+ years experience with Azure data technologies (Databricks, Data Factory, Stream Analytics, Data Lake Storage, Synapse), on\-premises Microsoft tools (SQL DB and SSIS)
* 1\+ years experience with SQL, Python, PySpark. Experience in Apache Spark
* 1\+ years experience with C\#, PowerShell, and APIs
* 2\+ years experience with analytical solutions in relational databases such as MS SQL Server, Oracle, and DB2\. Experience with NoSQL databases and solutions such as data lakes, document\-oriented databases, and graph databases a plus
* Experience in data modeling
* Experience with Azure DevOps and GitLab
* Proficient in creating CI/CD pipelines to track version changes, branch deployment
* Proficient in integrating automatic unit tests into CI/CD process
* Experience with developing automated job schedules using tools such as Tidal
* Familiarity with data visualization tools such as Power BI
**Minimum Requirements**
* Bachelor’s degree in Computer Science, Management Information Systems, or related field
* Minimum of 3 years Data Engineering experience in an enterprise environment
* Excellent communication and collaboration skills
* Strong analytical and problem\-solving abilities
**Don’t meet every single requirement?** 
 Studies have shown that women and people of color are less likely to apply to jobs unless they meet every single qualification. At PG Forsta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**Additional Information For US Based Jobs**
 Press Ganey Associates LLC is an Equal Employment Opportunity/Affirmative Action employer and well committed to a diverse workforce. We do not discriminate against any employee or applicant for employment because of race, color, sex, age, national origin, religion, sexual orientation, gender identity, veteran status, and basis of disability or any other federal, state, or local protected class.
 Pay Transparency Non\-Discrimination Notice – Press Ganey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The expected base salary for this position ranges from $ 81,000 to $120,000\. It is not typical for offers to be made at or near the top of the range. Salary offers are based on a wide range of factors including relevant skills, training, experience, education, and, where applicable, licensure or certifications obtained. Market and organizational factors are also considered. In addition to base salary and a competitive benefits package, successful candidates are eligible to receive a discretionary bonus or commission tied to achieved results.
 All your information will be kept confidential according to EEO guidelines.
 Our privacy policy can be found here: https://www.pressganey.com/legal\-privacy/</t>
        </is>
      </c>
    </row>
    <row r="8">
      <c r="A8" t="inlineStr">
        <is>
          <t>li-4363869267</t>
        </is>
      </c>
      <c r="B8" t="inlineStr">
        <is>
          <t>Data Engineer</t>
        </is>
      </c>
      <c r="C8" t="inlineStr">
        <is>
          <t>Hirenza</t>
        </is>
      </c>
      <c r="D8" t="inlineStr">
        <is>
          <t>linkedin</t>
        </is>
      </c>
      <c r="E8" t="inlineStr"/>
      <c r="F8" t="inlineStr"/>
      <c r="G8" t="inlineStr"/>
      <c r="H8" t="inlineStr"/>
      <c r="I8" t="inlineStr">
        <is>
          <t>**About The Company**
 Adtalem Global Education is a distinguished leader in the field of post\-secondary education, renowned for its commitment to shaping the future of healthcare and other professional sectors. As a premier provider of specialized education, Adtalem empowers students with the knowledge, skills, and confidence required to excel in their careers and make meaningful contributions to their communities. The organization emphasizes equitable access to education, fostering environments that nurture student success, and expanding the healthcare talent pipeline through innovative programs and diverse learning opportunities. By focusing on building a brighter future for communities worldwide, Adtalem is dedicated to creating lasting societal impact.
 Adtalem serves as the parent organization for several esteemed institutions, including the American University of the Caribbean School of Medicine, Chamberlain University, Ross University School of Medicine, Ross University School of Veterinary Medicine, and Walden University. The company adopts a hybrid work model, with employees working in\-office four days a week (Monday through Thursday), promoting collaboration, creativity, and effective communication within its teams. For more information, visit our website and follow us on Twitter and LinkedIn to stay updated on our initiatives and opportunities.
**About The Role**
 Adtalem is a data\-driven organization committed to enhancing student outcomes and operational efficiency through advanced analytics and strategic insights. The Data Engineering team plays a pivotal role in establishing the foundational data infrastructure that powers analytics, artificial intelligence, and informed decision\-making across the organization. We are seeking a highly skilled and experienced Senior Manager of Data Engineering to lead the design, development, and continuous improvement of our data solutions.
 This leadership position combines technical expertise with strategic oversight, guiding a talented team of data engineers to deliver reliable, scalable, and high\-quality data assets. The successful candidate will oversee the development of data pipelines, datasets, and metrics that are critical to business operations and decision\-making processes. They will collaborate closely with product managers, data scientists, and analysts to ensure data systems meet organizational needs and support innovative initiatives. Additionally, the role involves defining data acquisition strategies, managing service level agreements (SLAs), and establishing best practices for data governance and security.
 The Senior Manager will also be responsible for fostering a culture of continuous improvement, mentoring team members, and driving technology roadmaps aligned with both short\-term objectives and long\-term strategic goals. This role requires a proactive approach to problem\-solving, excellent communication skills, and the ability to manage multiple priorities in a fast\-paced environment. Occasional travel, up to 5%, may be required to support cross\-functional projects and stakeholder engagement.
**Qualifications**
 The ideal candidate will possess a Bachelor's or Master’s degree in Computer Science, Computer Engineering, Software Engineering, or a related technical field. A minimum of eight (8\) years of experience in data engineering—including building and managing data platforms, ingestion processes, and analytics—is essential. At least three (3\) years of leadership experience in managing high\-performing teams is required, demonstrating the ability to mentor, motivate, and develop talent.
 Hands\-on experience with Google Cloud Platform services such as BigQuery, Composer, Google Cloud Storage (GCS), DataStream, and Dataflows is highly preferred. The candidate should have a proven track record of progressively increasing responsibilities, starting as a Data Engineer and advancing to roles with greater complexity and ownership. Strong analytical skills, coupled with the ability to develop and reverse engineer complex solutions, are critical.
 Excellent communication skills are necessary to effectively translate technical concepts for non\-technical stakeholders. Experience in defining strategic roadmaps, managing incremental project execution, and successfully launching data initiatives is vital. The ability to manage multiple competing priorities within an Agile environment, along with mentoring capabilities, will contribute to success in this role.
 Critical thinking, proactive problem\-solving, and a dedication to process improvement are essential qualities for this position.
**Responsibilities**
* Lead the design, implementation, and optimization of data pipelines, datasets, and key metrics that support business decision\-making.
* Build, mentor, and inspire a high\-performing data engineering team, fostering a collaborative and innovative work environment.
* Define and execute strategies for data acquisition, collection, and utilization across various organizational units.
* Establish and manage SLAs for all production datasets and processing workflows to ensure data quality and availability.
* Collaborate with Product Managers, Data Scientists, and Analysts to develop data\-driven systems and solutions that meet organizational needs.
* Develop self\-service reporting tools and democratization layers to empower teams with accessible data insights.
* Troubleshoot issues, write code, test solutions, and document processes to maintain high standards of quality and reliability.
* Evaluate current data processes and workflows to identify opportunities for optimization, improved communication, and enhanced end\-to\-end performance.
* Define technology roadmaps, manage project execution, and ensure alignment with both immediate and strategic business goals.
* Serve as a key leader within the Data and Analytics organization, promoting a culture of data literacy and continuous improvement.
* Ensure compliance with company policies, standards, and best practices while performing additional duties as assigned.
* Travel up to 5% as needed to support cross\-functional initiatives and stakeholder engagement.
**Benefits**
 Adtalem offers a comprehensive benefits package designed to support the health, well\-being, and financial security of our employees. Benefits include health, dental, vision, life, and disability insurance coverage. We also provide a 401(k) retirement plan with a 6% employer match to help employees plan for their future. Our flexible time off (F</t>
        </is>
      </c>
    </row>
    <row r="9">
      <c r="A9" t="inlineStr">
        <is>
          <t>li-4279997514</t>
        </is>
      </c>
      <c r="B9" t="inlineStr">
        <is>
          <t>Data Engineer Analyst</t>
        </is>
      </c>
      <c r="C9" t="inlineStr">
        <is>
          <t>Lincoln Financial</t>
        </is>
      </c>
      <c r="D9" t="inlineStr">
        <is>
          <t>linkedin</t>
        </is>
      </c>
      <c r="E9" t="inlineStr"/>
      <c r="F9" t="inlineStr"/>
      <c r="G9" t="inlineStr">
        <is>
          <t>Philadelphia, PA</t>
        </is>
      </c>
      <c r="H9" t="inlineStr"/>
      <c r="I9" t="inlineStr">
        <is>
          <t>**Alternate Locations:** 
 Radnor, PA (Pennsylvania); Charlotte, NC (North Carolina); Fort Wayne, IN (Indiana); Greensboro, NC (North Carolina)
**Work Arrangement:**
 Hybrid : Employee will work 3 days a week in a Lincoln office
**Relocation assistance:** 
 is not available for this opportunity.
**Requisition \#:** 
 74460
**The Role at a Glance**
 The Customer360 is Lincoln Financials' enterprise data lake and mastering platform with hands\-on support for advanced analytics, machine learning and AI, and service integrations across the technology portfolio including actuarial, digital and web and product platforms. A Data Engineer on the Customer360 team supports the platform architecture, design and implementation of enhancements, surfaces and vets emerging capabilities and partners with teams across the enterprise to implement their business cases.
**What You'll Be Doing**
* Organizes, interprets, and analyzes more complex data across their area of responsibility to support business and corporate strategic goals.
* Familiarity with several programming languages and knowledge of learning machine methods commonly used in data science applications
* Build or support creation of data models and pipelines
* Evaluate business needs and objectives of our users, assist in project scoping.
* Help prepare data for prescriptive and predictive modeling.
* Combine raw and provisioned information from different data sources.
* Explore ways to enhance data quality and reliability and develop procedures to implement improvements.
* Identify opportunities for data acquisition across Lincoln’s systems.
* Ability to collaborate with business stakeholders, data scientists and architects on simple to complex projects.
* Identifies and recommends process improvements that significantly reduce workloads or improve quality for their assigned area(s) of responsibility.
* Maintains an understanding of how the data contained in the various systems are utilized, and is able to triangulate various aspects of the data into a usable format to support decision making.
* Serves as a resource to advise management \&amp; business stakeholders on use of quality business analytics, tools, and methods to improve efficiency, accuracy, and interpretation of various business metrics.
**What We’re Looking For**
*Must\-Have Experience (Required):*
* 4 Year/Bachelor's degree or equivalent work experience (4 years of experience in lieu of Bachelor's) in Data Engineering (Minimum Required)
* 1 \- 3\+ Years of data engineering experience, which can include internships while completing a degree.
* Working knowledge of AWS services EKS, EC2, S3, Cloudwatch and others
* Working knowledge of code based CICD ETL programs using Gitlab with AWS
* Foundational knowledge of Dataiku or similar Data Science Modelling and Automation Platforms
* Foundational knowledge of visualization tools (Tableau, PowerBI)
* Foundational knowledge of various languages like SQL and Python
* Working knowledge of API service integrations
 Application Deadline
 Applications for this position will be accepted through Decenber 31, 2025, subject to earlier closure due to applicant volume.
**What’s it like to work here?**
 At Lincoln Financial,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 Clearly defined career tracks and job levels, along with associated behaviors for each of Lincoln's core values and leadership attributes
* Leadership development and virtual training opportunities
* PTO/parental leave
* Competitive 401K and employee benefits
* Free financial counseling, health coaching and employee assistance program
* Tuition assistance program
* Work arrangements that work for you
* Effective productivity/technology tools and training
 The pay range for this position is $69,000 \- $124,600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(NYSE: LNC) helps people to confidently plan for their version of a successful future. We focus on identifying a clear path to financial security, with products including annuities, life insurance, group protection, and retirement plan services.
 With our 120\-year track record of expertise and integrity, millions of customers trust our solutions and service to help put their goals in reach.
 Lincoln Financial Distributors, a broker\-dealer, is the wholesale distribution organization of Lincoln Financial. Lincoln Financial is the marketing name for Lincoln Financial Corporation and its affiliates including The Lincoln National Life Insurance Company, Fort Wayne, IN, and Lincoln Life \&amp; Annuity Company of New York, Syracuse, NY. Lincoln Financial affiliates, their distributors, and their respective employees, representatives and/or insurance agents do not provide tax, accounting or legal advice.
 Lincoln is committed to creating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X, LinkedIn, Instagram, and YouTube. For the latest company news, visit our newsroom.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 or candidate profiles submitted through our web site or to personal e\-mail accounts of employees of Lincoln Financial are considered property of Lincoln Financial and are not subject to payment of agency fees.
 Lincoln Financial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 status, or genetic information.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notices.
 Este Empleador Participa en E\-Verify. Ver el E\-Verify avisos.</t>
        </is>
      </c>
    </row>
    <row r="10">
      <c r="A10" t="inlineStr">
        <is>
          <t>li-4363809550</t>
        </is>
      </c>
      <c r="B10" t="inlineStr">
        <is>
          <t>Data Engineer</t>
        </is>
      </c>
      <c r="C10" t="inlineStr">
        <is>
          <t>NerdWallet</t>
        </is>
      </c>
      <c r="D10" t="inlineStr">
        <is>
          <t>linkedin</t>
        </is>
      </c>
      <c r="E10" t="inlineStr"/>
      <c r="F10" t="inlineStr"/>
      <c r="G10" t="inlineStr"/>
      <c r="H10" t="inlineStr"/>
      <c r="I10" t="inlineStr">
        <is>
          <t>**About The Company** 
 NerdWallet is dedicated to empowering consumers by providing clarity and transparency in financial decision\-making. With a mission to help individuals make smarter financial choices, NerdWallet has built an inclusive, flexible, and candid culture that encourages growth, innovation, and authenticity. Whether employees work remotely or in\-office, the company prioritizes well\-being, professional development, and impactful work. NerdWallet invests in its team members by offering comprehensive benefits, fostering a supportive environment, and promoting continuous learning. As a leading player in the financial technology space, NerdWallet leverages data\-driven insights to shape better financial products and services, making a meaningful difference in the lives of millions of consumers.
**About The Role** 
 We are seeking an experienced Staff Data Engineer to join our Core Engineering team. In this role, you will be instrumental in designing, developing, and maintaining scalable and reliable data pipelines and systems that serve as the backbone for analytics, product innovation, and strategic decision\-making. You will work closely with cross\-functional teams—including product, engineering, and business stakeholders—to tackle complex data challenges, ensuring our data infrastructure aligns with NerdWallet’s strategic objectives. This position offers a unique opportunity to directly influence business outcomes by shaping data models within specific product verticals, translating technical solutions into real\-world impact. The ideal candidate will possess a blend of technical expertise, leadership ability, and excellent communication skills to foster a culture of innovation, reliability, and continuous improvement within a fast\-paced environment.
**Qualifications** 
* 7\+ years of professional experience in data engineering
* 5\+ years of experience working with AWS, Snowflake, DBT, and Airflow
* Advanced proficiency in Python and SQL
* Strong working knowledge of relational databases and query performance tuning
* Experience with streaming technologies such as Storm, Kafka, Kinesis, and Flume
* Bachelor’s or Master’s degree in Computer Science, Engineering, or a related field (or equivalent professional experience)
* Proven ability to design, build, and operate robust data systems with reliable monitoring and logging practices
* Excellent communication skills, both written and verbal, capable of articulating complex technical concepts to diverse audiences
* Strong analytical and logical thinking skills, with the ability to define problems, gather data, and draw valid conclusions
* Experience leading technical initiatives and providing mentorship to engineering teams
**Responsibilities** 
* Lead the design, development, and maintenance of critical data assets, ensuring accuracy, reliability, and alignment with evolving business priorities
* Drive technical innovation by evaluating emerging technologies and implementing scalable, efficient solutions to enhance data pipeline performance and reliability
* Tackle complex technical challenges related to scalability, security, and performance, providing clear rationale for architectural decisions
* Ensure data pipeline reliability and observability through proactive issue identification, anomaly investigation, and monitoring improvements
* Foster cross\-functional collaboration by maintaining transparent communication, understanding partner needs, and facilitating collaborative problem\-solving
* Take ownership of initiatives that span multiple domains, providing technical leadership to ensure successful delivery
* Prioritize work strategically based on business impact, risk, and organizational goals to deliver measurable outcomes
* Act as a trusted technical advisor, shaping long\-term architecture and influencing best practices within the team
* Mentor engineers and champion modern data engineering practices, including AI and automation solutions, to cultivate a culture of technical excellence
**Benefits** 
* Industry\-leading medical, dental, and vision health care plans for employees and dependents
* Rejuvenation policy including vacation time, 11 holidays, and 4 mental health days annually
* New parent leave for employees welcoming a new child through birth, adoption, or foster care
* Mental health support resources and services
* Paid sabbatical to recharge, learn, and pursue personal interests
* Health and Dependent Care FSA and HSA plans with company contributions
* Monthly stipends for wellness, cell phone, and Wi\-Fi expenses
* Work from home equipment stipend and co\-working space subsidy
* Employee resource groups supporting diversity, inclusion, and community engagement
* Company\-wide events, hackathons, and team\-building activities
* Volunteer time off and company matching donations to charitable causes
* 401(k) plan with company match to support your financial future
* Access to new financial products, tools, and guidance, including unlimited sessions with a Certified Financial Planner
* Disability and life insurance paid for by the employer
 Equal Opportunity
 NerdWallet is committed to fostering an inclusive and diverse workforce. We prohibit discrimination and harassment based on any characteristic protected by applicable federal, state, or local laws. All qualified applicants will receive consideration for employment. We consider qualified applicants with criminal histories in accordance with the California Fair Chance Act, the San Francisco Fair Chance Act, and the Los Angeles Fair Chance Act.</t>
        </is>
      </c>
    </row>
    <row r="11">
      <c r="A11" t="inlineStr">
        <is>
          <t>li-4360192453</t>
        </is>
      </c>
      <c r="B11" t="inlineStr">
        <is>
          <t>Data Engineer</t>
        </is>
      </c>
      <c r="C11" t="inlineStr">
        <is>
          <t>RemoteHunter</t>
        </is>
      </c>
      <c r="D11" t="inlineStr">
        <is>
          <t>linkedin</t>
        </is>
      </c>
      <c r="E11" t="inlineStr"/>
      <c r="F11" t="inlineStr"/>
      <c r="G11" t="inlineStr"/>
      <c r="H11" t="inlineStr"/>
      <c r="I11"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
      <c r="A12" t="inlineStr">
        <is>
          <t>li-4364009606</t>
        </is>
      </c>
      <c r="B12" t="inlineStr">
        <is>
          <t>Data Engineer II</t>
        </is>
      </c>
      <c r="C12" t="inlineStr">
        <is>
          <t>Centene Corporation</t>
        </is>
      </c>
      <c r="D12" t="inlineStr">
        <is>
          <t>linkedin</t>
        </is>
      </c>
      <c r="E12" t="inlineStr"/>
      <c r="F12" t="inlineStr"/>
      <c r="G12" t="inlineStr"/>
      <c r="H12" t="inlineStr"/>
      <c r="I12" t="inlineStr">
        <is>
          <t>**About The Company** 
 Centene Corporation is a diversified, national healthcare enterprise committed to transforming the health of our communities. Serving over 28 million members nationwide, the organization leverages innovative technology solutions to improve health outcomes and deliver high\-quality care. With a focus on inclusivity and diversity, Centene offers a dynamic work environment where professionals can grow and contribute meaningfully to the healthcare industry. The company provides competitive benefits, flexible work arrangements, and a culture that values continuous learning and collaboration.
**About The Role** 
 We are seeking a skilled Data Engineer to join our team and play a pivotal role in managing and optimizing our data infrastructure. In this position, you will be responsible for designing, developing, and maintaining large\-scale, high\-performance data structures and pipelines that support business intelligence and analytics initiatives. Your expertise will ensure the integrity, quality, and efficiency of data as it moves across various environments, enabling the organization to make data\-driven decisions. You will collaborate with cross\-functional teams to understand evolving data needs and implement automated solutions that enhance data reliability and accessibility.
**Qualifications** 
* Bachelor’s degree in a quantitative or business field such as statistics, mathematics, engineering, or computer science.
* 2 to 4 years of relevant experience in data management, engineering, or related fields.
* Proficiency in SQL and/or PL\-SQL, with experience in Teradata or Snowflake preferred.
* Experience developing data pipelines in Snowflake or similar cloud data platforms.
* Knowledge of programming languages such as Python or equivalent.
* Understanding of automated deployment processes, including CI/CD pipelines using tools like GitLab.
* Familiarity with project management tools such as JIRA.
* Experience diagnosing system issues, performing data validation, and conducting quality assurance testing.
* Knowledge of data visualization tools is a plus.
**Responsibilities** 
* Design and implement standardized data management procedures, including data staging, ingestion, preparation, provisioning, and destruction.
* Develop, test, and operate large\-scale data structures to support business intelligence analytics.
* Create and maintain scheduled processes for automated data refreshes on daily, weekly, and monthly cycles.
* Ensure the quality and integrity of data as it moves across different environments.
* Provide insights into data environment changes, processing, storage, and utilization requirements, and recommend appropriate solutions.
* Construct, test, and maintain data architectures using programming languages and modern tools.
* Identify opportunities to improve data reliability, efficiency, and automation processes.
* Collaborate with teams to troubleshoot system issues, validate data, and perform quality assurance testing.
* Adhere to all organizational policies and standards related to data security and management.
* Participate in other duties and projects as assigned by management.
**Benefits** 
* Competitive salary range of $63,600 to $114,600 per year.
* Comprehensive health insurance plans.
* 401(k) retirement savings plan with company match.
* Stock purchase plans.
* Tuition reimbursement for continued education.
* Paid time off, holidays, and flexible work schedules.
* Remote, hybrid, field, or office work options to promote work\-life balance.
* Opportunities for professional growth and development within a diverse environment.
 Equal Opportunity
 Centene is an equal opportunity employer committed to fostering an inclusive environment. We value diversity and are dedicated to providing equal employment opportunities regardless of race, color, religion, sex, sexual orientation, gender identity, national origin, disability, veteran status, or any other characteristic protected by law.</t>
        </is>
      </c>
    </row>
    <row r="13">
      <c r="A13" t="inlineStr">
        <is>
          <t>li-4336293816</t>
        </is>
      </c>
      <c r="B13" t="inlineStr">
        <is>
          <t>AI Ops Data Engineer - Hybrid</t>
        </is>
      </c>
      <c r="C13" t="inlineStr">
        <is>
          <t>Commerce</t>
        </is>
      </c>
      <c r="D13" t="inlineStr">
        <is>
          <t>linkedin</t>
        </is>
      </c>
      <c r="E13" t="inlineStr"/>
      <c r="F13" t="inlineStr"/>
      <c r="G13" t="inlineStr">
        <is>
          <t>Austin, TX</t>
        </is>
      </c>
      <c r="H13" t="inlineStr"/>
      <c r="I13" t="inlineStr">
        <is>
          <t>**Welcome to the Agentic Commerce Era**
 At Commerce, our mission is to empower businesses to innovate, grow, and thrive with our open, AI\-driven commerce ecosystem. As the parent company of BigCommerce, Feedonomics, and Makeswift,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We are looking for a Data Engineer to join our Data Solutions organization and support the AI Operations team in building the data foundation that powers automation, analytics, and AI\-enabled decision\-making across the company. This role will design and maintain the pipelines, data lake architectures, and Snowflake models that ensure clean, reliable, and timely data is available for AI\-driven workflows.
 You’ll collaborate closely with the Business Analyst, Automation Specialist, and Full Stack Engineer to translate business requirements into scalable data systems that enable automation and advanced analytics. You’ll also partner with other data engineers to build infrastructure that supports AI use cases and helps connect business processes with intelligent, data\-driven solutions.
**What You’ll Do**
* Design and maintain data lake architectures that support AI Operations workflows, analytics, and automation.
* Build and optimize ETL/ELT pipelines to ingest raw data from internal and external tools (e.g., Salesforce, Crossbeam, marketing platforms) into Snowflake and other structured data stores.
* Partner with Business Analysts to translate business requirements into scalable, production\-ready data solutions.
* Collaborate with Automation Specialists to connect data pipelines with workflow automation requests, custom GPTs, and AI assistant integrations.
* Support Full Stack Engineers by developing and maintaining the MCP Server (Message/Command/Processing layer) that connects data services with internal tools and systems.
* Work with Business Analysts to validate data quality and ensure accuracy across key datasets and workflows.
* Develop and maintain Snowflake data warehouse models, ensuring datasets are structured, governed, and optimized for AI use cases.
* Troubleshoot and resolve data ingestion issues, recommending improvements to infrastructure, processes, and tools.
* Monitor and maintain all data workflows within the AI Operations ecosystem, ensuring performance, reliability, and scalability.
**Who You Are**
* Experienced – 3\+ years of experience in data engineering, data warehousing, or related fields.
* Technical – Strong SQL and Python skills, with hands\-on experience building ETL/ELT pipelines (Airflow experience a plus).
* Data\-Focused – Skilled in Snowflake or similar cloud data warehouses (BigQuery, Redshift) and familiar with data lake concepts and best practices.
* AI Curiosity – Passionate about building AI\-driven products and automation systems that transform how teams operate and make decisions.
* Cloud\-Savvy – Comfortable working within AWS, GCP, or similar environments; familiar with Linux command\-line operations.
* Collaborative – Works effectively across teams, partnering with analysts, engineers, and automation specialists to build high\-impact solutions.
* Curious and Innovative – Passionate about AI and eager to explore practical ways to enable automation through data.
* Problem Solver – Analytical and detail\-oriented, capable of diagnosing complex data issues and driving process improvements.
* Adaptable – Thrives in a fast\-paced, evolving environment with shared ownership and cross\-functional support.
* Hybrid – 3 Days per week in office.
**(Pay Transparency Range: $91,000\-$154,000\)**
 The exact salary will be dependent on the successful candidate’s location, relevant knowledge, skills, and qualifications.
**Inclusion and Belonging**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14">
      <c r="A14" t="inlineStr">
        <is>
          <t>li-4307546804</t>
        </is>
      </c>
      <c r="B14" t="inlineStr">
        <is>
          <t>Senior Staff Data Engineer</t>
        </is>
      </c>
      <c r="C14" t="inlineStr">
        <is>
          <t>FanDuel</t>
        </is>
      </c>
      <c r="D14" t="inlineStr">
        <is>
          <t>linkedin</t>
        </is>
      </c>
      <c r="E14" t="inlineStr"/>
      <c r="F14" t="inlineStr"/>
      <c r="G14" t="inlineStr">
        <is>
          <t>New York, NY</t>
        </is>
      </c>
      <c r="H14" t="inlineStr"/>
      <c r="I14" t="inlineStr">
        <is>
          <t>**THE POSITION**
 Our roster has an opening with your name on it
 We are looking for a
 **Senior Staff Data Engineer** 
 to play a foundational role in designing and building the next generation of our data solutions. This is a highly impactful individual contributor role that blends deep technical expertise with strategic influence. You will architect scalable data platforms and pipelines, develop reusable data products, and partner with cross\-functional teams to solve complex, data\-driven problems.
 The ideal candidate is a seasoned data engineer who thrives in a fast\-paced environment, thinks in terms of systems and patterns, and leads by example through code, design, and technical thought leadership.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**Architect \&amp; Build Scalable Data Solutions**
* Design and implement robust, scalable, and maintainable data pipelines and platform components using modern data stack tools and cloud infrastructure
* Define and enforce architectural standards, data modeling best practices, and data quality frameworks
* Drive the development of reusable, modular data products that serve multiple analytical and operational use cases
**Technical Leadership**
* Demonstrated ability to lead data engineering decisions across multiple teams without direct management authority
* Serve as a technical mentor and role model for other engineers, providing guidance on system design, performance optimization, and best practices
* Lead design reviews, contribute to critical design and architecture decisions, and set coding standards across the team
* Collaborate closely with data science, analytics, product, and business teams to understand requirements and translate them into technical solutions
* Participates in part\-time coding on critical data infrastructure initiatives, pipeline optimization, and platform proof\-of\-concepts
* Efficient data pipeline patterns and anti\-pattern avoidance
* Experience teaching data engineering techniques such as efficient data pipeline patterns and anti\-pattern avoidance (minimize data shuffling, avoiding full table scans, reduce network I/O, and eliminate unnecessary data copying between systems)
* Guide engineers in right\-sizing clusters, optimizing resource allocation, and implementing auto\-scaling patterns to reduce costs
* Guide engineers on advanced concepts, architectural decision\-making, and technical growth
**Innovation \&amp; Strategic Impact**
* Identify gaps and opportunities in the existing data platform and propose scalable improvements that drive business value
* Stay ahead of emerging technologies and help the team evaluate and adopt the right tools for our evolving needs
* Advocate for customer\-centric design in data solutions, ensuring we’re solving the right problems with the right abstractions
**Operational Excellence**
* Lead efforts in observability, monitoring, and reliability for our data pipelines and infrastructure
* Contribute to initiatives that improve developer velocity, reduce technical debt, and ensure platform sustainability
* Collaborate with the data governance team to uphold standards around data security, privacy, and compliance
**THE STATS**
 What we're looking for in our next teammate
* 10\+ years of experience in data engineering or software engineering, with a focus on building data platforms and pipelines at scale
* Expertise in modern data technologies on cloud platforms like AWS, GCP, or Azure.
* Expertise in data engineering technologies including:
* Stream Processing such as Apache Kafka, Apache Flink, Pulsar, or Kinesis
* Batch Processing: Apache Spark, Apache Beam, Databricks, or EMR
* Orchestration: Apache Airflow, or Dagster
* Data Transformation: dbt, Apache Spark SQL
* Data Warehouses: Databricks, Redshift, or Snowflake
* Strong command of SQL and at least one programming language (e.g., Python, Scala, Java).
* Deep experience designing data models, data products, and ETL/ELT workflows for large, complex datasets.
* Proven ability to lead technical projects end\-to\-end, from architecture to implementation and operationalization
* Exceptional communication and collaboration skills, with a track record of influencing stakeholders across engineering, product, and analytics teams
**Preferred Skills**
* Experience building data platforms in a product\-driven or DTC organization
* Knowledge of ML/AI data infrastructure and supporting machine learning workflows in production
* Contributions to open\-source projects or engineering blogs is a plus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$182,000 \- $228,000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
 Hybrid</t>
        </is>
      </c>
    </row>
    <row r="15">
      <c r="A15" t="inlineStr">
        <is>
          <t>li-4323948402</t>
        </is>
      </c>
      <c r="B15" t="inlineStr">
        <is>
          <t>Medical Data &amp; Analytics Engineer</t>
        </is>
      </c>
      <c r="C15" t="inlineStr">
        <is>
          <t>Genentech</t>
        </is>
      </c>
      <c r="D15" t="inlineStr">
        <is>
          <t>linkedin</t>
        </is>
      </c>
      <c r="E15" t="inlineStr"/>
      <c r="F15" t="inlineStr"/>
      <c r="G15" t="inlineStr">
        <is>
          <t>South San Francisco, CA</t>
        </is>
      </c>
      <c r="H15" t="inlineStr"/>
      <c r="I15" t="inlineStr">
        <is>
          <t>The Position
 A healthier future. It’s what drives us to innovate. To continuously advance science and ensure everyone has access to the healthcare they need today and for generations to come. Creating a world where we all have more time with the people we love.
**The Opportunity**
 The Medical Data \&amp; Analytics Engineer plays a crucial role in accelerating evidence generation, decision\-making, and innovation within USM and beyond, by bridging medical data strategy, engineering, and analytics. This position demands profound technical expertise in clinical data, real\-world data (RWD), and scientific literature, coupled with strategic acumen in medical data use cases and their innovative applications.
 As a systems thinker and a strong collaborator across the R\&amp;D enterprise, this individual will contribute to evolving the USM data ecosystem, aligning it with global digital, data, and AI initiatives from Product Development (PD) and early Research and Development (REDs). This role is pivotal in leveraging clinical and real\-world data assets to deliver scientific and business value across USM, ultimately making a meaningful impact on patients.
**Key Responsibilities**
* Assess medical data sources (e.g., clinical trial, RWD, scientific literature) required for medical insights related to clinical trials and evidence planning, and lead the acquisition, transformation, and integration of new data sources into enterprise platforms (when needed).
* Collaborate with data scientists, statisticians, and clinicians to provide analytic\-ready datasets for clinical, RWE, and scientific literature, fostering strong partnerships with Medical, Clinical \&amp; RWD functions globally.
* Define and evolve the Medical Operations data strategy to support medical affairs in partnership with other EG and E4A teams. Represent USM on global strategic initiatives related to data foundation, data capabilities, and analytics.
* Translate scientific and business questions into medical data requirements, tools, and data platforms needed to deliver medical insights for trial design, operational strategy, and evidence planning.
* Influence R\&amp;D enterprise data governance, stewardship, and policies, providing thought leadership on emerging trends including AI/ML applications, data linkage, digital health integration, and decentralized trials.
* Act as an innovator and connector by leveraging emerging technologies and novel data sources to advance evidence generation, introducing modern engineering and analytics practices, and bridging scientific, technical, and business perspectives to unlock multimodal data value, while also serving as a change agent for multimodal data adoption and cultural/operational transformation.
**Who You Are**
**Required Qualifications \&amp; Experience**
* Bachelor’s or Master’s degree in Computer Science, Biomedical Informatics, Data Engineering, or a related field (PhD is a plus for advanced biomedical applications).
* 6\+ years of experience in data engineering or analytics engineering, with exposure to healthcare or life sciences.
* Proficiency in SQL, Python, Spark, and workflow orchestration tools
* Hands\-on experience with cloud platforms (AWS, Azure, or GCP).
* Familiarity with healthcare and biomedical data (EHR, claims, registries, genomics, imaging, digital, PROs) and relevant standards (OMOP, FHIR, CDISC, HL7, DICOM).
* Experience building analytics\-ready data assets and supporting visualization or statistical modeling workflows.
**Travel Requirements**
 The position is located in South San Francisco but the candidate. The position may require up to an additional 25% time traveling.
 The expected salary range for this position based on the primary location of South San Francisco, CA is $143,100 \- 265,700\.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Relocation benefits are not available for this job posting.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16">
      <c r="A16" t="inlineStr">
        <is>
          <t>li-4340663823</t>
        </is>
      </c>
      <c r="B16" t="inlineStr">
        <is>
          <t>Senior Data Engineer</t>
        </is>
      </c>
      <c r="C16" t="inlineStr">
        <is>
          <t>Zendesk</t>
        </is>
      </c>
      <c r="D16" t="inlineStr">
        <is>
          <t>linkedin</t>
        </is>
      </c>
      <c r="E16" t="inlineStr"/>
      <c r="F16" t="inlineStr"/>
      <c r="G16" t="inlineStr">
        <is>
          <t>Austin, TX</t>
        </is>
      </c>
      <c r="H16" t="inlineStr"/>
      <c r="I16" t="inlineStr">
        <is>
          <t>**Job Description**
**Senior Data Engineer**
 Our Enterprise Data \&amp; Analytics (EDA) is looking for an experienced Senior Data Engineer to join our growing data engineering team. You’ll work in a collaborative Agile environment using the latest engineering best practices with involvement in all aspects of the software development lifecycle.
 You will craft and develop curated data products, applying standard architectural \&amp; data modeling practices to maintain the foundation data layer serving as a single source of truth across Zendesk . You will be primarily developing Data Warehouse Solutions in BigQuery/Snowflake using technologies such as dbt, Airflow, Terraform.
**What You Get To Do Every Single Day**
* Collaborate with team members and business partners to collect business requirements, define successful analytics outcomes and design data models
* Serve as Data Model subject matter expert and data model spokesperson, demonstrated by the ability to address questions quickly and accurately
* Implement Enterprise Data Warehouse by transforming raw data into schemas and data models for various business domains using SQL \&amp; dbt
* Design, build, and maintain ELT pipelines in Enterprise Data Warehouse to ensure reliable business reporting using Airflow, Fivetran \&amp; dbt
* Optimize data warehousing processes by refining naming conventions, enhancing data modeling, and implementing best practices for data quality testing
* Build analytics solutions that provide practical insights into customer 360, finance, product, sales and other key business domains
* Build and Promote best engineering practices in areas of version control system, CI/CD, code review, pair programming
* Identify, design, and implement internal process improvements: automating manual processes, optimizing data delivery
* Work with data and analytics experts to strive for greater functionality in our data systems
**Basic Qualifications**
 What you bring to the role:
* 5\+ years of data engineering experience building, working \&amp; maintaining data pipelines \&amp; ETL processes on big data environments
* 5\+ years of experience in Data Modeling and Data Architecture in a production environment
* 5\+ years in writing complex SQL queries
* 5\+ years of experience with Cloud columnar databases (We use Snowflake)
* 2\+ years of production experience working with dbt and designing and implementing Data Warehouse solutions
* Ability to work closely with data scientists, analysts, and other stakeholders to translate business requirements into technical solutions. Strong documentation skills for pipeline design and data flow diagrams.
* Intermediate experience with any of the programming language: Python, Go, Java, Scala, we primarily use Python
* Integration with 3rd party API SaaS applications like Salesforce, Zuora, etc
* Ensure data integrity and accuracy by conducting regular data audits, identifying and resolving data quality issues, and implementing data governance best practices.
* Experience performing root cause analysis on internal and external data and processes to answer specific business questions and identify opportunities for improvement.
**Preferred Qualifications**
* Hands\-on experience with Snowflake data platform, including administration, SQL scripting, and query performance tuning
* Good Knowledge in modern as well as classic Data Modeling \- Kimball, Innmon, etc
* Demonstrated experience in one or many business domains (Finance, Sales, Marketing)
* 3\+ completed “production\-grade” projects with dbt
* Expert knowledge in python
**What Does Our Data Stack Looks Like**
* ELT (Snowflake, Fivetran, dbt, Airflow, Kafka, HighTouch)
* BI (Tableau, Looker)
* Infrastructure (GCP, AWS, Kubernetes, Terraform, Github Actions)
 The US annualized base salary range for this position is $151,000\.00\-$227,000\.00\.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Hybrid: In this role, our hybrid experience is designed at the team level to give you a rich onsite experience packed with connection, collaboration, learning, and celebration \- while also giving you flexibility to work remotely for part of the week. This role must attend our local office for part of the week. The specific in\-office schedule is to be determined by the hiring manager.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7">
      <c r="A17" t="inlineStr">
        <is>
          <t>li-4360152680</t>
        </is>
      </c>
      <c r="B17" t="inlineStr">
        <is>
          <t>Analytics Engineer</t>
        </is>
      </c>
      <c r="C17" t="inlineStr">
        <is>
          <t>RemoteHunter</t>
        </is>
      </c>
      <c r="D17" t="inlineStr">
        <is>
          <t>linkedin</t>
        </is>
      </c>
      <c r="E17" t="inlineStr"/>
      <c r="F17" t="inlineStr"/>
      <c r="G17" t="inlineStr"/>
      <c r="H17" t="inlineStr"/>
      <c r="I17" t="inlineStr">
        <is>
          <t>About the Opportunity:
 A financial technology organization based in Boston, Massachusetts with team members across the United States, Dominican Republic, and Canada is on a mission to unlock capital that fuels small businesses nationwide. The Analytics Engineering team plays a central role in the data ecosystem by converting raw data into actionable insights. The role involves designing, constructing, and maintaining data models and supporting the analytics platform using tools such as dbt, Fivetran, Snowflake, Census, and Tableau.
 Responsibilities:
 • Design, build, and maintain robust data models and marts using dbt, adhering to clear logic and the DRY principle
 • Collaborate with Data Science to prepare and transform data features for predictive models
 • Assist Data Engineering in deploying and stabilizing data pipelines feeding production machine learning models
 • Partner with Technology teams to manage impacts of schema changes and data migrations on analytical models
 • Support DevOps in monitoring and maintaining real\-time streaming pipelines
 • Participate in peer reviews to ensure data quality and adherence to team standards
 • Assist in integrating new third\-party data sources to enrich the data ecosystem
 • Implement data governance standards, including quality checks, documentation, and compliance procedures
 Requirements:
 • 2 or more years of experience in Analytics Engineering, Data Engineering, or Business Intelligence
 • 1 or more years of hands\-on experience developing and maintaining production\-level data transformation pipelines using dbt or equivalent Python scripting
 • 1 or more years of experience with cloud\-based data warehouses such as Snowflake or Redshift
 • Strong proficiency in SQL and data modeling
 • Ability to translate complex business needs into scalable technical data solutions
 • Experience with business intelligence tools like Looker, Tableau, or similar
 • Bonus: Experience with Python
 Compensation:
 • Annual Targeted Salary: $110,000 to $130,000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
      <c r="A18" t="inlineStr">
        <is>
          <t>li-4360232439</t>
        </is>
      </c>
      <c r="B18" t="inlineStr">
        <is>
          <t>Analytics Engineer</t>
        </is>
      </c>
      <c r="C18" t="inlineStr">
        <is>
          <t>RemoteHunter</t>
        </is>
      </c>
      <c r="D18" t="inlineStr">
        <is>
          <t>linkedin</t>
        </is>
      </c>
      <c r="E18" t="inlineStr"/>
      <c r="F18" t="inlineStr"/>
      <c r="G18" t="inlineStr"/>
      <c r="H18" t="inlineStr"/>
      <c r="I18"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
      <c r="A19" t="inlineStr">
        <is>
          <t>li-4341952989</t>
        </is>
      </c>
      <c r="B19" t="inlineStr">
        <is>
          <t>Senior Data Engineer</t>
        </is>
      </c>
      <c r="C19" t="inlineStr">
        <is>
          <t>Akkodis</t>
        </is>
      </c>
      <c r="D19" t="inlineStr">
        <is>
          <t>linkedin</t>
        </is>
      </c>
      <c r="E19" t="inlineStr"/>
      <c r="F19" t="inlineStr"/>
      <c r="G19" t="inlineStr">
        <is>
          <t>Omaha, NE</t>
        </is>
      </c>
      <c r="H19" t="inlineStr"/>
      <c r="I19" t="inlineStr">
        <is>
          <t>Akkodis is searching for a Senior Data Engineer who has extensive experience with Databricks, Python, and PySpark. Any Data Engineer who has experience working with SAP data would be a tremendous fit for this client! If you are looking for an opportunity to
**Pay/Salary Range:** 
 60\.00/HR to $85\.00/HR; The rate may be negotiable based on experience, education, geographic location, and other factors.
**What You’ll Do:** 
* Experience with cloud\-based technologies like
 **Databricks** 
 , Snowflake and Palantir.
* Deep experience (5\+ years) in writing and debugging complex SQL on RDBMS platforms like Snowflake, SQL Server, and Oracle.
* Experience working within an
 **SAP** 
 Data environment
* Proficient in
 **Python** 
 and
 **PySpark** 
 for data processing and transformation.
* Experience with DevOps frameworks and source control.
* Proficient in using ETL tools like Informatica IICS, Talend, Data Services, and SSIS.
 If you are interested in this position, then please click APPLY NOW. For other opportunities available at Akkodis go to www.akkodis.com.
*Equal Opportunity Employer/Veterans/Disabled* 
 Benefit offerings available for our associates include medical, dental, vision, life insurance, short\-term disability, additional voluntary benefits, an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*Disclaimer: These benefit offerings do not apply to client\-recruited jobs and jobs that are direct hires to a client.* 
*To read our Candidate Privacy Information Statement, which explains how we will use your information, please visit https://www.akkodis.com/en/privacy\-policy.*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20">
      <c r="A20" t="inlineStr">
        <is>
          <t>li-4364044518</t>
        </is>
      </c>
      <c r="B20" t="inlineStr">
        <is>
          <t>Data Engineer Lead</t>
        </is>
      </c>
      <c r="C20" t="inlineStr">
        <is>
          <t>University of Michigan</t>
        </is>
      </c>
      <c r="D20" t="inlineStr">
        <is>
          <t>linkedin</t>
        </is>
      </c>
      <c r="E20" t="inlineStr"/>
      <c r="F20" t="inlineStr"/>
      <c r="G20" t="inlineStr">
        <is>
          <t>Ann Arbor, MI</t>
        </is>
      </c>
      <c r="H20" t="inlineStr"/>
      <c r="I20" t="inlineStr">
        <is>
          <t>How to Apply
 A cover letter and resume are required submissions for the hiring team to understand your experience. In your cover letter, in 1 page or less, please explain how this role aligns with your career aspirations and skills. Submit both the cover letter and the resume as a single file.
 A competitive salary above the posted range is available based on the selected candidate's qualifications, experience, and education.
**Job Summary**
 The University of Michigan's
 **Data Science Practice** 
 team is seeking a
 **Data Engineering Lead** 
 to help lead our data engineering and architecture teams. As stewards of the University's enterprise data assets, our team is reimagining the future of our data infrastructure to support advanced analytics, data science, Artificial Intelligence, and institutional decision\-making. This role will work directly with Information and Technology Services (ITS) partners and Campus partners to enable a flexible data ecosystem that meets today's users' needs and scales for our future growth. This position will directly lead our data engineers and architects and report to the Associate Director of the Data Science Practice team.
 What You'll Do
 You are motivated, innovative, and creative, and you see opportunities for improvement in both technologies and processes. You have a background in data and can see the big picture. You are a leader and a team player.
 Who We Are
 We are moving to a new cloud\-based, scalable, and secure data ecosystem. We manage our enterprise data warehouse and have a group of data engineers and data architects who will be working in a new environment, implementing new processes and technologies, and migrating data from a legacy system.
 Why Work at Michigan?
* Be part of a collaborative, forward\-thinking team with a mission to modernize data infrastructure in service of education, research, and institutional excellence.
* Access to professional development opportunities, conferences, and cutting\-edge tools.
* Competitive salary and benefits, including generous time off and tuition support.
 Responsibilities\*
* Mentor and collaborate with data engineers and architects, and other high\-performing team members.
* Design, implement, and optimize data pipelines that support the university's modernization strategy.
* Contribute to the design of our future cloud\-native data architecture and the selection and implementation of our new toolset.
* Collaborate with data scientists, analysts, and stakeholders to deliver high\-quality, well\-documented data products.
* Develop scalable ETL/ELT processes that integrate data from enterprise systems (e.g., PeopleSoft, Salesforce, Blackbaud).
* Establish and promote best practices for data modeling, engineering, and governance in a modern data platform environment.
* Support agile delivery and CI/CD practices to improve efficiency and quality across the data lifecycle.
 Required Qualifications\*
* Bachelor's degree in a related field and/or equivalent combination of education, certification, and experience.
* 5\+ years of professional experience in data engineering, software development, or a related discipline.
* Strong proficiency in SQL and experience with both relational and non\-relational database systems.
* Experience developing in Python and/or Scala, particularly for data pipeline creation and automation.
* Hands\-on experience with cloud environments (AWS, Azure, or GCP) and associated data services.
* Experience with big data frameworks such as Apache Spark or Databricks.
* Knowledge of workflow orchestration tools (e.g., Apache Airflow, Prefect, or similar).
* Familiarity with modern CI/CD and infrastructure\-as\-code practices (e.g., Terraform, GitHub Actions).
* Strong understanding of data architecture, integration, and governance principles.
* Excellent communication skills and ability to collaborate in a team\-oriented environment.
 Desired Qualifications\*
* Master's degree in a relevant field (e.g., Data Science, Computer Science, Engineering).
* Experience supporting data and analytics workflows (BI, data science, machine learning, etc).
* Familiarity with modern data stack tools and concepts (platforms such as Snowflake, Databricks, Big Query, Redshift; ETL tools such as dbt and spark)
* Understanding of data privacy and compliance frameworks (e.g., FERPA, HIPAA, GDPR).
* Experience modernizing legacy data systems or migrating to cloud\-native architectures.
* Knowledge of ML Ops, feature engineering, or model deployment tools.
* Experience mentoring team members or leading technical projects.
* Background in higher education or research environments is a plus.
 You may not check every box, or your experience may look a little different from what we've outlined, but if you think you can bring value to our team, we encourage you to apply!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21">
      <c r="A21" t="inlineStr">
        <is>
          <t>li-4332002672</t>
        </is>
      </c>
      <c r="B21" t="inlineStr">
        <is>
          <t>Senior Data Engineer</t>
        </is>
      </c>
      <c r="C21" t="inlineStr">
        <is>
          <t>The Swift Group, LLC</t>
        </is>
      </c>
      <c r="D21" t="inlineStr">
        <is>
          <t>linkedin</t>
        </is>
      </c>
      <c r="E21" t="inlineStr"/>
      <c r="F21" t="inlineStr"/>
      <c r="G21" t="inlineStr">
        <is>
          <t>Tysons Corner, VA</t>
        </is>
      </c>
      <c r="H21" t="inlineStr"/>
      <c r="I21" t="inlineStr">
        <is>
          <t>**The Swift Group** 
 is a privately held, mission\-driven and employee\-focused services and solutions company headquartered in Reston, VA. Our capabilities include Software Development, Engineering \&amp; IT, Data Science, Cyber Enablement, Logistics, and Training. Founded in 2019, Swift supports Civilian, Defense, and Intelligence Community customers across the country and around the globe.
 We are looking for a
 **Senior Data Engineer** 
 to join our dynamic data engineering team in Tysons Corner, VA. In this role, you will design, build, and operationalize robust and scalable data pipelines to enable secure data brokering and exchange across diverse producers and consumers. You will work hands\-on with AWS cloud environments, automation tools, and modern data frameworks to drive reliability, performance, and innovation across distributed data ecosystems.
**Responsibilities**
* Design, build, and maintain scalable, cloud\-based data pipelines and supporting infrastructure
* Collaborate with internal teams and external partners to broker and exchange data through APIs, S3, and other secure interfaces
* Operationalize data pipelines leveraging Python\-native and AWS\-native tools for ingestion, transformation, and delivery
* Provide day\-to\-day operational support, including Tier 2/3 troubleshooting and incident response for production data pipelines
* Automate deployment and monitoring processes using Infrastructure\-as\-Code (IaC) tools such as Terraform, CloudFormation, or Ansible
* Implement data security and compliance controls aligned with RMF principles across multiple classification domains
* Participate in Agile development activities and contribute to continuous improvement of data engineering workflows
* Stay informed on emerging data engineering technologies and best practices to drive innovation within the team
**Requirements**
* US citizenship with an active TS/SCI with CI Polygraph required
* 4\+ years of hands\-on experience in data engineering, data pipeline development, or cloud data systems
* Proficiency in designing and deploying data pipelines leveraging AWS services across multiple classification domains (e.g., IL5 to IL6\+)
* Experience with Infrastructure\-as\-Code (IaC) tools such as Terraform, CloudFormation, or Ansible
* Understanding of RMF security principles and experience implementing security controls for cloud data systems
* Strong programming and scripting skills in Go, Python, and Bash
* Experience with data pipeline tools and platforms such as NiFi, Hadoop, HDFS, Kafka, or Cloudera Data Platform
* Proficiency with Linux environments and troubleshooting distributed data systems
* Excellent communication skills and ability to collaborate effectively with cross\-functional teams
**Desired Experience**
* Experience working with data lake and big data technologies such as Spark, Accumulo, or Elasticsearch
* Experience automating data delivery workflows and monitoring systems for high availability
* Familiarity with Agile methodologies and collaboration tools like Jira and Confluence
* Background in performance optimization and tuning of large\-scale data pipelines
**Please note: we are not working with staffing agencies to fill these positions and are not accepting any unsolicited resumes from agencies.**
 \#Onsite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22">
      <c r="A22" t="inlineStr">
        <is>
          <t>li-4340206242</t>
        </is>
      </c>
      <c r="B22" t="inlineStr">
        <is>
          <t>Data Engineer GCP (Google Cloud Platform) H/F</t>
        </is>
      </c>
      <c r="C22" t="inlineStr">
        <is>
          <t>EY</t>
        </is>
      </c>
      <c r="D22" t="inlineStr">
        <is>
          <t>linkedin</t>
        </is>
      </c>
      <c r="E22" t="inlineStr"/>
      <c r="F22" t="inlineStr"/>
      <c r="G22" t="inlineStr">
        <is>
          <t>Nashville, TN</t>
        </is>
      </c>
      <c r="H22" t="inlineStr"/>
      <c r="I22" t="inlineStr">
        <is>
          <t>**À propos :**
 EY leader mondial dans les services professionnels, offrant des prestations en audit, conseil, fiscalité et transactions. Présent dans plus de 150 pays, EY accompagne les entreprises dans leur croissance, leur transformation et leur conformité, en mettant l’accent sur l’innovation, l’intégrité et la création de valeur durable . Nos expertises Tech \&amp; Data/IA (Ingénieurs en IA, Data Scientists, Machine Learning Engineers, visent à
* Mettre l’IA et la data au cœur des décisions, en concevant des logiciels sur mesure et des modèles de valeur centrés sur les parties prenantes.
* Produire des solutions sur mesure, grâce à des pratiques éprouvées et un socle technique affiné par la communauté Tech et Design.
* Garantir un processus de delivery continu pour répondre aux enjeux du marché
**Descriptif du poste:**
 En tant
 **que Consultant Senior** 
 GCP, vous rejoindrez l’équipe Data \&amp; AI pour concevoir, développer et industrialiser des solutions data cloud
 **sur Google Cloud Platform (** 
 GCP), au service des transformations technologiques et métiers de nos clients. Vous interviendrez sur toutes les étapes du cycle de vie des projets : architecture, ingestion, modélisation, déploiement et gouvernance des données, dans une logique DataOps et Développement.
**Responsabilités clés :**
 Vos principales missions :
* Concevoir et développer des pipelines ETL/ELT performants sur GCP (BigQuery, Dataflow, Dataproc, Pub/Sub, Composer).
* Modéliser et maintenir des data warehouses et data lakes scalables et optimisés.
* Définir et implémenter des architectures data cloud fiables et sécurisées, intégrant les meilleures pratiques DataOps.
* Collaborer étroitement avec les équipes métiers et techniques pour co\-construire des solutions data\-driven.
* Garantir la qualité, la sécurité et la gouvernance des données dans des environnements cloud complexes.
**Profil recherché :**
* 3 à 5 ans d’expérience en Data Engineering sur Google Cloud Platform.
* Maîtrise de BigQuery, Dataflow, Dataproc, Pub/Sub, Composer, SQL et Python.
* Connaissance des architectures data modernes (Data Lake, Data Warehouse, Data Mesh).
* Maîtrise des outils CI/CD, Git, Docker, Kubernetes, Terraform apprécié.
* Capacité à transformer des besoins métiers en solutions techniques efficaces.
* Curiosité technologique, rigueur, esprit d’équipe, autonomie, orientation client.
* Excellente communication en français et en anglais et pédagogie.
**Ce que nous offrons :**
* L’opportunité de rejoindre un Big Four reconnu mondialement.
* Des projets à fort impact et une forte exposition stratégique.
* Un environnement de travail stimulant, collaboratif et international.
* Des perspectives d’évolution et de développement professionnel.</t>
        </is>
      </c>
    </row>
    <row r="23">
      <c r="A23" t="inlineStr">
        <is>
          <t>li-4363829520</t>
        </is>
      </c>
      <c r="B23" t="inlineStr">
        <is>
          <t>Data Engineer - Lilly Medicines Foundry</t>
        </is>
      </c>
      <c r="C23" t="inlineStr">
        <is>
          <t>BioSpace</t>
        </is>
      </c>
      <c r="D23" t="inlineStr">
        <is>
          <t>linkedin</t>
        </is>
      </c>
      <c r="E23" t="inlineStr"/>
      <c r="F23" t="inlineStr"/>
      <c r="G23" t="inlineStr">
        <is>
          <t>Lebanon, IN</t>
        </is>
      </c>
      <c r="H23" t="inlineStr"/>
      <c r="I23"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**This is an opportunity you don’t want to miss!**
 Lilly is entering an exciting period of growth, and we are committed to delivering innovative medicines to patients around the world. LRL has increasing needs for in\-house manufacture of material for clinical supplies and will therefore construct a new campus to manufacture Clinical Trial (CT) Active Pharmaceutical Ingredient (API) to meet needs for an expanding portfolio (more and new areas), to accelerate development timelines, and to enhance supply chain robustness.
 The brand\-new facility also known as Lilly Medicine Foundry (LMF) will utilize the latest technology to augment the current clinical supply chain for small molecules (SM), oligonucleotides, peptides, and Antibody Drug Conjugates (ADCs), monoclonal antibodies and bioconjugates, and add new capabilities including mRNA.
 The new site will be built using the latest high\-tech equipment, advanced highly integrated and automated manufacturing systems, and have a focus on minimizing the impact to our environment.
**What You’ll Be Doing**
 As Data Engineer you will be responsible for engaging with business stakeholders to design, develop, and maintain the data pipelines and data solutions that ensure the availability and quality of data sets and actionable insights for the Foundry. This includes data capture, integration, acquisition, , contextualization, and harmonization, leading to the delivery of data\-as\-a\-product and reusable data domains and products. The focus is to integrate IT/OT systems with cloud data lakehouse architecture (AWS/Azure) to enable advanced analytics and AI/ML capabilities while ensuring data integrity and compliance with relevant regulatory standards and best practices.
 The Data Engineer will work closely with the Data Architect and Data Scientists. They also work with business and IT groups beyond the data sphere, understanding the enterprise infrastructure and the many source systems.
**How You’ll Succeed**
* Bring a foundational set of knowledge in: communication, leadership, teamwork, problem solving skills, solution definition, business acumen, architectural processes (e.g. blueprinting, reference architecture, governance, etc.), technical standards, project delivery, and industry knowledge.
* Provide Business Analysis and Technical Leadership including:
+ Engaging with business and proactively seeking opportunities to deliver business value.
+ Understanding business requirements and effectively translating business needs and process into technical terms, and vice versa
+ Eliciting and defining requirements.
+ Participating in design reviews to ensure traceability of requirements.
+ Seeking opportunities to reuse existing processes and services to streamline support and implementation of key systems.
+ Staying abreast of tools and technologies to influence Tech at Lilly strategy so that it provides best usage opportunities for business
* Analyze large, complex data domains and craft practical solutions for subsequent data exploitation via analytics.
* Design, develop and maintain data solutions for data capture, storage, integration and analytics in partnership with Tech at Lilly teams.
* Review and provide practical recommendations on design patterns, performance considerations \&amp; optimization, database versions, and database deployment strategies
* Ensure that Data solutions adhere to regulatory requirements including FDA guidelines and Good Manufacturing Practices (GMP).
* Knowledgeable in data functions such as Data Governance, Master Data Management, Business Intelligence
**Your Basic Qualifications**
* Bachelor’s degree in Computer Science, Data Science, Engineering or related field
* At least 3 years of experience in several of the following disciplines: statistical methods, data modeling, ETL/ELT, ontology development, semantic graph construction and linked data, relational schema design.
* At least 1 year of experience in a pharmaceutical GxP environment.
* Qualified applicants must be authorized to work in the United States on a full\-time basis. Lilly will not provide support or sponsor work authorization and/or visas for this role
**Additional Skills / Preferences**
* 1\-3 years of experience designing large scale data models for functional, operational, and analytical environments (Conceptual, Logical, Physical \&amp; Dimensional).
* Demonstrated SQL and data modeling proficiency.
* Experience with data modeling tools such as, ER\*Studio and Erwin or TOAD.
* Experience with cloud platforms (e.g., AWS, Azure).
* Experience with AI/ML/LLM Concepts and tools and building agentic AI solution sets
* Experience with data integration such as data streaming, Industrial IOT, using MQTT, AQMP, Kafka and related protocols.
* Understanding of modern data architecture, data lakehouse, data warehousing and/or big data concepts.
* Experience with security models and development on large data sets.
* Experience with multiple database solutions (e.g. Postgres, Redshift, Aurora, Athena, Graph DB like Neptune, No SQL like DynamoDB, MongoDB) and formal database designs (3NF, Dimensional Models).
* Experience with Agile Development, CI/CD, Github, Automation platforms.
* Demonstrated ability to analyze large, complex data domains and craft practical solutions for subsequent data exploitation via analytics.
* Ability to review and provide practical recommendations on design patterns, performance considerations \&amp; optimization, database versions, and database deployment strategies.
* Knowledgeable in data functions such as Data Governance, Master Data Management, Business Intelligence.
* Prior work experience working in pharma or other GMP setting.
* Solid knowledge of Computer System Validation process.
* Demonstrated ability to analyze, anticipate, and resolve complex issues through sound problem\-solving skills.
* Demonstrated learning agility and curiosity.
* Desire and ability to communicate using a variety of methods in diverse forums.
**Additional Information**
* Must be willing to relocate to the Indianapolis/Lebanon, IN area
* Work schedule is hybrid: At least three days onsite.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$64,500 \- $184,800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24">
      <c r="A24" t="inlineStr">
        <is>
          <t>li-4310128230</t>
        </is>
      </c>
      <c r="B24" t="inlineStr">
        <is>
          <t>Big Data Engineer</t>
        </is>
      </c>
      <c r="C24" t="inlineStr">
        <is>
          <t>SAIC</t>
        </is>
      </c>
      <c r="D24" t="inlineStr">
        <is>
          <t>linkedin</t>
        </is>
      </c>
      <c r="E24" t="inlineStr"/>
      <c r="F24" t="inlineStr"/>
      <c r="G24" t="inlineStr">
        <is>
          <t>Washington, DC</t>
        </is>
      </c>
      <c r="H24" t="inlineStr"/>
      <c r="I24" t="inlineStr">
        <is>
          <t>Job ID 2509498
**Location** 
 WASHINGTON, DC, US
**Date Posted** 
 2025\-10\-02
**Category** 
 Information Technology
**Subcategory** 
 Big Data Engineer
**Schedule** 
 Full\-time
**Shift** 
 Day Job
**Travel** 
 No
**Minimum Clearance Required TS/SCI With Poly**
**Clearance Level Must Be Able to Obtain** 
 None
**Potential for Remote Work** 
 No
**Description**
 SAIC is seeking
 **Big Data Engineers** 
 to join the Machine\-assisted Analytic Rapid\-repository System (MARS) Advanced Development Operations (DevOps) and Sustainment Support (ADOS) program and provide on\-site technical support to facilitate operations of critical MARS infrastructure and services. This effort focuses on providing a comprehensive set of System/ Software Engineering and IT Services to maintain, sustain, enhance, and improve/ modernize MARS. This position will be located in the National Capital Region.
**Please note that this is contingent upon contract award, with an anticipated decision expected by Winter/ Spring 2026\.**
 The Big Data Engineer responsibilities include, but are not limited to
* Designs scalable data architectures, leading ETL processes, and oversees the implementation of data storage solutions
* Support the development and integration of advanced analytics tools, ensuring efficient data access and insights generation
* Optimize system performance and scalability, implementing continuous improvement initiatives
**Qualifications**
* Active TS/SCI with Polygraph
* Bachelor's degree in Information Technology, Cybersecurity, Computer Science, Information Systems, Data Science, or Software Engineering and 14 years or more relevant experience (will consider an additional 4\+ years of relevant experience in lieu of degree)
* One Active Certification CCISO, CISM, CISSP, GSLC, SSCP or GSEC
* Expertise in designing, implementing, and managing Big Data solutions using Hadoop, Spark, and data streaming technologies
* Proven experience optimizing data pipelines, performing large\-scale data processing, and ensuring data quality
* Strong knowledge of data warehousing concepts, ETL processes, and distributed computing environments
 Target salary range $160,001 \- $200,000\. The estimate displayed represents the typical salary range for this position based on experience and other factors.</t>
        </is>
      </c>
    </row>
    <row r="25">
      <c r="A25" t="inlineStr">
        <is>
          <t>li-4326093513</t>
        </is>
      </c>
      <c r="B25" t="inlineStr">
        <is>
          <t>Lead Analytics Engineer</t>
        </is>
      </c>
      <c r="C25" t="inlineStr">
        <is>
          <t>Mercy</t>
        </is>
      </c>
      <c r="D25" t="inlineStr">
        <is>
          <t>linkedin</t>
        </is>
      </c>
      <c r="E25" t="inlineStr"/>
      <c r="F25" t="inlineStr"/>
      <c r="G25" t="inlineStr">
        <is>
          <t>Chesterfield, MO</t>
        </is>
      </c>
      <c r="H25" t="inlineStr"/>
      <c r="I25" t="inlineStr">
        <is>
          <t>**Find your calling at Mercy!**
 The Lead Analytics Engineer is the primary technical lead on major analytics initiatives. This role leads development efforts, defines engineering standards, and ensures the delivery of high\-quality, enterprise\-grade data solutions. The Lead Analytics Engineer mentors others, aligns technical efforts with business goals, and plays a central role in scaling analytic capabilities across the organization.
**Position Details**
**Lead Analytics Engineer**
**Power BI, Databricks, EPIC, Python, SQL**
**Mercy Enterprise Analytics**
* Please note that as of the posting date of this job announcement, Mercy is unable to offer immigration sponsorship or visa assistance for this position. We encourage all eligible candidates, including U.S. citizens, permanent residents, and those with existing work authorization, to apply.
 The Lead Analytics Engineer is the primary technical lead on major analytics initiatives. This role leads development efforts, defines engineering standards, and ensures the delivery of high\-quality, enterprise\-grade data solutions. The Lead Analytics Engineer mentors' others, aligns technical efforts with business goals, and plays a central role in scaling analytic capabilities across the organization.
**Qualification(s)**
* Education: Degree in computer science, software engineering, data analytics, technology, or related field experience.
* Experience: Eight (8\) years of relevant technical or business work experience or knowledge.
**Preferred Qualification(s)**
 Analytical Tools and Decision Intelligence
* Serve as the primary developer on automated data driven decision intelligence processes.
* Creates and maintains visualizations, dashboards and reports using tools such as Power BI, Databricks, Power Apps, EPIC Cogito, or others to enable data\-driven decision\-making.
* Define and enforce standards, including CI/CD and testing practices.
* Translate business needs into scalable analytic solutions.
* Serves as lead resource for dealing with highly complex technical and/or business issues.
 Data Infrastructure Development
* Serve as the primary developer on major analytics projects, building and maintaining core data pipelines using Python and SQL on cloud platforms.
* Serve as the primary developer on major analytics projects, building and maintaining core semantic models and data products.
 Collaboration and Communication
* Works with business stakeholders to understand their analytics needs and deliver comprehensive analytic products.
* Collaborates with architects and senior stakeholders to deliver technical solutions.
* Guide and support development efforts across multiple engineers, including code reviews and technical onboarding.
* Utilizes data visualization and narrative techniques to effectively communicate insights and tell compelling stories that drive decision\-making and business strategies.
 Community of Practice
* Provides education, training, and works with citizen developers and analytic consumers.
* Supports democratizing data and enabling business users to conduct self\-service analytics leveraging AI analytics tools.
 Data Governance and Compliance
* Works with governance stewards to maintain data dictionaries, metadata, and data lineage.
**Mercy Key Benefits**
* Tuition Reimbursement up to $2,000 for continuing education
* Health/Dental/Vision available after day one
* Annual contribution of $100 per month to eligible co\-workers enrolled in the Dependent Care FSA
* Paid parental leave for new parents
* 401k with employer match
* Paid PTO for volunteering
* Competitive salary
* Future career growth!
**Find Us At**
 Facebook \| LinkedIn \| Instagram \| mercy.net \| Mercy Careers
 EEO/AA/Minorities/Females/Disabled/Veterans
**Why Mercy?**
 From day one, Mercy offers outstanding benefits \- including medical, dental, and vision coverage, paid time off, tuition support, and matched retirement plans for team members working 32\+ hours per pay period.
 Join a caring, collaborative team where your voice matters. At Mercy, you'll help shape the future of healthcare through innovation, technology, and compassion. As we grow, you'll grow with us.
 keyword(s): Power BI, Databricks, EPIC Cognito, Python, SQL on clouds</t>
        </is>
      </c>
    </row>
    <row r="26">
      <c r="A26" t="inlineStr">
        <is>
          <t>li-4340840862</t>
        </is>
      </c>
      <c r="B26" t="inlineStr">
        <is>
          <t>Principal Data Engineer - 90400961 - Washington DC, Philadelphia PA, or Wilmington DE. null</t>
        </is>
      </c>
      <c r="C26" t="inlineStr">
        <is>
          <t>Amtrak</t>
        </is>
      </c>
      <c r="D26" t="inlineStr">
        <is>
          <t>linkedin</t>
        </is>
      </c>
      <c r="E26" t="inlineStr"/>
      <c r="F26" t="inlineStr"/>
      <c r="G26" t="inlineStr">
        <is>
          <t>Washington, DC</t>
        </is>
      </c>
      <c r="H26" t="inlineStr"/>
      <c r="I26"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**Job Summary**
**Work Environment: Work will be onsite in Washington DC, Philadelphia PA, or Wilmington DE. Requests for remote work will be reviewed, not guaranteed.**
 The Principal Data Engineer will lead the design, development, and optimization of our large\-scale data infrastructure and data pipelines. They will serve as a technical leader, highly proficient in modern cloud data platforms, data governance tools, and business intelligence (BI) solutions. This role requires deep expertise in data architecture, data modeling, and performance tuning to ensure reliable, scalable, and high\-quality data assets that drive business\-critical decisions.
**Essential Functions**
* Architect and Design: Define and implement the architectural strategy for our enterprise data platform, focusing on scalability, security, and performance. Design and build robust, high\-volume, and performant data pipelines using cloud\-native services like AWS Data Pipelines (Glue, EMR, S3, Redshift, etc.) or Azure Data Factory/Synapse Analytics.
* Technical Leadership: Act as a subject matter expert and mentor for junior and mid\-level data engineers, setting best practices for code quality, testing, and deployment.
* Data Governance \&amp; Management: Utilize tools like IDMC (Informatica Data Management Cloud) for data integration, quality, governance, and cataloging across the enterprise.
* Data Processing and Analysis: Develop, optimize, and manage large\-scale data processing jobs using Databricks(Spark/Delta Lake) for ETL/ELT workflows and advanced analytics.
* Coding and Scripting: Write high\-quality, efficient, and well\-documented code primarily in Python for data manipulation, automation, and pipeline orchestration.
* Deployment and Automation: Implement and maintain robust CI/CD pipelines and infrastructure\-as\-code (e.g., Terraform/CloudFormation) for automated deployment and management of data solutions.
* Business Intelligence: Ensure data readiness for reporting and analytics and possess working knowledge/experience with BI tools like Tableau and PowerBI to facilitate data consumption.
* Performance and Optimization: Monitor, troubleshoot, and tune existing data infrastructure and pipelines to ensure optimal performance and cost efficiency.
**Minimum Qualifications**
* Bachelor’s Degree or equivalent combination of education, training and/or relevant experience.
* Plus 7 years of relevant work experience.
* Proficiency and hands on experience designing and implementingend\-to\-end data solutions in AWS (e.g., S3, EMR, Glue, Redshift, Kenesis) and/or Azure (e.g. Azure Data FActory, Synaps Analytics, Azure Data Lakre Storage)
* Experience with some of the following technologies, Databricks, Python, Apche Sparks, IDMC, Talend, CI/CD pipelines, Jenkins, Gitlab, Power BI, SQL and NoSQL
**Preferred Qualifications**
* Masters degree in computer science, data engineering, or related quantitative field.
* 9\+ years of relevant work experience.
* Cloud certifications (AWS Certified Data Analytics \- Specialty, Azure Data Engineer Associate)
* Experience with real\-time data streaming technologies, (Kafka, Kinesis)
* Experience with IDMC tooling
**Knowledge, Skills, And Abilities**
* Strong communication and interpersonal skills; collaborative team player; self\-motivated
* Advanced knowledge of relevant technologies, systems, and methodologies; stays updated on emerging trends
* Skilled in analyzing complex technical issues, making sound decisions, and implementing effective problem resolution strategies
 The salary/hourly range is $113,200\.00 – $146,664\.00\. 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 
 165481
**Work Arrangement:** 
 02\-Remote Optional Click here for more information about work arrangements at Amtrak.
**Relocation Offered:** 
 No
**Travel Requirements:** 
 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 1143\), Amtrak is required to screen applicants for any permanent or interim disqualifying criminal offenses.
 Note that any education requirement listed above may be deemed satisfied if you have an equivalent combination of education, training and experience.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27">
      <c r="A27" t="inlineStr">
        <is>
          <t>li-4336134200</t>
        </is>
      </c>
      <c r="B27" t="inlineStr">
        <is>
          <t>Lead Data Engineer &amp; Modeler, AI - Hybrid</t>
        </is>
      </c>
      <c r="C27" t="inlineStr">
        <is>
          <t>Commerce</t>
        </is>
      </c>
      <c r="D27" t="inlineStr">
        <is>
          <t>linkedin</t>
        </is>
      </c>
      <c r="E27" t="inlineStr"/>
      <c r="F27" t="inlineStr"/>
      <c r="G27" t="inlineStr">
        <is>
          <t>Austin, TX</t>
        </is>
      </c>
      <c r="H27" t="inlineStr"/>
      <c r="I27" t="inlineStr">
        <is>
          <t>**Welcome to the Agentic Commerce Era**
 At Commerce, our mission is to empower businesses to innovate, grow, and thrive with our open, AI\-driven commerce ecosystem. As the parent company of BigCommerce, Feedonomics, and Makeswift,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BigCommerce is building the foundation for the next generation of
 **AI\-driven commerce** 
 . As a
 **Lead AI Engineer, Platform \&amp; Infrastructure** 
 , you’ll define and scale the systems that make this transformation possible. This role sits at the intersection of
 **data engineering, MLOps, and applied AI enablement** 
 , responsible for building the secure, scalable, and high\-performance infrastructure that supports AI/ML use cases across the company.
 You’ll collaborate across product, engineering, and data teams to design the unified
 **AI platform layer** 
 — powering internal intelligence, customer\-facing AI features, and advanced analytics. From model lifecycle management to data pipelines and inference infrastructure, you’ll drive the architecture and operational excellence that allows BigCommerce to experiment, deploy, and iterate AI at scale.
 If you’re passionate about enabling intelligence through infrastructure, designing modern ML ecosystems, and operationalizing AI across a fast\-scaling SaaS platform, this role will put you at the center of BigCommerce’s AI evolution.
**What You’ll Do**
**AI Platform Architecture**
* Partner with the Enterprise Architect and Principal Data Architect to design the company\-wide AI/ML platform strategy across GCP and AWS.
* Build scalable systems for model training, evaluation, deployment, and monitoring.
* Define best practices for data ingestion, feature stores, vector databases, and model registries.
* Integrate AI workflows into existing analytics and product pipelines.
**Infrastructure \&amp; Reliability**
* Implement CI/CD for ML pipelines (MLOps) including model versioning, validation, and automated deployment.
* Ensure platform reliability, observability, and performance at enterprise scale.
* Manage GPU/TPU resources and optimize compute efficiency for training and inference workloads.
* Contribute to cost\-optimization and security best practices across the AI infrastructure.
**Cross\-Functional Collaboration**
* Partner with data scientists, applied ML engineers, and product teams to translate model requirements into scalable architecture.
* Work closely with the data engineering team to ensure AI pipelines align with governance and data quality standards.
* Collaborate with software engineers to integrate AI services and APIs into production systems.
**Governance \&amp; Responsible AI**
* Champion data and model governance, including lineage, reproducibility, and compliance (GDPR, SOC, ISO).
* Establish monitoring frameworks for model drift, bias detection, and ethical AI use.
* Build secure and transparent systems that support trust in AI\-driven decisions.
**What You’ll Bring**
* 7\+ years in data or ML engineering, with experience designing production\-grade AI infrastructure.
* Strong technical foundation in MLOps, data pipelines, and distributed systems.
* Hands\-on experience with:
* 
+ Cloud AI platforms (Vertex AI, SageMaker, Bedrock, or equivalent)
+ Orchestration frameworks (Airflow, Kubeflow, MLflow, or Metaflow)
+ Cloud data stacks (BigQuery, Snowflake, GCS/S3, Terraform)
+ Model serving tools (FastAPI, BentoML, Ray Serve, or Triton Inference Server)
* Proficient in: Python, SQL, and Git\-based CI/CD.
* Experience integrating LLMs and vector databases (e.g., Pinecone, FAISS, Weaviate, Vertex Matching Engine).
* Familiarity with Kubernetes, Docker, and Terraform for scalable deployment.
* Strong communication skills, able to partner across disciplines and simplify complex technical systems.
**What You’ll Impact**
* The AI foundation powering every intelligent capability within BigCommerce — from predictive analytics to generative assistants.
* The tools and frameworks that enable product and engineering teams to build, test, and ship AI faster.
* The reliability, governance, and scalability of BigCommerce’s enterprise\-wide AI ecosystem.
**Why Join Us**
 You’ll play a critical role in shaping how BigCommerce operationalizes AI — not just as a feature, but as a platform capability. You’ll join a collaborative, ambitious, and fast\-evolving data organization dedicated to creating systems that enable intelligence at scale.
**(Pay Transparency Range: $116,000\-$174,000\)**
 The exact salary will be dependent on the successful candidate’s location, relevant knowledge, skills, and qualifications.
**Inclusion and Belonging**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28">
      <c r="A28" t="inlineStr">
        <is>
          <t>li-4363899485</t>
        </is>
      </c>
      <c r="B28" t="inlineStr">
        <is>
          <t>AI Systems &amp; Data Engineer</t>
        </is>
      </c>
      <c r="C28" t="inlineStr">
        <is>
          <t>HyperFi</t>
        </is>
      </c>
      <c r="D28" t="inlineStr">
        <is>
          <t>linkedin</t>
        </is>
      </c>
      <c r="E28">
        <f>HYPERLINK("https://www.linkedin.com/jobs/view/4363899485", "https://www.linkedin.com/jobs/view/4363899485")</f>
        <v/>
      </c>
      <c r="F28">
        <f>HYPERLINK("https://ats.rippling.com/hyperfi/jobs/38791bcc-fb55-472e-b1c8-5e1aecb74d44?jobSite=LinkedIn&amp;urlHash=t-1w", "https://ats.rippling.com/hyperfi/jobs/38791bcc-fb55-472e-b1c8-5e1aecb74d44?jobSite=LinkedIn&amp;urlHash=t-1w")</f>
        <v/>
      </c>
      <c r="G28" t="inlineStr">
        <is>
          <t>San Francisco, CA</t>
        </is>
      </c>
      <c r="H28" t="inlineStr"/>
      <c r="I28" t="inlineStr">
        <is>
          <t>**About HyperFi**
 We're building the kind of platform we always wanted to use: fast, flexible, and built for making sense of real\-world complexity. Behind the scenes is a robust, event\-driven architecture that connects systems, abstracts messy workflows, and leaves room for smart automation. The surface is clean and simple. The interactions are seamless and intuitive. The machinery underneath is anything but. That’s where you come in.
 We’re a well\-networked founding team with strong execution roots and a clear roadmap. We’re backed, focused, and delivering fast.
 We are seeking an
 ****AI Systems \&amp; Data Engineer****
 to join our team. We are building a fast, flexible, and complex platform with a robust, event\-driven architecture. This role requires expertise in building data pipelines within the Databricks environment, specifically for ingesting unstructured data, and leveraging that data to build AI agents.
 💥 What You’ll Do
* Design and operate Databricks pipelines in Python to ingest and normalize large\-scale unstructured data
* Build streaming and batch ingestion using Auto Loader, Delta Live Tables, and Workflows
* Model and maintain AI\-ready lakehouse tables with Delta Lake and Unity Catalog
* Prepare retrieval and context datasets for RAG and agent systems
* Orchestrate Temporal\-based workflows to coordinate data prep, validation, and AI handoff
* Enforce data quality, lineage, and access controls across pipelines
* Optimize PySpark jobs for performance, reliability, and cost
* Integrate pipeline outputs into production AI systems and APIs
* Monitor freshness, schema drift, and pipeline health
 🧰 Tech Stack (So Far)
* Python (primary language for all LLM \+ orchestration work)
* LangChain \+ LangGraph \+ LangSmith
* Databricks \+ PySpark for processing, labeling, and training context
* Gemini \+ model routing logic
* Postgres, and custom orchestration via MCP
* GitHub Actions, GCP
 You’ll be a crucial member of rolling out products that will have immediate impact.
 💻 How We Build
* Engineers come first: your time, focus, and judgment are respected
* Deep work \&gt; chaos: fixed cycles \&amp; cooldowns protect focus and keep context switching low
* Autonomy is the default: trusted builders who own outcomes, no babysitters
* Ship daily, safely: merge early, integrate vertically, ship often, use feature flags, and keep momentum
* Outcomes over optics: solve real problems, not ticket soup
* Voice matters: from week one, contribute, improve something, and shape how we build
* Senior peers, no ego: collaborate in a high\-trust, async\-friendly environment
* Bold problems, cool tech: work on complex challenges that actually move the needle
* Fun is part of it: we move fast, but we also celebrate wins and laugh together
 ✅ What We’re Looking For
* 5\-7 years of experience building production\-grade ML, data, or AI systems.
* Strong grasp of prompt engineering, context construction, and retrieval design.
* Comfortable working in LangChain and building agents.
* Experience with PySpark and Databricks to handle real\-world data scale.
* Ability to write testable, maintainable Python with clear structure.
* Understanding of model evaluation, observability, and feedback loops.
* Excited to push from prototype → production → iteration.
* Familiarity with Databricks Data Intelligence Platform which unifies data warehousing and AI use cases on a single platform.
* Knowledge of Unity Catalog for open and unified governance of data, analytics, and AI on the lakehouse.
* Understanding of data security concerns related to AI and how to mitigate them using the Databricks AI Security Framework (DASF).
* Confident English skills to collaborate clearly and effectively with teammates
**🔥 Bonus If You**
* Have built scalable agent\-like workflows on the Databricks platform.
* Have worked on semantic chunking, vector search, or hybrid retrieval strategies.
* Can walk us through a real\-world prompt failure and how you fixed it.
* Have contributed to OSS tools or internal AI platforms.
* Think of yourself as both an engineer and a systems designer.
* Are familiar with the concept of a data lakehouse architecture.
 📍 Location \&amp; Compensation
* Must be based in San Francisco, Las Vegas, or Tel Aviv
* Full\-time role with competitive comp
* Flexible hours, async\-friendly culture, engineering\-led environment</t>
        </is>
      </c>
    </row>
    <row r="29">
      <c r="A29" t="inlineStr">
        <is>
          <t>li-4363899484</t>
        </is>
      </c>
      <c r="B29" t="inlineStr">
        <is>
          <t>AI Systems &amp; Data Engineer</t>
        </is>
      </c>
      <c r="C29" t="inlineStr">
        <is>
          <t>HyperFi</t>
        </is>
      </c>
      <c r="D29" t="inlineStr">
        <is>
          <t>linkedin</t>
        </is>
      </c>
      <c r="E29">
        <f>HYPERLINK("https://www.linkedin.com/jobs/view/4363899484", "https://www.linkedin.com/jobs/view/4363899484")</f>
        <v/>
      </c>
      <c r="F29" t="inlineStr"/>
      <c r="G29" t="inlineStr">
        <is>
          <t>San Francisco, CA</t>
        </is>
      </c>
      <c r="H29" t="inlineStr"/>
      <c r="I29" t="inlineStr">
        <is>
          <t>**About HyperFi**
 We're building the kind of platform we always wanted to use: fast, flexible, and built for making sense of real\-world complexity. Behind the scenes is a robust, event\-driven architecture that connects systems, abstracts messy workflows, and leaves room for smart automation. The surface is clean and simple. The interactions are seamless and intuitive. The machinery underneath is anything but. That’s where you come in.
 We’re a well\-networked founding team with strong execution roots and a clear roadmap. We’re backed, focused, and delivering fast.
 We are seeking an
 ****AI Systems \&amp; Data Engineer****
 to join our team. We are building a fast, flexible, and complex platform with a robust, event\-driven architecture. This role requires expertise in building data pipelines within the Databricks environment, specifically for ingesting unstructured data, and leveraging that data to build AI agents.
 💥 What You’ll Do
* Design and operate Databricks pipelines in Python to ingest and normalize large\-scale unstructured data
* Build streaming and batch ingestion using Auto Loader, Delta Live Tables, and Workflows
* Model and maintain AI\-ready lakehouse tables with Delta Lake and Unity Catalog
* Prepare retrieval and context datasets for RAG and agent systems
* Orchestrate Temporal\-based workflows to coordinate data prep, validation, and AI handoff
* Enforce data quality, lineage, and access controls across pipelines
* Optimize PySpark jobs for performance, reliability, and cost
* Integrate pipeline outputs into production AI systems and APIs
* Monitor freshness, schema drift, and pipeline health
 🧰 Tech Stack (So Far)
* Python (primary language for all LLM \+ orchestration work)
* LangChain \+ LangGraph \+ LangSmith
* Databricks \+ PySpark for processing, labeling, and training context
* Gemini \+ model routing logic
* Postgres, and custom orchestration via MCP
* GitHub Actions, GCP
 You’ll be a crucial member of rolling out products that will have immediate impact.
 💻 How We Build
* Engineers come first: your time, focus, and judgment are respected
* Deep work \&gt; chaos: fixed cycles \&amp; cooldowns protect focus and keep context switching low
* Autonomy is the default: trusted builders who own outcomes, no babysitters
* Ship daily, safely: merge early, integrate vertically, ship often, use feature flags, and keep momentum
* Outcomes over optics: solve real problems, not ticket soup
* Voice matters: from week one, contribute, improve something, and shape how we build
* Senior peers, no ego: collaborate in a high\-trust, async\-friendly environment
* Bold problems, cool tech: work on complex challenges that actually move the needle
* Fun is part of it: we move fast, but we also celebrate wins and laugh together
 ✅ What We’re Looking For
* 5\-7 years of experience building production\-grade ML, data, or AI systems.
* Strong grasp of prompt engineering, context construction, and retrieval design.
* Comfortable working in LangChain and building agents.
* Experience with PySpark and Databricks to handle real\-world data scale.
* Ability to write testable, maintainable Python with clear structure.
* Understanding of model evaluation, observability, and feedback loops.
* Excited to push from prototype → production → iteration.
* Familiarity with Databricks Data Intelligence Platform which unifies data warehousing and AI use cases on a single platform.
* Knowledge of Unity Catalog for open and unified governance of data, analytics, and AI on the lakehouse.
* Understanding of data security concerns related to AI and how to mitigate them using the Databricks AI Security Framework (DASF).
* Confident English skills to collaborate clearly and effectively with teammates
**🔥 Bonus If You**
* Have built scalable agent\-like workflows on the Databricks platform.
* Have worked on semantic chunking, vector search, or hybrid retrieval strategies.
* Can walk us through a real\-world prompt failure and how you fixed it.
* Have contributed to OSS tools or internal AI platforms.
* Think of yourself as both an engineer and a systems designer.
* Are familiar with the concept of a data lakehouse architecture.
 📍 Location \&amp; Compensation
* Must be based in San Francisco, Las Vegas, or Tel Aviv
* Full\-time role with competitive comp
* Flexible hours, async\-friendly culture, engineering\-led environment</t>
        </is>
      </c>
    </row>
    <row r="30">
      <c r="A30" t="inlineStr">
        <is>
          <t>li-4363759869</t>
        </is>
      </c>
      <c r="B30" t="inlineStr">
        <is>
          <t>Sr. Data Engineer : Full-time role</t>
        </is>
      </c>
      <c r="C30" t="inlineStr">
        <is>
          <t>HARAMAIN SYSTEMS INC.</t>
        </is>
      </c>
      <c r="D30" t="inlineStr">
        <is>
          <t>linkedin</t>
        </is>
      </c>
      <c r="E30">
        <f>HYPERLINK("https://www.linkedin.com/jobs/view/4363759869", "https://www.linkedin.com/jobs/view/4363759869")</f>
        <v/>
      </c>
      <c r="F30" t="inlineStr"/>
      <c r="G30" t="inlineStr">
        <is>
          <t>New York, NY</t>
        </is>
      </c>
      <c r="H30" t="inlineStr"/>
      <c r="I30" t="inlineStr">
        <is>
          <t>**\*\*\*Visa: Sponsorship Not available; USC and Green card holders can apply.** 
 \*\*\*
**Job Title: Sr. Data Engineer**
**Location: NYC**
**Full time Role\-Hybrid**
 We're working with a client who is making legal data more accurate, machine\-readable, and programmatically accessible than anything that exists today.
 We’re looking for a senior software/data engineer who enjoys working at the intersection of data engineering, applied ML, and real\-world reasoning systems.
**What You’ll Work On**
 You’ll help design and improve the systems that structure, enrich, and surface legal data, including:
 Building intelligent data pipelines that automatically annotate legal documents with relationships (e.g., which cases overrule others, which are appeals, remands, or consolidations). Today, much of this work is done manually by expensive human experts — you’ll help automate it.
 Improving core extraction and resolution tools
 Designing and running evaluations, both human\-in\-the\-loop and synthetic, to measure data quality and system performance
**We Expect You To Be**
 A technical generalist with strong backend skills (full\-stack is a plus, but not required)
 A data\-minded engineer, comfortable thinking statistically and working with messy, real\-world datasets
 Comfortable moving between software engineering, data engineering, and applied ML
 Able to own projects end\-to\-end: from design → implementation → testing → deployment
**Skills \&amp; Experience (nice To Have)**
 Strong Python \+ SQL (core stack)
 Experience with JS/TS is a bonus
 Experience working with both big data and small data
 Familiarity with ML/AI, data science, or statistics
 Comfort standing up your own infrastructure; production\-grade DevOps/MLOps is a plus but not required
 Any deep domain expertise (e.g., physics, medicine, radiology, economics, law, etc.) is a bonus</t>
        </is>
      </c>
    </row>
    <row r="31">
      <c r="A31" t="inlineStr">
        <is>
          <t>li-4361294764</t>
        </is>
      </c>
      <c r="B31" t="inlineStr">
        <is>
          <t>Data Engineer I</t>
        </is>
      </c>
      <c r="C31" t="inlineStr">
        <is>
          <t>Cox Automotive Inc.</t>
        </is>
      </c>
      <c r="D31" t="inlineStr">
        <is>
          <t>linkedin</t>
        </is>
      </c>
      <c r="E31">
        <f>HYPERLINK("https://www.linkedin.com/jobs/view/4361294764", "https://www.linkedin.com/jobs/view/4361294764")</f>
        <v/>
      </c>
      <c r="F31" t="inlineStr"/>
      <c r="G31" t="inlineStr">
        <is>
          <t>Austin, TX</t>
        </is>
      </c>
      <c r="H31" t="inlineStr"/>
      <c r="I31" t="inlineStr">
        <is>
          <t>Cox Automotive seeks a Data Engineer to join AI \&amp; Data Delivery Platform organization in Austin, TX
 **.**
**Our Teams**
 Cox Automotive is the market\-leading provider of technology services to the automotive industry. Our engineering organization takes pride in building innovative products that make our customers successful. We are passionate about building great software while having fun doing it. The result is an award\-winning culture where everyone is approachable, ideas are judged on merits, and empowered people drive transformative technology.
**Job Summary**
 Are you passionate about data? Join Cox Automotive as a Data Engineer I! You'll design high\-performance queries, work with diverse data sources, and drive data solutions. Collaborate with data delivery teams to build applications using Python and maintain data pipelines, models, and queries in cloud environments using technologies like Snowflake, NoSQL databases, ETL tools, and AWS services (ECS, Lambdas, SQS, DynamoDB, Step Functions, RDS). Contribute throughout the SDLC, from design to CI/CD operations. Make a significant impact in the automotive industry with your data engineering skills!
**What You'll Do**
 Role Overview:
* Collaborate with Product and Engineering to understand data needs and deliver high\-quality data solutions.
* Develop and manage scalable data pipelines and architectures.
* Engage with your agile delivery team to build a culture of passion, trust, and creativity.
* Learn and leverage the automotive digital marketing domain to change how the world buys, sells, and uses cars.
**Who You Are**
 Required Experience:
* Applicants must currently be authorized to work in the United States for any employer without current or future sponsorship. No OPT, CPT, STEM/OPT or visa sponsorship now or in future.
* Required BA/BS or higher degree in a related discipline with a focus in Data Engineering or Software Engineering
* 1 to 3 years of related professional work experience in Data Engineering
* MUST live within a commutable distance to Cox Automotive's Austin TX office and work in a hybrid\-onsite setting
* Experience with cloud\-based application development, support and DevOps (ideally AWS)
* Object\-oriented design experience, including applied use of design patterns.
* Experience with programming languages such as Python
* Ability to work independently, to design, develop, and deploy solutions, and to deliver projects on time with moderate direction.
* Ability to collaborate with other developers to build the best solution for the customer.
* Database development skills, including using database technologies and logical and physical data modeling.
* Please include links to any side projects you've worked on in your Github profile
**Preferred AI\-Related Skills**
* Exposure to AI/ML workflows and data preparation for model training
* Experience with AI\-assisted development tools (e.g., GitHub Copilot)
* Familiarity with vector databases, LLM integration, or prompt engineering
* Understanding of MLOps practices and cloud\-based AI infrastructure
* Commitment to ethical AI practices and data governance
 USD 73,800\.00 \- 110,800\.00 per year
**Compensation**
 Compensation includes a base salary of $73,800\.00 \- $110,800\.00\.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32">
      <c r="A32" t="inlineStr">
        <is>
          <t>li-4364260592</t>
        </is>
      </c>
      <c r="B32" t="inlineStr">
        <is>
          <t>REMOTE- Junior Data Engineer</t>
        </is>
      </c>
      <c r="C32" t="inlineStr">
        <is>
          <t>Lensa</t>
        </is>
      </c>
      <c r="D32" t="inlineStr">
        <is>
          <t>linkedin</t>
        </is>
      </c>
      <c r="E32">
        <f>HYPERLINK("https://www.linkedin.com/jobs/view/4364260592", "https://www.linkedin.com/jobs/view/4364260592")</f>
        <v/>
      </c>
      <c r="F32">
        <f>HYPERLINK("https://lensa.com/cgw/600c729fea024b8697528d429bf149detjo1?jpsi=directemployers_no_redirect&amp;publisher_preference=easier_apply&amp;utm_campaign=Computer%20Occupations&amp;utm_medium=slot&amp;utm_source=linkedin&amp;utm_term=jse&amp;urlHash=zEi4", "https://lensa.com/cgw/600c729fea024b8697528d429bf149detjo1?jpsi=directemployers_no_redirect&amp;publisher_preference=easier_apply&amp;utm_campaign=Computer%20Occupations&amp;utm_medium=slot&amp;utm_source=linkedin&amp;utm_term=jse&amp;urlHash=zEi4")</f>
        <v/>
      </c>
      <c r="G32" t="inlineStr">
        <is>
          <t>Fort Worth, TX</t>
        </is>
      </c>
      <c r="H32" t="inlineStr"/>
      <c r="I3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33">
      <c r="A33" t="inlineStr">
        <is>
          <t>li-4364019594</t>
        </is>
      </c>
      <c r="B33" t="inlineStr">
        <is>
          <t>Data Engineer II</t>
        </is>
      </c>
      <c r="C33" t="inlineStr">
        <is>
          <t>First Citizens Bank</t>
        </is>
      </c>
      <c r="D33" t="inlineStr">
        <is>
          <t>linkedin</t>
        </is>
      </c>
      <c r="E33">
        <f>HYPERLINK("https://www.linkedin.com/jobs/view/4364019594", "https://www.linkedin.com/jobs/view/4364019594")</f>
        <v/>
      </c>
      <c r="F33">
        <f>HYPERLINK("https://www.wiraa.com/job-description/us9AAFD4D645FB38EB8DB0F0412A42B972?source=Linkedin&amp;urlHash=GRXP", "https://www.wiraa.com/job-description/us9AAFD4D645FB38EB8DB0F0412A42B972?source=Linkedin&amp;urlHash=GRXP")</f>
        <v/>
      </c>
      <c r="G33" t="inlineStr"/>
      <c r="H33" t="inlineStr"/>
      <c r="I33" t="inlineStr">
        <is>
          <t>**About The Company**
 First Citizens Bank is a leading financial institution committed to providing exceptional banking services to its clients. With a focus on innovation, integrity, and customer\-centric solutions, the bank has established a strong reputation in the financial industry. Its enterprise data warehouse supports critical functions such as Regulatory Reporting, Finance, Risk Steering, and Customer 360, enabling data\-driven decision\-making across the organization. The company values its employees and fosters a collaborative environment that encourages professional growth, technological advancement, and operational excellence. As a remote\-first organization, First Citizens Bank offers flexible work arrangements, supporting a diverse and inclusive workforce dedicated to delivering superior financial services.
**About The Role**
 The Data Engineer role at First Citizens Bank is a vital position responsible for building, maintaining, and enhancing the enterprise data platform. This remote opportunity is available for candidates located in North Carolina, Arizona, and Texas. The primary focus is on designing scalable data integration solutions that support the enterprise data warehouse, operational data store, and data marts. The role involves collaborating with cross\-functional teams to develop resilient data pipelines, optimize data processes, and ensure data security, privacy, and governance standards are met. The Data Engineer will serve as a key technical resource, providing support for production systems, resolving issues promptly, and leading initiatives to automate and improve data workflows. This position may also involve overseeing junior analysts and participating in special projects aligned with strategic business objectives.
**Qualifications**
* Bachelor's Degree in Computer Science, Information Technology, Data Science, or related field with at least 2 years of experience in data engineering or database management.
* High School Diploma or GED with a minimum of 6 years of relevant experience in data engineering or related disciplines.
* Proficiency in designing and building data warehouses and data lakes.
* Hands\-on experience with large\-scale data warehousing applications and databases such as Oracle, Netezza, Teradata, and SQL Server.
* Knowledge of cloud\-based data platforms, particularly Snowflake, AWS Redshift, and Google BigQuery.
* Expertise in developing complex data pipelines using industry\-leading ETL and ELT tools such as Informatica, SAP Data Services, Fivetran, AWS Glue, and DBT.
* Strong SQL development skills and experience with scripting languages like Python.
* Understanding of data architecture, data modeling, and performance tuning of data pipelines and database objects.
* Experience with version control systems like GitLab and familiarity with CI/CD processes.
* Preferred: Experience working in the financial industry is a plus.
**Responsibilities**
* Design, build, and maintain a scalable data platform supporting enterprise data integrations across data warehouses, data lakes, and data marts.
* Establish enterprise\-scale data integration procedures, pipelines, and frameworks throughout the data development lifecycle.
* Create data ingestion pipelines using scheduled and trigger\-based patterns, ensuring data security, privacy, and governance compliance.
* Develop performance\-optimized DDLs for relational and columnar databases such as Oracle, Postgres, and Netezza.
* Perform performance tuning of complex data pipelines and SQL queries to ensure efficient data processing.
* Conduct impact analysis of proposed changes on existing architecture, capabilities, and technology solutions.
* Manage deliverables, perform design reviews, and coordinate release activities with development teams.
* Estimate project timelines, identify technical risks, and communicate issues and solutions effectively.
* Drive automation initiatives, optimize processes, and recommend improvements to enhance data flow efficiency.
* Utilize agile methodologies and modern data development technologies to rapidly develop and deploy data products.
* Collaborate with Product Owners during PI planning, requirement clarification, and delivery execution.
* Provide technical support for production incidents, troubleshooting, and failure resolution.
* Work closely with global technology teams across different time zones to ensure timely delivery of business value.
**Benefits**
* Competitive salary packages aligned with industry standards.
* Comprehensive health, dental, and vision insurance plans.
* Retirement savings plans including 401(k) options.
* Paid time off, holidays, and flexible work arrangements.
* Professional development opportunities and continuous learning support.
* Employee assistance programs and wellness initiatives.
* Inclusive and collaborative work culture that values diversity and innovation.
 Equal Opportunity
 First Citizens Bank is an equal opportunity employer. We celebrate diversity and are committed to creating an inclusive environment for all employees. We do not discriminate based on race, color, religion, sex, national origin, age, disability, sexual orientation, gender identity, or any other protected status under applicable law. We encourage all qualified candidates to apply and join our team dedicated to excellence in financial services.</t>
        </is>
      </c>
    </row>
    <row r="34">
      <c r="A34" t="inlineStr">
        <is>
          <t>li-4364290043</t>
        </is>
      </c>
      <c r="B34" t="inlineStr">
        <is>
          <t>Data Engineer</t>
        </is>
      </c>
      <c r="C34" t="inlineStr">
        <is>
          <t>Hyra</t>
        </is>
      </c>
      <c r="D34" t="inlineStr">
        <is>
          <t>linkedin</t>
        </is>
      </c>
      <c r="E34">
        <f>HYPERLINK("https://www.linkedin.com/jobs/view/4364290043", "https://www.linkedin.com/jobs/view/4364290043")</f>
        <v/>
      </c>
      <c r="F34">
        <f>HYPERLINK("https://joinhyra.com/jobs/f4b8a5ae-9f68-4324-aecc-d10012fe1c09?src=linkedin&amp;urlHash=XaR5", "https://joinhyra.com/jobs/f4b8a5ae-9f68-4324-aecc-d10012fe1c09?src=linkedin&amp;urlHash=XaR5")</f>
        <v/>
      </c>
      <c r="G34" t="inlineStr"/>
      <c r="H34" t="inlineStr"/>
      <c r="I34" t="inlineStr">
        <is>
          <t>Data Engineer
 Hyra is working on behalf of Eigen X, LLC to hire for the position of Data Engineer. This role is responsible for managing complex data environments and developing robust data pipelines to support business intelligence initiatives. You will work closely with technical teams to ensure data integrity and optimize information flow across the enterprise.
 What you'll be doing
 • Manage data governance, discovery, lineage, and flow tasks
 • Perform comprehensive unit testing to ensure data accuracy
 • Develop and maintain ETL processes using SSIS
 • Create reporting solutions using Power BI and SSRS
 • Optimize database performance across Oracle, Teradata, and SQL Server
 What we're looking for
 • Master’s degree with 3 years of experience or Bachelor’s degree with 5 years of experience
 • Proficiency with Oracle, Teradata, and SQL Server databases
 • Technical expertise in DAX, Power BI, and SSRS
 • Proven experience with ETL development and SSIS
 • Professional experience working within Windows environments
 What Eigen X, LLC offers
 • Opportunity to work with modern data architecture
 • Collaborative professional work environment
 • Competitive compensation package
 • Exposure to diverse enterprise technology stacks
 Apply via Hyra to be considered for this opportunity.</t>
        </is>
      </c>
    </row>
    <row r="35">
      <c r="A35" t="inlineStr">
        <is>
          <t>li-4363809550</t>
        </is>
      </c>
      <c r="B35" t="inlineStr">
        <is>
          <t>Data Engineer</t>
        </is>
      </c>
      <c r="C35" t="inlineStr">
        <is>
          <t>NerdWallet</t>
        </is>
      </c>
      <c r="D35" t="inlineStr">
        <is>
          <t>linkedin</t>
        </is>
      </c>
      <c r="E35">
        <f>HYPERLINK("https://www.linkedin.com/jobs/view/4363809550", "https://www.linkedin.com/jobs/view/4363809550")</f>
        <v/>
      </c>
      <c r="F35" t="inlineStr"/>
      <c r="G35" t="inlineStr"/>
      <c r="H35" t="inlineStr"/>
      <c r="I35" t="inlineStr">
        <is>
          <t>**About The Company** 
 NerdWallet is dedicated to empowering consumers by providing clarity and transparency in financial decision\-making. With a mission to help individuals make smarter financial choices, NerdWallet has built an inclusive, flexible, and candid culture that encourages growth, innovation, and authenticity. Whether employees work remotely or in\-office, the company prioritizes well\-being, professional development, and impactful work. NerdWallet invests in its team members by offering comprehensive benefits, fostering a supportive environment, and promoting continuous learning. As a leading player in the financial technology space, NerdWallet leverages data\-driven insights to shape better financial products and services, making a meaningful difference in the lives of millions of consumers.
**About The Role** 
 We are seeking an experienced Staff Data Engineer to join our Core Engineering team. In this role, you will be instrumental in designing, developing, and maintaining scalable and reliable data pipelines and systems that serve as the backbone for analytics, product innovation, and strategic decision\-making. You will work closely with cross\-functional teams—including product, engineering, and business stakeholders—to tackle complex data challenges, ensuring our data infrastructure aligns with NerdWallet’s strategic objectives. This position offers a unique opportunity to directly influence business outcomes by shaping data models within specific product verticals, translating technical solutions into real\-world impact. The ideal candidate will possess a blend of technical expertise, leadership ability, and excellent communication skills to foster a culture of innovation, reliability, and continuous improvement within a fast\-paced environment.
**Qualifications** 
* 7\+ years of professional experience in data engineering
* 5\+ years of experience working with AWS, Snowflake, DBT, and Airflow
* Advanced proficiency in Python and SQL
* Strong working knowledge of relational databases and query performance tuning
* Experience with streaming technologies such as Storm, Kafka, Kinesis, and Flume
* Bachelor’s or Master’s degree in Computer Science, Engineering, or a related field (or equivalent professional experience)
* Proven ability to design, build, and operate robust data systems with reliable monitoring and logging practices
* Excellent communication skills, both written and verbal, capable of articulating complex technical concepts to diverse audiences
* Strong analytical and logical thinking skills, with the ability to define problems, gather data, and draw valid conclusions
* Experience leading technical initiatives and providing mentorship to engineering teams
**Responsibilities** 
* Lead the design, development, and maintenance of critical data assets, ensuring accuracy, reliability, and alignment with evolving business priorities
* Drive technical innovation by evaluating emerging technologies and implementing scalable, efficient solutions to enhance data pipeline performance and reliability
* Tackle complex technical challenges related to scalability, security, and performance, providing clear rationale for architectural decisions
* Ensure data pipeline reliability and observability through proactive issue identification, anomaly investigation, and monitoring improvements
* Foster cross\-functional collaboration by maintaining transparent communication, understanding partner needs, and facilitating collaborative problem\-solving
* Take ownership of initiatives that span multiple domains, providing technical leadership to ensure successful delivery
* Prioritize work strategically based on business impact, risk, and organizational goals to deliver measurable outcomes
* Act as a trusted technical advisor, shaping long\-term architecture and influencing best practices within the team
* Mentor engineers and champion modern data engineering practices, including AI and automation solutions, to cultivate a culture of technical excellence
**Benefits** 
* Industry\-leading medical, dental, and vision health care plans for employees and dependents
* Rejuvenation policy including vacation time, 11 holidays, and 4 mental health days annually
* New parent leave for employees welcoming a new child through birth, adoption, or foster care
* Mental health support resources and services
* Paid sabbatical to recharge, learn, and pursue personal interests
* Health and Dependent Care FSA and HSA plans with company contributions
* Monthly stipends for wellness, cell phone, and Wi\-Fi expenses
* Work from home equipment stipend and co\-working space subsidy
* Employee resource groups supporting diversity, inclusion, and community engagement
* Company\-wide events, hackathons, and team\-building activities
* Volunteer time off and company matching donations to charitable causes
* 401(k) plan with company match to support your financial future
* Access to new financial products, tools, and guidance, including unlimited sessions with a Certified Financial Planner
* Disability and life insurance paid for by the employer
 Equal Opportunity
 NerdWallet is committed to fostering an inclusive and diverse workforce. We prohibit discrimination and harassment based on any characteristic protected by applicable federal, state, or local laws. All qualified applicants will receive consideration for employment. We consider qualified applicants with criminal histories in accordance with the California Fair Chance Act, the San Francisco Fair Chance Act, and the Los Angeles Fair Chance Act.</t>
        </is>
      </c>
    </row>
    <row r="36">
      <c r="A36" t="inlineStr">
        <is>
          <t>li-4363809870</t>
        </is>
      </c>
      <c r="B36" t="inlineStr">
        <is>
          <t>Senior Data Engineer</t>
        </is>
      </c>
      <c r="C36" t="inlineStr">
        <is>
          <t>Synectics for Management Decisions, Inc</t>
        </is>
      </c>
      <c r="D36" t="inlineStr">
        <is>
          <t>linkedin</t>
        </is>
      </c>
      <c r="E36">
        <f>HYPERLINK("https://www.linkedin.com/jobs/view/4363809870", "https://www.linkedin.com/jobs/view/4363809870")</f>
        <v/>
      </c>
      <c r="F36" t="inlineStr"/>
      <c r="G36" t="inlineStr">
        <is>
          <t>Washington, DC</t>
        </is>
      </c>
      <c r="H36" t="inlineStr"/>
      <c r="I36" t="inlineStr">
        <is>
          <t>**Help shape a modern, cloud\-native data platform from the ground up.**
 We're building a next\-generation AWS\-based Lakehouse and are looking for a hands\-on
 **Senior Data Engineer** 
 who thrives at the intersection of architecture and execution. In this role, you'll take high\-level designs and turn them into production\-ready ingestion pipelines, Iceberg tables, and data marts that power analytics and downstream data consumers at scale.
 **This project is for a large government agency in the Washington, DC metropolitan area. This position is hybrid and must be available to work onsite as needed. This is a 1 year project.**
 You'll work closely with our Principal Data Architect, playing a critical role in translating architectural vision into reliable, performant systems. If you enjoy solving complex data problems, working with modern open table formats, and building platforms that handle large\-scale, real\-world data, this role is for you.
**What You'll Do**
* Design and build scalable ETL/ELT pipelines from Oracle and other source systems into an AWS Lakehouse.
* Implement row\-level updates using Apache Iceberg MERGE and UPDATE patterns.
* Own the lifecycle of Iceberg tables, including partitioning, schema evolution, compaction, and snapshot management.
* Develop batch and incremental ingestion workflows, including full extracts and CDC\-based pipelines.
* Create and maintain processing and data marts that support editing, imputation, and data dissemination.
* Optimize query and catalog performance across Glue Catalog, Athena, EMR, and Spark.
* Ensure strong data quality, lineage, and governance across the platform.
* Collaborate closely with the Principal Data Architect to operationalize designs and continuously improve the platform.
**What We're Looking For**
* 3–7 years of hands\-on data engineering experience.
* Strong experience building on AWS, including S3, Glue, EMR, Athena, Lambda, and Step Functions.
* Deep, practical experience with Apache Iceberg, including:
+ Partitioning, compaction, and schema evolution
+ Row\-level operations (MERGE INTO, updates, deletes)
+ Snapshot and table version management
* Advanced SQL skills and strong experience with Spark (PySpark or Scala).
* Must be AWS Certified.
* Proven ability to build and operate pipelines for large\-scale (multi\-TB) datasets.
* Solid understanding of batch, incremental, and CDC ingestion patterns.
* Experience implementing data quality checks and governance best practices.
* Solid communication skills. Able to work well with teams as well as independently.
**Nice to Have**
* Experience migrating from Oracle or other RDBMS platforms to cloud\-native data architectures.
* Exposure to other Lakehouse formats such as Delta Lake or Apache Hudi.
* Familiarity with AI/ML\-assisted data cleaning or imputation techniques.
* Experience working with government systems and architectures.
**Why This Role?**
* Build a modern Lakehouse platform using today's best\-in\-class open technologies.
* Work closely with senior technical leadership and have real influence on design and implementation.
* Solve meaningful data engineering challenges at scale.
* Opportunity to grow as a technical leader while remaining deeply hands\-on.
**Synectics is an Equal Opportunity Employer.**</t>
        </is>
      </c>
    </row>
    <row r="37">
      <c r="A37" t="inlineStr">
        <is>
          <t>li-4364009606</t>
        </is>
      </c>
      <c r="B37" t="inlineStr">
        <is>
          <t>Data Engineer II</t>
        </is>
      </c>
      <c r="C37" t="inlineStr">
        <is>
          <t>Centene Corporation</t>
        </is>
      </c>
      <c r="D37" t="inlineStr">
        <is>
          <t>linkedin</t>
        </is>
      </c>
      <c r="E37">
        <f>HYPERLINK("https://www.linkedin.com/jobs/view/4364009606", "https://www.linkedin.com/jobs/view/4364009606")</f>
        <v/>
      </c>
      <c r="F37" t="inlineStr"/>
      <c r="G37" t="inlineStr"/>
      <c r="H37" t="inlineStr"/>
      <c r="I37" t="inlineStr">
        <is>
          <t>**About The Company** 
 Centene Corporation is a diversified, national healthcare enterprise committed to transforming the health of our communities. Serving over 28 million members nationwide, the organization leverages innovative technology solutions to improve health outcomes and deliver high\-quality care. With a focus on inclusivity and diversity, Centene offers a dynamic work environment where professionals can grow and contribute meaningfully to the healthcare industry. The company provides competitive benefits, flexible work arrangements, and a culture that values continuous learning and collaboration.
**About The Role** 
 We are seeking a skilled Data Engineer to join our team and play a pivotal role in managing and optimizing our data infrastructure. In this position, you will be responsible for designing, developing, and maintaining large\-scale, high\-performance data structures and pipelines that support business intelligence and analytics initiatives. Your expertise will ensure the integrity, quality, and efficiency of data as it moves across various environments, enabling the organization to make data\-driven decisions. You will collaborate with cross\-functional teams to understand evolving data needs and implement automated solutions that enhance data reliability and accessibility.
**Qualifications** 
* Bachelor’s degree in a quantitative or business field such as statistics, mathematics, engineering, or computer science.
* 2 to 4 years of relevant experience in data management, engineering, or related fields.
* Proficiency in SQL and/or PL\-SQL, with experience in Teradata or Snowflake preferred.
* Experience developing data pipelines in Snowflake or similar cloud data platforms.
* Knowledge of programming languages such as Python or equivalent.
* Understanding of automated deployment processes, including CI/CD pipelines using tools like GitLab.
* Familiarity with project management tools such as JIRA.
* Experience diagnosing system issues, performing data validation, and conducting quality assurance testing.
* Knowledge of data visualization tools is a plus.
**Responsibilities** 
* Design and implement standardized data management procedures, including data staging, ingestion, preparation, provisioning, and destruction.
* Develop, test, and operate large\-scale data structures to support business intelligence analytics.
* Create and maintain scheduled processes for automated data refreshes on daily, weekly, and monthly cycles.
* Ensure the quality and integrity of data as it moves across different environments.
* Provide insights into data environment changes, processing, storage, and utilization requirements, and recommend appropriate solutions.
* Construct, test, and maintain data architectures using programming languages and modern tools.
* Identify opportunities to improve data reliability, efficiency, and automation processes.
* Collaborate with teams to troubleshoot system issues, validate data, and perform quality assurance testing.
* Adhere to all organizational policies and standards related to data security and management.
* Participate in other duties and projects as assigned by management.
**Benefits** 
* Competitive salary range of $63,600 to $114,600 per year.
* Comprehensive health insurance plans.
* 401(k) retirement savings plan with company match.
* Stock purchase plans.
* Tuition reimbursement for continued education.
* Paid time off, holidays, and flexible work schedules.
* Remote, hybrid, field, or office work options to promote work\-life balance.
* Opportunities for professional growth and development within a diverse environment.
 Equal Opportunity
 Centene is an equal opportunity employer committed to fostering an inclusive environment. We value diversity and are dedicated to providing equal employment opportunities regardless of race, color, religion, sex, sexual orientation, gender identity, national origin, disability, veteran status, or any other characteristic protected by law.</t>
        </is>
      </c>
    </row>
    <row r="38">
      <c r="A38" t="inlineStr">
        <is>
          <t>li-4360840098</t>
        </is>
      </c>
      <c r="B38" t="inlineStr">
        <is>
          <t>GTM Data Engineer</t>
        </is>
      </c>
      <c r="C38" t="inlineStr">
        <is>
          <t>PartsSource Inc.</t>
        </is>
      </c>
      <c r="D38" t="inlineStr">
        <is>
          <t>linkedin</t>
        </is>
      </c>
      <c r="E38">
        <f>HYPERLINK("https://www.linkedin.com/jobs/view/4360840098", "https://www.linkedin.com/jobs/view/4360840098")</f>
        <v/>
      </c>
      <c r="F38">
        <f>HYPERLINK("https://corporate.partssource.com/careers/current-openings/?gh_jid=5027841007&amp;urlHash=KBGQ", "https://corporate.partssource.com/careers/current-openings/?gh_jid=5027841007&amp;urlHash=KBGQ")</f>
        <v/>
      </c>
      <c r="G38" t="inlineStr">
        <is>
          <t>Hoffman Estates, IL</t>
        </is>
      </c>
      <c r="H38" t="inlineStr"/>
      <c r="I38" t="inlineStr">
        <is>
          <t>PartsSource is the
 **leading technology and software platform for managing mission\-critical healthcare equipment** 
 . Trusted by over 5,000 US hospitals and 15,000 clinical sites, PartsSource empowers providers and service organizations to maximize clinical availability for patient care and automates the procurement of parts, services and training through a unique digital experience.
 PartsSource team members are deeply committed to our mission of
 **Ensuring Healthcare is Always On®** 
 , which is foundational to our success and growth. Our vibrant culture is built upon aligned values, shared ownership, mutual respect, and a passion for collaborating to solve complex customer problems.
**About The Job Opportunity**
 The
 **GTM Data Engineer** 
 is responsible for building and maintaining a single, trusted customer and revenue data foundation across Marketing, Sales, and Customer Success. This role partners closely with Revenue Operations to ensure all GTM teams operate from a consistent source of truth for pipeline, revenue, retention, and growth. You will own how GTM data is structured, enriched, validated, and made available—eliminating data ambiguity and enabling confident, data\-driven decision making.
 What You’ll Do
 GTM Data Modeling \&amp; Governance
*(Technology – Data Engineering: Data Modeling \&amp; Architecture, Data Quality \&amp; Governance)*
* Design and maintain the canonical customer, account, and revenue data model across GTM systems
* Resolve identity across contacts, accounts, users, assets, services, and subscriptions
* Define authoritative objects and metrics for pipeline, bookings, renewals, expansion, and churn
* Ensure historical accuracy, data lineage, and consistent metric definitions
 Data Enrichment, Integration \&amp; Pipelines
*(Technology – Data Engineering: ETL \&amp; Data Integration, Data Pipeline Development)*
* Build and manage data pipelines across CRM, marketing automation, services, and financial systems
* Identify data gaps and implement enrichment strategies to improve completeness and usability
* Merge datasets into unified customer and account views with clear conflict\-resolution rules
* Own schema changes, backfills, reprocessing, and validation as systems evolve
 Attribution, Revenue Logic \&amp; Reporting Enablement
*(Sales Revenue Operations: Performance Metrics \&amp; Reporting, Sales Analytics)*
* Implement approved attribution and revenue logic consistently across channels and time periods
* Validate sourced, influenced, and assisted revenue before executive reporting
* Enable trusted funnel, pipeline, retention, and expansion reporting within systems of record
* Reduce reliance on spreadsheets and manual reconciliation
 GTM Architecture, CDP \&amp; AI Readiness
*(Technology – Systems \&amp; Applications: Systems Integration, Systems Thinking)*
* Support a warehouse\-centric or composable CDP approach for GTM data
* Partner with GTM leadership to evolve long\-term data architecture
* Prepare high\-quality, LLM\-ready datasets for AI\-enabled GTM workflows
* Ensure access controls, privacy, and compliance requirements are met
 What You’ll Bring
**Your Background**
* 5\+ years in data engineering, analytics engineering, or GTM data roles
* Strong experience with CRM and GTM data models
* Advanced SQL skills and experience with modern data stacks and ETL tools
* Experience supporting attribution, lifecycle, and revenue reporting
* Familiarity with Customer Data Platforms or warehouse\-centric CDP approaches
* Ability to work cross\-functionally with Marketing, Sales, Customer Success, Finance, and RevOps
 Who We Want to Meet
* Act Like an Owner – Accountability \&amp; Execution: You take full ownership of GTM data quality and follow through to reliable outcomes.
* Serve with Purpose – Business Impact: You connect data architecture decisions to revenue visibility and GTM effectiveness.
* Adapt to Thrive – Managing Ambiguity: You remain productive amid evolving systems, definitions, and priorities.
* Collaborate to Win – Influence \&amp; Communication: You partner effectively with RevOps and GTM teams to align on shared metrics.
* Challenge the Status Quo – Data\-Informed Decision Making: You use evidence and clarity to replace assumptions and debates.
**Benefits \&amp; Perks** 
* Competitive compensation package with salary, incentives, company ownership/equity, and comprehensive benefits (401k match, health, college debt reduction, and more!)
* Career and professional development through training, coaching and new experiences.
* Hybrid culture with new \&amp; beautiful workspaces that balance flexibility, collaboration, and productivity.
* Inclusive and diverse community of passionate professionals learning and growing together.
**Interested?** 
 We’d love to hear from you! Submit your resume and an optional cover letter explaining why you’d be a great fit.
**About PartsSource**
 Since 2001, PartsSource has evolved into the leading technology and software platform for managing mission\-critical equipment, serving over half of the U.S. hospital infrastructure. Our digital systems modernize and automate the procurement of parts, services, technical support, and training for HTM professionals to efficiently and effectively maintain their mission\-critical equipment. PartsSource employs over 700 employees nationwide that committed to supporting healthcare providers and ensuring healthcare always on.
 In 2021, Bain Capital invested in the business, further accelerating our growth and positive impact within the healthcare industry.
**Read More About Us Here**
* PartsSource Named to Newsweek’s List of the Top 200 America’s Most Loved Workplaces for 2024
* PartsSource® Named Among the Top 50 Healthcare Technology Companies of 2025
* PartsSource® Named Among the Top 25 Healthcare Software Companies of 2025
* PartsSource President and CEO Philip Settimi Named to Top 50 Healthcare Technology CEO List 2025
* WSJ: Bain Capital Private Equity Scoops Up PartsSource
**EEO**
 PartsSource, Inc., and its affiliates and subsidiaries,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Legal authorization to work in the U.S. is required.</t>
        </is>
      </c>
    </row>
    <row r="39">
      <c r="A39" t="inlineStr">
        <is>
          <t>li-4364290475</t>
        </is>
      </c>
      <c r="B39" t="inlineStr">
        <is>
          <t>AI/Machine Learning Data Engineer</t>
        </is>
      </c>
      <c r="C39" t="inlineStr">
        <is>
          <t>Lensa</t>
        </is>
      </c>
      <c r="D39" t="inlineStr">
        <is>
          <t>linkedin</t>
        </is>
      </c>
      <c r="E39">
        <f>HYPERLINK("https://www.linkedin.com/jobs/view/4364290475", "https://www.linkedin.com/jobs/view/4364290475")</f>
        <v/>
      </c>
      <c r="F39">
        <f>HYPERLINK("https://lensa.com/cgw/7a3c3b094d654e82a5446d6a2f805735tjo1?jpsi=directemployers_no_redirect&amp;publisher_preference=easier_apply&amp;utm_campaign=Computer%20Occupations&amp;utm_medium=slot&amp;utm_source=linkedin&amp;utm_term=jse&amp;urlHash=ME8R", "https://lensa.com/cgw/7a3c3b094d654e82a5446d6a2f805735tjo1?jpsi=directemployers_no_redirect&amp;publisher_preference=easier_apply&amp;utm_campaign=Computer%20Occupations&amp;utm_medium=slot&amp;utm_source=linkedin&amp;utm_term=jse&amp;urlHash=ME8R")</f>
        <v/>
      </c>
      <c r="G39" t="inlineStr">
        <is>
          <t>Lewisville, TX</t>
        </is>
      </c>
      <c r="H39" t="inlineStr"/>
      <c r="I3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Acosta Group. Clicking "Apply Now" or "Read more" on Lensa redirects you to the job board/employer site. Any information collected there is subject to their terms and privacy notice.
**Description**
 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**Responsibilities**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**Qualifications**
 Applicants must be
 **legally authorized to work in the United States and/or Canada** 
 without the current or future need for
 **employer\-sponsored work authorization** 
 .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**About Us**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
 Acosta, and its subsidiaries, is an Equal Opportunity Employer
**Job Category:** 
 Administration
**Position Type:** 
 Full time
**Business Unit:** 
 Corporate
**Salary Range:** 
 $85,800\.00 \- $110,000\.00
**Company:** 
 Acosta Services, Inc
**Req ID:** 
 16263
**Employer Description:** 
 ACOSTA\_GRP\_EMP\_DESC
 If you have questions about this posting, please contact support@lensa.com</t>
        </is>
      </c>
    </row>
    <row r="40">
      <c r="A40" t="inlineStr">
        <is>
          <t>li-4363869999</t>
        </is>
      </c>
      <c r="B40" t="inlineStr">
        <is>
          <t>Data Engineer SME</t>
        </is>
      </c>
      <c r="C40" t="inlineStr">
        <is>
          <t>Fusion Technology LLC</t>
        </is>
      </c>
      <c r="D40" t="inlineStr">
        <is>
          <t>linkedin</t>
        </is>
      </c>
      <c r="E40">
        <f>HYPERLINK("https://www.linkedin.com/jobs/view/4363869999", "https://www.linkedin.com/jobs/view/4363869999")</f>
        <v/>
      </c>
      <c r="F40" t="inlineStr"/>
      <c r="G40" t="inlineStr">
        <is>
          <t>Chantilly, VA</t>
        </is>
      </c>
      <c r="H40" t="inlineStr"/>
      <c r="I40" t="inlineStr">
        <is>
          <t>**Who is Fusion Technology?**
 Fusion Technology is a performance\-driven HUBZone Small Business concern residing in the heart of the beautiful mountainsides of West Virginia, steps away from the Federal Bureau of Investigation's Criminal Justice Information Services Division's Headquarters. Founded in 2007 by an Engineer\-by\-trade, Fusion Technology dedicates our valuable resources to providing comprehensive IT services and solutions to mission\-critical US Government programs and the Intel Community.
**Position Location:** 
 Chantilly, VA
**Who are you?**
**Security\-cleared Professional:** 
 You have made it through the process of receiving a United States government security clearance \- congratulations! We know you are a trustworthy intel professional because you have a Top Secret Clearance with SCI Eligibility (TS/SCI). May be asked to undergo polygraph.
**Education and Experience:** 
 You have a Bachelor's Degree in Computer Science, Software Engineering, or related field with 10\+ years of experience in systems engineering or a related field. Additionally, requirements include:
* Python for data processing, automation and ETL workflow orchestration
* SQL (MySQL, PostgreSQL, Microsoft SQL) and query optimization
* Elasticsearch and Apache Solr (design, scaling, query optimization, cluster management)
* Data pipeline technologies (Apache Kafka, Apache Nifi, Cribl)
* Log analytics and observability platforms, particularly Splunk
* Containerization and orchestration technologies (Docker, Kubernetes)
* Cloud platforms (AWS GovCloud, SC2S, C2S)
* Infrastructure as Code (Terraform)
* GraphQL: schema design, API development, query optimization, and integrations
* DevSecOps practices and tools
* RabbitMQ and Redis
* Angular, React, or other modern frontend frameworks
* SAFe Agile methodologies
**What You'll Be Doing**
 As a Senior Data Engineer, you will be responsible for carrying out engineering tasks to deliver advanced analytic applications. You will develop data analytics for desktop and web\-developed analytic software, facilitate the bulk analysis of relational information, and establish applications that produce manageable, actionable intelligence from streams of structured and semi\-structured data across multi\-enclave environments.
**Key Responsibilities**
* Design and implement data pipelines and ETL processes to support the cyber investigative capabilities
* Develop and maintain data analytics solutions for desktop and web\-based visual analytic applications
* Establish applications that produce manageable, actionable intelligence from streams of structured, semi\-structured, and data
* Design strategies for enterprise database systems and set standards for operations, programming, and security
* Construct and optimize large relational databases across multi\-enclave environments (Unclassified, Secret, and Top Secret)
* Tune performance of large\-scale data workflows, ensuring cost efficiency, low latency, and high availability
* Design and manage Elasticsearch/Apache Solr clusters for fast search, indexing, and retrieval of large\-scale datasets
* Integrate new systems with existing warehouse structures and refine system performance and functionality
* Implement CI/CD pipelines for data systems, automate monitoring/alerting, and enforce infrastructure\-as\-code practices
* Provide technical leadership and mentorship to other team members
* Participate in Program Increments (PIs) and Agile Release Train (ART) activities
**What Matters To You Matters To Us.**
 Fusion Technology values its employees and works hard to ensure proper care for them and their families. We desire to compensate employees in a competitive, motivational, fair, and equitable way with other employers in the marketplace. Salary is only one component of employee compensation but an integral part of recruiting and retaining qualified employees. However, at Fusion Technology, we take a comprehensive approach and consider each employee's needs to tailor a compensation plan that provides financial security and peace of mind. Our competitive package includes a best\-in\-class matching 401K program, a comprehensive healthcare plan through Cigna, a competitive employer contribution to a health savings account, vision and dental plans, life insurance, short\- and long\-term disability, and personal leave, in addition to paid certifications and training.
*Fusion Technology LLC is an Equal Opportunity Employer. We respect and seek to empower each individual and support the diverse cultures, perspectives, skills, and experiences within our workforce.*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t>
        </is>
      </c>
    </row>
    <row r="41">
      <c r="A41" t="inlineStr">
        <is>
          <t>li-4364300323</t>
        </is>
      </c>
      <c r="B41" t="inlineStr">
        <is>
          <t>Data Engineer - Databricks (Remote)</t>
        </is>
      </c>
      <c r="C41" t="inlineStr">
        <is>
          <t>Lumenalta</t>
        </is>
      </c>
      <c r="D41" t="inlineStr">
        <is>
          <t>linkedin</t>
        </is>
      </c>
      <c r="E41">
        <f>HYPERLINK("https://www.linkedin.com/jobs/view/4364300323", "https://www.linkedin.com/jobs/view/4364300323")</f>
        <v/>
      </c>
      <c r="F41" t="inlineStr"/>
      <c r="G41" t="inlineStr">
        <is>
          <t>Raleigh, NC</t>
        </is>
      </c>
      <c r="H41" t="inlineStr"/>
      <c r="I41" t="inlineStr">
        <is>
          <t>**About the Role** 
 We work with global enterprises to design and build data platforms that power digital products used by millions of users. Our projects involve large\-scale datasets, complex distributed pipelines, and real business impact.
 We’re looking for a
 **Senior Data Engineer** 
 to join our remote team and take ownership of building and scaling data solutions using
 **Databricks on AWS** 
 . This is a hands\-on senior IC role with strong influence on architecture and implementation.
**What You'll Do** 
* Design, build, and maintain
 **scalable ETL / ELT pipelines** 
 using
 **Databricks, PySpark, and AWS**
* Work with
 **large, complex datasets** 
 in production environments
* Write clean, efficient, and maintainable
 **Python and advanced SQL**
* Build pipelines
 **from scratch** 
 , not just maintain existing ones
* Ensure data quality, performance, reliability, and cost efficiency
* Collaborate closely with product, analytics, and engineering teams to translate business needs into technical solutions
* Contribute to architectural decisions and data engineering best practices
**What We’re Looking For** 
* **7\+ years** 
 of experience as a
 **Data Engineer**
* Strong, hands\-on experience with:
 **Python, SQL (advanced), PySpark, Databricks (production experience required) and AWS**
* Proven experience designing and building
 **end\-to\-end data pipelines**
* Solid understanding of
 **distributed data processing** 
 and data modeling
* Strong communication skills
* **Fluent English** 
 , both written and spoken
**Salary** 
 Salary range: $60,000 \- $110,000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42">
      <c r="A42" t="inlineStr">
        <is>
          <t>li-4364270408</t>
        </is>
      </c>
      <c r="B42" t="inlineStr">
        <is>
          <t>Data Engineer - Databricks (Remote)</t>
        </is>
      </c>
      <c r="C42" t="inlineStr">
        <is>
          <t>Lumenalta</t>
        </is>
      </c>
      <c r="D42" t="inlineStr">
        <is>
          <t>linkedin</t>
        </is>
      </c>
      <c r="E42">
        <f>HYPERLINK("https://www.linkedin.com/jobs/view/4364270408", "https://www.linkedin.com/jobs/view/4364270408")</f>
        <v/>
      </c>
      <c r="F42" t="inlineStr"/>
      <c r="G42" t="inlineStr"/>
      <c r="H42" t="inlineStr"/>
      <c r="I42" t="inlineStr">
        <is>
          <t>**About the Role** 
 We work with global enterprises to design and build data platforms that power digital products used by millions of users. Our projects involve large\-scale datasets, complex distributed pipelines, and real business impact.
 We’re looking for a
 **Senior Data Engineer** 
 to join our remote team and take ownership of building and scaling data solutions using
 **Databricks on AWS** 
 . This is a hands\-on senior IC role with strong influence on architecture and implementation.
**What You'll Do** 
* Design, build, and maintain
 **scalable ETL / ELT pipelines** 
 using
 **Databricks, PySpark, and AWS**
* Work with
 **large, complex datasets** 
 in production environments
* Write clean, efficient, and maintainable
 **Python and advanced SQL**
* Build pipelines
 **from scratch** 
 , not just maintain existing ones
* Ensure data quality, performance, reliability, and cost efficiency
* Collaborate closely with product, analytics, and engineering teams to translate business needs into technical solutions
* Contribute to architectural decisions and data engineering best practices
**What We’re Looking For** 
* **7\+ years** 
 of experience as a
 **Data Engineer**
* Strong, hands\-on experience with:
 **Python, SQL (advanced), PySpark, Databricks (production experience required) and AWS**
* Proven experience designing and building
 **end\-to\-end data pipelines**
* Solid understanding of
 **distributed data processing** 
 and data modeling
* Strong communication skills
* **Fluent English** 
 , both written and spoken
**Salary** 
 Salary range: $60,000 \- $110,000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43">
      <c r="A43" t="inlineStr">
        <is>
          <t>li-4360890188</t>
        </is>
      </c>
      <c r="B43" t="inlineStr">
        <is>
          <t>Azure Data Engineer</t>
        </is>
      </c>
      <c r="C43" t="inlineStr">
        <is>
          <t>LogicsT Technologies</t>
        </is>
      </c>
      <c r="D43" t="inlineStr">
        <is>
          <t>linkedin</t>
        </is>
      </c>
      <c r="E43">
        <f>HYPERLINK("https://www.linkedin.com/jobs/view/4360890188", "https://www.linkedin.com/jobs/view/4360890188")</f>
        <v/>
      </c>
      <c r="F43" t="inlineStr"/>
      <c r="G43" t="inlineStr">
        <is>
          <t>Bellevue, WA</t>
        </is>
      </c>
      <c r="H43" t="inlineStr"/>
      <c r="I43" t="inlineStr">
        <is>
          <t>**Job Description** 
 We are seeking a skilled Azure Data Engineer to design, build, and manage scalable data platforms on Azure. The role focuses on unified analytics, data integration, transformation, security, and performance optimization while collaborating closely with business and analytics stakeholders.
**Required Technical / Functional Skills** 
* Strong hands\-on experience with Azure Synapse Analytics and Microsoft Fabric
* Proficiency in SQL Server and SQL development
* Experience with Python for data processing and automation
* Hands\-on experience with Azure Data Factory (ADF) for data integration and orchestration
* Experience with Azure Storage (ADLS Gen2, Blob Storage)
* Working knowledge of Power BI for data consumption and analytics
* Strong understanding of data warehousing and analytics architectures
**Roles \&amp; Responsibilities** 
* Design and implement a Unified Analytics Platform using Azure Synapse and Microsoft Fabric
* Build and maintain data loading pipelines and scalable data architectures
* Perform data preparation, transformation, and enrichment to support analytics and reporting
* Develop and manage data integration and orchestration workflows using ADF
* Create and optimize data models for reporting and analytics
* Implement security, governance, and compliance standards across data platforms
* Optimize performance of data pipelines, queries, and storage
* Ensure data reliability, monitoring, and operational stability
* Collaborate with business users and stakeholders to understand requirements and deliver solutions
* Support Power BI reporting and analytics use cases</t>
        </is>
      </c>
    </row>
    <row r="44">
      <c r="A44" t="inlineStr">
        <is>
          <t>li-4360282435</t>
        </is>
      </c>
      <c r="B44" t="inlineStr">
        <is>
          <t>Data Engineer - Databricks - Remote</t>
        </is>
      </c>
      <c r="C44" t="inlineStr">
        <is>
          <t>Jobs via Dice</t>
        </is>
      </c>
      <c r="D44" t="inlineStr">
        <is>
          <t>linkedin</t>
        </is>
      </c>
      <c r="E44">
        <f>HYPERLINK("https://www.linkedin.com/jobs/view/4360282435", "https://www.linkedin.com/jobs/view/4360282435")</f>
        <v/>
      </c>
      <c r="F44">
        <f>HYPERLINK("https://click.appcast.io/t/khnmVw4brWZKvkqvj6HjOCGmu1KdoaInSzLte_6vn4I=&amp;urlHash=lwx1", "https://click.appcast.io/t/khnmVw4brWZKvkqvj6HjOCGmu1KdoaInSzLte_6vn4I=&amp;urlHash=lwx1")</f>
        <v/>
      </c>
      <c r="G44" t="inlineStr"/>
      <c r="H44" t="inlineStr"/>
      <c r="I44" t="inlineStr">
        <is>
          <t>Dice is the leading career destination for tech experts at every stage of their careers. Our client, Contract Staffing Recruiters, is seeking the following. Apply via Dice today!
 More roles for our client on CareersInConnecticut.com
 Contact for more info
 Mike Toohey
 Databricks experience is a must. Looking for a leader that loves Databricks and can work on fast moving team.
* Design and develop ETL Processes that will transform a variety of raw data, flat files, xl spreadsheets into SQL Databases
* Understands the concept of Data marts and Data lakes and experience with migrating legacy systems to data marts/lake
* Uses additional cloud technologies (e.g., understands concept of Cloud services like Azure SQL server)
* Maintain comprehensive project documentation
* Aptitude to learn new technologies and the ability to perform continuous research, analysis, and process improvement.
* Strong interpersonal and communication skills to be able to work in a team environment to include customer and contractor technical, end users, and management team members.
* Manage multiple projects, responsibilities and competing priorities.
**Experience Needed:**
* Programming languages, frameworks, and file formats such as: Python, SQL, PLSQL, and VB
* Database platforms such as: Oracle, SQL Server, MySQL
* Big data concepts and technologies such as Synapse \&amp; Databricks</t>
        </is>
      </c>
    </row>
    <row r="45">
      <c r="A45" t="inlineStr">
        <is>
          <t>li-4360410313</t>
        </is>
      </c>
      <c r="B45" t="inlineStr">
        <is>
          <t>Data Engineer III - Generative AI, Graph modelling</t>
        </is>
      </c>
      <c r="C45" t="inlineStr">
        <is>
          <t>hackajob</t>
        </is>
      </c>
      <c r="D45" t="inlineStr">
        <is>
          <t>linkedin</t>
        </is>
      </c>
      <c r="E45">
        <f>HYPERLINK("https://www.linkedin.com/jobs/view/4360410313", "https://www.linkedin.com/jobs/view/4360410313")</f>
        <v/>
      </c>
      <c r="F45" t="inlineStr"/>
      <c r="G45" t="inlineStr">
        <is>
          <t>Tampa, FL</t>
        </is>
      </c>
      <c r="H45" t="inlineStr"/>
      <c r="I45" t="inlineStr">
        <is>
          <t>***hackajob** 
 is collaborating with
 **J.P. Morgan** 
 to connect them with exceptional tech professionals for this role.*
* Base Pay/Salary: Tampa, FL; Jersey City, NJ $118,750\.00\-$160,000\.00
**Job Description**
 We have an exciting and rewarding opportunity for you to take your software engineering career to the next level.
 As a Data Engineer III at JPMorgan Chase within the Technology and Data Management team, you will have an exciting and rewarding opportunity to take your software engineering career to the next level. You will be part of a dynamic team, applying your expertise in ontologies and generative AI to design and implement complex AI\-promote solutions. This role offers the chance to collaborate with cross\-functional teams, conduct research on the latest advancements, and provide technical leadership and mentorship, all while contributing to the organization's knowledge management initiatives.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Develop and maintain ontologies to support the organization's knowledge management initiatives.
* Design and implement scalable knowledge bases using knowledge graph technologies.
* Apply generative AI techniques to enhance the organization's data processing and information retrieval capabilities.
* Collaborate with cross\-functional teams to integrate AI\-driven solutions into existing systems and workflows.
* Conduct research and stay updated on the latest advancements in ontologies, knowledge graphs, and generative AI.
* Provide technical leadership and mentorship to junior team members in the areas of ontologies and AI.
* Evaluate and select appropriate tools and technologies for building and maintaining knowledge graphs.
* Ensure the quality, accuracy, and consistency of the knowledge base and its associated ontologies.
**Required Qualifications, Capabilities, And Skills**
* Formal training or certification on ontologies concepts and 3\+ years applied experience
* Expertise in generative AI techniques and their application in real\-world scenarios.
* Strong programming skills in languages such as Python, Java, or similar.
* Familiarity with tools and frameworks like RDF, OWL, SPARQL, and graph databases(Neo4j, Tiger Grpah etc)
* Excellent problem\-solving skills and the ability to work independently and collaboratively.
* Strong communication skills to effectively convey complex technical concepts to non\-technical stakeholders.
**Preferred Qualifications, Capabilities And Skills**
* Experience with machine learning frameworks and libraries.
* Knowledge of natural language processing (NLP) and its integration with knowledge graphs.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6">
      <c r="A46" t="inlineStr">
        <is>
          <t>li-4364380335</t>
        </is>
      </c>
      <c r="B46" t="inlineStr">
        <is>
          <t>IT Director, Data Engineering</t>
        </is>
      </c>
      <c r="C46" t="inlineStr">
        <is>
          <t>Lensa</t>
        </is>
      </c>
      <c r="D46" t="inlineStr">
        <is>
          <t>linkedin</t>
        </is>
      </c>
      <c r="E46">
        <f>HYPERLINK("https://www.linkedin.com/jobs/view/4364380335", "https://www.linkedin.com/jobs/view/4364380335")</f>
        <v/>
      </c>
      <c r="F46" t="inlineStr"/>
      <c r="G46" t="inlineStr">
        <is>
          <t>Charlotte, NC</t>
        </is>
      </c>
      <c r="H46" t="inlineStr"/>
      <c r="I4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EverBank. Clicking "Apply Now" or "Read more" on Lensa redirects you to the job board/employer site. Any information collected there is subject to their terms and privacy notice.
**IT Director, Data Engineering**
 The IT Director, Data Engineering directs all processes, operations and teams within the Information Technology department. This job determines the Information Technology needs of an organization and is responsible for overseeing the implementation of solutions to fulfill the organization's information systems requirements.
**Key Responsibilities And Duties**
* Directs the team in successful delivery of Information Technology services for the organization's hardware, software and network technologies.
* Manages Information Technology teams and systems to ensure that the area's technological level up to date by overseeing the implementation of new procedures and techniques related to Information Technology.
* Oversees the selection of hardware, software and supplies needed by the team.
* Develops IT team project plans, including resourcing, schedules and budgets.
* Serves as point of accountability to business stakeholders for IT solutions/services that measurably improve business KPIs.
* Serves as a liaison and builds bridges among leadership groups within and outside of the IT field.
* Manages performance of team through regular, timely feedback as well as the formal performance review process to ensure delivery of exceptional products and engagement, motivation, and development of team.
**Minimum Qualifications**
* 5 years of experience in Data Engineering
* Prior experience managing and leading technology teams
**Preferred Qualifications**
* Automated monitoring and alerting for data issues like freshness, volume, and schema; Python experience with system engineering
* Experience with establishing processes to detect, resolve, and prevent data failures throughout the data lifecycle
* Enterprise Data warehousing experience
* Kimball, Inmon, Medallion architecture
* Cloud architecture experience \- Azure, AWS, GCP, etc.
* Knowledge of designing and architecting structured, unstructured, semi\-structured data
* Data Products and Data mesh experience is preferred
* Experience with On\-Prem data warehouses and data systems
* Understanding of latest Gen AI advancement and it use with Data Reliability Engineering
* Understanding of AI and ML process to work with data scientist
**Educational Requirements**
* University (Degree) Preferred
**Physical Requirements**
* Physical Requirements: Sedentary Work
**Career Level**
 9PL
 Posting end date: 1/16/26
**Job Seeker Notice**
 EverBank, N.A. is a nationwide specialty bank providing high\-value products and services to consumer and commercial clients nationwide. As a pioneer in online banking, we offer convenient digital access for clients 24/7, in addition to phone banking services and a network of financial centers.
 The Company's commitment is to deliver to our clients high\-performing, high\-yield solutions backed by exceptional service, always giving them the advantage they expect, to make the most of their money.
 VEVRAA Federal Contractor
 Member FDIC
 Notice to Job Seekers (https://everbank.com/about/careers/notice\-to\-job\-seekers)
**Pay Range** 
 $150,000 \- $202,900
 EverBank, N.A. is an equal opportunity (EEO) employer, dedicated to maintaining a work environment free of bias, harassment, discrimination and retaliation. As an EEO employer, EverBank expressly prohibits discrimination, harassment and retaliation based on protected characteristics such as race, creed, ethnicity, color, age, religion, sex, sex stereotype, pregnancy, sexual orientation, gender, gender identity, gender expression, transgender status, marital status, national origin, ancestry, physical or mental disability, genetic history and information, or military or veteran status. Providing a safe, inclusive environment is a priority at EverBank and, consistent with that mission, EverBank considers all qualified applicants for employment regardless of protected status.
 We will not discharge or in any other manner discriminate against associates or applicants because they have inquired about, discussed, or disclosed their own pay or the pay of another associate or applicant. However, associates who have access to the compensation information of other associates or applicants as a part of their essential job functions cannot disclose the pay of other associates or applicants to individuals who do not otherwise have access to compensation information, unless the disclosure is (a) in response to a formal complaint or charge, (b) in furtherance of an investigation, proceeding, hearing, or action, including an investigation conducted by us, or (c) consistent with our legal duty to furnish information.
 If you have questions about this posting, please contact support@lensa.com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2026-01-19T01:31:34Z</dcterms:created>
  <dcterms:modified xsi:type="dcterms:W3CDTF">2026-01-19T01:31:34Z</dcterms:modified>
</cp:coreProperties>
</file>