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in-00d8e87ee6ab5b74</t>
        </is>
      </c>
      <c r="B2" t="inlineStr">
        <is>
          <t>Principal Applied Scientist, Amazon Special Projects</t>
        </is>
      </c>
      <c r="C2" t="inlineStr">
        <is>
          <t>Amazon.com</t>
        </is>
      </c>
      <c r="D2" t="inlineStr">
        <is>
          <t>indeed</t>
        </is>
      </c>
      <c r="E2" t="inlineStr"/>
      <c r="F2" t="inlineStr"/>
      <c r="G2" t="inlineStr">
        <is>
          <t>Seattle, WA, US</t>
        </is>
      </c>
      <c r="H2" s="2" t="n">
        <v>45982</v>
      </c>
      <c r="I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in-e9b99eaaa4e3cedb</t>
        </is>
      </c>
      <c r="B3" t="inlineStr">
        <is>
          <t>Principal Applied Scientist, Amazon Special Projects</t>
        </is>
      </c>
      <c r="C3" t="inlineStr">
        <is>
          <t>Amazon.com</t>
        </is>
      </c>
      <c r="D3" t="inlineStr">
        <is>
          <t>indeed</t>
        </is>
      </c>
      <c r="E3" t="inlineStr"/>
      <c r="F3" t="inlineStr"/>
      <c r="G3" t="inlineStr">
        <is>
          <t>Boston, MA, US</t>
        </is>
      </c>
      <c r="H3" s="2" t="n">
        <v>45982</v>
      </c>
      <c r="I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in-d30bbaf569edebf0</t>
        </is>
      </c>
      <c r="B4" t="inlineStr">
        <is>
          <t>Sr. Applied Scientist, AGI Foundations</t>
        </is>
      </c>
      <c r="C4" t="inlineStr">
        <is>
          <t>Amazon.com</t>
        </is>
      </c>
      <c r="D4" t="inlineStr">
        <is>
          <t>indeed</t>
        </is>
      </c>
      <c r="E4" t="inlineStr"/>
      <c r="F4" t="inlineStr"/>
      <c r="G4" t="inlineStr">
        <is>
          <t>Bellevue, WA, US</t>
        </is>
      </c>
      <c r="H4" s="2" t="n">
        <v>45978</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in-6168c574fff704f2</t>
        </is>
      </c>
      <c r="B5" t="inlineStr">
        <is>
          <t>Sr. Applied Scientist, AGI Foundations</t>
        </is>
      </c>
      <c r="C5" t="inlineStr">
        <is>
          <t>Amazon.com</t>
        </is>
      </c>
      <c r="D5" t="inlineStr">
        <is>
          <t>indeed</t>
        </is>
      </c>
      <c r="E5" t="inlineStr"/>
      <c r="F5" t="inlineStr"/>
      <c r="G5" t="inlineStr">
        <is>
          <t>Sunnyvale, CA, US</t>
        </is>
      </c>
      <c r="H5" s="2" t="n">
        <v>45978</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in-9f93d11eeec4a83a</t>
        </is>
      </c>
      <c r="B6" t="inlineStr">
        <is>
          <t>Sr. Applied Scientist, AGI Foundations</t>
        </is>
      </c>
      <c r="C6" t="inlineStr">
        <is>
          <t>Amazon.com</t>
        </is>
      </c>
      <c r="D6" t="inlineStr">
        <is>
          <t>indeed</t>
        </is>
      </c>
      <c r="E6" t="inlineStr"/>
      <c r="F6" t="inlineStr"/>
      <c r="G6" t="inlineStr">
        <is>
          <t>Boston, MA, US</t>
        </is>
      </c>
      <c r="H6" s="2" t="n">
        <v>45978</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in-7f05d54f2f80424f</t>
        </is>
      </c>
      <c r="B7" t="inlineStr">
        <is>
          <t>Sr. Applied Scientist, AGI Foundations</t>
        </is>
      </c>
      <c r="C7" t="inlineStr">
        <is>
          <t>Amazon.com</t>
        </is>
      </c>
      <c r="D7" t="inlineStr">
        <is>
          <t>indeed</t>
        </is>
      </c>
      <c r="E7" t="inlineStr"/>
      <c r="F7" t="inlineStr"/>
      <c r="G7" t="inlineStr">
        <is>
          <t>New York, NY, US</t>
        </is>
      </c>
      <c r="H7" s="2" t="n">
        <v>45978</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in-470781a22411538b</t>
        </is>
      </c>
      <c r="B8" t="inlineStr">
        <is>
          <t>Sr. Applied Scientist, AGI Foundations</t>
        </is>
      </c>
      <c r="C8" t="inlineStr">
        <is>
          <t>Amazon.com</t>
        </is>
      </c>
      <c r="D8" t="inlineStr">
        <is>
          <t>indeed</t>
        </is>
      </c>
      <c r="E8" t="inlineStr"/>
      <c r="F8" t="inlineStr"/>
      <c r="G8" t="inlineStr">
        <is>
          <t>Bellevue, WA, US</t>
        </is>
      </c>
      <c r="H8" s="2" t="n">
        <v>45963</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in-78aa9d2eb9755a0e</t>
        </is>
      </c>
      <c r="B9" t="inlineStr">
        <is>
          <t>Sr. Applied Scientist, AGI Foundations</t>
        </is>
      </c>
      <c r="C9" t="inlineStr">
        <is>
          <t>Amazon.com</t>
        </is>
      </c>
      <c r="D9" t="inlineStr">
        <is>
          <t>indeed</t>
        </is>
      </c>
      <c r="E9" t="inlineStr"/>
      <c r="F9" t="inlineStr"/>
      <c r="G9" t="inlineStr">
        <is>
          <t>New York, NY, US</t>
        </is>
      </c>
      <c r="H9" s="2" t="n">
        <v>45963</v>
      </c>
      <c r="I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in-e4d69d6e2798df0f</t>
        </is>
      </c>
      <c r="B10" t="inlineStr">
        <is>
          <t>Sr. Applied Scientist, AGI Foundations</t>
        </is>
      </c>
      <c r="C10" t="inlineStr">
        <is>
          <t>Amazon.com</t>
        </is>
      </c>
      <c r="D10" t="inlineStr">
        <is>
          <t>indeed</t>
        </is>
      </c>
      <c r="E10" t="inlineStr"/>
      <c r="F10" t="inlineStr"/>
      <c r="G10" t="inlineStr">
        <is>
          <t>Boston, MA, US</t>
        </is>
      </c>
      <c r="H10" s="2" t="n">
        <v>45963</v>
      </c>
      <c r="I1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in-67cee747fab2643f</t>
        </is>
      </c>
      <c r="B11" t="inlineStr">
        <is>
          <t>Applied Scientist II, Prime Video - Personalization and Discovery Science, Personalization and Discovery Science</t>
        </is>
      </c>
      <c r="C11" t="inlineStr">
        <is>
          <t>Amazon.com</t>
        </is>
      </c>
      <c r="D11" t="inlineStr">
        <is>
          <t>indeed</t>
        </is>
      </c>
      <c r="E11" t="inlineStr"/>
      <c r="F11" t="inlineStr"/>
      <c r="G11" t="inlineStr">
        <is>
          <t>Seattle, WA, US</t>
        </is>
      </c>
      <c r="H11" s="2" t="n">
        <v>45930</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in-03cb0897729c5473</t>
        </is>
      </c>
      <c r="B12" t="inlineStr">
        <is>
          <t>Applied Scientist II, Prime Video - Personalization and Discovery Science, Personalization and Discovery Science</t>
        </is>
      </c>
      <c r="C12" t="inlineStr">
        <is>
          <t>Amazon.com</t>
        </is>
      </c>
      <c r="D12" t="inlineStr">
        <is>
          <t>indeed</t>
        </is>
      </c>
      <c r="E12" t="inlineStr"/>
      <c r="F12" t="inlineStr"/>
      <c r="G12" t="inlineStr">
        <is>
          <t>New York, NY, US</t>
        </is>
      </c>
      <c r="H12" s="2"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in-4930b92dcc9f9ffd</t>
        </is>
      </c>
      <c r="B13" t="inlineStr">
        <is>
          <t>Applied Scientist II, Prime Video - Personalization and Discovery Science, Personalization and Discovery Science</t>
        </is>
      </c>
      <c r="C13" t="inlineStr">
        <is>
          <t>Amazon.com</t>
        </is>
      </c>
      <c r="D13" t="inlineStr">
        <is>
          <t>indeed</t>
        </is>
      </c>
      <c r="E13" t="inlineStr"/>
      <c r="F13" t="inlineStr"/>
      <c r="G13" t="inlineStr">
        <is>
          <t>Sunnyvale, CA, US</t>
        </is>
      </c>
      <c r="H13" s="2"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in-c4c9ea5f3533e673</t>
        </is>
      </c>
      <c r="B14" t="inlineStr">
        <is>
          <t>Applied Scientist II, Prime Video - Personalization and Discovery Science</t>
        </is>
      </c>
      <c r="C14" t="inlineStr">
        <is>
          <t>Amazon.com</t>
        </is>
      </c>
      <c r="D14" t="inlineStr">
        <is>
          <t>indeed</t>
        </is>
      </c>
      <c r="E14" t="inlineStr"/>
      <c r="F14" t="inlineStr"/>
      <c r="G14" t="inlineStr">
        <is>
          <t>Sunnyvale, CA, US</t>
        </is>
      </c>
      <c r="H14" s="2" t="n">
        <v>45915</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in-8d513aec5a78c68a</t>
        </is>
      </c>
      <c r="B15" t="inlineStr">
        <is>
          <t>Applied Scientist II, Prime Video - Personalization and Discovery Science</t>
        </is>
      </c>
      <c r="C15" t="inlineStr">
        <is>
          <t>Amazon.com</t>
        </is>
      </c>
      <c r="D15" t="inlineStr">
        <is>
          <t>indeed</t>
        </is>
      </c>
      <c r="E15" t="inlineStr"/>
      <c r="F15" t="inlineStr"/>
      <c r="G15" t="inlineStr">
        <is>
          <t>New York, NY, US</t>
        </is>
      </c>
      <c r="H15" s="2" t="n">
        <v>45915</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in-6f4fceac44e9ef48</t>
        </is>
      </c>
      <c r="B16" t="inlineStr">
        <is>
          <t>Applied Scientist II, Prime Video - Personalization and Discovery Science</t>
        </is>
      </c>
      <c r="C16" t="inlineStr">
        <is>
          <t>Amazon.com</t>
        </is>
      </c>
      <c r="D16" t="inlineStr">
        <is>
          <t>indeed</t>
        </is>
      </c>
      <c r="E16" t="inlineStr"/>
      <c r="F16" t="inlineStr"/>
      <c r="G16" t="inlineStr">
        <is>
          <t>Seattle, WA, US</t>
        </is>
      </c>
      <c r="H16" s="2" t="n">
        <v>45915</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in-61a78420e0870475</t>
        </is>
      </c>
      <c r="B17" t="inlineStr">
        <is>
          <t>Sr. Applied Scientist, Prime Video - Personalization and Discovery Science</t>
        </is>
      </c>
      <c r="C17" t="inlineStr">
        <is>
          <t>Amazon.com</t>
        </is>
      </c>
      <c r="D17" t="inlineStr">
        <is>
          <t>indeed</t>
        </is>
      </c>
      <c r="E17" t="inlineStr"/>
      <c r="F17" t="inlineStr"/>
      <c r="G17" t="inlineStr">
        <is>
          <t>Seattle, WA, US</t>
        </is>
      </c>
      <c r="H17" s="2" t="n">
        <v>45914</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in-28dd31d5f587e3a1</t>
        </is>
      </c>
      <c r="B18" t="inlineStr">
        <is>
          <t>Sr. Applied Scientist, Prime Video - Personalization and Discovery Science</t>
        </is>
      </c>
      <c r="C18" t="inlineStr">
        <is>
          <t>Amazon.com</t>
        </is>
      </c>
      <c r="D18" t="inlineStr">
        <is>
          <t>indeed</t>
        </is>
      </c>
      <c r="E18" t="inlineStr"/>
      <c r="F18" t="inlineStr"/>
      <c r="G18" t="inlineStr">
        <is>
          <t>New York, NY, US</t>
        </is>
      </c>
      <c r="H18" s="2" t="n">
        <v>45914</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in-e8208f54751d46ec</t>
        </is>
      </c>
      <c r="B19" t="inlineStr">
        <is>
          <t>Sr. Applied Scientist, Prime Video - Personalization and Discovery Science</t>
        </is>
      </c>
      <c r="C19" t="inlineStr">
        <is>
          <t>Amazon.com</t>
        </is>
      </c>
      <c r="D19" t="inlineStr">
        <is>
          <t>indeed</t>
        </is>
      </c>
      <c r="E19" t="inlineStr"/>
      <c r="F19" t="inlineStr"/>
      <c r="G19" t="inlineStr">
        <is>
          <t>Sunnyvale, CA, US</t>
        </is>
      </c>
      <c r="H19" s="2" t="n">
        <v>45914</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in-9ff4313e16fa2b64</t>
        </is>
      </c>
      <c r="B20" t="inlineStr">
        <is>
          <t>Applied Scientist II, Prime Video - Personalization and Discovery Science</t>
        </is>
      </c>
      <c r="C20" t="inlineStr">
        <is>
          <t>Amazon.com</t>
        </is>
      </c>
      <c r="D20" t="inlineStr">
        <is>
          <t>indeed</t>
        </is>
      </c>
      <c r="E20" t="inlineStr"/>
      <c r="F20" t="inlineStr"/>
      <c r="G20" t="inlineStr">
        <is>
          <t>New York, NY, US</t>
        </is>
      </c>
      <c r="H20" s="2"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in-cf2343e524eda9da</t>
        </is>
      </c>
      <c r="B21" t="inlineStr">
        <is>
          <t>Sr. Applied Scientist, Prime Video - Personalization and Discovery Science</t>
        </is>
      </c>
      <c r="C21" t="inlineStr">
        <is>
          <t>Amazon.com</t>
        </is>
      </c>
      <c r="D21" t="inlineStr">
        <is>
          <t>indeed</t>
        </is>
      </c>
      <c r="E21" t="inlineStr"/>
      <c r="F21" t="inlineStr"/>
      <c r="G21" t="inlineStr">
        <is>
          <t>Sunnyvale, CA, US</t>
        </is>
      </c>
      <c r="H21" s="2"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in-dcdffe8f3adc798b</t>
        </is>
      </c>
      <c r="B22" t="inlineStr">
        <is>
          <t>Applied Scientist II, Prime Video - Personalization and Discovery Science</t>
        </is>
      </c>
      <c r="C22" t="inlineStr">
        <is>
          <t>Amazon.com</t>
        </is>
      </c>
      <c r="D22" t="inlineStr">
        <is>
          <t>indeed</t>
        </is>
      </c>
      <c r="E22" t="inlineStr"/>
      <c r="F22" t="inlineStr"/>
      <c r="G22" t="inlineStr">
        <is>
          <t>Seattle, WA, US</t>
        </is>
      </c>
      <c r="H22" s="2"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in-2cda55355893b2e7</t>
        </is>
      </c>
      <c r="B23" t="inlineStr">
        <is>
          <t>Sr. Applied Scientist, Prime Video - Personalization and Discovery Science</t>
        </is>
      </c>
      <c r="C23" t="inlineStr">
        <is>
          <t>Amazon.com</t>
        </is>
      </c>
      <c r="D23" t="inlineStr">
        <is>
          <t>indeed</t>
        </is>
      </c>
      <c r="E23" t="inlineStr"/>
      <c r="F23" t="inlineStr"/>
      <c r="G23" t="inlineStr">
        <is>
          <t>Seattle, WA, US</t>
        </is>
      </c>
      <c r="H23" s="2" t="n">
        <v>45881</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in-687435d6c4b277ae</t>
        </is>
      </c>
      <c r="B24" t="inlineStr">
        <is>
          <t>Sr. Applied Scientist, Prime Video - Personalization and Discovery Science</t>
        </is>
      </c>
      <c r="C24" t="inlineStr">
        <is>
          <t>Amazon.com</t>
        </is>
      </c>
      <c r="D24" t="inlineStr">
        <is>
          <t>indeed</t>
        </is>
      </c>
      <c r="E24" t="inlineStr"/>
      <c r="F24" t="inlineStr"/>
      <c r="G24" t="inlineStr">
        <is>
          <t>New York, NY, US</t>
        </is>
      </c>
      <c r="H24" s="2" t="n">
        <v>45881</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in-a2accccbeeb37409</t>
        </is>
      </c>
      <c r="B25" t="inlineStr">
        <is>
          <t>Applied Scientist II, Prime Video - Personalization and Discovery Science</t>
        </is>
      </c>
      <c r="C25" t="inlineStr">
        <is>
          <t>Amazon.com</t>
        </is>
      </c>
      <c r="D25" t="inlineStr">
        <is>
          <t>indeed</t>
        </is>
      </c>
      <c r="E25" t="inlineStr"/>
      <c r="F25" t="inlineStr"/>
      <c r="G25" t="inlineStr">
        <is>
          <t>Sunnyvale, CA, US</t>
        </is>
      </c>
      <c r="H25" s="2" t="n">
        <v>45881</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in-dce120b6904712e9</t>
        </is>
      </c>
      <c r="B26" t="inlineStr">
        <is>
          <t>Applied Scientist, Prime Video - Personalization and Discovery Science</t>
        </is>
      </c>
      <c r="C26" t="inlineStr">
        <is>
          <t>Amazon.com</t>
        </is>
      </c>
      <c r="D26" t="inlineStr">
        <is>
          <t>indeed</t>
        </is>
      </c>
      <c r="E26" t="inlineStr"/>
      <c r="F26" t="inlineStr"/>
      <c r="G26" t="inlineStr">
        <is>
          <t>New York, NY, US</t>
        </is>
      </c>
      <c r="H26" s="2" t="n">
        <v>45845</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in-f149381c0daf1039</t>
        </is>
      </c>
      <c r="B27" t="inlineStr">
        <is>
          <t>Applied Scientist, Prime Video - Personalization and Discovery Science</t>
        </is>
      </c>
      <c r="C27" t="inlineStr">
        <is>
          <t>Amazon.com</t>
        </is>
      </c>
      <c r="D27" t="inlineStr">
        <is>
          <t>indeed</t>
        </is>
      </c>
      <c r="E27" t="inlineStr"/>
      <c r="F27" t="inlineStr"/>
      <c r="G27" t="inlineStr">
        <is>
          <t>Seattle, WA, US</t>
        </is>
      </c>
      <c r="H27" s="2" t="n">
        <v>45845</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in-d0cfa5e5cb1596fa</t>
        </is>
      </c>
      <c r="B28" t="inlineStr">
        <is>
          <t>Applied Scientist, Prime Video - Personalization and Discovery Science</t>
        </is>
      </c>
      <c r="C28" t="inlineStr">
        <is>
          <t>Amazon.com</t>
        </is>
      </c>
      <c r="D28" t="inlineStr">
        <is>
          <t>indeed</t>
        </is>
      </c>
      <c r="E28" t="inlineStr"/>
      <c r="F28" t="inlineStr"/>
      <c r="G28" t="inlineStr">
        <is>
          <t>Sunnyvale, CA, US</t>
        </is>
      </c>
      <c r="H28" s="2" t="n">
        <v>45845</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in-8dc5d8b45a50064b</t>
        </is>
      </c>
      <c r="B29" t="inlineStr">
        <is>
          <t>Sr. Data Scientist, Amazon Leo Global Planning, Amazon Leo</t>
        </is>
      </c>
      <c r="C29" t="inlineStr">
        <is>
          <t>Amazon.com</t>
        </is>
      </c>
      <c r="D29" t="inlineStr">
        <is>
          <t>indeed</t>
        </is>
      </c>
      <c r="E29" t="inlineStr"/>
      <c r="F29" t="inlineStr"/>
      <c r="G29" t="inlineStr">
        <is>
          <t>Bellevue, WA, US</t>
        </is>
      </c>
      <c r="H29" s="2" t="n">
        <v>45830</v>
      </c>
      <c r="I29"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in-b9c7a17f3ae650d4</t>
        </is>
      </c>
      <c r="B30" t="inlineStr">
        <is>
          <t>Sr. Data Scientist, Amazon Leo Global Planning, Amazon Leo</t>
        </is>
      </c>
      <c r="C30" t="inlineStr">
        <is>
          <t>Amazon.com</t>
        </is>
      </c>
      <c r="D30" t="inlineStr">
        <is>
          <t>indeed</t>
        </is>
      </c>
      <c r="E30" t="inlineStr"/>
      <c r="F30" t="inlineStr"/>
      <c r="G30" t="inlineStr">
        <is>
          <t>Redmond, WA, US</t>
        </is>
      </c>
      <c r="H30" s="2" t="n">
        <v>45830</v>
      </c>
      <c r="I30"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in-3f60b01149d19e7b</t>
        </is>
      </c>
      <c r="B31" t="inlineStr">
        <is>
          <t>Applied Scientist, AGI</t>
        </is>
      </c>
      <c r="C31" t="inlineStr">
        <is>
          <t>Amazon.com</t>
        </is>
      </c>
      <c r="D31" t="inlineStr">
        <is>
          <t>indeed</t>
        </is>
      </c>
      <c r="E31" t="inlineStr"/>
      <c r="F31" t="inlineStr"/>
      <c r="G31" t="inlineStr">
        <is>
          <t>Cambridge, MA, US</t>
        </is>
      </c>
      <c r="H31" s="2" t="n">
        <v>45998</v>
      </c>
      <c r="I3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in-0d0725b7cb752757</t>
        </is>
      </c>
      <c r="B32" t="inlineStr">
        <is>
          <t>Applied Scientist, AGI</t>
        </is>
      </c>
      <c r="C32" t="inlineStr">
        <is>
          <t>Amazon.com</t>
        </is>
      </c>
      <c r="D32" t="inlineStr">
        <is>
          <t>indeed</t>
        </is>
      </c>
      <c r="E32" t="inlineStr"/>
      <c r="F32" t="inlineStr"/>
      <c r="G32" t="inlineStr">
        <is>
          <t>Sunnyvale, CA, US</t>
        </is>
      </c>
      <c r="H32" s="2" t="n">
        <v>45998</v>
      </c>
      <c r="I3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in-a3d7fa6b030e6f76</t>
        </is>
      </c>
      <c r="B33" t="inlineStr">
        <is>
          <t>Applied Scientist, AGI</t>
        </is>
      </c>
      <c r="C33" t="inlineStr">
        <is>
          <t>Amazon.com</t>
        </is>
      </c>
      <c r="D33" t="inlineStr">
        <is>
          <t>indeed</t>
        </is>
      </c>
      <c r="E33" t="inlineStr"/>
      <c r="F33" t="inlineStr"/>
      <c r="G33" t="inlineStr">
        <is>
          <t>Bellevue, WA, US</t>
        </is>
      </c>
      <c r="H33" s="2" t="n">
        <v>45998</v>
      </c>
      <c r="I33"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in-cd1f6fcc8f6f02eb</t>
        </is>
      </c>
      <c r="B34" t="inlineStr">
        <is>
          <t>Applied Scientist, AGI</t>
        </is>
      </c>
      <c r="C34" t="inlineStr">
        <is>
          <t>Amazon.com</t>
        </is>
      </c>
      <c r="D34" t="inlineStr">
        <is>
          <t>indeed</t>
        </is>
      </c>
      <c r="E34" t="inlineStr"/>
      <c r="F34" t="inlineStr"/>
      <c r="G34" t="inlineStr">
        <is>
          <t>New York, NY, US</t>
        </is>
      </c>
      <c r="H34" s="2" t="n">
        <v>45998</v>
      </c>
      <c r="I34"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in-25f05407ea3323e5</t>
        </is>
      </c>
      <c r="B35" t="inlineStr">
        <is>
          <t>Sr. Applied Scientist, Amazon Ads</t>
        </is>
      </c>
      <c r="C35" t="inlineStr">
        <is>
          <t>Amazon.com</t>
        </is>
      </c>
      <c r="D35" t="inlineStr">
        <is>
          <t>indeed</t>
        </is>
      </c>
      <c r="E35" t="inlineStr"/>
      <c r="F35" t="inlineStr"/>
      <c r="G35" t="inlineStr">
        <is>
          <t>Seattle, WA, US</t>
        </is>
      </c>
      <c r="H35" s="2" t="n">
        <v>45998</v>
      </c>
      <c r="I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6">
      <c r="A36" t="inlineStr">
        <is>
          <t>in-f787f0ee4cef6730</t>
        </is>
      </c>
      <c r="B36" t="inlineStr">
        <is>
          <t>Sr. Applied Scientist, Amazon Ads</t>
        </is>
      </c>
      <c r="C36" t="inlineStr">
        <is>
          <t>Amazon.com</t>
        </is>
      </c>
      <c r="D36" t="inlineStr">
        <is>
          <t>indeed</t>
        </is>
      </c>
      <c r="E36" t="inlineStr"/>
      <c r="F36" t="inlineStr"/>
      <c r="G36" t="inlineStr">
        <is>
          <t>Boston, MA, US</t>
        </is>
      </c>
      <c r="H36" s="2" t="n">
        <v>45998</v>
      </c>
      <c r="I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7">
      <c r="A37" t="inlineStr">
        <is>
          <t>in-f7c7d90991a40fe9</t>
        </is>
      </c>
      <c r="B37" t="inlineStr">
        <is>
          <t>Sr. Applied Scientist, Amazon Ads</t>
        </is>
      </c>
      <c r="C37" t="inlineStr">
        <is>
          <t>Amazon.com</t>
        </is>
      </c>
      <c r="D37" t="inlineStr">
        <is>
          <t>indeed</t>
        </is>
      </c>
      <c r="E37" t="inlineStr"/>
      <c r="F37" t="inlineStr"/>
      <c r="G37" t="inlineStr">
        <is>
          <t>New York, NY, US</t>
        </is>
      </c>
      <c r="H37" s="2" t="n">
        <v>45998</v>
      </c>
      <c r="I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
      <c r="A38" t="inlineStr">
        <is>
          <t>in-36f94eb0ef7e7575</t>
        </is>
      </c>
      <c r="B38" t="inlineStr">
        <is>
          <t>Sr. Applied Scientist, Amazon Ads</t>
        </is>
      </c>
      <c r="C38" t="inlineStr">
        <is>
          <t>Amazon.com</t>
        </is>
      </c>
      <c r="D38" t="inlineStr">
        <is>
          <t>indeed</t>
        </is>
      </c>
      <c r="E38" t="inlineStr"/>
      <c r="F38" t="inlineStr"/>
      <c r="G38" t="inlineStr">
        <is>
          <t>Palo Alto, CA, US</t>
        </is>
      </c>
      <c r="H38" s="2"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in-f08b8c3e5e134f20</t>
        </is>
      </c>
      <c r="B39" t="inlineStr">
        <is>
          <t>Sr. Applied Scientist, Amazon Ads</t>
        </is>
      </c>
      <c r="C39" t="inlineStr">
        <is>
          <t>Amazon.com</t>
        </is>
      </c>
      <c r="D39" t="inlineStr">
        <is>
          <t>indeed</t>
        </is>
      </c>
      <c r="E39" t="inlineStr"/>
      <c r="F39" t="inlineStr"/>
      <c r="G39" t="inlineStr">
        <is>
          <t>Boulder, CO, US</t>
        </is>
      </c>
      <c r="H39" s="2" t="n">
        <v>45998</v>
      </c>
      <c r="I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
      <c r="A40" t="inlineStr">
        <is>
          <t>in-0d4cc599c0f9b01e</t>
        </is>
      </c>
      <c r="B40" t="inlineStr">
        <is>
          <t>Sr. Applied Scientist, Amazon Ads</t>
        </is>
      </c>
      <c r="C40" t="inlineStr">
        <is>
          <t>Amazon.com</t>
        </is>
      </c>
      <c r="D40" t="inlineStr">
        <is>
          <t>indeed</t>
        </is>
      </c>
      <c r="E40" t="inlineStr"/>
      <c r="F40" t="inlineStr"/>
      <c r="G40" t="inlineStr">
        <is>
          <t>Sunnyvale, CA, US</t>
        </is>
      </c>
      <c r="H40" s="2" t="n">
        <v>45998</v>
      </c>
      <c r="I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1">
      <c r="A41" t="inlineStr">
        <is>
          <t>in-26647aa1bcf63f5f</t>
        </is>
      </c>
      <c r="B41" t="inlineStr">
        <is>
          <t>Sr. Applied Scientist, Amazon Ads</t>
        </is>
      </c>
      <c r="C41" t="inlineStr">
        <is>
          <t>Amazon.com</t>
        </is>
      </c>
      <c r="D41" t="inlineStr">
        <is>
          <t>indeed</t>
        </is>
      </c>
      <c r="E41" t="inlineStr"/>
      <c r="F41" t="inlineStr"/>
      <c r="G41" t="inlineStr">
        <is>
          <t>Tukwila, WA, US</t>
        </is>
      </c>
      <c r="H41" s="2" t="n">
        <v>45998</v>
      </c>
      <c r="I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2">
      <c r="A42" t="inlineStr">
        <is>
          <t>in-008942cb8aa3ae14</t>
        </is>
      </c>
      <c r="B42" t="inlineStr">
        <is>
          <t>Sr. Applied Scientist, Amazon Ads</t>
        </is>
      </c>
      <c r="C42" t="inlineStr">
        <is>
          <t>Amazon.com</t>
        </is>
      </c>
      <c r="D42" t="inlineStr">
        <is>
          <t>indeed</t>
        </is>
      </c>
      <c r="E42" t="inlineStr"/>
      <c r="F42" t="inlineStr"/>
      <c r="G42" t="inlineStr">
        <is>
          <t>Corvallis, OR, US</t>
        </is>
      </c>
      <c r="H42" s="2" t="n">
        <v>45998</v>
      </c>
      <c r="I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3">
      <c r="A43" t="inlineStr">
        <is>
          <t>in-e17e65f9c518db4f</t>
        </is>
      </c>
      <c r="B43" t="inlineStr">
        <is>
          <t>Sr. Applied Scientist, Amazon Ads</t>
        </is>
      </c>
      <c r="C43" t="inlineStr">
        <is>
          <t>Amazon.com</t>
        </is>
      </c>
      <c r="D43" t="inlineStr">
        <is>
          <t>indeed</t>
        </is>
      </c>
      <c r="E43" t="inlineStr"/>
      <c r="F43" t="inlineStr"/>
      <c r="G43" t="inlineStr">
        <is>
          <t>Brooklyn, NY, US</t>
        </is>
      </c>
      <c r="H43" s="2" t="n">
        <v>45998</v>
      </c>
      <c r="I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4">
      <c r="A44" t="inlineStr">
        <is>
          <t>in-1dcb8181678676ee</t>
        </is>
      </c>
      <c r="B44" t="inlineStr">
        <is>
          <t>Sr. Applied Scientist, Amazon Ads</t>
        </is>
      </c>
      <c r="C44" t="inlineStr">
        <is>
          <t>Amazon.com</t>
        </is>
      </c>
      <c r="D44" t="inlineStr">
        <is>
          <t>indeed</t>
        </is>
      </c>
      <c r="E44" t="inlineStr"/>
      <c r="F44" t="inlineStr"/>
      <c r="G44" t="inlineStr">
        <is>
          <t>Santa Monica, CA, US</t>
        </is>
      </c>
      <c r="H44" s="2" t="n">
        <v>45998</v>
      </c>
      <c r="I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5">
      <c r="A45" t="inlineStr">
        <is>
          <t>in-27eb623fc793e617</t>
        </is>
      </c>
      <c r="B45" t="inlineStr">
        <is>
          <t>Applied Scientist, ML Compiler</t>
        </is>
      </c>
      <c r="C45" t="inlineStr">
        <is>
          <t>Amazon Web Services</t>
        </is>
      </c>
      <c r="D45" t="inlineStr">
        <is>
          <t>indeed</t>
        </is>
      </c>
      <c r="E45" t="inlineStr"/>
      <c r="F45" t="inlineStr"/>
      <c r="G45" t="inlineStr">
        <is>
          <t>Seattle, WA, US</t>
        </is>
      </c>
      <c r="H45" s="2" t="n">
        <v>45993</v>
      </c>
      <c r="I45"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in-2e87ea32849fe0db</t>
        </is>
      </c>
      <c r="B46" t="inlineStr">
        <is>
          <t>Applied Scientist, ML Compiler</t>
        </is>
      </c>
      <c r="C46" t="inlineStr">
        <is>
          <t>Amazon Web Services</t>
        </is>
      </c>
      <c r="D46" t="inlineStr">
        <is>
          <t>indeed</t>
        </is>
      </c>
      <c r="E46" t="inlineStr"/>
      <c r="F46" t="inlineStr"/>
      <c r="G46" t="inlineStr">
        <is>
          <t>Cupertino, CA, US</t>
        </is>
      </c>
      <c r="H46" s="2" t="n">
        <v>45993</v>
      </c>
      <c r="I46"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in-a35fc2c34a914bfd</t>
        </is>
      </c>
      <c r="B47" t="inlineStr">
        <is>
          <t>Applied Scientist, Model Customization, Generative AI Innovation Center, Model Customization</t>
        </is>
      </c>
      <c r="C47" t="inlineStr">
        <is>
          <t>Amazon Web Services</t>
        </is>
      </c>
      <c r="D47" t="inlineStr">
        <is>
          <t>indeed</t>
        </is>
      </c>
      <c r="E47" t="inlineStr"/>
      <c r="F47" t="inlineStr"/>
      <c r="G47" t="inlineStr">
        <is>
          <t>Bellevue, WA, US</t>
        </is>
      </c>
      <c r="H47" s="2" t="n">
        <v>45993</v>
      </c>
      <c r="I4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in-585c2da58f887f2a</t>
        </is>
      </c>
      <c r="B48" t="inlineStr">
        <is>
          <t>Applied Scientist, Model Customization, Generative AI Innovation Center, Model Customization</t>
        </is>
      </c>
      <c r="C48" t="inlineStr">
        <is>
          <t>Amazon Web Services</t>
        </is>
      </c>
      <c r="D48" t="inlineStr">
        <is>
          <t>indeed</t>
        </is>
      </c>
      <c r="E48" t="inlineStr"/>
      <c r="F48" t="inlineStr"/>
      <c r="G48" t="inlineStr">
        <is>
          <t>Arlington, VA, US</t>
        </is>
      </c>
      <c r="H48" s="2" t="n">
        <v>45993</v>
      </c>
      <c r="I4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in-789b1ed9e82fbb39</t>
        </is>
      </c>
      <c r="B49" t="inlineStr">
        <is>
          <t>Applied Scientist, Model Customization, Generative AI Innovation Center, Model Customization</t>
        </is>
      </c>
      <c r="C49" t="inlineStr">
        <is>
          <t>Amazon Web Services</t>
        </is>
      </c>
      <c r="D49" t="inlineStr">
        <is>
          <t>indeed</t>
        </is>
      </c>
      <c r="E49" t="inlineStr"/>
      <c r="F49" t="inlineStr"/>
      <c r="G49" t="inlineStr">
        <is>
          <t>New York, NY, US</t>
        </is>
      </c>
      <c r="H49" s="2" t="n">
        <v>45993</v>
      </c>
      <c r="I4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in-8af475b9327980eb</t>
        </is>
      </c>
      <c r="B50" t="inlineStr">
        <is>
          <t>Sr. Applied Scientist, Sponsored Products and Brands Off-Search</t>
        </is>
      </c>
      <c r="C50" t="inlineStr">
        <is>
          <t>Amazon.com</t>
        </is>
      </c>
      <c r="D50" t="inlineStr">
        <is>
          <t>indeed</t>
        </is>
      </c>
      <c r="E50" t="inlineStr"/>
      <c r="F50" t="inlineStr"/>
      <c r="G50" t="inlineStr">
        <is>
          <t>New York, NY, US</t>
        </is>
      </c>
      <c r="H50" s="2" t="n">
        <v>45993</v>
      </c>
      <c r="I5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in-b67feb901756d8ca</t>
        </is>
      </c>
      <c r="B51" t="inlineStr">
        <is>
          <t>Sr. Applied Scientist, Sponsored Products and Brands Off-Search</t>
        </is>
      </c>
      <c r="C51" t="inlineStr">
        <is>
          <t>Amazon.com</t>
        </is>
      </c>
      <c r="D51" t="inlineStr">
        <is>
          <t>indeed</t>
        </is>
      </c>
      <c r="E51" t="inlineStr"/>
      <c r="F51" t="inlineStr"/>
      <c r="G51" t="inlineStr">
        <is>
          <t>Seattle, WA, US</t>
        </is>
      </c>
      <c r="H51" s="2" t="n">
        <v>45993</v>
      </c>
      <c r="I5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in-0981a73097860924</t>
        </is>
      </c>
      <c r="B52" t="inlineStr">
        <is>
          <t>Senior Applied Scientist, Generative AI Innovation Center</t>
        </is>
      </c>
      <c r="C52" t="inlineStr">
        <is>
          <t>Amazon Web Services</t>
        </is>
      </c>
      <c r="D52" t="inlineStr">
        <is>
          <t>indeed</t>
        </is>
      </c>
      <c r="E52" t="inlineStr"/>
      <c r="F52" t="inlineStr"/>
      <c r="G52" t="inlineStr">
        <is>
          <t>New York, NY, US</t>
        </is>
      </c>
      <c r="H52" s="2" t="n">
        <v>45981</v>
      </c>
      <c r="I52"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in-eb5e0b4ed98abde1</t>
        </is>
      </c>
      <c r="B53" t="inlineStr">
        <is>
          <t>Senior Applied Scientist, Generative AI Innovation Center</t>
        </is>
      </c>
      <c r="C53" t="inlineStr">
        <is>
          <t>Amazon Web Services</t>
        </is>
      </c>
      <c r="D53" t="inlineStr">
        <is>
          <t>indeed</t>
        </is>
      </c>
      <c r="E53" t="inlineStr"/>
      <c r="F53" t="inlineStr"/>
      <c r="G53" t="inlineStr">
        <is>
          <t>Bellevue, WA, US</t>
        </is>
      </c>
      <c r="H53" s="2" t="n">
        <v>45981</v>
      </c>
      <c r="I53"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in-5bf3bb0a224b14e6</t>
        </is>
      </c>
      <c r="B54" t="inlineStr">
        <is>
          <t>Senior Applied Scientist, Generative AI Innovation Center</t>
        </is>
      </c>
      <c r="C54" t="inlineStr">
        <is>
          <t>Amazon Web Services</t>
        </is>
      </c>
      <c r="D54" t="inlineStr">
        <is>
          <t>indeed</t>
        </is>
      </c>
      <c r="E54" t="inlineStr"/>
      <c r="F54" t="inlineStr"/>
      <c r="G54" t="inlineStr">
        <is>
          <t>Boston, MA, US</t>
        </is>
      </c>
      <c r="H54" s="2" t="n">
        <v>45981</v>
      </c>
      <c r="I54"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in-6ceae8be841af933</t>
        </is>
      </c>
      <c r="B55" t="inlineStr">
        <is>
          <t>Senior Applied Scientist, Generative AI Innovation Center</t>
        </is>
      </c>
      <c r="C55" t="inlineStr">
        <is>
          <t>Amazon Web Services</t>
        </is>
      </c>
      <c r="D55" t="inlineStr">
        <is>
          <t>indeed</t>
        </is>
      </c>
      <c r="E55" t="inlineStr"/>
      <c r="F55" t="inlineStr"/>
      <c r="G55" t="inlineStr">
        <is>
          <t>Seattle, WA, US</t>
        </is>
      </c>
      <c r="H55" s="2" t="n">
        <v>45981</v>
      </c>
      <c r="I55"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in-f090c26a8fe721a2</t>
        </is>
      </c>
      <c r="B56" t="inlineStr">
        <is>
          <t>Senior Applied Scientist, Generative AI Innovation Center</t>
        </is>
      </c>
      <c r="C56" t="inlineStr">
        <is>
          <t>Amazon Web Services</t>
        </is>
      </c>
      <c r="D56" t="inlineStr">
        <is>
          <t>indeed</t>
        </is>
      </c>
      <c r="E56" t="inlineStr"/>
      <c r="F56" t="inlineStr"/>
      <c r="G56" t="inlineStr">
        <is>
          <t>Houston, TX, US</t>
        </is>
      </c>
      <c r="H56" s="2" t="n">
        <v>45981</v>
      </c>
      <c r="I56"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in-ace8e8ad135cf7db</t>
        </is>
      </c>
      <c r="B57" t="inlineStr">
        <is>
          <t>Senior Applied Scientist, Generative AI Innovation Center</t>
        </is>
      </c>
      <c r="C57" t="inlineStr">
        <is>
          <t>Amazon Web Services</t>
        </is>
      </c>
      <c r="D57" t="inlineStr">
        <is>
          <t>indeed</t>
        </is>
      </c>
      <c r="E57" t="inlineStr"/>
      <c r="F57" t="inlineStr"/>
      <c r="G57" t="inlineStr">
        <is>
          <t>Austin, TX, US</t>
        </is>
      </c>
      <c r="H57" s="2" t="n">
        <v>45981</v>
      </c>
      <c r="I57"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in-0c4e4f3637509616</t>
        </is>
      </c>
      <c r="B58" t="inlineStr">
        <is>
          <t>Sr. Applied Scientist, SPB Advertiser Guidance</t>
        </is>
      </c>
      <c r="C58" t="inlineStr">
        <is>
          <t>Amazon.com</t>
        </is>
      </c>
      <c r="D58" t="inlineStr">
        <is>
          <t>indeed</t>
        </is>
      </c>
      <c r="E58" t="inlineStr"/>
      <c r="F58" t="inlineStr"/>
      <c r="G58" t="inlineStr">
        <is>
          <t>Palo Alto, CA, US</t>
        </is>
      </c>
      <c r="H58" s="2" t="n">
        <v>45981</v>
      </c>
      <c r="I5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in-ac8f31f36cd5c5b7</t>
        </is>
      </c>
      <c r="B59" t="inlineStr">
        <is>
          <t>Sr. Applied Scientist, SPB Advertiser Guidance</t>
        </is>
      </c>
      <c r="C59" t="inlineStr">
        <is>
          <t>Amazon.com</t>
        </is>
      </c>
      <c r="D59" t="inlineStr">
        <is>
          <t>indeed</t>
        </is>
      </c>
      <c r="E59" t="inlineStr"/>
      <c r="F59" t="inlineStr"/>
      <c r="G59" t="inlineStr">
        <is>
          <t>New York, NY, US</t>
        </is>
      </c>
      <c r="H59" s="2" t="n">
        <v>45981</v>
      </c>
      <c r="I5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in-a3895fb3bf5c42bb</t>
        </is>
      </c>
      <c r="B60" t="inlineStr">
        <is>
          <t>Sr. Applied Scientist, SPB Advertiser Guidance</t>
        </is>
      </c>
      <c r="C60" t="inlineStr">
        <is>
          <t>Amazon.com</t>
        </is>
      </c>
      <c r="D60" t="inlineStr">
        <is>
          <t>indeed</t>
        </is>
      </c>
      <c r="E60" t="inlineStr"/>
      <c r="F60" t="inlineStr"/>
      <c r="G60" t="inlineStr">
        <is>
          <t>Seattle, WA, US</t>
        </is>
      </c>
      <c r="H60" s="2" t="n">
        <v>45981</v>
      </c>
      <c r="I6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in-6c5a2aaab1a2d946</t>
        </is>
      </c>
      <c r="B61" t="inlineStr">
        <is>
          <t>Senior Applied Scientist, Artificial General Intelligence</t>
        </is>
      </c>
      <c r="C61" t="inlineStr">
        <is>
          <t>Amazon.com</t>
        </is>
      </c>
      <c r="D61" t="inlineStr">
        <is>
          <t>indeed</t>
        </is>
      </c>
      <c r="E61" t="inlineStr"/>
      <c r="F61" t="inlineStr"/>
      <c r="G61" t="inlineStr">
        <is>
          <t>New York, NY, US</t>
        </is>
      </c>
      <c r="H61" s="2" t="n">
        <v>45980</v>
      </c>
      <c r="I6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in-6785cd072d4aa527</t>
        </is>
      </c>
      <c r="B62" t="inlineStr">
        <is>
          <t>Senior Applied Scientist, Artificial General Intelligence</t>
        </is>
      </c>
      <c r="C62" t="inlineStr">
        <is>
          <t>Amazon.com</t>
        </is>
      </c>
      <c r="D62" t="inlineStr">
        <is>
          <t>indeed</t>
        </is>
      </c>
      <c r="E62" t="inlineStr"/>
      <c r="F62" t="inlineStr"/>
      <c r="G62" t="inlineStr">
        <is>
          <t>Seattle, WA, US</t>
        </is>
      </c>
      <c r="H62" s="2" t="n">
        <v>45980</v>
      </c>
      <c r="I6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in-fad940c95d0b1b32</t>
        </is>
      </c>
      <c r="B63" t="inlineStr">
        <is>
          <t>Senior Applied Scientist, Artificial General Intelligence</t>
        </is>
      </c>
      <c r="C63" t="inlineStr">
        <is>
          <t>Amazon.com</t>
        </is>
      </c>
      <c r="D63" t="inlineStr">
        <is>
          <t>indeed</t>
        </is>
      </c>
      <c r="E63" t="inlineStr"/>
      <c r="F63" t="inlineStr"/>
      <c r="G63" t="inlineStr">
        <is>
          <t>Sunnyvale, CA, US</t>
        </is>
      </c>
      <c r="H63" s="2" t="n">
        <v>45980</v>
      </c>
      <c r="I6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in-9aea37dbd8e26004</t>
        </is>
      </c>
      <c r="B64" t="inlineStr">
        <is>
          <t>Senior Applied Scientist, Artificial General Intelligence</t>
        </is>
      </c>
      <c r="C64" t="inlineStr">
        <is>
          <t>Amazon.com</t>
        </is>
      </c>
      <c r="D64" t="inlineStr">
        <is>
          <t>indeed</t>
        </is>
      </c>
      <c r="E64" t="inlineStr"/>
      <c r="F64" t="inlineStr"/>
      <c r="G64" t="inlineStr">
        <is>
          <t>Boston, MA, US</t>
        </is>
      </c>
      <c r="H64" s="2" t="n">
        <v>45980</v>
      </c>
      <c r="I6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in-93e193394c2a0d90</t>
        </is>
      </c>
      <c r="B65" t="inlineStr">
        <is>
          <t>Applied Scientist II, SPB Advertiser Guidance</t>
        </is>
      </c>
      <c r="C65" t="inlineStr">
        <is>
          <t>Amazon.com</t>
        </is>
      </c>
      <c r="D65" t="inlineStr">
        <is>
          <t>indeed</t>
        </is>
      </c>
      <c r="E65" t="inlineStr"/>
      <c r="F65" t="inlineStr"/>
      <c r="G65" t="inlineStr">
        <is>
          <t>Palo Alto, CA, US</t>
        </is>
      </c>
      <c r="H65" s="2" t="n">
        <v>45980</v>
      </c>
      <c r="I6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in-f7da4a056db065e1</t>
        </is>
      </c>
      <c r="B66" t="inlineStr">
        <is>
          <t>Applied Scientist II, SPB Advertiser Guidance</t>
        </is>
      </c>
      <c r="C66" t="inlineStr">
        <is>
          <t>Amazon.com</t>
        </is>
      </c>
      <c r="D66" t="inlineStr">
        <is>
          <t>indeed</t>
        </is>
      </c>
      <c r="E66" t="inlineStr"/>
      <c r="F66" t="inlineStr"/>
      <c r="G66" t="inlineStr">
        <is>
          <t>New York, NY, US</t>
        </is>
      </c>
      <c r="H66" s="2" t="n">
        <v>45980</v>
      </c>
      <c r="I6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in-e5a6d893d4766c2b</t>
        </is>
      </c>
      <c r="B67" t="inlineStr">
        <is>
          <t>Applied Scientist II, SPB Advertiser Guidance</t>
        </is>
      </c>
      <c r="C67" t="inlineStr">
        <is>
          <t>Amazon.com</t>
        </is>
      </c>
      <c r="D67" t="inlineStr">
        <is>
          <t>indeed</t>
        </is>
      </c>
      <c r="E67" t="inlineStr"/>
      <c r="F67" t="inlineStr"/>
      <c r="G67" t="inlineStr">
        <is>
          <t>Seattle, WA, US</t>
        </is>
      </c>
      <c r="H67" s="2" t="n">
        <v>45980</v>
      </c>
      <c r="I6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in-1bb40146870e1a52</t>
        </is>
      </c>
      <c r="B68" t="inlineStr">
        <is>
          <t>Principal Applied Scientist, Sponsored Products and Brands</t>
        </is>
      </c>
      <c r="C68" t="inlineStr">
        <is>
          <t>Amazon.com</t>
        </is>
      </c>
      <c r="D68" t="inlineStr">
        <is>
          <t>indeed</t>
        </is>
      </c>
      <c r="E68" t="inlineStr"/>
      <c r="F68" t="inlineStr"/>
      <c r="G68" t="inlineStr">
        <is>
          <t>Seattle, WA, US</t>
        </is>
      </c>
      <c r="H68" s="2" t="n">
        <v>45979</v>
      </c>
      <c r="I6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in-f5311480c1800a65</t>
        </is>
      </c>
      <c r="B69" t="inlineStr">
        <is>
          <t>Principal Applied Scientist, Sponsored Products and Brands</t>
        </is>
      </c>
      <c r="C69" t="inlineStr">
        <is>
          <t>Amazon.com</t>
        </is>
      </c>
      <c r="D69" t="inlineStr">
        <is>
          <t>indeed</t>
        </is>
      </c>
      <c r="E69" t="inlineStr"/>
      <c r="F69" t="inlineStr"/>
      <c r="G69" t="inlineStr">
        <is>
          <t>New York, NY, US</t>
        </is>
      </c>
      <c r="H69" s="2" t="n">
        <v>45979</v>
      </c>
      <c r="I6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in-7dee62e93af5a1ba</t>
        </is>
      </c>
      <c r="B70" t="inlineStr">
        <is>
          <t>Sr. Applied Scientist, Prime Video - Personalization and Discovery Science</t>
        </is>
      </c>
      <c r="C70" t="inlineStr">
        <is>
          <t>Amazon.com</t>
        </is>
      </c>
      <c r="D70" t="inlineStr">
        <is>
          <t>indeed</t>
        </is>
      </c>
      <c r="E70" t="inlineStr"/>
      <c r="F70" t="inlineStr"/>
      <c r="G70" t="inlineStr">
        <is>
          <t>Seattle, WA, US</t>
        </is>
      </c>
      <c r="H70" s="2" t="n">
        <v>45969</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in-8428de89716252e4</t>
        </is>
      </c>
      <c r="B71" t="inlineStr">
        <is>
          <t>Sr. Applied Scientist, Prime Video - Personalization and Discovery Science</t>
        </is>
      </c>
      <c r="C71" t="inlineStr">
        <is>
          <t>Amazon.com</t>
        </is>
      </c>
      <c r="D71" t="inlineStr">
        <is>
          <t>indeed</t>
        </is>
      </c>
      <c r="E71" t="inlineStr"/>
      <c r="F71" t="inlineStr"/>
      <c r="G71" t="inlineStr">
        <is>
          <t>New York, NY, US</t>
        </is>
      </c>
      <c r="H71" s="2" t="n">
        <v>45969</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in-b2efe6005ffb8626</t>
        </is>
      </c>
      <c r="B72" t="inlineStr">
        <is>
          <t>Sr. Applied Scientist, Prime Video - Personalization and Discovery Science</t>
        </is>
      </c>
      <c r="C72" t="inlineStr">
        <is>
          <t>Amazon.com</t>
        </is>
      </c>
      <c r="D72" t="inlineStr">
        <is>
          <t>indeed</t>
        </is>
      </c>
      <c r="E72" t="inlineStr"/>
      <c r="F72" t="inlineStr"/>
      <c r="G72" t="inlineStr">
        <is>
          <t>Sunnyvale, CA, US</t>
        </is>
      </c>
      <c r="H72" s="2" t="n">
        <v>45969</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in-383318ea043906dd</t>
        </is>
      </c>
      <c r="B73" t="inlineStr">
        <is>
          <t>Principal Applied Scientist, Amazon AGI</t>
        </is>
      </c>
      <c r="C73" t="inlineStr">
        <is>
          <t>Amazon.com</t>
        </is>
      </c>
      <c r="D73" t="inlineStr">
        <is>
          <t>indeed</t>
        </is>
      </c>
      <c r="E73" t="inlineStr"/>
      <c r="F73" t="inlineStr"/>
      <c r="G73" t="inlineStr">
        <is>
          <t>Boston, MA, US</t>
        </is>
      </c>
      <c r="H73" s="2" t="n">
        <v>45964</v>
      </c>
      <c r="I7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in-ad18fd55e1a7a5b4</t>
        </is>
      </c>
      <c r="B74" t="inlineStr">
        <is>
          <t>Principal Applied Scientist, Amazon AGI</t>
        </is>
      </c>
      <c r="C74" t="inlineStr">
        <is>
          <t>Amazon.com</t>
        </is>
      </c>
      <c r="D74" t="inlineStr">
        <is>
          <t>indeed</t>
        </is>
      </c>
      <c r="E74" t="inlineStr"/>
      <c r="F74" t="inlineStr"/>
      <c r="G74" t="inlineStr">
        <is>
          <t>San Francisco, CA, US</t>
        </is>
      </c>
      <c r="H74" s="2" t="n">
        <v>45964</v>
      </c>
      <c r="I7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in-f47602d417dc7286</t>
        </is>
      </c>
      <c r="B75" t="inlineStr">
        <is>
          <t>Principal Applied Scientist, AWS Agentic AI Science</t>
        </is>
      </c>
      <c r="C75" t="inlineStr">
        <is>
          <t>Amazon Web Services</t>
        </is>
      </c>
      <c r="D75" t="inlineStr">
        <is>
          <t>indeed</t>
        </is>
      </c>
      <c r="E75" t="inlineStr"/>
      <c r="F75" t="inlineStr"/>
      <c r="G75" t="inlineStr">
        <is>
          <t>Santa Clara, CA, US</t>
        </is>
      </c>
      <c r="H75" s="2" t="n">
        <v>45963</v>
      </c>
      <c r="I75"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in-507b72d2aa5baba6</t>
        </is>
      </c>
      <c r="B76" t="inlineStr">
        <is>
          <t>Principal Applied Scientist, AWS Agentic AI Science</t>
        </is>
      </c>
      <c r="C76" t="inlineStr">
        <is>
          <t>Amazon Web Services</t>
        </is>
      </c>
      <c r="D76" t="inlineStr">
        <is>
          <t>indeed</t>
        </is>
      </c>
      <c r="E76" t="inlineStr"/>
      <c r="F76" t="inlineStr"/>
      <c r="G76" t="inlineStr">
        <is>
          <t>New York, NY, US</t>
        </is>
      </c>
      <c r="H76" s="2" t="n">
        <v>45963</v>
      </c>
      <c r="I76"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in-a668c92f90725871</t>
        </is>
      </c>
      <c r="B77" t="inlineStr">
        <is>
          <t>Sr. Applied Scientist, Sponsored Product Off-Search</t>
        </is>
      </c>
      <c r="C77" t="inlineStr">
        <is>
          <t>Amazon.com</t>
        </is>
      </c>
      <c r="D77" t="inlineStr">
        <is>
          <t>indeed</t>
        </is>
      </c>
      <c r="E77" t="inlineStr"/>
      <c r="F77" t="inlineStr"/>
      <c r="G77" t="inlineStr">
        <is>
          <t>Seattle, WA, US</t>
        </is>
      </c>
      <c r="H77" s="2" t="n">
        <v>45963</v>
      </c>
      <c r="I77"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in-2affaff9efc85947</t>
        </is>
      </c>
      <c r="B78" t="inlineStr">
        <is>
          <t>Sr. Applied Scientist, Sponsored Product Off-Search</t>
        </is>
      </c>
      <c r="C78" t="inlineStr">
        <is>
          <t>Amazon.com</t>
        </is>
      </c>
      <c r="D78" t="inlineStr">
        <is>
          <t>indeed</t>
        </is>
      </c>
      <c r="E78" t="inlineStr"/>
      <c r="F78" t="inlineStr"/>
      <c r="G78" t="inlineStr">
        <is>
          <t>New York, NY, US</t>
        </is>
      </c>
      <c r="H78" s="2" t="n">
        <v>45963</v>
      </c>
      <c r="I78"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in-378a9fec93d9db2a</t>
        </is>
      </c>
      <c r="B79" t="inlineStr">
        <is>
          <t>Applied Scientist, AWS Agentic AI</t>
        </is>
      </c>
      <c r="C79" t="inlineStr">
        <is>
          <t>Amazon Web Services</t>
        </is>
      </c>
      <c r="D79" t="inlineStr">
        <is>
          <t>indeed</t>
        </is>
      </c>
      <c r="E79" t="inlineStr"/>
      <c r="F79" t="inlineStr"/>
      <c r="G79" t="inlineStr">
        <is>
          <t>Seattle, WA, US</t>
        </is>
      </c>
      <c r="H79" s="2" t="n">
        <v>45962</v>
      </c>
      <c r="I7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in-d0193dc073cfe645</t>
        </is>
      </c>
      <c r="B80" t="inlineStr">
        <is>
          <t>Applied Scientist, AWS Agentic AI</t>
        </is>
      </c>
      <c r="C80" t="inlineStr">
        <is>
          <t>Amazon Web Services</t>
        </is>
      </c>
      <c r="D80" t="inlineStr">
        <is>
          <t>indeed</t>
        </is>
      </c>
      <c r="E80" t="inlineStr"/>
      <c r="F80" t="inlineStr"/>
      <c r="G80" t="inlineStr">
        <is>
          <t>New York, NY, US</t>
        </is>
      </c>
      <c r="H80" s="2" t="n">
        <v>45962</v>
      </c>
      <c r="I8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in-e0f8aa42ecc4073b</t>
        </is>
      </c>
      <c r="B81" t="inlineStr">
        <is>
          <t>Applied Scientist, AWS Agentic AI</t>
        </is>
      </c>
      <c r="C81" t="inlineStr">
        <is>
          <t>Amazon Web Services</t>
        </is>
      </c>
      <c r="D81" t="inlineStr">
        <is>
          <t>indeed</t>
        </is>
      </c>
      <c r="E81" t="inlineStr"/>
      <c r="F81" t="inlineStr"/>
      <c r="G81" t="inlineStr">
        <is>
          <t>Santa Clara, CA, US</t>
        </is>
      </c>
      <c r="H81" s="2" t="n">
        <v>45962</v>
      </c>
      <c r="I8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in-ad159e2c7a42fdc4</t>
        </is>
      </c>
      <c r="B82" t="inlineStr">
        <is>
          <t>Principal Applied Scientist, Advertiser Growth, Amazon Sponsored Products &amp; Brands</t>
        </is>
      </c>
      <c r="C82" t="inlineStr">
        <is>
          <t>Amazon.com</t>
        </is>
      </c>
      <c r="D82" t="inlineStr">
        <is>
          <t>indeed</t>
        </is>
      </c>
      <c r="E82" t="inlineStr"/>
      <c r="F82" t="inlineStr"/>
      <c r="G82" t="inlineStr">
        <is>
          <t>Palo Alto, CA, US</t>
        </is>
      </c>
      <c r="H82" s="2" t="n">
        <v>45942</v>
      </c>
      <c r="I8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in-4265d9b2212d068a</t>
        </is>
      </c>
      <c r="B83" t="inlineStr">
        <is>
          <t>Principal Applied Scientist, Advertiser Growth, Amazon Sponsored Products &amp; Brands</t>
        </is>
      </c>
      <c r="C83" t="inlineStr">
        <is>
          <t>Amazon.com</t>
        </is>
      </c>
      <c r="D83" t="inlineStr">
        <is>
          <t>indeed</t>
        </is>
      </c>
      <c r="E83" t="inlineStr"/>
      <c r="F83" t="inlineStr"/>
      <c r="G83" t="inlineStr">
        <is>
          <t>Seattle, WA, US</t>
        </is>
      </c>
      <c r="H83" s="2" t="n">
        <v>45942</v>
      </c>
      <c r="I8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in-54a00302b0e45f6a</t>
        </is>
      </c>
      <c r="B84" t="inlineStr">
        <is>
          <t>Principal Applied Scientist, Advertiser Growth, Amazon Sponsored Products &amp; Brands</t>
        </is>
      </c>
      <c r="C84" t="inlineStr">
        <is>
          <t>Amazon.com</t>
        </is>
      </c>
      <c r="D84" t="inlineStr">
        <is>
          <t>indeed</t>
        </is>
      </c>
      <c r="E84" t="inlineStr"/>
      <c r="F84" t="inlineStr"/>
      <c r="G84" t="inlineStr">
        <is>
          <t>New York, NY, US</t>
        </is>
      </c>
      <c r="H84" s="2" t="n">
        <v>45942</v>
      </c>
      <c r="I8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in-5e4b13bd12e5defa</t>
        </is>
      </c>
      <c r="B85" t="inlineStr">
        <is>
          <t>Applied Scientist</t>
        </is>
      </c>
      <c r="C85" t="inlineStr">
        <is>
          <t>Amazon.com</t>
        </is>
      </c>
      <c r="D85" t="inlineStr">
        <is>
          <t>indeed</t>
        </is>
      </c>
      <c r="E85" t="inlineStr"/>
      <c r="F85" t="inlineStr"/>
      <c r="G85" t="inlineStr">
        <is>
          <t>Seattle, WA, US</t>
        </is>
      </c>
      <c r="H85" s="2" t="n">
        <v>45939</v>
      </c>
      <c r="I8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in-b8f3dc79ae7a6a12</t>
        </is>
      </c>
      <c r="B86" t="inlineStr">
        <is>
          <t>Applied Scientist</t>
        </is>
      </c>
      <c r="C86" t="inlineStr">
        <is>
          <t>Amazon.com</t>
        </is>
      </c>
      <c r="D86" t="inlineStr">
        <is>
          <t>indeed</t>
        </is>
      </c>
      <c r="E86" t="inlineStr"/>
      <c r="F86" t="inlineStr"/>
      <c r="G86" t="inlineStr">
        <is>
          <t>New York, NY, US</t>
        </is>
      </c>
      <c r="H86" s="2" t="n">
        <v>45939</v>
      </c>
      <c r="I8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in-9f590b7e1994c7ef</t>
        </is>
      </c>
      <c r="B87" t="inlineStr">
        <is>
          <t>Sr. Applied Scientist, SPB Advertiser Guidance</t>
        </is>
      </c>
      <c r="C87" t="inlineStr">
        <is>
          <t>Amazon.com</t>
        </is>
      </c>
      <c r="D87" t="inlineStr">
        <is>
          <t>indeed</t>
        </is>
      </c>
      <c r="E87" t="inlineStr"/>
      <c r="F87" t="inlineStr"/>
      <c r="G87" t="inlineStr">
        <is>
          <t>New York, NY, US</t>
        </is>
      </c>
      <c r="H87" s="2" t="n">
        <v>45939</v>
      </c>
      <c r="I8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in-db8c355184327274</t>
        </is>
      </c>
      <c r="B88" t="inlineStr">
        <is>
          <t>Sr. Applied Scientist, SPB Advertiser Guidance</t>
        </is>
      </c>
      <c r="C88" t="inlineStr">
        <is>
          <t>Amazon.com</t>
        </is>
      </c>
      <c r="D88" t="inlineStr">
        <is>
          <t>indeed</t>
        </is>
      </c>
      <c r="E88" t="inlineStr"/>
      <c r="F88" t="inlineStr"/>
      <c r="G88" t="inlineStr">
        <is>
          <t>Palo Alto, CA, US</t>
        </is>
      </c>
      <c r="H88" s="2" t="n">
        <v>45939</v>
      </c>
      <c r="I8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in-925aa4ee5523cd0f</t>
        </is>
      </c>
      <c r="B89" t="inlineStr">
        <is>
          <t>Sr. Applied Scientist, SPB Advertiser Guidance</t>
        </is>
      </c>
      <c r="C89" t="inlineStr">
        <is>
          <t>Amazon.com</t>
        </is>
      </c>
      <c r="D89" t="inlineStr">
        <is>
          <t>indeed</t>
        </is>
      </c>
      <c r="E89" t="inlineStr"/>
      <c r="F89" t="inlineStr"/>
      <c r="G89" t="inlineStr">
        <is>
          <t>Seattle, WA, US</t>
        </is>
      </c>
      <c r="H89" s="2" t="n">
        <v>45939</v>
      </c>
      <c r="I8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in-09bd0da7ecaf2b32</t>
        </is>
      </c>
      <c r="B90" t="inlineStr">
        <is>
          <t>Applied Scientist</t>
        </is>
      </c>
      <c r="C90" t="inlineStr">
        <is>
          <t>Amazon.com</t>
        </is>
      </c>
      <c r="D90" t="inlineStr">
        <is>
          <t>indeed</t>
        </is>
      </c>
      <c r="E90" t="inlineStr"/>
      <c r="F90" t="inlineStr"/>
      <c r="G90" t="inlineStr">
        <is>
          <t>Palo Alto, CA, US</t>
        </is>
      </c>
      <c r="H90" s="2" t="n">
        <v>45939</v>
      </c>
      <c r="I9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in-5d235b96ddc9d81a</t>
        </is>
      </c>
      <c r="B91" t="inlineStr">
        <is>
          <t>Principal Applied Scientist, Amazon - Sponsored Products</t>
        </is>
      </c>
      <c r="C91" t="inlineStr">
        <is>
          <t>Amazon.com</t>
        </is>
      </c>
      <c r="D91" t="inlineStr">
        <is>
          <t>indeed</t>
        </is>
      </c>
      <c r="E91" t="inlineStr"/>
      <c r="F91" t="inlineStr"/>
      <c r="G91" t="inlineStr">
        <is>
          <t>Seattle, WA, US</t>
        </is>
      </c>
      <c r="H91" s="2" t="n">
        <v>45924</v>
      </c>
      <c r="I91"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in-4dc5348b96876cde</t>
        </is>
      </c>
      <c r="B92" t="inlineStr">
        <is>
          <t>Principal Applied Scientist, Amazon - Sponsored Products</t>
        </is>
      </c>
      <c r="C92" t="inlineStr">
        <is>
          <t>Amazon.com</t>
        </is>
      </c>
      <c r="D92" t="inlineStr">
        <is>
          <t>indeed</t>
        </is>
      </c>
      <c r="E92" t="inlineStr"/>
      <c r="F92" t="inlineStr"/>
      <c r="G92" t="inlineStr">
        <is>
          <t>Palo Alto, CA, US</t>
        </is>
      </c>
      <c r="H92" s="2" t="n">
        <v>45924</v>
      </c>
      <c r="I92"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in-181223e81f8f0faf</t>
        </is>
      </c>
      <c r="B93" t="inlineStr">
        <is>
          <t>Principal Applied Scientist, Amazon - Sponsored Products</t>
        </is>
      </c>
      <c r="C93" t="inlineStr">
        <is>
          <t>Amazon.com</t>
        </is>
      </c>
      <c r="D93" t="inlineStr">
        <is>
          <t>indeed</t>
        </is>
      </c>
      <c r="E93" t="inlineStr"/>
      <c r="F93" t="inlineStr"/>
      <c r="G93" t="inlineStr">
        <is>
          <t>New York, NY, US</t>
        </is>
      </c>
      <c r="H93" s="2" t="n">
        <v>45924</v>
      </c>
      <c r="I93"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in-8e0e8b22e14e8eeb</t>
        </is>
      </c>
      <c r="B94" t="inlineStr">
        <is>
          <t>Senior Applied Scientist, Sponsored Products and Brands</t>
        </is>
      </c>
      <c r="C94" t="inlineStr">
        <is>
          <t>Amazon.com</t>
        </is>
      </c>
      <c r="D94" t="inlineStr">
        <is>
          <t>indeed</t>
        </is>
      </c>
      <c r="E94" t="inlineStr"/>
      <c r="F94" t="inlineStr"/>
      <c r="G94" t="inlineStr">
        <is>
          <t>Seattle, WA, US</t>
        </is>
      </c>
      <c r="H94" s="2" t="n">
        <v>45922</v>
      </c>
      <c r="I9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in-98a3e5e449325349</t>
        </is>
      </c>
      <c r="B95" t="inlineStr">
        <is>
          <t>Senior Applied Scientist, Sponsored Products and Brands</t>
        </is>
      </c>
      <c r="C95" t="inlineStr">
        <is>
          <t>Amazon.com</t>
        </is>
      </c>
      <c r="D95" t="inlineStr">
        <is>
          <t>indeed</t>
        </is>
      </c>
      <c r="E95" t="inlineStr"/>
      <c r="F95" t="inlineStr"/>
      <c r="G95" t="inlineStr">
        <is>
          <t>New York, NY, US</t>
        </is>
      </c>
      <c r="H95" s="2" t="n">
        <v>45922</v>
      </c>
      <c r="I9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in-9375da21d3b54635</t>
        </is>
      </c>
      <c r="B96" t="inlineStr">
        <is>
          <t>Applied Scientist, Workplace Health &amp; Safety</t>
        </is>
      </c>
      <c r="C96" t="inlineStr">
        <is>
          <t>Amazon.com</t>
        </is>
      </c>
      <c r="D96" t="inlineStr">
        <is>
          <t>indeed</t>
        </is>
      </c>
      <c r="E96" t="inlineStr"/>
      <c r="F96" t="inlineStr"/>
      <c r="G96" t="inlineStr">
        <is>
          <t>Nashville, TN, US</t>
        </is>
      </c>
      <c r="H96" s="2" t="n">
        <v>45917</v>
      </c>
      <c r="I9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in-fe5378a613771654</t>
        </is>
      </c>
      <c r="B97" t="inlineStr">
        <is>
          <t>Applied Scientist, Workplace Health &amp; Safety</t>
        </is>
      </c>
      <c r="C97" t="inlineStr">
        <is>
          <t>Amazon.com</t>
        </is>
      </c>
      <c r="D97" t="inlineStr">
        <is>
          <t>indeed</t>
        </is>
      </c>
      <c r="E97" t="inlineStr"/>
      <c r="F97" t="inlineStr"/>
      <c r="G97" t="inlineStr">
        <is>
          <t>Bellevue, WA, US</t>
        </is>
      </c>
      <c r="H97" s="2" t="n">
        <v>45917</v>
      </c>
      <c r="I9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in-c975e20e86a0d449</t>
        </is>
      </c>
      <c r="B98" t="inlineStr">
        <is>
          <t>Applied Scientist II, Creative X - RAPID</t>
        </is>
      </c>
      <c r="C98" t="inlineStr">
        <is>
          <t>Amazon.com</t>
        </is>
      </c>
      <c r="D98" t="inlineStr">
        <is>
          <t>indeed</t>
        </is>
      </c>
      <c r="E98" t="inlineStr"/>
      <c r="F98" t="inlineStr"/>
      <c r="G98" t="inlineStr">
        <is>
          <t>New York, NY, US</t>
        </is>
      </c>
      <c r="H98" s="2" t="n">
        <v>45908</v>
      </c>
      <c r="I98"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in-fdf441585b07e03f</t>
        </is>
      </c>
      <c r="B99" t="inlineStr">
        <is>
          <t>Applied Scientist II, Creative X - RAPID</t>
        </is>
      </c>
      <c r="C99" t="inlineStr">
        <is>
          <t>Amazon.com</t>
        </is>
      </c>
      <c r="D99" t="inlineStr">
        <is>
          <t>indeed</t>
        </is>
      </c>
      <c r="E99" t="inlineStr"/>
      <c r="F99" t="inlineStr"/>
      <c r="G99" t="inlineStr">
        <is>
          <t>Seattle, WA, US</t>
        </is>
      </c>
      <c r="H99" s="2" t="n">
        <v>45908</v>
      </c>
      <c r="I99"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in-d4efffd56b062bc8</t>
        </is>
      </c>
      <c r="B100" t="inlineStr">
        <is>
          <t>Senior Applied Scientist, Agentic AI for Data Analytics and Science, Speed Analytics and Science</t>
        </is>
      </c>
      <c r="C100" t="inlineStr">
        <is>
          <t>Amazon.com</t>
        </is>
      </c>
      <c r="D100" t="inlineStr">
        <is>
          <t>indeed</t>
        </is>
      </c>
      <c r="E100" t="inlineStr"/>
      <c r="F100" t="inlineStr"/>
      <c r="G100" t="inlineStr">
        <is>
          <t>Tempe, AZ, US</t>
        </is>
      </c>
      <c r="H100" s="2" t="n">
        <v>45880</v>
      </c>
      <c r="I100"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in-014267953457723e</t>
        </is>
      </c>
      <c r="B101" t="inlineStr">
        <is>
          <t>Senior Applied Scientist, Agentic AI for Data Analytics and Science, Speed Analytics and Science</t>
        </is>
      </c>
      <c r="C101" t="inlineStr">
        <is>
          <t>Amazon.com</t>
        </is>
      </c>
      <c r="D101" t="inlineStr">
        <is>
          <t>indeed</t>
        </is>
      </c>
      <c r="E101" t="inlineStr"/>
      <c r="F101" t="inlineStr"/>
      <c r="G101" t="inlineStr">
        <is>
          <t>Bellevue, WA, US</t>
        </is>
      </c>
      <c r="H101" s="2" t="n">
        <v>45880</v>
      </c>
      <c r="I101"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in-6b89675d10b103b4</t>
        </is>
      </c>
      <c r="B102" t="inlineStr">
        <is>
          <t>Sr. Applied Scientist, Amazon Advertising</t>
        </is>
      </c>
      <c r="C102" t="inlineStr">
        <is>
          <t>Amazon.com</t>
        </is>
      </c>
      <c r="D102" t="inlineStr">
        <is>
          <t>indeed</t>
        </is>
      </c>
      <c r="E102" t="inlineStr"/>
      <c r="F102" t="inlineStr"/>
      <c r="G102" t="inlineStr">
        <is>
          <t>Seattle, WA, US</t>
        </is>
      </c>
      <c r="H102" s="2"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in-109b685cf3ba5876</t>
        </is>
      </c>
      <c r="B103" t="inlineStr">
        <is>
          <t>Sr. Applied Scientist, Amazon Advertising</t>
        </is>
      </c>
      <c r="C103" t="inlineStr">
        <is>
          <t>Amazon.com</t>
        </is>
      </c>
      <c r="D103" t="inlineStr">
        <is>
          <t>indeed</t>
        </is>
      </c>
      <c r="E103" t="inlineStr"/>
      <c r="F103" t="inlineStr"/>
      <c r="G103" t="inlineStr">
        <is>
          <t>Los Angeles, CA, US</t>
        </is>
      </c>
      <c r="H103" s="2"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in-239f48ad840feeef</t>
        </is>
      </c>
      <c r="B104" t="inlineStr">
        <is>
          <t>Sr. Applied Scientist, Amazon Advertising</t>
        </is>
      </c>
      <c r="C104" t="inlineStr">
        <is>
          <t>Amazon.com</t>
        </is>
      </c>
      <c r="D104" t="inlineStr">
        <is>
          <t>indeed</t>
        </is>
      </c>
      <c r="E104" t="inlineStr"/>
      <c r="F104" t="inlineStr"/>
      <c r="G104" t="inlineStr">
        <is>
          <t>Simi Valley, CA, US</t>
        </is>
      </c>
      <c r="H104" s="2" t="n">
        <v>45851</v>
      </c>
      <c r="I1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in-06f08f0bd8b58cc3</t>
        </is>
      </c>
      <c r="B105" t="inlineStr">
        <is>
          <t>Sr. Applied Scientist, Amazon Advertising</t>
        </is>
      </c>
      <c r="C105" t="inlineStr">
        <is>
          <t>Amazon.com</t>
        </is>
      </c>
      <c r="D105" t="inlineStr">
        <is>
          <t>indeed</t>
        </is>
      </c>
      <c r="E105" t="inlineStr"/>
      <c r="F105" t="inlineStr"/>
      <c r="G105" t="inlineStr">
        <is>
          <t>West Hollywood, CA, US</t>
        </is>
      </c>
      <c r="H105" s="2"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in-3e4b60a26f42eb40</t>
        </is>
      </c>
      <c r="B106" t="inlineStr">
        <is>
          <t>Sr. Applied Scientist, Amazon Advertising</t>
        </is>
      </c>
      <c r="C106" t="inlineStr">
        <is>
          <t>Amazon.com</t>
        </is>
      </c>
      <c r="D106" t="inlineStr">
        <is>
          <t>indeed</t>
        </is>
      </c>
      <c r="E106" t="inlineStr"/>
      <c r="F106" t="inlineStr"/>
      <c r="G106" t="inlineStr">
        <is>
          <t>Austin, TX, US</t>
        </is>
      </c>
      <c r="H106" s="2"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in-3a28b4f0ee9c84e2</t>
        </is>
      </c>
      <c r="B107" t="inlineStr">
        <is>
          <t>Sr. Applied Scientist, Amazon Advertising</t>
        </is>
      </c>
      <c r="C107" t="inlineStr">
        <is>
          <t>Amazon.com</t>
        </is>
      </c>
      <c r="D107" t="inlineStr">
        <is>
          <t>indeed</t>
        </is>
      </c>
      <c r="E107" t="inlineStr"/>
      <c r="F107" t="inlineStr"/>
      <c r="G107" t="inlineStr">
        <is>
          <t>Arlington, VA, US</t>
        </is>
      </c>
      <c r="H107" s="2"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in-5f97e999fd14b849</t>
        </is>
      </c>
      <c r="B108" t="inlineStr">
        <is>
          <t>Sr. Applied Scientist, Amazon Advertising</t>
        </is>
      </c>
      <c r="C108" t="inlineStr">
        <is>
          <t>Amazon.com</t>
        </is>
      </c>
      <c r="D108" t="inlineStr">
        <is>
          <t>indeed</t>
        </is>
      </c>
      <c r="E108" t="inlineStr"/>
      <c r="F108" t="inlineStr"/>
      <c r="G108" t="inlineStr">
        <is>
          <t>New York, NY, US</t>
        </is>
      </c>
      <c r="H108" s="2"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in-67959d873e51e614</t>
        </is>
      </c>
      <c r="B109" t="inlineStr">
        <is>
          <t>Sr. Applied Scientist, Amazon Advertising</t>
        </is>
      </c>
      <c r="C109" t="inlineStr">
        <is>
          <t>Amazon.com</t>
        </is>
      </c>
      <c r="D109" t="inlineStr">
        <is>
          <t>indeed</t>
        </is>
      </c>
      <c r="E109" t="inlineStr"/>
      <c r="F109" t="inlineStr"/>
      <c r="G109" t="inlineStr">
        <is>
          <t>Palo Alto, CA, US</t>
        </is>
      </c>
      <c r="H109" s="2"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in-1831fdffddd97b2e</t>
        </is>
      </c>
      <c r="B110" t="inlineStr">
        <is>
          <t>Senior Applied Scientist, Artificial General Intelligence</t>
        </is>
      </c>
      <c r="C110" t="inlineStr">
        <is>
          <t>Amazon.com</t>
        </is>
      </c>
      <c r="D110" t="inlineStr">
        <is>
          <t>indeed</t>
        </is>
      </c>
      <c r="E110" t="inlineStr"/>
      <c r="F110" t="inlineStr"/>
      <c r="G110" t="inlineStr">
        <is>
          <t>Sunnyvale, CA, US</t>
        </is>
      </c>
      <c r="H110" s="2" t="n">
        <v>45838</v>
      </c>
      <c r="I11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in-a2396eede8c1517c</t>
        </is>
      </c>
      <c r="B111" t="inlineStr">
        <is>
          <t>Senior Applied Scientist, Artificial General Intelligence</t>
        </is>
      </c>
      <c r="C111" t="inlineStr">
        <is>
          <t>Amazon.com</t>
        </is>
      </c>
      <c r="D111" t="inlineStr">
        <is>
          <t>indeed</t>
        </is>
      </c>
      <c r="E111" t="inlineStr"/>
      <c r="F111" t="inlineStr"/>
      <c r="G111" t="inlineStr">
        <is>
          <t>Boston, MA, US</t>
        </is>
      </c>
      <c r="H111" s="2" t="n">
        <v>45838</v>
      </c>
      <c r="I11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in-ce2df4f66a0c0bda</t>
        </is>
      </c>
      <c r="B112" t="inlineStr">
        <is>
          <t>Senior Applied Scientist, Artificial General Intelligence</t>
        </is>
      </c>
      <c r="C112" t="inlineStr">
        <is>
          <t>Amazon.com</t>
        </is>
      </c>
      <c r="D112" t="inlineStr">
        <is>
          <t>indeed</t>
        </is>
      </c>
      <c r="E112" t="inlineStr"/>
      <c r="F112" t="inlineStr"/>
      <c r="G112" t="inlineStr">
        <is>
          <t>New York, NY, US</t>
        </is>
      </c>
      <c r="H112" s="2" t="n">
        <v>45838</v>
      </c>
      <c r="I11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in-2d7dcd163ad0f289</t>
        </is>
      </c>
      <c r="B113" t="inlineStr">
        <is>
          <t>Sr. Applied Scientist, Sales AI</t>
        </is>
      </c>
      <c r="C113" t="inlineStr">
        <is>
          <t>Amazon.com</t>
        </is>
      </c>
      <c r="D113" t="inlineStr">
        <is>
          <t>indeed</t>
        </is>
      </c>
      <c r="E113" t="inlineStr"/>
      <c r="F113" t="inlineStr"/>
      <c r="G113" t="inlineStr">
        <is>
          <t>Seattle, WA, US</t>
        </is>
      </c>
      <c r="H113" s="2" t="n">
        <v>45830</v>
      </c>
      <c r="I11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in-1755cd0dc6a7ddbc</t>
        </is>
      </c>
      <c r="B114" t="inlineStr">
        <is>
          <t>Sr. Applied Scientist, Sales AI</t>
        </is>
      </c>
      <c r="C114" t="inlineStr">
        <is>
          <t>Amazon.com</t>
        </is>
      </c>
      <c r="D114" t="inlineStr">
        <is>
          <t>indeed</t>
        </is>
      </c>
      <c r="E114" t="inlineStr"/>
      <c r="F114" t="inlineStr"/>
      <c r="G114" t="inlineStr">
        <is>
          <t>New York, NY, US</t>
        </is>
      </c>
      <c r="H114" s="2" t="n">
        <v>45830</v>
      </c>
      <c r="I11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in-7ddca397a48bc9c9</t>
        </is>
      </c>
      <c r="B115" t="inlineStr">
        <is>
          <t>Sr. Applied Scientist, Sales AI</t>
        </is>
      </c>
      <c r="C115" t="inlineStr">
        <is>
          <t>Amazon.com</t>
        </is>
      </c>
      <c r="D115" t="inlineStr">
        <is>
          <t>indeed</t>
        </is>
      </c>
      <c r="E115" t="inlineStr"/>
      <c r="F115" t="inlineStr"/>
      <c r="G115" t="inlineStr">
        <is>
          <t>Sunnyvale, CA, US</t>
        </is>
      </c>
      <c r="H115" s="2" t="n">
        <v>45830</v>
      </c>
      <c r="I11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in-fe647bc3bc786966</t>
        </is>
      </c>
      <c r="B116" t="inlineStr">
        <is>
          <t>Sr. Applied Scientist, AGI Info</t>
        </is>
      </c>
      <c r="C116" t="inlineStr">
        <is>
          <t>Amazon.com</t>
        </is>
      </c>
      <c r="D116" t="inlineStr">
        <is>
          <t>indeed</t>
        </is>
      </c>
      <c r="E116" t="inlineStr"/>
      <c r="F116" t="inlineStr"/>
      <c r="G116" t="inlineStr">
        <is>
          <t>Bellevue, WA, US</t>
        </is>
      </c>
      <c r="H116" s="2" t="n">
        <v>45811</v>
      </c>
      <c r="I116"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in-a2613389cfd89f67</t>
        </is>
      </c>
      <c r="B117" t="inlineStr">
        <is>
          <t>Sr. Applied Scientist, AGI Info</t>
        </is>
      </c>
      <c r="C117" t="inlineStr">
        <is>
          <t>Amazon.com</t>
        </is>
      </c>
      <c r="D117" t="inlineStr">
        <is>
          <t>indeed</t>
        </is>
      </c>
      <c r="E117" t="inlineStr"/>
      <c r="F117" t="inlineStr"/>
      <c r="G117" t="inlineStr">
        <is>
          <t>Sunnyvale, CA, US</t>
        </is>
      </c>
      <c r="H117" s="2" t="n">
        <v>45811</v>
      </c>
      <c r="I117"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in-b17278dc7d17d08a</t>
        </is>
      </c>
      <c r="B118" t="inlineStr">
        <is>
          <t>Principal Applied Scientist, Delivery Foundation Model</t>
        </is>
      </c>
      <c r="C118" t="inlineStr">
        <is>
          <t>Amazon.com</t>
        </is>
      </c>
      <c r="D118" t="inlineStr">
        <is>
          <t>indeed</t>
        </is>
      </c>
      <c r="E118" t="inlineStr"/>
      <c r="F118" t="inlineStr"/>
      <c r="G118" t="inlineStr">
        <is>
          <t>Santa Clara, CA, US</t>
        </is>
      </c>
      <c r="H118" s="2" t="n">
        <v>45810</v>
      </c>
      <c r="I1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in-ed0b16b021537887</t>
        </is>
      </c>
      <c r="B119" t="inlineStr">
        <is>
          <t>Principal Applied Scientist, Delivery Foundation Model</t>
        </is>
      </c>
      <c r="C119" t="inlineStr">
        <is>
          <t>Amazon.com</t>
        </is>
      </c>
      <c r="D119" t="inlineStr">
        <is>
          <t>indeed</t>
        </is>
      </c>
      <c r="E119" t="inlineStr"/>
      <c r="F119" t="inlineStr"/>
      <c r="G119" t="inlineStr">
        <is>
          <t>New York, NY, US</t>
        </is>
      </c>
      <c r="H119" s="2" t="n">
        <v>45810</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in-c8964bb7bc7b80f0</t>
        </is>
      </c>
      <c r="B120" t="inlineStr">
        <is>
          <t>Principal Applied Scientist, Delivery Foundation Model</t>
        </is>
      </c>
      <c r="C120" t="inlineStr">
        <is>
          <t>Amazon.com</t>
        </is>
      </c>
      <c r="D120" t="inlineStr">
        <is>
          <t>indeed</t>
        </is>
      </c>
      <c r="E120" t="inlineStr"/>
      <c r="F120" t="inlineStr"/>
      <c r="G120" t="inlineStr">
        <is>
          <t>Bellevue, WA, US</t>
        </is>
      </c>
      <c r="H120" s="2" t="n">
        <v>45810</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in-d1d70541bf8e71c5</t>
        </is>
      </c>
      <c r="B121" t="inlineStr">
        <is>
          <t>Principal Applied Scientist, Delivery Foundation Model</t>
        </is>
      </c>
      <c r="C121" t="inlineStr">
        <is>
          <t>Amazon.com</t>
        </is>
      </c>
      <c r="D121" t="inlineStr">
        <is>
          <t>indeed</t>
        </is>
      </c>
      <c r="E121" t="inlineStr"/>
      <c r="F121" t="inlineStr"/>
      <c r="G121" t="inlineStr">
        <is>
          <t>Austin, TX, US</t>
        </is>
      </c>
      <c r="H121" s="2" t="n">
        <v>45810</v>
      </c>
      <c r="I12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in-0c24ff071055ed81</t>
        </is>
      </c>
      <c r="B122" t="inlineStr">
        <is>
          <t>Principal Applied Scientist, Delivery Foundation Model</t>
        </is>
      </c>
      <c r="C122" t="inlineStr">
        <is>
          <t>Amazon.com</t>
        </is>
      </c>
      <c r="D122" t="inlineStr">
        <is>
          <t>indeed</t>
        </is>
      </c>
      <c r="E122" t="inlineStr"/>
      <c r="F122" t="inlineStr"/>
      <c r="G122" t="inlineStr">
        <is>
          <t>New York, NY, US</t>
        </is>
      </c>
      <c r="H122" s="2" t="n">
        <v>45757</v>
      </c>
      <c r="I12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in-07fbd8c3aeeae798</t>
        </is>
      </c>
      <c r="B123" t="inlineStr">
        <is>
          <t>Principal Applied Scientist, Delivery Foundation Model</t>
        </is>
      </c>
      <c r="C123" t="inlineStr">
        <is>
          <t>Amazon.com</t>
        </is>
      </c>
      <c r="D123" t="inlineStr">
        <is>
          <t>indeed</t>
        </is>
      </c>
      <c r="E123" t="inlineStr"/>
      <c r="F123" t="inlineStr"/>
      <c r="G123" t="inlineStr">
        <is>
          <t>Bellevue, WA, US</t>
        </is>
      </c>
      <c r="H123" s="2" t="n">
        <v>45757</v>
      </c>
      <c r="I12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in-2d9304ae6f650936</t>
        </is>
      </c>
      <c r="B124" t="inlineStr">
        <is>
          <t>Principal Applied Scientist, Delivery Foundation Model</t>
        </is>
      </c>
      <c r="C124" t="inlineStr">
        <is>
          <t>Amazon.com</t>
        </is>
      </c>
      <c r="D124" t="inlineStr">
        <is>
          <t>indeed</t>
        </is>
      </c>
      <c r="E124" t="inlineStr"/>
      <c r="F124" t="inlineStr"/>
      <c r="G124" t="inlineStr">
        <is>
          <t>Santa Clara, CA, US</t>
        </is>
      </c>
      <c r="H124" s="2" t="n">
        <v>45757</v>
      </c>
      <c r="I12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in-e9cfed92af143b8b</t>
        </is>
      </c>
      <c r="B125" t="inlineStr">
        <is>
          <t>Principal Applied Scientist, FAR (Frontier AI &amp; Robotics)</t>
        </is>
      </c>
      <c r="C125" t="inlineStr">
        <is>
          <t>Amazon.com</t>
        </is>
      </c>
      <c r="D125" t="inlineStr">
        <is>
          <t>indeed</t>
        </is>
      </c>
      <c r="E125" t="inlineStr"/>
      <c r="F125" t="inlineStr"/>
      <c r="G125" t="inlineStr">
        <is>
          <t>San Francisco, CA, US</t>
        </is>
      </c>
      <c r="H125" s="2" t="n">
        <v>45740</v>
      </c>
      <c r="I12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in-ddaa8c1df7d03461</t>
        </is>
      </c>
      <c r="B126" t="inlineStr">
        <is>
          <t>Principal Applied Scientist, FAR (Frontier AI &amp; Robotics)</t>
        </is>
      </c>
      <c r="C126" t="inlineStr">
        <is>
          <t>Amazon.com</t>
        </is>
      </c>
      <c r="D126" t="inlineStr">
        <is>
          <t>indeed</t>
        </is>
      </c>
      <c r="E126" t="inlineStr"/>
      <c r="F126" t="inlineStr"/>
      <c r="G126" t="inlineStr">
        <is>
          <t>Seattle, WA, US</t>
        </is>
      </c>
      <c r="H126" s="2" t="n">
        <v>45740</v>
      </c>
      <c r="I12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in-dfa45bcd8387b7f3</t>
        </is>
      </c>
      <c r="B127" t="inlineStr">
        <is>
          <t>Principal Applied Scientist, Amazon Special Projects</t>
        </is>
      </c>
      <c r="C127" t="inlineStr">
        <is>
          <t>Amazon.com</t>
        </is>
      </c>
      <c r="D127" t="inlineStr">
        <is>
          <t>indeed</t>
        </is>
      </c>
      <c r="E127">
        <f>HYPERLINK("https://www.indeed.com/viewjob?jk=dfa45bcd8387b7f3", "https://www.indeed.com/viewjob?jk=dfa45bcd8387b7f3")</f>
        <v/>
      </c>
      <c r="F127">
        <f>HYPERLINK("https://www.amazon.jobs/jobs/3132566/principal-applied-scientist-amazon-special-projects?cmpid=DA_INAD200785B", "https://www.amazon.jobs/jobs/3132566/principal-applied-scientist-amazon-special-projects?cmpid=DA_INAD200785B")</f>
        <v/>
      </c>
      <c r="G127" t="inlineStr">
        <is>
          <t>Seattle, WA, US</t>
        </is>
      </c>
      <c r="H127" s="3" t="n">
        <v>45982</v>
      </c>
      <c r="I12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in-6d643906121f226a</t>
        </is>
      </c>
      <c r="B128" t="inlineStr">
        <is>
          <t>Sr. Applied Scientist, AGI Foundations</t>
        </is>
      </c>
      <c r="C128" t="inlineStr">
        <is>
          <t>Amazon.com</t>
        </is>
      </c>
      <c r="D128" t="inlineStr">
        <is>
          <t>indeed</t>
        </is>
      </c>
      <c r="E128">
        <f>HYPERLINK("https://www.indeed.com/viewjob?jk=6d643906121f226a", "https://www.indeed.com/viewjob?jk=6d643906121f226a")</f>
        <v/>
      </c>
      <c r="F128">
        <f>HYPERLINK("https://www.amazon.jobs/jobs/3128807/sr-applied-scientist-agi-foundations?cmpid=DA_INAD200785B", "https://www.amazon.jobs/jobs/3128807/sr-applied-scientist-agi-foundations?cmpid=DA_INAD200785B")</f>
        <v/>
      </c>
      <c r="G128" t="inlineStr">
        <is>
          <t>Boston, MA, US</t>
        </is>
      </c>
      <c r="H128" s="3" t="n">
        <v>45978</v>
      </c>
      <c r="I12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in-e8ce1ff6e7adf728</t>
        </is>
      </c>
      <c r="B129" t="inlineStr">
        <is>
          <t>Sr. Applied Scientist, AGI Foundations</t>
        </is>
      </c>
      <c r="C129" t="inlineStr">
        <is>
          <t>Amazon.com</t>
        </is>
      </c>
      <c r="D129" t="inlineStr">
        <is>
          <t>indeed</t>
        </is>
      </c>
      <c r="E129">
        <f>HYPERLINK("https://www.indeed.com/viewjob?jk=e8ce1ff6e7adf728", "https://www.indeed.com/viewjob?jk=e8ce1ff6e7adf728")</f>
        <v/>
      </c>
      <c r="F129">
        <f>HYPERLINK("https://www.amazon.jobs/jobs/3128807/sr-applied-scientist-agi-foundations?cmpid=DA_INAD200785B", "https://www.amazon.jobs/jobs/3128807/sr-applied-scientist-agi-foundations?cmpid=DA_INAD200785B")</f>
        <v/>
      </c>
      <c r="G129" t="inlineStr">
        <is>
          <t>Sunnyvale, CA, US</t>
        </is>
      </c>
      <c r="H129" s="3" t="n">
        <v>45978</v>
      </c>
      <c r="I12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in-cbf7f7129789a0fa</t>
        </is>
      </c>
      <c r="B130" t="inlineStr">
        <is>
          <t>Sr. Applied Scientist, AGI Foundations</t>
        </is>
      </c>
      <c r="C130" t="inlineStr">
        <is>
          <t>Amazon.com</t>
        </is>
      </c>
      <c r="D130" t="inlineStr">
        <is>
          <t>indeed</t>
        </is>
      </c>
      <c r="E130">
        <f>HYPERLINK("https://www.indeed.com/viewjob?jk=cbf7f7129789a0fa", "https://www.indeed.com/viewjob?jk=cbf7f7129789a0fa")</f>
        <v/>
      </c>
      <c r="F130">
        <f>HYPERLINK("https://www.amazon.jobs/jobs/3128807/sr-applied-scientist-agi-foundations?cmpid=DA_INAD200785B", "https://www.amazon.jobs/jobs/3128807/sr-applied-scientist-agi-foundations?cmpid=DA_INAD200785B")</f>
        <v/>
      </c>
      <c r="G130" t="inlineStr">
        <is>
          <t>Bellevue, WA, US</t>
        </is>
      </c>
      <c r="H130" s="3" t="n">
        <v>45978</v>
      </c>
      <c r="I13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in-e3cc7db05f7b5579</t>
        </is>
      </c>
      <c r="B131" t="inlineStr">
        <is>
          <t>Sr. Applied Scientist, AGI Foundations</t>
        </is>
      </c>
      <c r="C131" t="inlineStr">
        <is>
          <t>Amazon.com</t>
        </is>
      </c>
      <c r="D131" t="inlineStr">
        <is>
          <t>indeed</t>
        </is>
      </c>
      <c r="E131">
        <f>HYPERLINK("https://www.indeed.com/viewjob?jk=e3cc7db05f7b5579", "https://www.indeed.com/viewjob?jk=e3cc7db05f7b5579")</f>
        <v/>
      </c>
      <c r="F131">
        <f>HYPERLINK("https://www.amazon.jobs/jobs/3128807/sr-applied-scientist-agi-foundations?cmpid=DA_INAD200785B", "https://www.amazon.jobs/jobs/3128807/sr-applied-scientist-agi-foundations?cmpid=DA_INAD200785B")</f>
        <v/>
      </c>
      <c r="G131" t="inlineStr">
        <is>
          <t>New York, NY, US</t>
        </is>
      </c>
      <c r="H131" s="3" t="n">
        <v>45978</v>
      </c>
      <c r="I13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in-ceccb3edc67c108d</t>
        </is>
      </c>
      <c r="B132" t="inlineStr">
        <is>
          <t>Sr. Applied Scientist, AGI Foundations</t>
        </is>
      </c>
      <c r="C132" t="inlineStr">
        <is>
          <t>Amazon.com</t>
        </is>
      </c>
      <c r="D132" t="inlineStr">
        <is>
          <t>indeed</t>
        </is>
      </c>
      <c r="E132">
        <f>HYPERLINK("https://www.indeed.com/viewjob?jk=ceccb3edc67c108d", "https://www.indeed.com/viewjob?jk=ceccb3edc67c108d")</f>
        <v/>
      </c>
      <c r="F132">
        <f>HYPERLINK("https://www.amazon.jobs/jobs/3123268/sr-applied-scientist-agi-foundations?cmpid=DA_INAD200785B", "https://www.amazon.jobs/jobs/3123268/sr-applied-scientist-agi-foundations?cmpid=DA_INAD200785B")</f>
        <v/>
      </c>
      <c r="G132" t="inlineStr">
        <is>
          <t>Bellevue, WA, US</t>
        </is>
      </c>
      <c r="H132" s="3" t="n">
        <v>45963</v>
      </c>
      <c r="I13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in-9753efc80cb7dfd6</t>
        </is>
      </c>
      <c r="B133" t="inlineStr">
        <is>
          <t>Sr. Applied Scientist, AGI Foundations</t>
        </is>
      </c>
      <c r="C133" t="inlineStr">
        <is>
          <t>Amazon.com</t>
        </is>
      </c>
      <c r="D133" t="inlineStr">
        <is>
          <t>indeed</t>
        </is>
      </c>
      <c r="E133">
        <f>HYPERLINK("https://www.indeed.com/viewjob?jk=9753efc80cb7dfd6", "https://www.indeed.com/viewjob?jk=9753efc80cb7dfd6")</f>
        <v/>
      </c>
      <c r="F133">
        <f>HYPERLINK("https://www.amazon.jobs/jobs/3123268/sr-applied-scientist-agi-foundations?cmpid=DA_INAD200785B", "https://www.amazon.jobs/jobs/3123268/sr-applied-scientist-agi-foundations?cmpid=DA_INAD200785B")</f>
        <v/>
      </c>
      <c r="G133" t="inlineStr">
        <is>
          <t>New York, NY, US</t>
        </is>
      </c>
      <c r="H133" s="3" t="n">
        <v>45963</v>
      </c>
      <c r="I13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in-f35427886bc23db4</t>
        </is>
      </c>
      <c r="B134" t="inlineStr">
        <is>
          <t>Sr. Applied Scientist, AGI Foundations</t>
        </is>
      </c>
      <c r="C134" t="inlineStr">
        <is>
          <t>Amazon.com</t>
        </is>
      </c>
      <c r="D134" t="inlineStr">
        <is>
          <t>indeed</t>
        </is>
      </c>
      <c r="E134">
        <f>HYPERLINK("https://www.indeed.com/viewjob?jk=f35427886bc23db4", "https://www.indeed.com/viewjob?jk=f35427886bc23db4")</f>
        <v/>
      </c>
      <c r="F134">
        <f>HYPERLINK("https://www.amazon.jobs/jobs/3123268/sr-applied-scientist-agi-foundations?cmpid=DA_INAD200785B", "https://www.amazon.jobs/jobs/3123268/sr-applied-scientist-agi-foundations?cmpid=DA_INAD200785B")</f>
        <v/>
      </c>
      <c r="G134" t="inlineStr">
        <is>
          <t>Boston, MA, US</t>
        </is>
      </c>
      <c r="H134" s="3" t="n">
        <v>45963</v>
      </c>
      <c r="I13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in-00c2a10fdc42a7f2</t>
        </is>
      </c>
      <c r="B135" t="inlineStr">
        <is>
          <t>Applied Scientist II, Prime Video - Personalization and Discovery Science, Personalization and Discovery Science</t>
        </is>
      </c>
      <c r="C135" t="inlineStr">
        <is>
          <t>Amazon.com</t>
        </is>
      </c>
      <c r="D135" t="inlineStr">
        <is>
          <t>indeed</t>
        </is>
      </c>
      <c r="E135">
        <f>HYPERLINK("https://www.indeed.com/viewjob?jk=00c2a10fdc42a7f2", "https://www.indeed.com/viewjob?jk=00c2a10fdc42a7f2")</f>
        <v/>
      </c>
      <c r="F13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5" t="inlineStr">
        <is>
          <t>New York, NY, US</t>
        </is>
      </c>
      <c r="H135" s="3" t="n">
        <v>45930</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in-c6aa85c875c28929</t>
        </is>
      </c>
      <c r="B136" t="inlineStr">
        <is>
          <t>Applied Scientist II, Prime Video - Personalization and Discovery Science, Personalization and Discovery Science</t>
        </is>
      </c>
      <c r="C136" t="inlineStr">
        <is>
          <t>Amazon.com</t>
        </is>
      </c>
      <c r="D136" t="inlineStr">
        <is>
          <t>indeed</t>
        </is>
      </c>
      <c r="E136">
        <f>HYPERLINK("https://www.indeed.com/viewjob?jk=c6aa85c875c28929", "https://www.indeed.com/viewjob?jk=c6aa85c875c28929")</f>
        <v/>
      </c>
      <c r="F13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6" t="inlineStr">
        <is>
          <t>Sunnyvale, CA, US</t>
        </is>
      </c>
      <c r="H136" s="3" t="n">
        <v>45930</v>
      </c>
      <c r="I1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in-2a4afec27b7aea5d</t>
        </is>
      </c>
      <c r="B137" t="inlineStr">
        <is>
          <t>Applied Scientist II, Prime Video - Personalization and Discovery Science, Personalization and Discovery Science</t>
        </is>
      </c>
      <c r="C137" t="inlineStr">
        <is>
          <t>Amazon.com</t>
        </is>
      </c>
      <c r="D137" t="inlineStr">
        <is>
          <t>indeed</t>
        </is>
      </c>
      <c r="E137">
        <f>HYPERLINK("https://www.indeed.com/viewjob?jk=2a4afec27b7aea5d", "https://www.indeed.com/viewjob?jk=2a4afec27b7aea5d")</f>
        <v/>
      </c>
      <c r="F13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7" t="inlineStr">
        <is>
          <t>Seattle, WA, US</t>
        </is>
      </c>
      <c r="H137" s="3" t="n">
        <v>45930</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in-205dc42f95fb9a93</t>
        </is>
      </c>
      <c r="B138" t="inlineStr">
        <is>
          <t>Applied Scientist II, Prime Video - Personalization and Discovery Science</t>
        </is>
      </c>
      <c r="C138" t="inlineStr">
        <is>
          <t>Amazon.com</t>
        </is>
      </c>
      <c r="D138" t="inlineStr">
        <is>
          <t>indeed</t>
        </is>
      </c>
      <c r="E138">
        <f>HYPERLINK("https://www.indeed.com/viewjob?jk=205dc42f95fb9a93", "https://www.indeed.com/viewjob?jk=205dc42f95fb9a93")</f>
        <v/>
      </c>
      <c r="F138">
        <f>HYPERLINK("https://www.amazon.jobs/jobs/3086060/applied-scientist-ii-prime-video--personalization-and-discovery-science?cmpid=DA_INAD200785B", "https://www.amazon.jobs/jobs/3086060/applied-scientist-ii-prime-video--personalization-and-discovery-science?cmpid=DA_INAD200785B")</f>
        <v/>
      </c>
      <c r="G138" t="inlineStr">
        <is>
          <t>Seattle, WA, US</t>
        </is>
      </c>
      <c r="H138" s="3" t="n">
        <v>45915</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in-0e06883c62bbec1d</t>
        </is>
      </c>
      <c r="B139" t="inlineStr">
        <is>
          <t>Applied Scientist II, Prime Video - Personalization and Discovery Science</t>
        </is>
      </c>
      <c r="C139" t="inlineStr">
        <is>
          <t>Amazon.com</t>
        </is>
      </c>
      <c r="D139" t="inlineStr">
        <is>
          <t>indeed</t>
        </is>
      </c>
      <c r="E139">
        <f>HYPERLINK("https://www.indeed.com/viewjob?jk=0e06883c62bbec1d", "https://www.indeed.com/viewjob?jk=0e06883c62bbec1d")</f>
        <v/>
      </c>
      <c r="F139">
        <f>HYPERLINK("https://www.amazon.jobs/jobs/3086060/applied-scientist-ii-prime-video--personalization-and-discovery-science?cmpid=DA_INAD200785B", "https://www.amazon.jobs/jobs/3086060/applied-scientist-ii-prime-video--personalization-and-discovery-science?cmpid=DA_INAD200785B")</f>
        <v/>
      </c>
      <c r="G139" t="inlineStr">
        <is>
          <t>New York, NY, US</t>
        </is>
      </c>
      <c r="H139" s="3" t="n">
        <v>45915</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in-68a209a8ceac075a</t>
        </is>
      </c>
      <c r="B140" t="inlineStr">
        <is>
          <t>Applied Scientist II, Prime Video - Personalization and Discovery Science</t>
        </is>
      </c>
      <c r="C140" t="inlineStr">
        <is>
          <t>Amazon.com</t>
        </is>
      </c>
      <c r="D140" t="inlineStr">
        <is>
          <t>indeed</t>
        </is>
      </c>
      <c r="E140">
        <f>HYPERLINK("https://www.indeed.com/viewjob?jk=68a209a8ceac075a", "https://www.indeed.com/viewjob?jk=68a209a8ceac075a")</f>
        <v/>
      </c>
      <c r="F140">
        <f>HYPERLINK("https://www.amazon.jobs/jobs/3086060/applied-scientist-ii-prime-video--personalization-and-discovery-science?cmpid=DA_INAD200785B", "https://www.amazon.jobs/jobs/3086060/applied-scientist-ii-prime-video--personalization-and-discovery-science?cmpid=DA_INAD200785B")</f>
        <v/>
      </c>
      <c r="G140" t="inlineStr">
        <is>
          <t>Sunnyvale, CA, US</t>
        </is>
      </c>
      <c r="H140" s="3" t="n">
        <v>45915</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in-a4a3f75b4338c681</t>
        </is>
      </c>
      <c r="B141" t="inlineStr">
        <is>
          <t>Sr. Applied Scientist, Prime Video - Personalization and Discovery Science</t>
        </is>
      </c>
      <c r="C141" t="inlineStr">
        <is>
          <t>Amazon.com</t>
        </is>
      </c>
      <c r="D141" t="inlineStr">
        <is>
          <t>indeed</t>
        </is>
      </c>
      <c r="E141">
        <f>HYPERLINK("https://www.indeed.com/viewjob?jk=a4a3f75b4338c681", "https://www.indeed.com/viewjob?jk=a4a3f75b4338c681")</f>
        <v/>
      </c>
      <c r="F141">
        <f>HYPERLINK("https://www.amazon.jobs/jobs/3083564/sr-applied-scientist-prime-video--personalization-and-discovery-science?cmpid=DA_INAD200785B", "https://www.amazon.jobs/jobs/3083564/sr-applied-scientist-prime-video--personalization-and-discovery-science?cmpid=DA_INAD200785B")</f>
        <v/>
      </c>
      <c r="G141" t="inlineStr">
        <is>
          <t>Seattle, WA, US</t>
        </is>
      </c>
      <c r="H141" s="3" t="n">
        <v>45914</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in-13f288a3c206870b</t>
        </is>
      </c>
      <c r="B142" t="inlineStr">
        <is>
          <t>Sr. Applied Scientist, Prime Video - Personalization and Discovery Science</t>
        </is>
      </c>
      <c r="C142" t="inlineStr">
        <is>
          <t>Amazon.com</t>
        </is>
      </c>
      <c r="D142" t="inlineStr">
        <is>
          <t>indeed</t>
        </is>
      </c>
      <c r="E142">
        <f>HYPERLINK("https://www.indeed.com/viewjob?jk=13f288a3c206870b", "https://www.indeed.com/viewjob?jk=13f288a3c206870b")</f>
        <v/>
      </c>
      <c r="F142">
        <f>HYPERLINK("https://www.amazon.jobs/jobs/3083564/sr-applied-scientist-prime-video--personalization-and-discovery-science?cmpid=DA_INAD200785B", "https://www.amazon.jobs/jobs/3083564/sr-applied-scientist-prime-video--personalization-and-discovery-science?cmpid=DA_INAD200785B")</f>
        <v/>
      </c>
      <c r="G142" t="inlineStr">
        <is>
          <t>New York, NY, US</t>
        </is>
      </c>
      <c r="H142" s="3" t="n">
        <v>45914</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in-8543d63e3cc450a8</t>
        </is>
      </c>
      <c r="B143" t="inlineStr">
        <is>
          <t>Sr. Applied Scientist, Prime Video - Personalization and Discovery Science</t>
        </is>
      </c>
      <c r="C143" t="inlineStr">
        <is>
          <t>Amazon.com</t>
        </is>
      </c>
      <c r="D143" t="inlineStr">
        <is>
          <t>indeed</t>
        </is>
      </c>
      <c r="E143">
        <f>HYPERLINK("https://www.indeed.com/viewjob?jk=8543d63e3cc450a8", "https://www.indeed.com/viewjob?jk=8543d63e3cc450a8")</f>
        <v/>
      </c>
      <c r="F143">
        <f>HYPERLINK("https://www.amazon.jobs/jobs/3083564/sr-applied-scientist-prime-video--personalization-and-discovery-science?cmpid=DA_INAD200785B", "https://www.amazon.jobs/jobs/3083564/sr-applied-scientist-prime-video--personalization-and-discovery-science?cmpid=DA_INAD200785B")</f>
        <v/>
      </c>
      <c r="G143" t="inlineStr">
        <is>
          <t>Sunnyvale, CA, US</t>
        </is>
      </c>
      <c r="H143" s="3" t="n">
        <v>45914</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in-58d145135a8fd5ca</t>
        </is>
      </c>
      <c r="B144" t="inlineStr">
        <is>
          <t>Sr. Applied Scientist, Prime Video - Personalization and Discovery Science</t>
        </is>
      </c>
      <c r="C144" t="inlineStr">
        <is>
          <t>Amazon.com</t>
        </is>
      </c>
      <c r="D144" t="inlineStr">
        <is>
          <t>indeed</t>
        </is>
      </c>
      <c r="E144">
        <f>HYPERLINK("https://www.indeed.com/viewjob?jk=58d145135a8fd5ca", "https://www.indeed.com/viewjob?jk=58d145135a8fd5ca")</f>
        <v/>
      </c>
      <c r="F144">
        <f>HYPERLINK("https://www.amazon.jobs/jobs/3059256/sr-applied-scientist-prime-video--personalization-and-discovery-science?cmpid=DA_INAD200785B", "https://www.amazon.jobs/jobs/3059256/sr-applied-scientist-prime-video--personalization-and-discovery-science?cmpid=DA_INAD200785B")</f>
        <v/>
      </c>
      <c r="G144" t="inlineStr">
        <is>
          <t>Seattle, WA, US</t>
        </is>
      </c>
      <c r="H144" s="3" t="n">
        <v>45881</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in-aba19e786ac97660</t>
        </is>
      </c>
      <c r="B145" t="inlineStr">
        <is>
          <t>Sr. Applied Scientist, Prime Video - Personalization and Discovery Science</t>
        </is>
      </c>
      <c r="C145" t="inlineStr">
        <is>
          <t>Amazon.com</t>
        </is>
      </c>
      <c r="D145" t="inlineStr">
        <is>
          <t>indeed</t>
        </is>
      </c>
      <c r="E145">
        <f>HYPERLINK("https://www.indeed.com/viewjob?jk=aba19e786ac97660", "https://www.indeed.com/viewjob?jk=aba19e786ac97660")</f>
        <v/>
      </c>
      <c r="F145">
        <f>HYPERLINK("https://www.amazon.jobs/jobs/3059256/sr-applied-scientist-prime-video--personalization-and-discovery-science?cmpid=DA_INAD200785B", "https://www.amazon.jobs/jobs/3059256/sr-applied-scientist-prime-video--personalization-and-discovery-science?cmpid=DA_INAD200785B")</f>
        <v/>
      </c>
      <c r="G145" t="inlineStr">
        <is>
          <t>New York, NY, US</t>
        </is>
      </c>
      <c r="H145" s="3" t="n">
        <v>45881</v>
      </c>
      <c r="I1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in-c3edc4155a62bdd6</t>
        </is>
      </c>
      <c r="B146" t="inlineStr">
        <is>
          <t>Applied Scientist II, Prime Video - Personalization and Discovery Science</t>
        </is>
      </c>
      <c r="C146" t="inlineStr">
        <is>
          <t>Amazon.com</t>
        </is>
      </c>
      <c r="D146" t="inlineStr">
        <is>
          <t>indeed</t>
        </is>
      </c>
      <c r="E146">
        <f>HYPERLINK("https://www.indeed.com/viewjob?jk=c3edc4155a62bdd6", "https://www.indeed.com/viewjob?jk=c3edc4155a62bdd6")</f>
        <v/>
      </c>
      <c r="F146">
        <f>HYPERLINK("https://www.amazon.jobs/jobs/3059253/applied-scientist-ii-prime-video--personalization-and-discovery-science?cmpid=DA_INAD200785B", "https://www.amazon.jobs/jobs/3059253/applied-scientist-ii-prime-video--personalization-and-discovery-science?cmpid=DA_INAD200785B")</f>
        <v/>
      </c>
      <c r="G146" t="inlineStr">
        <is>
          <t>Sunnyvale, CA, US</t>
        </is>
      </c>
      <c r="H146" s="3" t="n">
        <v>45881</v>
      </c>
      <c r="I1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in-e213146fc9c45043</t>
        </is>
      </c>
      <c r="B147" t="inlineStr">
        <is>
          <t>Sr. Applied Scientist, Prime Video - Personalization and Discovery Science</t>
        </is>
      </c>
      <c r="C147" t="inlineStr">
        <is>
          <t>Amazon.com</t>
        </is>
      </c>
      <c r="D147" t="inlineStr">
        <is>
          <t>indeed</t>
        </is>
      </c>
      <c r="E147">
        <f>HYPERLINK("https://www.indeed.com/viewjob?jk=e213146fc9c45043", "https://www.indeed.com/viewjob?jk=e213146fc9c45043")</f>
        <v/>
      </c>
      <c r="F147">
        <f>HYPERLINK("https://www.amazon.jobs/jobs/3059256/sr-applied-scientist-prime-video--personalization-and-discovery-science?cmpid=DA_INAD200785B", "https://www.amazon.jobs/jobs/3059256/sr-applied-scientist-prime-video--personalization-and-discovery-science?cmpid=DA_INAD200785B")</f>
        <v/>
      </c>
      <c r="G147" t="inlineStr">
        <is>
          <t>Sunnyvale, CA, US</t>
        </is>
      </c>
      <c r="H147" s="3" t="n">
        <v>45881</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in-164a665cbc41a4eb</t>
        </is>
      </c>
      <c r="B148" t="inlineStr">
        <is>
          <t>Applied Scientist II, Prime Video - Personalization and Discovery Science</t>
        </is>
      </c>
      <c r="C148" t="inlineStr">
        <is>
          <t>Amazon.com</t>
        </is>
      </c>
      <c r="D148" t="inlineStr">
        <is>
          <t>indeed</t>
        </is>
      </c>
      <c r="E148">
        <f>HYPERLINK("https://www.indeed.com/viewjob?jk=164a665cbc41a4eb", "https://www.indeed.com/viewjob?jk=164a665cbc41a4eb")</f>
        <v/>
      </c>
      <c r="F148">
        <f>HYPERLINK("https://www.amazon.jobs/jobs/3059253/applied-scientist-ii-prime-video--personalization-and-discovery-science?cmpid=DA_INAD200785B", "https://www.amazon.jobs/jobs/3059253/applied-scientist-ii-prime-video--personalization-and-discovery-science?cmpid=DA_INAD200785B")</f>
        <v/>
      </c>
      <c r="G148" t="inlineStr">
        <is>
          <t>New York, NY, US</t>
        </is>
      </c>
      <c r="H148" s="3" t="n">
        <v>45881</v>
      </c>
      <c r="I1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in-8aeca85c6270ec32</t>
        </is>
      </c>
      <c r="B149" t="inlineStr">
        <is>
          <t>Applied Scientist II, Prime Video - Personalization and Discovery Science</t>
        </is>
      </c>
      <c r="C149" t="inlineStr">
        <is>
          <t>Amazon.com</t>
        </is>
      </c>
      <c r="D149" t="inlineStr">
        <is>
          <t>indeed</t>
        </is>
      </c>
      <c r="E149">
        <f>HYPERLINK("https://www.indeed.com/viewjob?jk=8aeca85c6270ec32", "https://www.indeed.com/viewjob?jk=8aeca85c6270ec32")</f>
        <v/>
      </c>
      <c r="F149">
        <f>HYPERLINK("https://www.amazon.jobs/jobs/3059253/applied-scientist-ii-prime-video--personalization-and-discovery-science?cmpid=DA_INAD200785B", "https://www.amazon.jobs/jobs/3059253/applied-scientist-ii-prime-video--personalization-and-discovery-science?cmpid=DA_INAD200785B")</f>
        <v/>
      </c>
      <c r="G149" t="inlineStr">
        <is>
          <t>Seattle, WA, US</t>
        </is>
      </c>
      <c r="H149" s="3" t="n">
        <v>45881</v>
      </c>
      <c r="I1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in-4f004975a1d60437</t>
        </is>
      </c>
      <c r="B150" t="inlineStr">
        <is>
          <t>Applied Scientist, Prime Video - Personalization and Discovery Science</t>
        </is>
      </c>
      <c r="C150" t="inlineStr">
        <is>
          <t>Amazon.com</t>
        </is>
      </c>
      <c r="D150" t="inlineStr">
        <is>
          <t>indeed</t>
        </is>
      </c>
      <c r="E150">
        <f>HYPERLINK("https://www.indeed.com/viewjob?jk=4f004975a1d60437", "https://www.indeed.com/viewjob?jk=4f004975a1d60437")</f>
        <v/>
      </c>
      <c r="F150">
        <f>HYPERLINK("https://www.amazon.jobs/jobs/3033050/applied-scientist-prime-video--personalization-and-discovery-science?cmpid=DA_INAD200785B", "https://www.amazon.jobs/jobs/3033050/applied-scientist-prime-video--personalization-and-discovery-science?cmpid=DA_INAD200785B")</f>
        <v/>
      </c>
      <c r="G150" t="inlineStr">
        <is>
          <t>Seattle, WA, US</t>
        </is>
      </c>
      <c r="H150" s="3" t="n">
        <v>45845</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in-ba713cc5b76f5636</t>
        </is>
      </c>
      <c r="B151" t="inlineStr">
        <is>
          <t>Applied Scientist, Prime Video - Personalization and Discovery Science</t>
        </is>
      </c>
      <c r="C151" t="inlineStr">
        <is>
          <t>Amazon.com</t>
        </is>
      </c>
      <c r="D151" t="inlineStr">
        <is>
          <t>indeed</t>
        </is>
      </c>
      <c r="E151">
        <f>HYPERLINK("https://www.indeed.com/viewjob?jk=ba713cc5b76f5636", "https://www.indeed.com/viewjob?jk=ba713cc5b76f5636")</f>
        <v/>
      </c>
      <c r="F151">
        <f>HYPERLINK("https://www.amazon.jobs/jobs/3033050/applied-scientist-prime-video--personalization-and-discovery-science?cmpid=DA_INAD200785B", "https://www.amazon.jobs/jobs/3033050/applied-scientist-prime-video--personalization-and-discovery-science?cmpid=DA_INAD200785B")</f>
        <v/>
      </c>
      <c r="G151" t="inlineStr">
        <is>
          <t>New York, NY, US</t>
        </is>
      </c>
      <c r="H151" s="3" t="n">
        <v>45845</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in-99d05d24318d09eb</t>
        </is>
      </c>
      <c r="B152" t="inlineStr">
        <is>
          <t>Applied Scientist, Prime Video - Personalization and Discovery Science</t>
        </is>
      </c>
      <c r="C152" t="inlineStr">
        <is>
          <t>Amazon.com</t>
        </is>
      </c>
      <c r="D152" t="inlineStr">
        <is>
          <t>indeed</t>
        </is>
      </c>
      <c r="E152">
        <f>HYPERLINK("https://www.indeed.com/viewjob?jk=99d05d24318d09eb", "https://www.indeed.com/viewjob?jk=99d05d24318d09eb")</f>
        <v/>
      </c>
      <c r="F152">
        <f>HYPERLINK("https://www.amazon.jobs/jobs/3033050/applied-scientist-prime-video--personalization-and-discovery-science?cmpid=DA_INAD200785B", "https://www.amazon.jobs/jobs/3033050/applied-scientist-prime-video--personalization-and-discovery-science?cmpid=DA_INAD200785B")</f>
        <v/>
      </c>
      <c r="G152" t="inlineStr">
        <is>
          <t>Sunnyvale, CA, US</t>
        </is>
      </c>
      <c r="H152" s="3" t="n">
        <v>45845</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in-f898286b333cbc76</t>
        </is>
      </c>
      <c r="B153" t="inlineStr">
        <is>
          <t>Sr. Data Scientist, Amazon Leo Global Planning, Amazon Leo</t>
        </is>
      </c>
      <c r="C153" t="inlineStr">
        <is>
          <t>Amazon.com</t>
        </is>
      </c>
      <c r="D153" t="inlineStr">
        <is>
          <t>indeed</t>
        </is>
      </c>
      <c r="E153">
        <f>HYPERLINK("https://www.indeed.com/viewjob?jk=f898286b333cbc76", "https://www.indeed.com/viewjob?jk=f898286b333cbc76")</f>
        <v/>
      </c>
      <c r="F153">
        <f>HYPERLINK("https://www.amazon.jobs/jobs/3016062/sr-data-scientist-amazon-leo-global-planning-amazon-leo?cmpid=DA_INAD200785B", "https://www.amazon.jobs/jobs/3016062/sr-data-scientist-amazon-leo-global-planning-amazon-leo?cmpid=DA_INAD200785B")</f>
        <v/>
      </c>
      <c r="G153" t="inlineStr">
        <is>
          <t>Redmond, WA, US</t>
        </is>
      </c>
      <c r="H153" s="3" t="n">
        <v>45830</v>
      </c>
      <c r="I153"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in-7dc25db981738795</t>
        </is>
      </c>
      <c r="B154" t="inlineStr">
        <is>
          <t>Sr. Data Scientist, Amazon Leo Global Planning, Amazon Leo</t>
        </is>
      </c>
      <c r="C154" t="inlineStr">
        <is>
          <t>Amazon.com</t>
        </is>
      </c>
      <c r="D154" t="inlineStr">
        <is>
          <t>indeed</t>
        </is>
      </c>
      <c r="E154">
        <f>HYPERLINK("https://www.indeed.com/viewjob?jk=7dc25db981738795", "https://www.indeed.com/viewjob?jk=7dc25db981738795")</f>
        <v/>
      </c>
      <c r="F154">
        <f>HYPERLINK("https://www.amazon.jobs/jobs/3016062/sr-data-scientist-amazon-leo-global-planning-amazon-leo?cmpid=DA_INAD200785B", "https://www.amazon.jobs/jobs/3016062/sr-data-scientist-amazon-leo-global-planning-amazon-leo?cmpid=DA_INAD200785B")</f>
        <v/>
      </c>
      <c r="G154" t="inlineStr">
        <is>
          <t>Bellevue, WA, US</t>
        </is>
      </c>
      <c r="H154" s="3" t="n">
        <v>45830</v>
      </c>
      <c r="I154"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in-3d62cd182c18fcd4</t>
        </is>
      </c>
      <c r="B155" t="inlineStr">
        <is>
          <t>Applied Scientist, AGI</t>
        </is>
      </c>
      <c r="C155" t="inlineStr">
        <is>
          <t>Amazon.com</t>
        </is>
      </c>
      <c r="D155" t="inlineStr">
        <is>
          <t>indeed</t>
        </is>
      </c>
      <c r="E155">
        <f>HYPERLINK("https://www.indeed.com/viewjob?jk=3d62cd182c18fcd4", "https://www.indeed.com/viewjob?jk=3d62cd182c18fcd4")</f>
        <v/>
      </c>
      <c r="F155">
        <f>HYPERLINK("https://www.amazon.jobs/jobs/3139033/applied-scientist-agi?cmpid=DA_INAD200785B", "https://www.amazon.jobs/jobs/3139033/applied-scientist-agi?cmpid=DA_INAD200785B")</f>
        <v/>
      </c>
      <c r="G155" t="inlineStr">
        <is>
          <t>Cambridge, MA, US</t>
        </is>
      </c>
      <c r="H155" s="3" t="n">
        <v>45998</v>
      </c>
      <c r="I15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in-2233d46783d2125f</t>
        </is>
      </c>
      <c r="B156" t="inlineStr">
        <is>
          <t>Applied Scientist, AGI</t>
        </is>
      </c>
      <c r="C156" t="inlineStr">
        <is>
          <t>Amazon.com</t>
        </is>
      </c>
      <c r="D156" t="inlineStr">
        <is>
          <t>indeed</t>
        </is>
      </c>
      <c r="E156">
        <f>HYPERLINK("https://www.indeed.com/viewjob?jk=2233d46783d2125f", "https://www.indeed.com/viewjob?jk=2233d46783d2125f")</f>
        <v/>
      </c>
      <c r="F156">
        <f>HYPERLINK("https://www.amazon.jobs/jobs/3139033/applied-scientist-agi?cmpid=DA_INAD200785B", "https://www.amazon.jobs/jobs/3139033/applied-scientist-agi?cmpid=DA_INAD200785B")</f>
        <v/>
      </c>
      <c r="G156" t="inlineStr">
        <is>
          <t>New York, NY, US</t>
        </is>
      </c>
      <c r="H156" s="3" t="n">
        <v>45998</v>
      </c>
      <c r="I15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in-bfe4d8ecc5d03827</t>
        </is>
      </c>
      <c r="B157" t="inlineStr">
        <is>
          <t>Applied Scientist, AGI</t>
        </is>
      </c>
      <c r="C157" t="inlineStr">
        <is>
          <t>Amazon.com</t>
        </is>
      </c>
      <c r="D157" t="inlineStr">
        <is>
          <t>indeed</t>
        </is>
      </c>
      <c r="E157">
        <f>HYPERLINK("https://www.indeed.com/viewjob?jk=bfe4d8ecc5d03827", "https://www.indeed.com/viewjob?jk=bfe4d8ecc5d03827")</f>
        <v/>
      </c>
      <c r="F157">
        <f>HYPERLINK("https://www.amazon.jobs/jobs/3139033/applied-scientist-agi?cmpid=DA_INAD200785B", "https://www.amazon.jobs/jobs/3139033/applied-scientist-agi?cmpid=DA_INAD200785B")</f>
        <v/>
      </c>
      <c r="G157" t="inlineStr">
        <is>
          <t>Sunnyvale, CA, US</t>
        </is>
      </c>
      <c r="H157" s="3" t="n">
        <v>45998</v>
      </c>
      <c r="I15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in-d3c1ea5cde3926e7</t>
        </is>
      </c>
      <c r="B158" t="inlineStr">
        <is>
          <t>Applied Scientist, AGI</t>
        </is>
      </c>
      <c r="C158" t="inlineStr">
        <is>
          <t>Amazon.com</t>
        </is>
      </c>
      <c r="D158" t="inlineStr">
        <is>
          <t>indeed</t>
        </is>
      </c>
      <c r="E158">
        <f>HYPERLINK("https://www.indeed.com/viewjob?jk=d3c1ea5cde3926e7", "https://www.indeed.com/viewjob?jk=d3c1ea5cde3926e7")</f>
        <v/>
      </c>
      <c r="F158">
        <f>HYPERLINK("https://www.amazon.jobs/jobs/3139033/applied-scientist-agi?cmpid=DA_INAD200785B", "https://www.amazon.jobs/jobs/3139033/applied-scientist-agi?cmpid=DA_INAD200785B")</f>
        <v/>
      </c>
      <c r="G158" t="inlineStr">
        <is>
          <t>Bellevue, WA, US</t>
        </is>
      </c>
      <c r="H158" s="3" t="n">
        <v>45998</v>
      </c>
      <c r="I15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in-c7e8b1948bb33db2</t>
        </is>
      </c>
      <c r="B159" t="inlineStr">
        <is>
          <t>Sr. Applied Scientist, Amazon Ads</t>
        </is>
      </c>
      <c r="C159" t="inlineStr">
        <is>
          <t>Amazon.com</t>
        </is>
      </c>
      <c r="D159" t="inlineStr">
        <is>
          <t>indeed</t>
        </is>
      </c>
      <c r="E159">
        <f>HYPERLINK("https://www.indeed.com/viewjob?jk=c7e8b1948bb33db2", "https://www.indeed.com/viewjob?jk=c7e8b1948bb33db2")</f>
        <v/>
      </c>
      <c r="F159">
        <f>HYPERLINK("https://www.amazon.jobs/jobs/3139328/sr-applied-scientist-amazon-ads?cmpid=DA_INAD200785B", "https://www.amazon.jobs/jobs/3139328/sr-applied-scientist-amazon-ads?cmpid=DA_INAD200785B")</f>
        <v/>
      </c>
      <c r="G159" t="inlineStr">
        <is>
          <t>Boulder, CO, US</t>
        </is>
      </c>
      <c r="H159" s="3" t="n">
        <v>45998</v>
      </c>
      <c r="I1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0">
      <c r="A160" t="inlineStr">
        <is>
          <t>in-2de6f19e446ec178</t>
        </is>
      </c>
      <c r="B160" t="inlineStr">
        <is>
          <t>Sr. Applied Scientist, Amazon Ads</t>
        </is>
      </c>
      <c r="C160" t="inlineStr">
        <is>
          <t>Amazon.com</t>
        </is>
      </c>
      <c r="D160" t="inlineStr">
        <is>
          <t>indeed</t>
        </is>
      </c>
      <c r="E160">
        <f>HYPERLINK("https://www.indeed.com/viewjob?jk=2de6f19e446ec178", "https://www.indeed.com/viewjob?jk=2de6f19e446ec178")</f>
        <v/>
      </c>
      <c r="F160">
        <f>HYPERLINK("https://www.amazon.jobs/jobs/3139328/sr-applied-scientist-amazon-ads?cmpid=DA_INAD200785B", "https://www.amazon.jobs/jobs/3139328/sr-applied-scientist-amazon-ads?cmpid=DA_INAD200785B")</f>
        <v/>
      </c>
      <c r="G160" t="inlineStr">
        <is>
          <t>Seattle, WA, US</t>
        </is>
      </c>
      <c r="H160" s="3" t="n">
        <v>45998</v>
      </c>
      <c r="I1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1">
      <c r="A161" t="inlineStr">
        <is>
          <t>in-f809582cbcd00121</t>
        </is>
      </c>
      <c r="B161" t="inlineStr">
        <is>
          <t>Sr. Applied Scientist, Amazon Ads</t>
        </is>
      </c>
      <c r="C161" t="inlineStr">
        <is>
          <t>Amazon.com</t>
        </is>
      </c>
      <c r="D161" t="inlineStr">
        <is>
          <t>indeed</t>
        </is>
      </c>
      <c r="E161">
        <f>HYPERLINK("https://www.indeed.com/viewjob?jk=f809582cbcd00121", "https://www.indeed.com/viewjob?jk=f809582cbcd00121")</f>
        <v/>
      </c>
      <c r="F161">
        <f>HYPERLINK("https://www.amazon.jobs/jobs/3139328/sr-applied-scientist-amazon-ads?cmpid=DA_INAD200785B", "https://www.amazon.jobs/jobs/3139328/sr-applied-scientist-amazon-ads?cmpid=DA_INAD200785B")</f>
        <v/>
      </c>
      <c r="G161" t="inlineStr">
        <is>
          <t>New York, NY, US</t>
        </is>
      </c>
      <c r="H161" s="3" t="n">
        <v>45998</v>
      </c>
      <c r="I1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2">
      <c r="A162" t="inlineStr">
        <is>
          <t>in-325c1420ace712c3</t>
        </is>
      </c>
      <c r="B162" t="inlineStr">
        <is>
          <t>Sr. Applied Scientist, Amazon Ads</t>
        </is>
      </c>
      <c r="C162" t="inlineStr">
        <is>
          <t>Amazon.com</t>
        </is>
      </c>
      <c r="D162" t="inlineStr">
        <is>
          <t>indeed</t>
        </is>
      </c>
      <c r="E162">
        <f>HYPERLINK("https://www.indeed.com/viewjob?jk=325c1420ace712c3", "https://www.indeed.com/viewjob?jk=325c1420ace712c3")</f>
        <v/>
      </c>
      <c r="F162">
        <f>HYPERLINK("https://www.amazon.jobs/jobs/3139328/sr-applied-scientist-amazon-ads?cmpid=DA_INAD200785B", "https://www.amazon.jobs/jobs/3139328/sr-applied-scientist-amazon-ads?cmpid=DA_INAD200785B")</f>
        <v/>
      </c>
      <c r="G162" t="inlineStr">
        <is>
          <t>Brooklyn, NY, US</t>
        </is>
      </c>
      <c r="H162" s="3" t="n">
        <v>45998</v>
      </c>
      <c r="I16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3">
      <c r="A163" t="inlineStr">
        <is>
          <t>in-6d0e42696aa8754c</t>
        </is>
      </c>
      <c r="B163" t="inlineStr">
        <is>
          <t>Sr. Applied Scientist, Amazon Ads</t>
        </is>
      </c>
      <c r="C163" t="inlineStr">
        <is>
          <t>Amazon.com</t>
        </is>
      </c>
      <c r="D163" t="inlineStr">
        <is>
          <t>indeed</t>
        </is>
      </c>
      <c r="E163">
        <f>HYPERLINK("https://www.indeed.com/viewjob?jk=6d0e42696aa8754c", "https://www.indeed.com/viewjob?jk=6d0e42696aa8754c")</f>
        <v/>
      </c>
      <c r="F163">
        <f>HYPERLINK("https://www.amazon.jobs/jobs/3139328/sr-applied-scientist-amazon-ads?cmpid=DA_INAD200785B", "https://www.amazon.jobs/jobs/3139328/sr-applied-scientist-amazon-ads?cmpid=DA_INAD200785B")</f>
        <v/>
      </c>
      <c r="G163" t="inlineStr">
        <is>
          <t>Santa Monica, CA, US</t>
        </is>
      </c>
      <c r="H163" s="3" t="n">
        <v>45998</v>
      </c>
      <c r="I16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4">
      <c r="A164" t="inlineStr">
        <is>
          <t>in-8776ff199959c683</t>
        </is>
      </c>
      <c r="B164" t="inlineStr">
        <is>
          <t>Sr. Applied Scientist, Amazon Ads</t>
        </is>
      </c>
      <c r="C164" t="inlineStr">
        <is>
          <t>Amazon.com</t>
        </is>
      </c>
      <c r="D164" t="inlineStr">
        <is>
          <t>indeed</t>
        </is>
      </c>
      <c r="E164">
        <f>HYPERLINK("https://www.indeed.com/viewjob?jk=8776ff199959c683", "https://www.indeed.com/viewjob?jk=8776ff199959c683")</f>
        <v/>
      </c>
      <c r="F164">
        <f>HYPERLINK("https://www.amazon.jobs/jobs/3139328/sr-applied-scientist-amazon-ads?cmpid=DA_INAD200785B", "https://www.amazon.jobs/jobs/3139328/sr-applied-scientist-amazon-ads?cmpid=DA_INAD200785B")</f>
        <v/>
      </c>
      <c r="G164" t="inlineStr">
        <is>
          <t>Sunnyvale, CA, US</t>
        </is>
      </c>
      <c r="H164" s="3" t="n">
        <v>45998</v>
      </c>
      <c r="I16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5">
      <c r="A165" t="inlineStr">
        <is>
          <t>in-b0359751aad9eac9</t>
        </is>
      </c>
      <c r="B165" t="inlineStr">
        <is>
          <t>Sr. Applied Scientist, Amazon Ads</t>
        </is>
      </c>
      <c r="C165" t="inlineStr">
        <is>
          <t>Amazon.com</t>
        </is>
      </c>
      <c r="D165" t="inlineStr">
        <is>
          <t>indeed</t>
        </is>
      </c>
      <c r="E165">
        <f>HYPERLINK("https://www.indeed.com/viewjob?jk=b0359751aad9eac9", "https://www.indeed.com/viewjob?jk=b0359751aad9eac9")</f>
        <v/>
      </c>
      <c r="F165">
        <f>HYPERLINK("https://www.amazon.jobs/jobs/3139328/sr-applied-scientist-amazon-ads?cmpid=DA_INAD200785B", "https://www.amazon.jobs/jobs/3139328/sr-applied-scientist-amazon-ads?cmpid=DA_INAD200785B")</f>
        <v/>
      </c>
      <c r="G165" t="inlineStr">
        <is>
          <t>Palo Alto, CA, US</t>
        </is>
      </c>
      <c r="H165" s="3" t="n">
        <v>45998</v>
      </c>
      <c r="I16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6">
      <c r="A166" t="inlineStr">
        <is>
          <t>in-68a8e5ae3a28176f</t>
        </is>
      </c>
      <c r="B166" t="inlineStr">
        <is>
          <t>Sr. Applied Scientist, Amazon Ads</t>
        </is>
      </c>
      <c r="C166" t="inlineStr">
        <is>
          <t>Amazon.com</t>
        </is>
      </c>
      <c r="D166" t="inlineStr">
        <is>
          <t>indeed</t>
        </is>
      </c>
      <c r="E166">
        <f>HYPERLINK("https://www.indeed.com/viewjob?jk=68a8e5ae3a28176f", "https://www.indeed.com/viewjob?jk=68a8e5ae3a28176f")</f>
        <v/>
      </c>
      <c r="F166">
        <f>HYPERLINK("https://www.amazon.jobs/jobs/3139328/sr-applied-scientist-amazon-ads?cmpid=DA_INAD200785B", "https://www.amazon.jobs/jobs/3139328/sr-applied-scientist-amazon-ads?cmpid=DA_INAD200785B")</f>
        <v/>
      </c>
      <c r="G166" t="inlineStr">
        <is>
          <t>Boston, MA, US</t>
        </is>
      </c>
      <c r="H166" s="3" t="n">
        <v>45998</v>
      </c>
      <c r="I16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7">
      <c r="A167" t="inlineStr">
        <is>
          <t>in-6113c3d323a72cff</t>
        </is>
      </c>
      <c r="B167" t="inlineStr">
        <is>
          <t>Sr. Applied Scientist, Amazon Ads</t>
        </is>
      </c>
      <c r="C167" t="inlineStr">
        <is>
          <t>Amazon.com</t>
        </is>
      </c>
      <c r="D167" t="inlineStr">
        <is>
          <t>indeed</t>
        </is>
      </c>
      <c r="E167">
        <f>HYPERLINK("https://www.indeed.com/viewjob?jk=6113c3d323a72cff", "https://www.indeed.com/viewjob?jk=6113c3d323a72cff")</f>
        <v/>
      </c>
      <c r="F167">
        <f>HYPERLINK("https://www.amazon.jobs/jobs/3139328/sr-applied-scientist-amazon-ads?cmpid=DA_INAD200785B", "https://www.amazon.jobs/jobs/3139328/sr-applied-scientist-amazon-ads?cmpid=DA_INAD200785B")</f>
        <v/>
      </c>
      <c r="G167" t="inlineStr">
        <is>
          <t>Tukwila, WA, US</t>
        </is>
      </c>
      <c r="H167" s="3" t="n">
        <v>45998</v>
      </c>
      <c r="I16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8">
      <c r="A168" t="inlineStr">
        <is>
          <t>in-403c6968a5d268fe</t>
        </is>
      </c>
      <c r="B168" t="inlineStr">
        <is>
          <t>Sr. Applied Scientist, Amazon Ads</t>
        </is>
      </c>
      <c r="C168" t="inlineStr">
        <is>
          <t>Amazon.com</t>
        </is>
      </c>
      <c r="D168" t="inlineStr">
        <is>
          <t>indeed</t>
        </is>
      </c>
      <c r="E168">
        <f>HYPERLINK("https://www.indeed.com/viewjob?jk=403c6968a5d268fe", "https://www.indeed.com/viewjob?jk=403c6968a5d268fe")</f>
        <v/>
      </c>
      <c r="F168">
        <f>HYPERLINK("https://www.amazon.jobs/jobs/3139328/sr-applied-scientist-amazon-ads?cmpid=DA_INAD200785B", "https://www.amazon.jobs/jobs/3139328/sr-applied-scientist-amazon-ads?cmpid=DA_INAD200785B")</f>
        <v/>
      </c>
      <c r="G168" t="inlineStr">
        <is>
          <t>Corvallis, OR, US</t>
        </is>
      </c>
      <c r="H168" s="3" t="n">
        <v>45998</v>
      </c>
      <c r="I16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9">
      <c r="A169" t="inlineStr">
        <is>
          <t>in-56781c0c7700ab07</t>
        </is>
      </c>
      <c r="B169" t="inlineStr">
        <is>
          <t>Applied Scientist, ML Compiler</t>
        </is>
      </c>
      <c r="C169" t="inlineStr">
        <is>
          <t>Amazon Web Services</t>
        </is>
      </c>
      <c r="D169" t="inlineStr">
        <is>
          <t>indeed</t>
        </is>
      </c>
      <c r="E169">
        <f>HYPERLINK("https://www.indeed.com/viewjob?jk=56781c0c7700ab07", "https://www.indeed.com/viewjob?jk=56781c0c7700ab07")</f>
        <v/>
      </c>
      <c r="F169">
        <f>HYPERLINK("https://www.amazon.jobs/jobs/3136884/applied-scientist-ml-compiler?cmpid=DA_INAD200785B", "https://www.amazon.jobs/jobs/3136884/applied-scientist-ml-compiler?cmpid=DA_INAD200785B")</f>
        <v/>
      </c>
      <c r="G169" t="inlineStr">
        <is>
          <t>Cupertino, CA, US</t>
        </is>
      </c>
      <c r="H169" s="3" t="n">
        <v>45993</v>
      </c>
      <c r="I169"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in-5bc9d7f19a172b30</t>
        </is>
      </c>
      <c r="B170" t="inlineStr">
        <is>
          <t>Applied Scientist, ML Compiler</t>
        </is>
      </c>
      <c r="C170" t="inlineStr">
        <is>
          <t>Amazon Web Services</t>
        </is>
      </c>
      <c r="D170" t="inlineStr">
        <is>
          <t>indeed</t>
        </is>
      </c>
      <c r="E170">
        <f>HYPERLINK("https://www.indeed.com/viewjob?jk=5bc9d7f19a172b30", "https://www.indeed.com/viewjob?jk=5bc9d7f19a172b30")</f>
        <v/>
      </c>
      <c r="F170">
        <f>HYPERLINK("https://www.amazon.jobs/jobs/3136884/applied-scientist-ml-compiler?cmpid=DA_INAD200785B", "https://www.amazon.jobs/jobs/3136884/applied-scientist-ml-compiler?cmpid=DA_INAD200785B")</f>
        <v/>
      </c>
      <c r="G170" t="inlineStr">
        <is>
          <t>Seattle, WA, US</t>
        </is>
      </c>
      <c r="H170" s="3" t="n">
        <v>45993</v>
      </c>
      <c r="I170"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in-80b8fda5245c81c0</t>
        </is>
      </c>
      <c r="B171" t="inlineStr">
        <is>
          <t>Applied Scientist, Model Customization, Generative AI Innovation Center, Model Customization</t>
        </is>
      </c>
      <c r="C171" t="inlineStr">
        <is>
          <t>Amazon Web Services</t>
        </is>
      </c>
      <c r="D171" t="inlineStr">
        <is>
          <t>indeed</t>
        </is>
      </c>
      <c r="E171">
        <f>HYPERLINK("https://www.indeed.com/viewjob?jk=80b8fda5245c81c0", "https://www.indeed.com/viewjob?jk=80b8fda5245c81c0")</f>
        <v/>
      </c>
      <c r="F171">
        <f>HYPERLINK("https://www.amazon.jobs/jobs/3137793/applied-scientist-model-customization-generative-ai-innovation-center-model-customization?cmpid=DA_INAD200785B", "https://www.amazon.jobs/jobs/3137793/applied-scientist-model-customization-generative-ai-innovation-center-model-customization?cmpid=DA_INAD200785B")</f>
        <v/>
      </c>
      <c r="G171" t="inlineStr">
        <is>
          <t>Arlington, VA, US</t>
        </is>
      </c>
      <c r="H171" s="3" t="n">
        <v>45993</v>
      </c>
      <c r="I17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in-4425ea3ad0e96986</t>
        </is>
      </c>
      <c r="B172" t="inlineStr">
        <is>
          <t>Applied Scientist, Model Customization, Generative AI Innovation Center, Model Customization</t>
        </is>
      </c>
      <c r="C172" t="inlineStr">
        <is>
          <t>Amazon Web Services</t>
        </is>
      </c>
      <c r="D172" t="inlineStr">
        <is>
          <t>indeed</t>
        </is>
      </c>
      <c r="E172">
        <f>HYPERLINK("https://www.indeed.com/viewjob?jk=4425ea3ad0e96986", "https://www.indeed.com/viewjob?jk=4425ea3ad0e96986")</f>
        <v/>
      </c>
      <c r="F172">
        <f>HYPERLINK("https://www.amazon.jobs/jobs/3137793/applied-scientist-model-customization-generative-ai-innovation-center-model-customization?cmpid=DA_INAD200785B", "https://www.amazon.jobs/jobs/3137793/applied-scientist-model-customization-generative-ai-innovation-center-model-customization?cmpid=DA_INAD200785B")</f>
        <v/>
      </c>
      <c r="G172" t="inlineStr">
        <is>
          <t>Bellevue, WA, US</t>
        </is>
      </c>
      <c r="H172" s="3" t="n">
        <v>45993</v>
      </c>
      <c r="I17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in-55bc2693316fe149</t>
        </is>
      </c>
      <c r="B173" t="inlineStr">
        <is>
          <t>Applied Scientist, Model Customization, Generative AI Innovation Center, Model Customization</t>
        </is>
      </c>
      <c r="C173" t="inlineStr">
        <is>
          <t>Amazon Web Services</t>
        </is>
      </c>
      <c r="D173" t="inlineStr">
        <is>
          <t>indeed</t>
        </is>
      </c>
      <c r="E173">
        <f>HYPERLINK("https://www.indeed.com/viewjob?jk=55bc2693316fe149", "https://www.indeed.com/viewjob?jk=55bc2693316fe149")</f>
        <v/>
      </c>
      <c r="F173">
        <f>HYPERLINK("https://www.amazon.jobs/jobs/3137793/applied-scientist-model-customization-generative-ai-innovation-center-model-customization?cmpid=DA_INAD200785B", "https://www.amazon.jobs/jobs/3137793/applied-scientist-model-customization-generative-ai-innovation-center-model-customization?cmpid=DA_INAD200785B")</f>
        <v/>
      </c>
      <c r="G173" t="inlineStr">
        <is>
          <t>New York, NY, US</t>
        </is>
      </c>
      <c r="H173" s="3" t="n">
        <v>45993</v>
      </c>
      <c r="I17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in-8231a03bcb63e3e6</t>
        </is>
      </c>
      <c r="B174" t="inlineStr">
        <is>
          <t>Sr. Applied Scientist, Sponsored Products and Brands Off-Search</t>
        </is>
      </c>
      <c r="C174" t="inlineStr">
        <is>
          <t>Amazon.com</t>
        </is>
      </c>
      <c r="D174" t="inlineStr">
        <is>
          <t>indeed</t>
        </is>
      </c>
      <c r="E174">
        <f>HYPERLINK("https://www.indeed.com/viewjob?jk=8231a03bcb63e3e6", "https://www.indeed.com/viewjob?jk=8231a03bcb63e3e6")</f>
        <v/>
      </c>
      <c r="F174">
        <f>HYPERLINK("https://www.amazon.jobs/jobs/3136934/sr-applied-scientist-sponsored-products-and-brands-offsearch?cmpid=DA_INAD200785B", "https://www.amazon.jobs/jobs/3136934/sr-applied-scientist-sponsored-products-and-brands-offsearch?cmpid=DA_INAD200785B")</f>
        <v/>
      </c>
      <c r="G174" t="inlineStr">
        <is>
          <t>New York, NY, US</t>
        </is>
      </c>
      <c r="H174" s="3" t="n">
        <v>45993</v>
      </c>
      <c r="I17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in-c0522ccb4fb4f37f</t>
        </is>
      </c>
      <c r="B175" t="inlineStr">
        <is>
          <t>Sr. Applied Scientist, Sponsored Products and Brands Off-Search</t>
        </is>
      </c>
      <c r="C175" t="inlineStr">
        <is>
          <t>Amazon.com</t>
        </is>
      </c>
      <c r="D175" t="inlineStr">
        <is>
          <t>indeed</t>
        </is>
      </c>
      <c r="E175">
        <f>HYPERLINK("https://www.indeed.com/viewjob?jk=c0522ccb4fb4f37f", "https://www.indeed.com/viewjob?jk=c0522ccb4fb4f37f")</f>
        <v/>
      </c>
      <c r="F175">
        <f>HYPERLINK("https://www.amazon.jobs/jobs/3136934/sr-applied-scientist-sponsored-products-and-brands-offsearch?cmpid=DA_INAD200785B", "https://www.amazon.jobs/jobs/3136934/sr-applied-scientist-sponsored-products-and-brands-offsearch?cmpid=DA_INAD200785B")</f>
        <v/>
      </c>
      <c r="G175" t="inlineStr">
        <is>
          <t>Seattle, WA, US</t>
        </is>
      </c>
      <c r="H175" s="3" t="n">
        <v>45993</v>
      </c>
      <c r="I175"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8\+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in-e3ed4e5fad7fc93a</t>
        </is>
      </c>
      <c r="B176" t="inlineStr">
        <is>
          <t>Principal Applied Scientist, Amazon Special Projects</t>
        </is>
      </c>
      <c r="C176" t="inlineStr">
        <is>
          <t>Amazon.com</t>
        </is>
      </c>
      <c r="D176" t="inlineStr">
        <is>
          <t>indeed</t>
        </is>
      </c>
      <c r="E176">
        <f>HYPERLINK("https://www.indeed.com/viewjob?jk=e3ed4e5fad7fc93a", "https://www.indeed.com/viewjob?jk=e3ed4e5fad7fc93a")</f>
        <v/>
      </c>
      <c r="F176">
        <f>HYPERLINK("https://www.amazon.jobs/jobs/3132566/principal-applied-scientist-amazon-special-projects?cmpid=DA_INAD200785B", "https://www.amazon.jobs/jobs/3132566/principal-applied-scientist-amazon-special-projects?cmpid=DA_INAD200785B")</f>
        <v/>
      </c>
      <c r="G176" t="inlineStr">
        <is>
          <t>Boston, MA, US</t>
        </is>
      </c>
      <c r="H176" s="3" t="n">
        <v>45982</v>
      </c>
      <c r="I17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in-ab8c5aaa88ad0487</t>
        </is>
      </c>
      <c r="B177" t="inlineStr">
        <is>
          <t>Senior Applied Scientist, Generative AI Innovation Center</t>
        </is>
      </c>
      <c r="C177" t="inlineStr">
        <is>
          <t>Amazon Web Services</t>
        </is>
      </c>
      <c r="D177" t="inlineStr">
        <is>
          <t>indeed</t>
        </is>
      </c>
      <c r="E177">
        <f>HYPERLINK("https://www.indeed.com/viewjob?jk=ab8c5aaa88ad0487", "https://www.indeed.com/viewjob?jk=ab8c5aaa88ad0487")</f>
        <v/>
      </c>
      <c r="F177">
        <f>HYPERLINK("https://www.amazon.jobs/jobs/3137791/senior-applied-scientist-generative-ai-innovation-center?cmpid=DA_INAD200785B", "https://www.amazon.jobs/jobs/3137791/senior-applied-scientist-generative-ai-innovation-center?cmpid=DA_INAD200785B")</f>
        <v/>
      </c>
      <c r="G177" t="inlineStr">
        <is>
          <t>New York, NY, US</t>
        </is>
      </c>
      <c r="H177" s="3" t="n">
        <v>45981</v>
      </c>
      <c r="I177"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in-ba248bb906fd93a6</t>
        </is>
      </c>
      <c r="B178" t="inlineStr">
        <is>
          <t>Senior Applied Scientist, Generative AI Innovation Center</t>
        </is>
      </c>
      <c r="C178" t="inlineStr">
        <is>
          <t>Amazon Web Services</t>
        </is>
      </c>
      <c r="D178" t="inlineStr">
        <is>
          <t>indeed</t>
        </is>
      </c>
      <c r="E178">
        <f>HYPERLINK("https://www.indeed.com/viewjob?jk=ba248bb906fd93a6", "https://www.indeed.com/viewjob?jk=ba248bb906fd93a6")</f>
        <v/>
      </c>
      <c r="F178">
        <f>HYPERLINK("https://www.amazon.jobs/jobs/3137791/senior-applied-scientist-generative-ai-innovation-center?cmpid=DA_INAD200785B", "https://www.amazon.jobs/jobs/3137791/senior-applied-scientist-generative-ai-innovation-center?cmpid=DA_INAD200785B")</f>
        <v/>
      </c>
      <c r="G178" t="inlineStr">
        <is>
          <t>Bellevue, WA, US</t>
        </is>
      </c>
      <c r="H178" s="3" t="n">
        <v>45981</v>
      </c>
      <c r="I178"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in-840204dc692a1559</t>
        </is>
      </c>
      <c r="B179" t="inlineStr">
        <is>
          <t>Senior Applied Scientist, Generative AI Innovation Center</t>
        </is>
      </c>
      <c r="C179" t="inlineStr">
        <is>
          <t>Amazon Web Services</t>
        </is>
      </c>
      <c r="D179" t="inlineStr">
        <is>
          <t>indeed</t>
        </is>
      </c>
      <c r="E179">
        <f>HYPERLINK("https://www.indeed.com/viewjob?jk=840204dc692a1559", "https://www.indeed.com/viewjob?jk=840204dc692a1559")</f>
        <v/>
      </c>
      <c r="F179">
        <f>HYPERLINK("https://www.amazon.jobs/jobs/3137791/senior-applied-scientist-generative-ai-innovation-center?cmpid=DA_INAD200785B", "https://www.amazon.jobs/jobs/3137791/senior-applied-scientist-generative-ai-innovation-center?cmpid=DA_INAD200785B")</f>
        <v/>
      </c>
      <c r="G179" t="inlineStr">
        <is>
          <t>Boston, MA, US</t>
        </is>
      </c>
      <c r="H179" s="3" t="n">
        <v>45981</v>
      </c>
      <c r="I179"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in-ca0392f9166eda63</t>
        </is>
      </c>
      <c r="B180" t="inlineStr">
        <is>
          <t>Senior Applied Scientist, Generative AI Innovation Center</t>
        </is>
      </c>
      <c r="C180" t="inlineStr">
        <is>
          <t>Amazon Web Services</t>
        </is>
      </c>
      <c r="D180" t="inlineStr">
        <is>
          <t>indeed</t>
        </is>
      </c>
      <c r="E180">
        <f>HYPERLINK("https://www.indeed.com/viewjob?jk=ca0392f9166eda63", "https://www.indeed.com/viewjob?jk=ca0392f9166eda63")</f>
        <v/>
      </c>
      <c r="F180">
        <f>HYPERLINK("https://www.amazon.jobs/jobs/3137791/senior-applied-scientist-generative-ai-innovation-center?cmpid=DA_INAD200785B", "https://www.amazon.jobs/jobs/3137791/senior-applied-scientist-generative-ai-innovation-center?cmpid=DA_INAD200785B")</f>
        <v/>
      </c>
      <c r="G180" t="inlineStr">
        <is>
          <t>Austin, TX, US</t>
        </is>
      </c>
      <c r="H180" s="3" t="n">
        <v>45981</v>
      </c>
      <c r="I180"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in-89b143bb12c2b6b3</t>
        </is>
      </c>
      <c r="B181" t="inlineStr">
        <is>
          <t>Senior Applied Scientist, Generative AI Innovation Center</t>
        </is>
      </c>
      <c r="C181" t="inlineStr">
        <is>
          <t>Amazon Web Services</t>
        </is>
      </c>
      <c r="D181" t="inlineStr">
        <is>
          <t>indeed</t>
        </is>
      </c>
      <c r="E181">
        <f>HYPERLINK("https://www.indeed.com/viewjob?jk=89b143bb12c2b6b3", "https://www.indeed.com/viewjob?jk=89b143bb12c2b6b3")</f>
        <v/>
      </c>
      <c r="F181">
        <f>HYPERLINK("https://www.amazon.jobs/jobs/3137791/senior-applied-scientist-generative-ai-innovation-center?cmpid=DA_INAD200785B", "https://www.amazon.jobs/jobs/3137791/senior-applied-scientist-generative-ai-innovation-center?cmpid=DA_INAD200785B")</f>
        <v/>
      </c>
      <c r="G181" t="inlineStr">
        <is>
          <t>Seattle, WA, US</t>
        </is>
      </c>
      <c r="H181" s="3" t="n">
        <v>45981</v>
      </c>
      <c r="I181"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in-41a05596c980fb7b</t>
        </is>
      </c>
      <c r="B182" t="inlineStr">
        <is>
          <t>Senior Applied Scientist, Generative AI Innovation Center</t>
        </is>
      </c>
      <c r="C182" t="inlineStr">
        <is>
          <t>Amazon Web Services</t>
        </is>
      </c>
      <c r="D182" t="inlineStr">
        <is>
          <t>indeed</t>
        </is>
      </c>
      <c r="E182">
        <f>HYPERLINK("https://www.indeed.com/viewjob?jk=41a05596c980fb7b", "https://www.indeed.com/viewjob?jk=41a05596c980fb7b")</f>
        <v/>
      </c>
      <c r="F182">
        <f>HYPERLINK("https://www.amazon.jobs/jobs/3137791/senior-applied-scientist-generative-ai-innovation-center?cmpid=DA_INAD200785B", "https://www.amazon.jobs/jobs/3137791/senior-applied-scientist-generative-ai-innovation-center?cmpid=DA_INAD200785B")</f>
        <v/>
      </c>
      <c r="G182" t="inlineStr">
        <is>
          <t>Houston, TX, US</t>
        </is>
      </c>
      <c r="H182" s="3" t="n">
        <v>45981</v>
      </c>
      <c r="I182"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in-081a495ab2cf0c18</t>
        </is>
      </c>
      <c r="B183" t="inlineStr">
        <is>
          <t>Sr. Applied Scientist, SPB Advertiser Guidance</t>
        </is>
      </c>
      <c r="C183" t="inlineStr">
        <is>
          <t>Amazon.com</t>
        </is>
      </c>
      <c r="D183" t="inlineStr">
        <is>
          <t>indeed</t>
        </is>
      </c>
      <c r="E183">
        <f>HYPERLINK("https://www.indeed.com/viewjob?jk=081a495ab2cf0c18", "https://www.indeed.com/viewjob?jk=081a495ab2cf0c18")</f>
        <v/>
      </c>
      <c r="F183">
        <f>HYPERLINK("https://www.amazon.jobs/jobs/3132336/sr-applied-scientist-spb-advertiser-guidance?cmpid=DA_INAD200785B", "https://www.amazon.jobs/jobs/3132336/sr-applied-scientist-spb-advertiser-guidance?cmpid=DA_INAD200785B")</f>
        <v/>
      </c>
      <c r="G183" t="inlineStr">
        <is>
          <t>Palo Alto, CA, US</t>
        </is>
      </c>
      <c r="H183" s="3" t="n">
        <v>45981</v>
      </c>
      <c r="I18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in-f472b94e97658292</t>
        </is>
      </c>
      <c r="B184" t="inlineStr">
        <is>
          <t>Sr. Applied Scientist, SPB Advertiser Guidance</t>
        </is>
      </c>
      <c r="C184" t="inlineStr">
        <is>
          <t>Amazon.com</t>
        </is>
      </c>
      <c r="D184" t="inlineStr">
        <is>
          <t>indeed</t>
        </is>
      </c>
      <c r="E184">
        <f>HYPERLINK("https://www.indeed.com/viewjob?jk=f472b94e97658292", "https://www.indeed.com/viewjob?jk=f472b94e97658292")</f>
        <v/>
      </c>
      <c r="F184">
        <f>HYPERLINK("https://www.amazon.jobs/jobs/3132336/sr-applied-scientist-spb-advertiser-guidance?cmpid=DA_INAD200785B", "https://www.amazon.jobs/jobs/3132336/sr-applied-scientist-spb-advertiser-guidance?cmpid=DA_INAD200785B")</f>
        <v/>
      </c>
      <c r="G184" t="inlineStr">
        <is>
          <t>New York, NY, US</t>
        </is>
      </c>
      <c r="H184" s="3" t="n">
        <v>45981</v>
      </c>
      <c r="I18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in-df61b1778dff88cf</t>
        </is>
      </c>
      <c r="B185" t="inlineStr">
        <is>
          <t>Sr. Applied Scientist, SPB Advertiser Guidance</t>
        </is>
      </c>
      <c r="C185" t="inlineStr">
        <is>
          <t>Amazon.com</t>
        </is>
      </c>
      <c r="D185" t="inlineStr">
        <is>
          <t>indeed</t>
        </is>
      </c>
      <c r="E185">
        <f>HYPERLINK("https://www.indeed.com/viewjob?jk=df61b1778dff88cf", "https://www.indeed.com/viewjob?jk=df61b1778dff88cf")</f>
        <v/>
      </c>
      <c r="F185">
        <f>HYPERLINK("https://www.amazon.jobs/jobs/3132336/sr-applied-scientist-spb-advertiser-guidance?cmpid=DA_INAD200785B", "https://www.amazon.jobs/jobs/3132336/sr-applied-scientist-spb-advertiser-guidance?cmpid=DA_INAD200785B")</f>
        <v/>
      </c>
      <c r="G185" t="inlineStr">
        <is>
          <t>Seattle, WA, US</t>
        </is>
      </c>
      <c r="H185" s="3" t="n">
        <v>45981</v>
      </c>
      <c r="I18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in-b668be9f6ffa045a</t>
        </is>
      </c>
      <c r="B186" t="inlineStr">
        <is>
          <t>Senior Applied Scientist, Artificial General Intelligence</t>
        </is>
      </c>
      <c r="C186" t="inlineStr">
        <is>
          <t>Amazon.com</t>
        </is>
      </c>
      <c r="D186" t="inlineStr">
        <is>
          <t>indeed</t>
        </is>
      </c>
      <c r="E186">
        <f>HYPERLINK("https://www.indeed.com/viewjob?jk=b668be9f6ffa045a", "https://www.indeed.com/viewjob?jk=b668be9f6ffa045a")</f>
        <v/>
      </c>
      <c r="F186">
        <f>HYPERLINK("https://www.amazon.jobs/jobs/3131971/senior-applied-scientist-artificial-general-intelligence?cmpid=DA_INAD200785B", "https://www.amazon.jobs/jobs/3131971/senior-applied-scientist-artificial-general-intelligence?cmpid=DA_INAD200785B")</f>
        <v/>
      </c>
      <c r="G186" t="inlineStr">
        <is>
          <t>Sunnyvale, CA, US</t>
        </is>
      </c>
      <c r="H186" s="3" t="n">
        <v>45980</v>
      </c>
      <c r="I18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in-45371f473e0d3566</t>
        </is>
      </c>
      <c r="B187" t="inlineStr">
        <is>
          <t>Senior Applied Scientist, Artificial General Intelligence</t>
        </is>
      </c>
      <c r="C187" t="inlineStr">
        <is>
          <t>Amazon.com</t>
        </is>
      </c>
      <c r="D187" t="inlineStr">
        <is>
          <t>indeed</t>
        </is>
      </c>
      <c r="E187">
        <f>HYPERLINK("https://www.indeed.com/viewjob?jk=45371f473e0d3566", "https://www.indeed.com/viewjob?jk=45371f473e0d3566")</f>
        <v/>
      </c>
      <c r="F187">
        <f>HYPERLINK("https://www.amazon.jobs/jobs/3131971/senior-applied-scientist-artificial-general-intelligence?cmpid=DA_INAD200785B", "https://www.amazon.jobs/jobs/3131971/senior-applied-scientist-artificial-general-intelligence?cmpid=DA_INAD200785B")</f>
        <v/>
      </c>
      <c r="G187" t="inlineStr">
        <is>
          <t>New York, NY, US</t>
        </is>
      </c>
      <c r="H187" s="3" t="n">
        <v>45980</v>
      </c>
      <c r="I18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in-190edb997938054b</t>
        </is>
      </c>
      <c r="B188" t="inlineStr">
        <is>
          <t>Senior Applied Scientist, Artificial General Intelligence</t>
        </is>
      </c>
      <c r="C188" t="inlineStr">
        <is>
          <t>Amazon.com</t>
        </is>
      </c>
      <c r="D188" t="inlineStr">
        <is>
          <t>indeed</t>
        </is>
      </c>
      <c r="E188">
        <f>HYPERLINK("https://www.indeed.com/viewjob?jk=190edb997938054b", "https://www.indeed.com/viewjob?jk=190edb997938054b")</f>
        <v/>
      </c>
      <c r="F188">
        <f>HYPERLINK("https://www.amazon.jobs/jobs/3131971/senior-applied-scientist-artificial-general-intelligence?cmpid=DA_INAD200785B", "https://www.amazon.jobs/jobs/3131971/senior-applied-scientist-artificial-general-intelligence?cmpid=DA_INAD200785B")</f>
        <v/>
      </c>
      <c r="G188" t="inlineStr">
        <is>
          <t>Boston, MA, US</t>
        </is>
      </c>
      <c r="H188" s="3" t="n">
        <v>45980</v>
      </c>
      <c r="I18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in-e79a87971553e345</t>
        </is>
      </c>
      <c r="B189" t="inlineStr">
        <is>
          <t>Senior Applied Scientist, Artificial General Intelligence</t>
        </is>
      </c>
      <c r="C189" t="inlineStr">
        <is>
          <t>Amazon.com</t>
        </is>
      </c>
      <c r="D189" t="inlineStr">
        <is>
          <t>indeed</t>
        </is>
      </c>
      <c r="E189">
        <f>HYPERLINK("https://www.indeed.com/viewjob?jk=e79a87971553e345", "https://www.indeed.com/viewjob?jk=e79a87971553e345")</f>
        <v/>
      </c>
      <c r="F189">
        <f>HYPERLINK("https://www.amazon.jobs/jobs/3131971/senior-applied-scientist-artificial-general-intelligence?cmpid=DA_INAD200785B", "https://www.amazon.jobs/jobs/3131971/senior-applied-scientist-artificial-general-intelligence?cmpid=DA_INAD200785B")</f>
        <v/>
      </c>
      <c r="G189" t="inlineStr">
        <is>
          <t>Seattle, WA, US</t>
        </is>
      </c>
      <c r="H189" s="3" t="n">
        <v>45980</v>
      </c>
      <c r="I18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in-82fc27a7280e61ef</t>
        </is>
      </c>
      <c r="B190" t="inlineStr">
        <is>
          <t>Applied Scientist II, SPB Advertiser Guidance</t>
        </is>
      </c>
      <c r="C190" t="inlineStr">
        <is>
          <t>Amazon.com</t>
        </is>
      </c>
      <c r="D190" t="inlineStr">
        <is>
          <t>indeed</t>
        </is>
      </c>
      <c r="E190">
        <f>HYPERLINK("https://www.indeed.com/viewjob?jk=82fc27a7280e61ef", "https://www.indeed.com/viewjob?jk=82fc27a7280e61ef")</f>
        <v/>
      </c>
      <c r="F190">
        <f>HYPERLINK("https://www.amazon.jobs/jobs/3131876/applied-scientist-ii-spb-advertiser-guidance?cmpid=DA_INAD200785B", "https://www.amazon.jobs/jobs/3131876/applied-scientist-ii-spb-advertiser-guidance?cmpid=DA_INAD200785B")</f>
        <v/>
      </c>
      <c r="G190" t="inlineStr">
        <is>
          <t>New York, NY, US</t>
        </is>
      </c>
      <c r="H190" s="3" t="n">
        <v>45980</v>
      </c>
      <c r="I19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in-47e9e47d3f669e61</t>
        </is>
      </c>
      <c r="B191" t="inlineStr">
        <is>
          <t>Applied Scientist II, SPB Advertiser Guidance</t>
        </is>
      </c>
      <c r="C191" t="inlineStr">
        <is>
          <t>Amazon.com</t>
        </is>
      </c>
      <c r="D191" t="inlineStr">
        <is>
          <t>indeed</t>
        </is>
      </c>
      <c r="E191">
        <f>HYPERLINK("https://www.indeed.com/viewjob?jk=47e9e47d3f669e61", "https://www.indeed.com/viewjob?jk=47e9e47d3f669e61")</f>
        <v/>
      </c>
      <c r="F191">
        <f>HYPERLINK("https://www.amazon.jobs/jobs/3131876/applied-scientist-ii-spb-advertiser-guidance?cmpid=DA_INAD200785B", "https://www.amazon.jobs/jobs/3131876/applied-scientist-ii-spb-advertiser-guidance?cmpid=DA_INAD200785B")</f>
        <v/>
      </c>
      <c r="G191" t="inlineStr">
        <is>
          <t>Seattle, WA, US</t>
        </is>
      </c>
      <c r="H191" s="3" t="n">
        <v>45980</v>
      </c>
      <c r="I19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in-a57aa3c12ad9c75d</t>
        </is>
      </c>
      <c r="B192" t="inlineStr">
        <is>
          <t>Applied Scientist II, SPB Advertiser Guidance</t>
        </is>
      </c>
      <c r="C192" t="inlineStr">
        <is>
          <t>Amazon.com</t>
        </is>
      </c>
      <c r="D192" t="inlineStr">
        <is>
          <t>indeed</t>
        </is>
      </c>
      <c r="E192">
        <f>HYPERLINK("https://www.indeed.com/viewjob?jk=a57aa3c12ad9c75d", "https://www.indeed.com/viewjob?jk=a57aa3c12ad9c75d")</f>
        <v/>
      </c>
      <c r="F192">
        <f>HYPERLINK("https://www.amazon.jobs/jobs/3131876/applied-scientist-ii-spb-advertiser-guidance?cmpid=DA_INAD200785B", "https://www.amazon.jobs/jobs/3131876/applied-scientist-ii-spb-advertiser-guidance?cmpid=DA_INAD200785B")</f>
        <v/>
      </c>
      <c r="G192" t="inlineStr">
        <is>
          <t>Palo Alto, CA, US</t>
        </is>
      </c>
      <c r="H192" s="3" t="n">
        <v>45980</v>
      </c>
      <c r="I19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in-31c16ce6f23ff611</t>
        </is>
      </c>
      <c r="B193" t="inlineStr">
        <is>
          <t>Principal Applied Scientist, Sponsored Products and Brands</t>
        </is>
      </c>
      <c r="C193" t="inlineStr">
        <is>
          <t>Amazon.com</t>
        </is>
      </c>
      <c r="D193" t="inlineStr">
        <is>
          <t>indeed</t>
        </is>
      </c>
      <c r="E193">
        <f>HYPERLINK("https://www.indeed.com/viewjob?jk=31c16ce6f23ff611", "https://www.indeed.com/viewjob?jk=31c16ce6f23ff611")</f>
        <v/>
      </c>
      <c r="F193">
        <f>HYPERLINK("https://www.amazon.jobs/jobs/3130855/principal-applied-scientist-sponsored-products-and-brands?cmpid=DA_INAD200785B", "https://www.amazon.jobs/jobs/3130855/principal-applied-scientist-sponsored-products-and-brands?cmpid=DA_INAD200785B")</f>
        <v/>
      </c>
      <c r="G193" t="inlineStr">
        <is>
          <t>Seattle, WA, US</t>
        </is>
      </c>
      <c r="H193" s="3" t="n">
        <v>45979</v>
      </c>
      <c r="I19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in-47bf75061c8532b3</t>
        </is>
      </c>
      <c r="B194" t="inlineStr">
        <is>
          <t>Principal Applied Scientist, Sponsored Products and Brands</t>
        </is>
      </c>
      <c r="C194" t="inlineStr">
        <is>
          <t>Amazon.com</t>
        </is>
      </c>
      <c r="D194" t="inlineStr">
        <is>
          <t>indeed</t>
        </is>
      </c>
      <c r="E194">
        <f>HYPERLINK("https://www.indeed.com/viewjob?jk=47bf75061c8532b3", "https://www.indeed.com/viewjob?jk=47bf75061c8532b3")</f>
        <v/>
      </c>
      <c r="F194">
        <f>HYPERLINK("https://www.amazon.jobs/jobs/3130855/principal-applied-scientist-sponsored-products-and-brands?cmpid=DA_INAD200785B", "https://www.amazon.jobs/jobs/3130855/principal-applied-scientist-sponsored-products-and-brands?cmpid=DA_INAD200785B")</f>
        <v/>
      </c>
      <c r="G194" t="inlineStr">
        <is>
          <t>New York, NY, US</t>
        </is>
      </c>
      <c r="H194" s="3" t="n">
        <v>45979</v>
      </c>
      <c r="I19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in-19e779b9e348bcf7</t>
        </is>
      </c>
      <c r="B195" t="inlineStr">
        <is>
          <t>Sr. Applied Scientist, Prime Video - Personalization and Discovery Science</t>
        </is>
      </c>
      <c r="C195" t="inlineStr">
        <is>
          <t>Amazon.com</t>
        </is>
      </c>
      <c r="D195" t="inlineStr">
        <is>
          <t>indeed</t>
        </is>
      </c>
      <c r="E195">
        <f>HYPERLINK("https://www.indeed.com/viewjob?jk=19e779b9e348bcf7", "https://www.indeed.com/viewjob?jk=19e779b9e348bcf7")</f>
        <v/>
      </c>
      <c r="F195">
        <f>HYPERLINK("https://www.amazon.jobs/jobs/3134486/sr-applied-scientist-prime-video--personalization-and-discovery-science?cmpid=DA_INAD200785B", "https://www.amazon.jobs/jobs/3134486/sr-applied-scientist-prime-video--personalization-and-discovery-science?cmpid=DA_INAD200785B")</f>
        <v/>
      </c>
      <c r="G195" t="inlineStr">
        <is>
          <t>New York, NY, US</t>
        </is>
      </c>
      <c r="H195" s="3" t="n">
        <v>45969</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in-514775952233d37a</t>
        </is>
      </c>
      <c r="B196" t="inlineStr">
        <is>
          <t>Sr. Applied Scientist, Prime Video - Personalization and Discovery Science</t>
        </is>
      </c>
      <c r="C196" t="inlineStr">
        <is>
          <t>Amazon.com</t>
        </is>
      </c>
      <c r="D196" t="inlineStr">
        <is>
          <t>indeed</t>
        </is>
      </c>
      <c r="E196">
        <f>HYPERLINK("https://www.indeed.com/viewjob?jk=514775952233d37a", "https://www.indeed.com/viewjob?jk=514775952233d37a")</f>
        <v/>
      </c>
      <c r="F196">
        <f>HYPERLINK("https://www.amazon.jobs/jobs/3134486/sr-applied-scientist-prime-video--personalization-and-discovery-science?cmpid=DA_INAD200785B", "https://www.amazon.jobs/jobs/3134486/sr-applied-scientist-prime-video--personalization-and-discovery-science?cmpid=DA_INAD200785B")</f>
        <v/>
      </c>
      <c r="G196" t="inlineStr">
        <is>
          <t>Seattle, WA, US</t>
        </is>
      </c>
      <c r="H196" s="3" t="n">
        <v>45969</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in-4292492b61951972</t>
        </is>
      </c>
      <c r="B197" t="inlineStr">
        <is>
          <t>Sr. Applied Scientist, Prime Video - Personalization and Discovery Science</t>
        </is>
      </c>
      <c r="C197" t="inlineStr">
        <is>
          <t>Amazon.com</t>
        </is>
      </c>
      <c r="D197" t="inlineStr">
        <is>
          <t>indeed</t>
        </is>
      </c>
      <c r="E197">
        <f>HYPERLINK("https://www.indeed.com/viewjob?jk=4292492b61951972", "https://www.indeed.com/viewjob?jk=4292492b61951972")</f>
        <v/>
      </c>
      <c r="F197">
        <f>HYPERLINK("https://www.amazon.jobs/jobs/3134486/sr-applied-scientist-prime-video--personalization-and-discovery-science?cmpid=DA_INAD200785B", "https://www.amazon.jobs/jobs/3134486/sr-applied-scientist-prime-video--personalization-and-discovery-science?cmpid=DA_INAD200785B")</f>
        <v/>
      </c>
      <c r="G197" t="inlineStr">
        <is>
          <t>Sunnyvale, CA, US</t>
        </is>
      </c>
      <c r="H197" s="3" t="n">
        <v>45969</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in-0a1ccd7a218979bc</t>
        </is>
      </c>
      <c r="B198" t="inlineStr">
        <is>
          <t>Principal Applied Scientist, Amazon AGI</t>
        </is>
      </c>
      <c r="C198" t="inlineStr">
        <is>
          <t>Amazon.com</t>
        </is>
      </c>
      <c r="D198" t="inlineStr">
        <is>
          <t>indeed</t>
        </is>
      </c>
      <c r="E198">
        <f>HYPERLINK("https://www.indeed.com/viewjob?jk=0a1ccd7a218979bc", "https://www.indeed.com/viewjob?jk=0a1ccd7a218979bc")</f>
        <v/>
      </c>
      <c r="F198">
        <f>HYPERLINK("https://www.amazon.jobs/jobs/3128808/principal-applied-scientist-amazon-agi?cmpid=DA_INAD200785B", "https://www.amazon.jobs/jobs/3128808/principal-applied-scientist-amazon-agi?cmpid=DA_INAD200785B")</f>
        <v/>
      </c>
      <c r="G198" t="inlineStr">
        <is>
          <t>San Francisco, CA, US</t>
        </is>
      </c>
      <c r="H198" s="3" t="n">
        <v>45964</v>
      </c>
      <c r="I198"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in-a663512161df6514</t>
        </is>
      </c>
      <c r="B199" t="inlineStr">
        <is>
          <t>Principal Applied Scientist, Amazon AGI</t>
        </is>
      </c>
      <c r="C199" t="inlineStr">
        <is>
          <t>Amazon.com</t>
        </is>
      </c>
      <c r="D199" t="inlineStr">
        <is>
          <t>indeed</t>
        </is>
      </c>
      <c r="E199">
        <f>HYPERLINK("https://www.indeed.com/viewjob?jk=a663512161df6514", "https://www.indeed.com/viewjob?jk=a663512161df6514")</f>
        <v/>
      </c>
      <c r="F199">
        <f>HYPERLINK("https://www.amazon.jobs/jobs/3128808/principal-applied-scientist-amazon-agi?cmpid=DA_INAD200785B", "https://www.amazon.jobs/jobs/3128808/principal-applied-scientist-amazon-agi?cmpid=DA_INAD200785B")</f>
        <v/>
      </c>
      <c r="G199" t="inlineStr">
        <is>
          <t>Boston, MA, US</t>
        </is>
      </c>
      <c r="H199" s="3" t="n">
        <v>45964</v>
      </c>
      <c r="I19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in-2e281ec863005699</t>
        </is>
      </c>
      <c r="B200" t="inlineStr">
        <is>
          <t>Principal Applied Scientist, AWS Agentic AI Science</t>
        </is>
      </c>
      <c r="C200" t="inlineStr">
        <is>
          <t>Amazon Web Services</t>
        </is>
      </c>
      <c r="D200" t="inlineStr">
        <is>
          <t>indeed</t>
        </is>
      </c>
      <c r="E200">
        <f>HYPERLINK("https://www.indeed.com/viewjob?jk=2e281ec863005699", "https://www.indeed.com/viewjob?jk=2e281ec863005699")</f>
        <v/>
      </c>
      <c r="F200">
        <f>HYPERLINK("https://www.amazon.jobs/jobs/3132887/principal-applied-scientist-aws-agentic-ai-science?cmpid=DA_INAD200785B", "https://www.amazon.jobs/jobs/3132887/principal-applied-scientist-aws-agentic-ai-science?cmpid=DA_INAD200785B")</f>
        <v/>
      </c>
      <c r="G200" t="inlineStr">
        <is>
          <t>Santa Clara, CA, US</t>
        </is>
      </c>
      <c r="H200" s="3" t="n">
        <v>45963</v>
      </c>
      <c r="I200"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in-d583ed54b835dc67</t>
        </is>
      </c>
      <c r="B201" t="inlineStr">
        <is>
          <t>Principal Applied Scientist, AWS Agentic AI Science</t>
        </is>
      </c>
      <c r="C201" t="inlineStr">
        <is>
          <t>Amazon Web Services</t>
        </is>
      </c>
      <c r="D201" t="inlineStr">
        <is>
          <t>indeed</t>
        </is>
      </c>
      <c r="E201">
        <f>HYPERLINK("https://www.indeed.com/viewjob?jk=d583ed54b835dc67", "https://www.indeed.com/viewjob?jk=d583ed54b835dc67")</f>
        <v/>
      </c>
      <c r="F201">
        <f>HYPERLINK("https://www.amazon.jobs/jobs/3132887/principal-applied-scientist-aws-agentic-ai-science?cmpid=DA_INAD200785B", "https://www.amazon.jobs/jobs/3132887/principal-applied-scientist-aws-agentic-ai-science?cmpid=DA_INAD200785B")</f>
        <v/>
      </c>
      <c r="G201" t="inlineStr">
        <is>
          <t>New York, NY, US</t>
        </is>
      </c>
      <c r="H201" s="3" t="n">
        <v>45963</v>
      </c>
      <c r="I201"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in-77cb823c06f47937</t>
        </is>
      </c>
      <c r="B202" t="inlineStr">
        <is>
          <t>Sr. Applied Scientist, Sponsored Product Off-Search</t>
        </is>
      </c>
      <c r="C202" t="inlineStr">
        <is>
          <t>Amazon.com</t>
        </is>
      </c>
      <c r="D202" t="inlineStr">
        <is>
          <t>indeed</t>
        </is>
      </c>
      <c r="E202">
        <f>HYPERLINK("https://www.indeed.com/viewjob?jk=77cb823c06f47937", "https://www.indeed.com/viewjob?jk=77cb823c06f47937")</f>
        <v/>
      </c>
      <c r="F202">
        <f>HYPERLINK("https://www.amazon.jobs/jobs/3120815/sr-applied-scientist-sponsored-product-offsearch-?cmpid=DA_INAD200785B", "https://www.amazon.jobs/jobs/3120815/sr-applied-scientist-sponsored-product-offsearch-?cmpid=DA_INAD200785B")</f>
        <v/>
      </c>
      <c r="G202" t="inlineStr">
        <is>
          <t>Seattle, WA, US</t>
        </is>
      </c>
      <c r="H202" s="3" t="n">
        <v>45963</v>
      </c>
      <c r="I202"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in-a94d7cf7f6848bbc</t>
        </is>
      </c>
      <c r="B203" t="inlineStr">
        <is>
          <t>Sr. Applied Scientist, Sponsored Product Off-Search</t>
        </is>
      </c>
      <c r="C203" t="inlineStr">
        <is>
          <t>Amazon.com</t>
        </is>
      </c>
      <c r="D203" t="inlineStr">
        <is>
          <t>indeed</t>
        </is>
      </c>
      <c r="E203">
        <f>HYPERLINK("https://www.indeed.com/viewjob?jk=a94d7cf7f6848bbc", "https://www.indeed.com/viewjob?jk=a94d7cf7f6848bbc")</f>
        <v/>
      </c>
      <c r="F203">
        <f>HYPERLINK("https://www.amazon.jobs/jobs/3120815/sr-applied-scientist-sponsored-product-offsearch-?cmpid=DA_INAD200785B", "https://www.amazon.jobs/jobs/3120815/sr-applied-scientist-sponsored-product-offsearch-?cmpid=DA_INAD200785B")</f>
        <v/>
      </c>
      <c r="G203" t="inlineStr">
        <is>
          <t>New York, NY, US</t>
        </is>
      </c>
      <c r="H203" s="3" t="n">
        <v>45963</v>
      </c>
      <c r="I20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in-4f6c90dfde2b22a0</t>
        </is>
      </c>
      <c r="B204" t="inlineStr">
        <is>
          <t>Applied Scientist, AWS Agentic AI</t>
        </is>
      </c>
      <c r="C204" t="inlineStr">
        <is>
          <t>Amazon Web Services</t>
        </is>
      </c>
      <c r="D204" t="inlineStr">
        <is>
          <t>indeed</t>
        </is>
      </c>
      <c r="E204">
        <f>HYPERLINK("https://www.indeed.com/viewjob?jk=4f6c90dfde2b22a0", "https://www.indeed.com/viewjob?jk=4f6c90dfde2b22a0")</f>
        <v/>
      </c>
      <c r="F204">
        <f>HYPERLINK("https://www.amazon.jobs/jobs/3141517/applied-scientist-aws-agentic-ai-?cmpid=DA_INAD200785B", "https://www.amazon.jobs/jobs/3141517/applied-scientist-aws-agentic-ai-?cmpid=DA_INAD200785B")</f>
        <v/>
      </c>
      <c r="G204" t="inlineStr">
        <is>
          <t>Seattle, WA, US</t>
        </is>
      </c>
      <c r="H204" s="3" t="n">
        <v>45962</v>
      </c>
      <c r="I20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in-93eab0845855afeb</t>
        </is>
      </c>
      <c r="B205" t="inlineStr">
        <is>
          <t>Applied Scientist, AWS Agentic AI</t>
        </is>
      </c>
      <c r="C205" t="inlineStr">
        <is>
          <t>Amazon Web Services</t>
        </is>
      </c>
      <c r="D205" t="inlineStr">
        <is>
          <t>indeed</t>
        </is>
      </c>
      <c r="E205">
        <f>HYPERLINK("https://www.indeed.com/viewjob?jk=93eab0845855afeb", "https://www.indeed.com/viewjob?jk=93eab0845855afeb")</f>
        <v/>
      </c>
      <c r="F205">
        <f>HYPERLINK("https://www.amazon.jobs/jobs/3141517/applied-scientist-aws-agentic-ai-?cmpid=DA_INAD200785B", "https://www.amazon.jobs/jobs/3141517/applied-scientist-aws-agentic-ai-?cmpid=DA_INAD200785B")</f>
        <v/>
      </c>
      <c r="G205" t="inlineStr">
        <is>
          <t>Santa Clara, CA, US</t>
        </is>
      </c>
      <c r="H205" s="3" t="n">
        <v>45962</v>
      </c>
      <c r="I20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in-6a44b052c29db78c</t>
        </is>
      </c>
      <c r="B206" t="inlineStr">
        <is>
          <t>Applied Scientist, AWS Agentic AI</t>
        </is>
      </c>
      <c r="C206" t="inlineStr">
        <is>
          <t>Amazon Web Services</t>
        </is>
      </c>
      <c r="D206" t="inlineStr">
        <is>
          <t>indeed</t>
        </is>
      </c>
      <c r="E206">
        <f>HYPERLINK("https://www.indeed.com/viewjob?jk=6a44b052c29db78c", "https://www.indeed.com/viewjob?jk=6a44b052c29db78c")</f>
        <v/>
      </c>
      <c r="F206">
        <f>HYPERLINK("https://www.amazon.jobs/jobs/3141517/applied-scientist-aws-agentic-ai-?cmpid=DA_INAD200785B", "https://www.amazon.jobs/jobs/3141517/applied-scientist-aws-agentic-ai-?cmpid=DA_INAD200785B")</f>
        <v/>
      </c>
      <c r="G206" t="inlineStr">
        <is>
          <t>New York, NY, US</t>
        </is>
      </c>
      <c r="H206" s="3" t="n">
        <v>45962</v>
      </c>
      <c r="I20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in-b3169cfaf84f9d8f</t>
        </is>
      </c>
      <c r="B207" t="inlineStr">
        <is>
          <t>Principal Applied Scientist, Advertiser Growth, Amazon Sponsored Products &amp; Brands</t>
        </is>
      </c>
      <c r="C207" t="inlineStr">
        <is>
          <t>Amazon.com</t>
        </is>
      </c>
      <c r="D207" t="inlineStr">
        <is>
          <t>indeed</t>
        </is>
      </c>
      <c r="E207">
        <f>HYPERLINK("https://www.indeed.com/viewjob?jk=b3169cfaf84f9d8f", "https://www.indeed.com/viewjob?jk=b3169cfaf84f9d8f")</f>
        <v/>
      </c>
      <c r="F207">
        <f>HYPERLINK("https://www.amazon.jobs/jobs/3115279/principal-applied-scientist-advertiser-growth-amazon-sponsored-products--brands?cmpid=DA_INAD200785B", "https://www.amazon.jobs/jobs/3115279/principal-applied-scientist-advertiser-growth-amazon-sponsored-products--brands?cmpid=DA_INAD200785B")</f>
        <v/>
      </c>
      <c r="G207" t="inlineStr">
        <is>
          <t>Palo Alto, CA, US</t>
        </is>
      </c>
      <c r="H207" s="3" t="n">
        <v>45942</v>
      </c>
      <c r="I20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in-fc4954e5d0ceed31</t>
        </is>
      </c>
      <c r="B208" t="inlineStr">
        <is>
          <t>Principal Applied Scientist, Advertiser Growth, Amazon Sponsored Products &amp; Brands</t>
        </is>
      </c>
      <c r="C208" t="inlineStr">
        <is>
          <t>Amazon.com</t>
        </is>
      </c>
      <c r="D208" t="inlineStr">
        <is>
          <t>indeed</t>
        </is>
      </c>
      <c r="E208">
        <f>HYPERLINK("https://www.indeed.com/viewjob?jk=fc4954e5d0ceed31", "https://www.indeed.com/viewjob?jk=fc4954e5d0ceed31")</f>
        <v/>
      </c>
      <c r="F208">
        <f>HYPERLINK("https://www.amazon.jobs/jobs/3115279/principal-applied-scientist-advertiser-growth-amazon-sponsored-products--brands?cmpid=DA_INAD200785B", "https://www.amazon.jobs/jobs/3115279/principal-applied-scientist-advertiser-growth-amazon-sponsored-products--brands?cmpid=DA_INAD200785B")</f>
        <v/>
      </c>
      <c r="G208" t="inlineStr">
        <is>
          <t>New York, NY, US</t>
        </is>
      </c>
      <c r="H208" s="3" t="n">
        <v>45942</v>
      </c>
      <c r="I20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in-26499a12b3d85f2b</t>
        </is>
      </c>
      <c r="B209" t="inlineStr">
        <is>
          <t>Principal Applied Scientist, Advertiser Growth, Amazon Sponsored Products &amp; Brands</t>
        </is>
      </c>
      <c r="C209" t="inlineStr">
        <is>
          <t>Amazon.com</t>
        </is>
      </c>
      <c r="D209" t="inlineStr">
        <is>
          <t>indeed</t>
        </is>
      </c>
      <c r="E209">
        <f>HYPERLINK("https://www.indeed.com/viewjob?jk=26499a12b3d85f2b", "https://www.indeed.com/viewjob?jk=26499a12b3d85f2b")</f>
        <v/>
      </c>
      <c r="F209">
        <f>HYPERLINK("https://www.amazon.jobs/jobs/3115279/principal-applied-scientist-advertiser-growth-amazon-sponsored-products--brands?cmpid=DA_INAD200785B", "https://www.amazon.jobs/jobs/3115279/principal-applied-scientist-advertiser-growth-amazon-sponsored-products--brands?cmpid=DA_INAD200785B")</f>
        <v/>
      </c>
      <c r="G209" t="inlineStr">
        <is>
          <t>Seattle, WA, US</t>
        </is>
      </c>
      <c r="H209" s="3" t="n">
        <v>45942</v>
      </c>
      <c r="I20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in-ed57d20609e43722</t>
        </is>
      </c>
      <c r="B210" t="inlineStr">
        <is>
          <t>Sr. Applied Scientist, SPB Advertiser Guidance</t>
        </is>
      </c>
      <c r="C210" t="inlineStr">
        <is>
          <t>Amazon.com</t>
        </is>
      </c>
      <c r="D210" t="inlineStr">
        <is>
          <t>indeed</t>
        </is>
      </c>
      <c r="E210">
        <f>HYPERLINK("https://www.indeed.com/viewjob?jk=ed57d20609e43722", "https://www.indeed.com/viewjob?jk=ed57d20609e43722")</f>
        <v/>
      </c>
      <c r="F210">
        <f>HYPERLINK("https://www.amazon.jobs/jobs/3106497/sr-applied-scientist-spb-advertiser-guidance?cmpid=DA_INAD200785B", "https://www.amazon.jobs/jobs/3106497/sr-applied-scientist-spb-advertiser-guidance?cmpid=DA_INAD200785B")</f>
        <v/>
      </c>
      <c r="G210" t="inlineStr">
        <is>
          <t>Seattle, WA, US</t>
        </is>
      </c>
      <c r="H210" s="3" t="n">
        <v>45939</v>
      </c>
      <c r="I21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in-7d462fb019c1854f</t>
        </is>
      </c>
      <c r="B211" t="inlineStr">
        <is>
          <t>Sr. Applied Scientist, SPB Advertiser Guidance</t>
        </is>
      </c>
      <c r="C211" t="inlineStr">
        <is>
          <t>Amazon.com</t>
        </is>
      </c>
      <c r="D211" t="inlineStr">
        <is>
          <t>indeed</t>
        </is>
      </c>
      <c r="E211">
        <f>HYPERLINK("https://www.indeed.com/viewjob?jk=7d462fb019c1854f", "https://www.indeed.com/viewjob?jk=7d462fb019c1854f")</f>
        <v/>
      </c>
      <c r="F211">
        <f>HYPERLINK("https://www.amazon.jobs/jobs/3106497/sr-applied-scientist-spb-advertiser-guidance?cmpid=DA_INAD200785B", "https://www.amazon.jobs/jobs/3106497/sr-applied-scientist-spb-advertiser-guidance?cmpid=DA_INAD200785B")</f>
        <v/>
      </c>
      <c r="G211" t="inlineStr">
        <is>
          <t>Palo Alto, CA, US</t>
        </is>
      </c>
      <c r="H211" s="3" t="n">
        <v>45939</v>
      </c>
      <c r="I21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in-ea73c66f85f449e0</t>
        </is>
      </c>
      <c r="B212" t="inlineStr">
        <is>
          <t>Applied Scientist</t>
        </is>
      </c>
      <c r="C212" t="inlineStr">
        <is>
          <t>Amazon.com</t>
        </is>
      </c>
      <c r="D212" t="inlineStr">
        <is>
          <t>indeed</t>
        </is>
      </c>
      <c r="E212">
        <f>HYPERLINK("https://www.indeed.com/viewjob?jk=ea73c66f85f449e0", "https://www.indeed.com/viewjob?jk=ea73c66f85f449e0")</f>
        <v/>
      </c>
      <c r="F212">
        <f>HYPERLINK("https://www.amazon.jobs/jobs/3106501/applied-scientist?cmpid=DA_INAD200785B", "https://www.amazon.jobs/jobs/3106501/applied-scientist?cmpid=DA_INAD200785B")</f>
        <v/>
      </c>
      <c r="G212" t="inlineStr">
        <is>
          <t>New York, NY, US</t>
        </is>
      </c>
      <c r="H212" s="3" t="n">
        <v>45939</v>
      </c>
      <c r="I21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in-3d475f4b41ec5cf2</t>
        </is>
      </c>
      <c r="B213" t="inlineStr">
        <is>
          <t>Applied Scientist</t>
        </is>
      </c>
      <c r="C213" t="inlineStr">
        <is>
          <t>Amazon.com</t>
        </is>
      </c>
      <c r="D213" t="inlineStr">
        <is>
          <t>indeed</t>
        </is>
      </c>
      <c r="E213">
        <f>HYPERLINK("https://www.indeed.com/viewjob?jk=3d475f4b41ec5cf2", "https://www.indeed.com/viewjob?jk=3d475f4b41ec5cf2")</f>
        <v/>
      </c>
      <c r="F213">
        <f>HYPERLINK("https://www.amazon.jobs/jobs/3106501/applied-scientist?cmpid=DA_INAD200785B", "https://www.amazon.jobs/jobs/3106501/applied-scientist?cmpid=DA_INAD200785B")</f>
        <v/>
      </c>
      <c r="G213" t="inlineStr">
        <is>
          <t>Seattle, WA, US</t>
        </is>
      </c>
      <c r="H213" s="3" t="n">
        <v>45939</v>
      </c>
      <c r="I21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in-b0806394ce20d8ac</t>
        </is>
      </c>
      <c r="B214" t="inlineStr">
        <is>
          <t>Applied Scientist</t>
        </is>
      </c>
      <c r="C214" t="inlineStr">
        <is>
          <t>Amazon.com</t>
        </is>
      </c>
      <c r="D214" t="inlineStr">
        <is>
          <t>indeed</t>
        </is>
      </c>
      <c r="E214">
        <f>HYPERLINK("https://www.indeed.com/viewjob?jk=b0806394ce20d8ac", "https://www.indeed.com/viewjob?jk=b0806394ce20d8ac")</f>
        <v/>
      </c>
      <c r="F214">
        <f>HYPERLINK("https://www.amazon.jobs/jobs/3106501/applied-scientist?cmpid=DA_INAD200785B", "https://www.amazon.jobs/jobs/3106501/applied-scientist?cmpid=DA_INAD200785B")</f>
        <v/>
      </c>
      <c r="G214" t="inlineStr">
        <is>
          <t>Palo Alto, CA, US</t>
        </is>
      </c>
      <c r="H214" s="3" t="n">
        <v>45939</v>
      </c>
      <c r="I21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in-d632ae47364fa1a4</t>
        </is>
      </c>
      <c r="B215" t="inlineStr">
        <is>
          <t>Sr. Applied Scientist, SPB Advertiser Guidance</t>
        </is>
      </c>
      <c r="C215" t="inlineStr">
        <is>
          <t>Amazon.com</t>
        </is>
      </c>
      <c r="D215" t="inlineStr">
        <is>
          <t>indeed</t>
        </is>
      </c>
      <c r="E215">
        <f>HYPERLINK("https://www.indeed.com/viewjob?jk=d632ae47364fa1a4", "https://www.indeed.com/viewjob?jk=d632ae47364fa1a4")</f>
        <v/>
      </c>
      <c r="F215">
        <f>HYPERLINK("https://www.amazon.jobs/jobs/3106497/sr-applied-scientist-spb-advertiser-guidance?cmpid=DA_INAD200785B", "https://www.amazon.jobs/jobs/3106497/sr-applied-scientist-spb-advertiser-guidance?cmpid=DA_INAD200785B")</f>
        <v/>
      </c>
      <c r="G215" t="inlineStr">
        <is>
          <t>New York, NY, US</t>
        </is>
      </c>
      <c r="H215" s="3" t="n">
        <v>45939</v>
      </c>
      <c r="I21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in-23e4a4749eba0cc3</t>
        </is>
      </c>
      <c r="B216" t="inlineStr">
        <is>
          <t>Principal Applied Scientist, Amazon - Sponsored Products</t>
        </is>
      </c>
      <c r="C216" t="inlineStr">
        <is>
          <t>Amazon.com</t>
        </is>
      </c>
      <c r="D216" t="inlineStr">
        <is>
          <t>indeed</t>
        </is>
      </c>
      <c r="E216">
        <f>HYPERLINK("https://www.indeed.com/viewjob?jk=23e4a4749eba0cc3", "https://www.indeed.com/viewjob?jk=23e4a4749eba0cc3")</f>
        <v/>
      </c>
      <c r="F216">
        <f>HYPERLINK("https://www.amazon.jobs/jobs/3094885/principal-applied-scientist-amazon--sponsored-products-?cmpid=DA_INAD200785B", "https://www.amazon.jobs/jobs/3094885/principal-applied-scientist-amazon--sponsored-products-?cmpid=DA_INAD200785B")</f>
        <v/>
      </c>
      <c r="G216" t="inlineStr">
        <is>
          <t>Palo Alto, CA, US</t>
        </is>
      </c>
      <c r="H216" s="3" t="n">
        <v>45924</v>
      </c>
      <c r="I216"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in-f910956c4babf1fa</t>
        </is>
      </c>
      <c r="B217" t="inlineStr">
        <is>
          <t>Principal Applied Scientist, Amazon - Sponsored Products</t>
        </is>
      </c>
      <c r="C217" t="inlineStr">
        <is>
          <t>Amazon.com</t>
        </is>
      </c>
      <c r="D217" t="inlineStr">
        <is>
          <t>indeed</t>
        </is>
      </c>
      <c r="E217">
        <f>HYPERLINK("https://www.indeed.com/viewjob?jk=f910956c4babf1fa", "https://www.indeed.com/viewjob?jk=f910956c4babf1fa")</f>
        <v/>
      </c>
      <c r="F217">
        <f>HYPERLINK("https://www.amazon.jobs/jobs/3094885/principal-applied-scientist-amazon--sponsored-products-?cmpid=DA_INAD200785B", "https://www.amazon.jobs/jobs/3094885/principal-applied-scientist-amazon--sponsored-products-?cmpid=DA_INAD200785B")</f>
        <v/>
      </c>
      <c r="G217" t="inlineStr">
        <is>
          <t>Seattle, WA, US</t>
        </is>
      </c>
      <c r="H217" s="3" t="n">
        <v>45924</v>
      </c>
      <c r="I217"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in-da70f2a5141248e2</t>
        </is>
      </c>
      <c r="B218" t="inlineStr">
        <is>
          <t>Principal Applied Scientist, Amazon - Sponsored Products</t>
        </is>
      </c>
      <c r="C218" t="inlineStr">
        <is>
          <t>Amazon.com</t>
        </is>
      </c>
      <c r="D218" t="inlineStr">
        <is>
          <t>indeed</t>
        </is>
      </c>
      <c r="E218">
        <f>HYPERLINK("https://www.indeed.com/viewjob?jk=da70f2a5141248e2", "https://www.indeed.com/viewjob?jk=da70f2a5141248e2")</f>
        <v/>
      </c>
      <c r="F218">
        <f>HYPERLINK("https://www.amazon.jobs/jobs/3094885/principal-applied-scientist-amazon--sponsored-products-?cmpid=DA_INAD200785B", "https://www.amazon.jobs/jobs/3094885/principal-applied-scientist-amazon--sponsored-products-?cmpid=DA_INAD200785B")</f>
        <v/>
      </c>
      <c r="G218" t="inlineStr">
        <is>
          <t>New York, NY, US</t>
        </is>
      </c>
      <c r="H218" s="3" t="n">
        <v>45924</v>
      </c>
      <c r="I218"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in-b36747160748ab77</t>
        </is>
      </c>
      <c r="B219" t="inlineStr">
        <is>
          <t>Senior Applied Scientist, Sponsored Products and Brands</t>
        </is>
      </c>
      <c r="C219" t="inlineStr">
        <is>
          <t>Amazon.com</t>
        </is>
      </c>
      <c r="D219" t="inlineStr">
        <is>
          <t>indeed</t>
        </is>
      </c>
      <c r="E219">
        <f>HYPERLINK("https://www.indeed.com/viewjob?jk=b36747160748ab77", "https://www.indeed.com/viewjob?jk=b36747160748ab77")</f>
        <v/>
      </c>
      <c r="F219">
        <f>HYPERLINK("https://www.amazon.jobs/jobs/3094886/senior-applied-scientist-sponsored-products-and-brands?cmpid=DA_INAD200785B", "https://www.amazon.jobs/jobs/3094886/senior-applied-scientist-sponsored-products-and-brands?cmpid=DA_INAD200785B")</f>
        <v/>
      </c>
      <c r="G219" t="inlineStr">
        <is>
          <t>Seattle, WA, US</t>
        </is>
      </c>
      <c r="H219" s="3" t="n">
        <v>45922</v>
      </c>
      <c r="I21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in-dc2950e3a615a5e2</t>
        </is>
      </c>
      <c r="B220" t="inlineStr">
        <is>
          <t>Senior Applied Scientist, Sponsored Products and Brands</t>
        </is>
      </c>
      <c r="C220" t="inlineStr">
        <is>
          <t>Amazon.com</t>
        </is>
      </c>
      <c r="D220" t="inlineStr">
        <is>
          <t>indeed</t>
        </is>
      </c>
      <c r="E220">
        <f>HYPERLINK("https://www.indeed.com/viewjob?jk=dc2950e3a615a5e2", "https://www.indeed.com/viewjob?jk=dc2950e3a615a5e2")</f>
        <v/>
      </c>
      <c r="F220">
        <f>HYPERLINK("https://www.amazon.jobs/jobs/3094886/senior-applied-scientist-sponsored-products-and-brands?cmpid=DA_INAD200785B", "https://www.amazon.jobs/jobs/3094886/senior-applied-scientist-sponsored-products-and-brands?cmpid=DA_INAD200785B")</f>
        <v/>
      </c>
      <c r="G220" t="inlineStr">
        <is>
          <t>New York, NY, US</t>
        </is>
      </c>
      <c r="H220" s="3" t="n">
        <v>45922</v>
      </c>
      <c r="I22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in-66bde1d9b9318ab6</t>
        </is>
      </c>
      <c r="B221" t="inlineStr">
        <is>
          <t>Applied Scientist, Workplace Health &amp; Safety</t>
        </is>
      </c>
      <c r="C221" t="inlineStr">
        <is>
          <t>Amazon.com</t>
        </is>
      </c>
      <c r="D221" t="inlineStr">
        <is>
          <t>indeed</t>
        </is>
      </c>
      <c r="E221">
        <f>HYPERLINK("https://www.indeed.com/viewjob?jk=66bde1d9b9318ab6", "https://www.indeed.com/viewjob?jk=66bde1d9b9318ab6")</f>
        <v/>
      </c>
      <c r="F221">
        <f>HYPERLINK("https://www.amazon.jobs/jobs/3144886/applied-scientist-workplace-health--safety-?cmpid=DA_INAD200785B", "https://www.amazon.jobs/jobs/3144886/applied-scientist-workplace-health--safety-?cmpid=DA_INAD200785B")</f>
        <v/>
      </c>
      <c r="G221" t="inlineStr">
        <is>
          <t>Bellevue, WA, US</t>
        </is>
      </c>
      <c r="H221" s="3" t="n">
        <v>45917</v>
      </c>
      <c r="I22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in-08f097f40ffee890</t>
        </is>
      </c>
      <c r="B222" t="inlineStr">
        <is>
          <t>Applied Scientist, Workplace Health &amp; Safety</t>
        </is>
      </c>
      <c r="C222" t="inlineStr">
        <is>
          <t>Amazon.com</t>
        </is>
      </c>
      <c r="D222" t="inlineStr">
        <is>
          <t>indeed</t>
        </is>
      </c>
      <c r="E222">
        <f>HYPERLINK("https://www.indeed.com/viewjob?jk=08f097f40ffee890", "https://www.indeed.com/viewjob?jk=08f097f40ffee890")</f>
        <v/>
      </c>
      <c r="F222">
        <f>HYPERLINK("https://www.amazon.jobs/jobs/3144886/applied-scientist-workplace-health--safety-?cmpid=DA_INAD200785B", "https://www.amazon.jobs/jobs/3144886/applied-scientist-workplace-health--safety-?cmpid=DA_INAD200785B")</f>
        <v/>
      </c>
      <c r="G222" t="inlineStr">
        <is>
          <t>Nashville, TN, US</t>
        </is>
      </c>
      <c r="H222" s="3" t="n">
        <v>45917</v>
      </c>
      <c r="I22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in-d87f2b349b9fa0d0</t>
        </is>
      </c>
      <c r="B223" t="inlineStr">
        <is>
          <t>Applied Scientist II, Creative X - RAPID</t>
        </is>
      </c>
      <c r="C223" t="inlineStr">
        <is>
          <t>Amazon.com</t>
        </is>
      </c>
      <c r="D223" t="inlineStr">
        <is>
          <t>indeed</t>
        </is>
      </c>
      <c r="E223">
        <f>HYPERLINK("https://www.indeed.com/viewjob?jk=d87f2b349b9fa0d0", "https://www.indeed.com/viewjob?jk=d87f2b349b9fa0d0")</f>
        <v/>
      </c>
      <c r="F223">
        <f>HYPERLINK("https://www.amazon.jobs/jobs/3083576/applied-scientist-ii-creative-x--rapid?cmpid=DA_INAD200785B", "https://www.amazon.jobs/jobs/3083576/applied-scientist-ii-creative-x--rapid?cmpid=DA_INAD200785B")</f>
        <v/>
      </c>
      <c r="G223" t="inlineStr">
        <is>
          <t>Seattle, WA, US</t>
        </is>
      </c>
      <c r="H223" s="3" t="n">
        <v>45908</v>
      </c>
      <c r="I223"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in-f73390179d9a39a0</t>
        </is>
      </c>
      <c r="B224" t="inlineStr">
        <is>
          <t>Applied Scientist II, Creative X - RAPID</t>
        </is>
      </c>
      <c r="C224" t="inlineStr">
        <is>
          <t>Amazon.com</t>
        </is>
      </c>
      <c r="D224" t="inlineStr">
        <is>
          <t>indeed</t>
        </is>
      </c>
      <c r="E224">
        <f>HYPERLINK("https://www.indeed.com/viewjob?jk=f73390179d9a39a0", "https://www.indeed.com/viewjob?jk=f73390179d9a39a0")</f>
        <v/>
      </c>
      <c r="F224">
        <f>HYPERLINK("https://www.amazon.jobs/jobs/3083576/applied-scientist-ii-creative-x--rapid?cmpid=DA_INAD200785B", "https://www.amazon.jobs/jobs/3083576/applied-scientist-ii-creative-x--rapid?cmpid=DA_INAD200785B")</f>
        <v/>
      </c>
      <c r="G224" t="inlineStr">
        <is>
          <t>New York, NY, US</t>
        </is>
      </c>
      <c r="H224" s="3" t="n">
        <v>45908</v>
      </c>
      <c r="I224"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in-e54ebe21303378ff</t>
        </is>
      </c>
      <c r="B225" t="inlineStr">
        <is>
          <t>Senior Applied Scientist, Agentic AI for Data Analytics and Science, Speed Analytics and Science</t>
        </is>
      </c>
      <c r="C225" t="inlineStr">
        <is>
          <t>Amazon.com</t>
        </is>
      </c>
      <c r="D225" t="inlineStr">
        <is>
          <t>indeed</t>
        </is>
      </c>
      <c r="E225">
        <f>HYPERLINK("https://www.indeed.com/viewjob?jk=e54ebe21303378ff", "https://www.indeed.com/viewjob?jk=e54ebe21303378ff")</f>
        <v/>
      </c>
      <c r="F225">
        <f>HYPERLINK("https://www.amazon.jobs/jobs/3068727/senior-applied-scientist-agentic-ai-for-data-analytics-and-science-speed-analytics-and-science?cmpid=DA_INAD200785B", "https://www.amazon.jobs/jobs/3068727/senior-applied-scientist-agentic-ai-for-data-analytics-and-science-speed-analytics-and-science?cmpid=DA_INAD200785B")</f>
        <v/>
      </c>
      <c r="G225" t="inlineStr">
        <is>
          <t>Tempe, AZ, US</t>
        </is>
      </c>
      <c r="H225" s="3" t="n">
        <v>45880</v>
      </c>
      <c r="I225"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in-6992a48d97eb7f5f</t>
        </is>
      </c>
      <c r="B226" t="inlineStr">
        <is>
          <t>Senior Applied Scientist, Agentic AI for Data Analytics and Science, Speed Analytics and Science</t>
        </is>
      </c>
      <c r="C226" t="inlineStr">
        <is>
          <t>Amazon.com</t>
        </is>
      </c>
      <c r="D226" t="inlineStr">
        <is>
          <t>indeed</t>
        </is>
      </c>
      <c r="E226">
        <f>HYPERLINK("https://www.indeed.com/viewjob?jk=6992a48d97eb7f5f", "https://www.indeed.com/viewjob?jk=6992a48d97eb7f5f")</f>
        <v/>
      </c>
      <c r="F226">
        <f>HYPERLINK("https://www.amazon.jobs/jobs/3068727/senior-applied-scientist-agentic-ai-for-data-analytics-and-science-speed-analytics-and-science?cmpid=DA_INAD200785B", "https://www.amazon.jobs/jobs/3068727/senior-applied-scientist-agentic-ai-for-data-analytics-and-science-speed-analytics-and-science?cmpid=DA_INAD200785B")</f>
        <v/>
      </c>
      <c r="G226" t="inlineStr">
        <is>
          <t>Bellevue, WA, US</t>
        </is>
      </c>
      <c r="H226" s="3" t="n">
        <v>45880</v>
      </c>
      <c r="I226"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in-0b388d3d3624c2ac</t>
        </is>
      </c>
      <c r="B227" t="inlineStr">
        <is>
          <t>Sr. Applied Scientist, Amazon Advertising</t>
        </is>
      </c>
      <c r="C227" t="inlineStr">
        <is>
          <t>Amazon.com</t>
        </is>
      </c>
      <c r="D227" t="inlineStr">
        <is>
          <t>indeed</t>
        </is>
      </c>
      <c r="E227">
        <f>HYPERLINK("https://www.indeed.com/viewjob?jk=0b388d3d3624c2ac", "https://www.indeed.com/viewjob?jk=0b388d3d3624c2ac")</f>
        <v/>
      </c>
      <c r="F227">
        <f>HYPERLINK("https://www.amazon.jobs/jobs/3035686/sr-applied-scientist-amazon-advertising?cmpid=DA_INAD200785B", "https://www.amazon.jobs/jobs/3035686/sr-applied-scientist-amazon-advertising?cmpid=DA_INAD200785B")</f>
        <v/>
      </c>
      <c r="G227" t="inlineStr">
        <is>
          <t>West Hollywood, CA, US</t>
        </is>
      </c>
      <c r="H227" s="3" t="n">
        <v>45851</v>
      </c>
      <c r="I22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in-9a1fc1bfa8450e18</t>
        </is>
      </c>
      <c r="B228" t="inlineStr">
        <is>
          <t>Sr. Applied Scientist, Amazon Advertising</t>
        </is>
      </c>
      <c r="C228" t="inlineStr">
        <is>
          <t>Amazon.com</t>
        </is>
      </c>
      <c r="D228" t="inlineStr">
        <is>
          <t>indeed</t>
        </is>
      </c>
      <c r="E228">
        <f>HYPERLINK("https://www.indeed.com/viewjob?jk=9a1fc1bfa8450e18", "https://www.indeed.com/viewjob?jk=9a1fc1bfa8450e18")</f>
        <v/>
      </c>
      <c r="F228">
        <f>HYPERLINK("https://www.amazon.jobs/jobs/3035686/sr-applied-scientist-amazon-advertising?cmpid=DA_INAD200785B", "https://www.amazon.jobs/jobs/3035686/sr-applied-scientist-amazon-advertising?cmpid=DA_INAD200785B")</f>
        <v/>
      </c>
      <c r="G228" t="inlineStr">
        <is>
          <t>Seattle, WA, US</t>
        </is>
      </c>
      <c r="H228" s="3" t="n">
        <v>45851</v>
      </c>
      <c r="I22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in-d878f2dbdacc854b</t>
        </is>
      </c>
      <c r="B229" t="inlineStr">
        <is>
          <t>Sr. Applied Scientist, Amazon Advertising</t>
        </is>
      </c>
      <c r="C229" t="inlineStr">
        <is>
          <t>Amazon.com</t>
        </is>
      </c>
      <c r="D229" t="inlineStr">
        <is>
          <t>indeed</t>
        </is>
      </c>
      <c r="E229">
        <f>HYPERLINK("https://www.indeed.com/viewjob?jk=d878f2dbdacc854b", "https://www.indeed.com/viewjob?jk=d878f2dbdacc854b")</f>
        <v/>
      </c>
      <c r="F229">
        <f>HYPERLINK("https://www.amazon.jobs/jobs/3035686/sr-applied-scientist-amazon-advertising?cmpid=DA_INAD200785B", "https://www.amazon.jobs/jobs/3035686/sr-applied-scientist-amazon-advertising?cmpid=DA_INAD200785B")</f>
        <v/>
      </c>
      <c r="G229" t="inlineStr">
        <is>
          <t>New York, NY, US</t>
        </is>
      </c>
      <c r="H229" s="3" t="n">
        <v>45851</v>
      </c>
      <c r="I22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in-2c5a83c88ae51518</t>
        </is>
      </c>
      <c r="B230" t="inlineStr">
        <is>
          <t>Sr. Applied Scientist, Amazon Advertising</t>
        </is>
      </c>
      <c r="C230" t="inlineStr">
        <is>
          <t>Amazon.com</t>
        </is>
      </c>
      <c r="D230" t="inlineStr">
        <is>
          <t>indeed</t>
        </is>
      </c>
      <c r="E230">
        <f>HYPERLINK("https://www.indeed.com/viewjob?jk=2c5a83c88ae51518", "https://www.indeed.com/viewjob?jk=2c5a83c88ae51518")</f>
        <v/>
      </c>
      <c r="F230">
        <f>HYPERLINK("https://www.amazon.jobs/jobs/3035686/sr-applied-scientist-amazon-advertising?cmpid=DA_INAD200785B", "https://www.amazon.jobs/jobs/3035686/sr-applied-scientist-amazon-advertising?cmpid=DA_INAD200785B")</f>
        <v/>
      </c>
      <c r="G230" t="inlineStr">
        <is>
          <t>Palo Alto, CA, US</t>
        </is>
      </c>
      <c r="H230" s="3" t="n">
        <v>45851</v>
      </c>
      <c r="I2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in-7cc8351ca5e0a9d7</t>
        </is>
      </c>
      <c r="B231" t="inlineStr">
        <is>
          <t>Sr. Applied Scientist, Amazon Advertising</t>
        </is>
      </c>
      <c r="C231" t="inlineStr">
        <is>
          <t>Amazon.com</t>
        </is>
      </c>
      <c r="D231" t="inlineStr">
        <is>
          <t>indeed</t>
        </is>
      </c>
      <c r="E231">
        <f>HYPERLINK("https://www.indeed.com/viewjob?jk=7cc8351ca5e0a9d7", "https://www.indeed.com/viewjob?jk=7cc8351ca5e0a9d7")</f>
        <v/>
      </c>
      <c r="F231">
        <f>HYPERLINK("https://www.amazon.jobs/jobs/3035686/sr-applied-scientist-amazon-advertising?cmpid=DA_INAD200785B", "https://www.amazon.jobs/jobs/3035686/sr-applied-scientist-amazon-advertising?cmpid=DA_INAD200785B")</f>
        <v/>
      </c>
      <c r="G231" t="inlineStr">
        <is>
          <t>Los Angeles, CA, US</t>
        </is>
      </c>
      <c r="H231" s="3" t="n">
        <v>45851</v>
      </c>
      <c r="I2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in-1f1eed30609e60ec</t>
        </is>
      </c>
      <c r="B232" t="inlineStr">
        <is>
          <t>Sr. Applied Scientist, Amazon Advertising</t>
        </is>
      </c>
      <c r="C232" t="inlineStr">
        <is>
          <t>Amazon.com</t>
        </is>
      </c>
      <c r="D232" t="inlineStr">
        <is>
          <t>indeed</t>
        </is>
      </c>
      <c r="E232">
        <f>HYPERLINK("https://www.indeed.com/viewjob?jk=1f1eed30609e60ec", "https://www.indeed.com/viewjob?jk=1f1eed30609e60ec")</f>
        <v/>
      </c>
      <c r="F232">
        <f>HYPERLINK("https://www.amazon.jobs/jobs/3035686/sr-applied-scientist-amazon-advertising?cmpid=DA_INAD200785B", "https://www.amazon.jobs/jobs/3035686/sr-applied-scientist-amazon-advertising?cmpid=DA_INAD200785B")</f>
        <v/>
      </c>
      <c r="G232" t="inlineStr">
        <is>
          <t>Simi Valley, CA, US</t>
        </is>
      </c>
      <c r="H232" s="3" t="n">
        <v>45851</v>
      </c>
      <c r="I2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in-307631dd23255222</t>
        </is>
      </c>
      <c r="B233" t="inlineStr">
        <is>
          <t>Sr. Applied Scientist, Amazon Advertising</t>
        </is>
      </c>
      <c r="C233" t="inlineStr">
        <is>
          <t>Amazon.com</t>
        </is>
      </c>
      <c r="D233" t="inlineStr">
        <is>
          <t>indeed</t>
        </is>
      </c>
      <c r="E233">
        <f>HYPERLINK("https://www.indeed.com/viewjob?jk=307631dd23255222", "https://www.indeed.com/viewjob?jk=307631dd23255222")</f>
        <v/>
      </c>
      <c r="F233">
        <f>HYPERLINK("https://www.amazon.jobs/jobs/3035686/sr-applied-scientist-amazon-advertising?cmpid=DA_INAD200785B", "https://www.amazon.jobs/jobs/3035686/sr-applied-scientist-amazon-advertising?cmpid=DA_INAD200785B")</f>
        <v/>
      </c>
      <c r="G233" t="inlineStr">
        <is>
          <t>Austin, TX, US</t>
        </is>
      </c>
      <c r="H233" s="3" t="n">
        <v>45851</v>
      </c>
      <c r="I2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in-41606f062c949bec</t>
        </is>
      </c>
      <c r="B234" t="inlineStr">
        <is>
          <t>Sr. Applied Scientist, Amazon Advertising</t>
        </is>
      </c>
      <c r="C234" t="inlineStr">
        <is>
          <t>Amazon.com</t>
        </is>
      </c>
      <c r="D234" t="inlineStr">
        <is>
          <t>indeed</t>
        </is>
      </c>
      <c r="E234">
        <f>HYPERLINK("https://www.indeed.com/viewjob?jk=41606f062c949bec", "https://www.indeed.com/viewjob?jk=41606f062c949bec")</f>
        <v/>
      </c>
      <c r="F234">
        <f>HYPERLINK("https://www.amazon.jobs/jobs/3035686/sr-applied-scientist-amazon-advertising?cmpid=DA_INAD200785B", "https://www.amazon.jobs/jobs/3035686/sr-applied-scientist-amazon-advertising?cmpid=DA_INAD200785B")</f>
        <v/>
      </c>
      <c r="G234" t="inlineStr">
        <is>
          <t>Arlington, VA, US</t>
        </is>
      </c>
      <c r="H234" s="3" t="n">
        <v>45851</v>
      </c>
      <c r="I2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in-3dc7c111db2dd902</t>
        </is>
      </c>
      <c r="B235" t="inlineStr">
        <is>
          <t>Senior Applied Scientist, Artificial General Intelligence</t>
        </is>
      </c>
      <c r="C235" t="inlineStr">
        <is>
          <t>Amazon.com</t>
        </is>
      </c>
      <c r="D235" t="inlineStr">
        <is>
          <t>indeed</t>
        </is>
      </c>
      <c r="E235">
        <f>HYPERLINK("https://www.indeed.com/viewjob?jk=3dc7c111db2dd902", "https://www.indeed.com/viewjob?jk=3dc7c111db2dd902")</f>
        <v/>
      </c>
      <c r="F235">
        <f>HYPERLINK("https://www.amazon.jobs/jobs/3032183/senior-applied-scientist-artificial-general-intelligence?cmpid=DA_INAD200785B", "https://www.amazon.jobs/jobs/3032183/senior-applied-scientist-artificial-general-intelligence?cmpid=DA_INAD200785B")</f>
        <v/>
      </c>
      <c r="G235" t="inlineStr">
        <is>
          <t>Boston, MA, US</t>
        </is>
      </c>
      <c r="H235" s="3" t="n">
        <v>45838</v>
      </c>
      <c r="I23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in-f8cefdab0300b88a</t>
        </is>
      </c>
      <c r="B236" t="inlineStr">
        <is>
          <t>Senior Applied Scientist, Artificial General Intelligence</t>
        </is>
      </c>
      <c r="C236" t="inlineStr">
        <is>
          <t>Amazon.com</t>
        </is>
      </c>
      <c r="D236" t="inlineStr">
        <is>
          <t>indeed</t>
        </is>
      </c>
      <c r="E236">
        <f>HYPERLINK("https://www.indeed.com/viewjob?jk=f8cefdab0300b88a", "https://www.indeed.com/viewjob?jk=f8cefdab0300b88a")</f>
        <v/>
      </c>
      <c r="F236">
        <f>HYPERLINK("https://www.amazon.jobs/jobs/3032183/senior-applied-scientist-artificial-general-intelligence?cmpid=DA_INAD200785B", "https://www.amazon.jobs/jobs/3032183/senior-applied-scientist-artificial-general-intelligence?cmpid=DA_INAD200785B")</f>
        <v/>
      </c>
      <c r="G236" t="inlineStr">
        <is>
          <t>Sunnyvale, CA, US</t>
        </is>
      </c>
      <c r="H236" s="3" t="n">
        <v>45838</v>
      </c>
      <c r="I23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in-521bd7e7c0b7f5cf</t>
        </is>
      </c>
      <c r="B237" t="inlineStr">
        <is>
          <t>Senior Applied Scientist, Artificial General Intelligence</t>
        </is>
      </c>
      <c r="C237" t="inlineStr">
        <is>
          <t>Amazon.com</t>
        </is>
      </c>
      <c r="D237" t="inlineStr">
        <is>
          <t>indeed</t>
        </is>
      </c>
      <c r="E237">
        <f>HYPERLINK("https://www.indeed.com/viewjob?jk=521bd7e7c0b7f5cf", "https://www.indeed.com/viewjob?jk=521bd7e7c0b7f5cf")</f>
        <v/>
      </c>
      <c r="F237">
        <f>HYPERLINK("https://www.amazon.jobs/jobs/3032183/senior-applied-scientist-artificial-general-intelligence?cmpid=DA_INAD200785B", "https://www.amazon.jobs/jobs/3032183/senior-applied-scientist-artificial-general-intelligence?cmpid=DA_INAD200785B")</f>
        <v/>
      </c>
      <c r="G237" t="inlineStr">
        <is>
          <t>New York, NY, US</t>
        </is>
      </c>
      <c r="H237" s="3" t="n">
        <v>45838</v>
      </c>
      <c r="I23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in-7b368a9883dad998</t>
        </is>
      </c>
      <c r="B238" t="inlineStr">
        <is>
          <t>Sr. Applied Scientist, Sales AI</t>
        </is>
      </c>
      <c r="C238" t="inlineStr">
        <is>
          <t>Amazon.com</t>
        </is>
      </c>
      <c r="D238" t="inlineStr">
        <is>
          <t>indeed</t>
        </is>
      </c>
      <c r="E238">
        <f>HYPERLINK("https://www.indeed.com/viewjob?jk=7b368a9883dad998", "https://www.indeed.com/viewjob?jk=7b368a9883dad998")</f>
        <v/>
      </c>
      <c r="F238">
        <f>HYPERLINK("https://www.amazon.jobs/jobs/3020528/sr-applied-scientist-sales-ai?cmpid=DA_INAD200785B", "https://www.amazon.jobs/jobs/3020528/sr-applied-scientist-sales-ai?cmpid=DA_INAD200785B")</f>
        <v/>
      </c>
      <c r="G238" t="inlineStr">
        <is>
          <t>New York, NY, US</t>
        </is>
      </c>
      <c r="H238" s="3" t="n">
        <v>45830</v>
      </c>
      <c r="I23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in-9409e7f8327aba92</t>
        </is>
      </c>
      <c r="B239" t="inlineStr">
        <is>
          <t>Sr. Applied Scientist, Sales AI</t>
        </is>
      </c>
      <c r="C239" t="inlineStr">
        <is>
          <t>Amazon.com</t>
        </is>
      </c>
      <c r="D239" t="inlineStr">
        <is>
          <t>indeed</t>
        </is>
      </c>
      <c r="E239">
        <f>HYPERLINK("https://www.indeed.com/viewjob?jk=9409e7f8327aba92", "https://www.indeed.com/viewjob?jk=9409e7f8327aba92")</f>
        <v/>
      </c>
      <c r="F239">
        <f>HYPERLINK("https://www.amazon.jobs/jobs/3020528/sr-applied-scientist-sales-ai?cmpid=DA_INAD200785B", "https://www.amazon.jobs/jobs/3020528/sr-applied-scientist-sales-ai?cmpid=DA_INAD200785B")</f>
        <v/>
      </c>
      <c r="G239" t="inlineStr">
        <is>
          <t>Sunnyvale, CA, US</t>
        </is>
      </c>
      <c r="H239" s="3" t="n">
        <v>45830</v>
      </c>
      <c r="I23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in-9d68f83dc73a61cb</t>
        </is>
      </c>
      <c r="B240" t="inlineStr">
        <is>
          <t>Sr. Applied Scientist, Sales AI</t>
        </is>
      </c>
      <c r="C240" t="inlineStr">
        <is>
          <t>Amazon.com</t>
        </is>
      </c>
      <c r="D240" t="inlineStr">
        <is>
          <t>indeed</t>
        </is>
      </c>
      <c r="E240">
        <f>HYPERLINK("https://www.indeed.com/viewjob?jk=9d68f83dc73a61cb", "https://www.indeed.com/viewjob?jk=9d68f83dc73a61cb")</f>
        <v/>
      </c>
      <c r="F240">
        <f>HYPERLINK("https://www.amazon.jobs/jobs/3020528/sr-applied-scientist-sales-ai?cmpid=DA_INAD200785B", "https://www.amazon.jobs/jobs/3020528/sr-applied-scientist-sales-ai?cmpid=DA_INAD200785B")</f>
        <v/>
      </c>
      <c r="G240" t="inlineStr">
        <is>
          <t>Seattle, WA, US</t>
        </is>
      </c>
      <c r="H240" s="3" t="n">
        <v>45830</v>
      </c>
      <c r="I24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in-458032fa9317762c</t>
        </is>
      </c>
      <c r="B241" t="inlineStr">
        <is>
          <t>Sr. Applied Scientist, AGI Info</t>
        </is>
      </c>
      <c r="C241" t="inlineStr">
        <is>
          <t>Amazon.com</t>
        </is>
      </c>
      <c r="D241" t="inlineStr">
        <is>
          <t>indeed</t>
        </is>
      </c>
      <c r="E241">
        <f>HYPERLINK("https://www.indeed.com/viewjob?jk=458032fa9317762c", "https://www.indeed.com/viewjob?jk=458032fa9317762c")</f>
        <v/>
      </c>
      <c r="F241">
        <f>HYPERLINK("https://www.amazon.jobs/jobs/2999351/sr-applied-scientist-agi-info?cmpid=DA_INAD200785B", "https://www.amazon.jobs/jobs/2999351/sr-applied-scientist-agi-info?cmpid=DA_INAD200785B")</f>
        <v/>
      </c>
      <c r="G241" t="inlineStr">
        <is>
          <t>Sunnyvale, CA, US</t>
        </is>
      </c>
      <c r="H241" s="3" t="n">
        <v>45811</v>
      </c>
      <c r="I241"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in-691fd28679902f6d</t>
        </is>
      </c>
      <c r="B242" t="inlineStr">
        <is>
          <t>Sr. Applied Scientist, AGI Info</t>
        </is>
      </c>
      <c r="C242" t="inlineStr">
        <is>
          <t>Amazon.com</t>
        </is>
      </c>
      <c r="D242" t="inlineStr">
        <is>
          <t>indeed</t>
        </is>
      </c>
      <c r="E242">
        <f>HYPERLINK("https://www.indeed.com/viewjob?jk=691fd28679902f6d", "https://www.indeed.com/viewjob?jk=691fd28679902f6d")</f>
        <v/>
      </c>
      <c r="F242">
        <f>HYPERLINK("https://www.amazon.jobs/jobs/2999351/sr-applied-scientist-agi-info?cmpid=DA_INAD200785B", "https://www.amazon.jobs/jobs/2999351/sr-applied-scientist-agi-info?cmpid=DA_INAD200785B")</f>
        <v/>
      </c>
      <c r="G242" t="inlineStr">
        <is>
          <t>Bellevue, WA, US</t>
        </is>
      </c>
      <c r="H242" s="3" t="n">
        <v>45811</v>
      </c>
      <c r="I242"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in-9a01e6d6424b97a5</t>
        </is>
      </c>
      <c r="B243" t="inlineStr">
        <is>
          <t>Principal Applied Scientist, Delivery Foundation Model</t>
        </is>
      </c>
      <c r="C243" t="inlineStr">
        <is>
          <t>Amazon.com</t>
        </is>
      </c>
      <c r="D243" t="inlineStr">
        <is>
          <t>indeed</t>
        </is>
      </c>
      <c r="E243">
        <f>HYPERLINK("https://www.indeed.com/viewjob?jk=9a01e6d6424b97a5", "https://www.indeed.com/viewjob?jk=9a01e6d6424b97a5")</f>
        <v/>
      </c>
      <c r="F243">
        <f>HYPERLINK("https://www.amazon.jobs/jobs/3006938/principal-applied-scientist-delivery-foundation-model-?cmpid=DA_INAD200785B", "https://www.amazon.jobs/jobs/3006938/principal-applied-scientist-delivery-foundation-model-?cmpid=DA_INAD200785B")</f>
        <v/>
      </c>
      <c r="G243" t="inlineStr">
        <is>
          <t>Santa Clara, CA, US</t>
        </is>
      </c>
      <c r="H243" s="3" t="n">
        <v>45810</v>
      </c>
      <c r="I24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in-ed6c6985d09724d1</t>
        </is>
      </c>
      <c r="B244" t="inlineStr">
        <is>
          <t>Principal Applied Scientist, Delivery Foundation Model</t>
        </is>
      </c>
      <c r="C244" t="inlineStr">
        <is>
          <t>Amazon.com</t>
        </is>
      </c>
      <c r="D244" t="inlineStr">
        <is>
          <t>indeed</t>
        </is>
      </c>
      <c r="E244">
        <f>HYPERLINK("https://www.indeed.com/viewjob?jk=ed6c6985d09724d1", "https://www.indeed.com/viewjob?jk=ed6c6985d09724d1")</f>
        <v/>
      </c>
      <c r="F244">
        <f>HYPERLINK("https://www.amazon.jobs/jobs/3006938/principal-applied-scientist-delivery-foundation-model-?cmpid=DA_INAD200785B", "https://www.amazon.jobs/jobs/3006938/principal-applied-scientist-delivery-foundation-model-?cmpid=DA_INAD200785B")</f>
        <v/>
      </c>
      <c r="G244" t="inlineStr">
        <is>
          <t>New York, NY, US</t>
        </is>
      </c>
      <c r="H244" s="3" t="n">
        <v>45810</v>
      </c>
      <c r="I24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in-b4dc191181850060</t>
        </is>
      </c>
      <c r="B245" t="inlineStr">
        <is>
          <t>Principal Applied Scientist, Delivery Foundation Model</t>
        </is>
      </c>
      <c r="C245" t="inlineStr">
        <is>
          <t>Amazon.com</t>
        </is>
      </c>
      <c r="D245" t="inlineStr">
        <is>
          <t>indeed</t>
        </is>
      </c>
      <c r="E245">
        <f>HYPERLINK("https://www.indeed.com/viewjob?jk=b4dc191181850060", "https://www.indeed.com/viewjob?jk=b4dc191181850060")</f>
        <v/>
      </c>
      <c r="F245">
        <f>HYPERLINK("https://www.amazon.jobs/jobs/3006938/principal-applied-scientist-delivery-foundation-model-?cmpid=DA_INAD200785B", "https://www.amazon.jobs/jobs/3006938/principal-applied-scientist-delivery-foundation-model-?cmpid=DA_INAD200785B")</f>
        <v/>
      </c>
      <c r="G245" t="inlineStr">
        <is>
          <t>Austin, TX, US</t>
        </is>
      </c>
      <c r="H245" s="3" t="n">
        <v>45810</v>
      </c>
      <c r="I24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in-5a0cacb9ce5f076d</t>
        </is>
      </c>
      <c r="B246" t="inlineStr">
        <is>
          <t>Principal Applied Scientist, Delivery Foundation Model</t>
        </is>
      </c>
      <c r="C246" t="inlineStr">
        <is>
          <t>Amazon.com</t>
        </is>
      </c>
      <c r="D246" t="inlineStr">
        <is>
          <t>indeed</t>
        </is>
      </c>
      <c r="E246">
        <f>HYPERLINK("https://www.indeed.com/viewjob?jk=5a0cacb9ce5f076d", "https://www.indeed.com/viewjob?jk=5a0cacb9ce5f076d")</f>
        <v/>
      </c>
      <c r="F246">
        <f>HYPERLINK("https://www.amazon.jobs/jobs/3006938/principal-applied-scientist-delivery-foundation-model-?cmpid=DA_INAD200785B", "https://www.amazon.jobs/jobs/3006938/principal-applied-scientist-delivery-foundation-model-?cmpid=DA_INAD200785B")</f>
        <v/>
      </c>
      <c r="G246" t="inlineStr">
        <is>
          <t>Bellevue, WA, US</t>
        </is>
      </c>
      <c r="H246" s="3" t="n">
        <v>45810</v>
      </c>
      <c r="I24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in-0f2e3a7bc396d004</t>
        </is>
      </c>
      <c r="B247" t="inlineStr">
        <is>
          <t>Principal Applied Scientist, Delivery Foundation Model</t>
        </is>
      </c>
      <c r="C247" t="inlineStr">
        <is>
          <t>Amazon.com</t>
        </is>
      </c>
      <c r="D247" t="inlineStr">
        <is>
          <t>indeed</t>
        </is>
      </c>
      <c r="E247">
        <f>HYPERLINK("https://www.indeed.com/viewjob?jk=0f2e3a7bc396d004", "https://www.indeed.com/viewjob?jk=0f2e3a7bc396d004")</f>
        <v/>
      </c>
      <c r="F247">
        <f>HYPERLINK("https://www.amazon.jobs/jobs/2998635/principal-applied-scientist-delivery-foundation-model-?cmpid=DA_INAD200785B", "https://www.amazon.jobs/jobs/2998635/principal-applied-scientist-delivery-foundation-model-?cmpid=DA_INAD200785B")</f>
        <v/>
      </c>
      <c r="G247" t="inlineStr">
        <is>
          <t>Santa Clara, CA, US</t>
        </is>
      </c>
      <c r="H247" s="3" t="n">
        <v>45757</v>
      </c>
      <c r="I24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in-bf4f5929d3fe316f</t>
        </is>
      </c>
      <c r="B248" t="inlineStr">
        <is>
          <t>Principal Applied Scientist, Delivery Foundation Model</t>
        </is>
      </c>
      <c r="C248" t="inlineStr">
        <is>
          <t>Amazon.com</t>
        </is>
      </c>
      <c r="D248" t="inlineStr">
        <is>
          <t>indeed</t>
        </is>
      </c>
      <c r="E248">
        <f>HYPERLINK("https://www.indeed.com/viewjob?jk=bf4f5929d3fe316f", "https://www.indeed.com/viewjob?jk=bf4f5929d3fe316f")</f>
        <v/>
      </c>
      <c r="F248">
        <f>HYPERLINK("https://www.amazon.jobs/jobs/2998635/principal-applied-scientist-delivery-foundation-model-?cmpid=DA_INAD200785B", "https://www.amazon.jobs/jobs/2998635/principal-applied-scientist-delivery-foundation-model-?cmpid=DA_INAD200785B")</f>
        <v/>
      </c>
      <c r="G248" t="inlineStr">
        <is>
          <t>Bellevue, WA, US</t>
        </is>
      </c>
      <c r="H248" s="3" t="n">
        <v>45757</v>
      </c>
      <c r="I24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in-4989a3e150197342</t>
        </is>
      </c>
      <c r="B249" t="inlineStr">
        <is>
          <t>Principal Applied Scientist, Delivery Foundation Model</t>
        </is>
      </c>
      <c r="C249" t="inlineStr">
        <is>
          <t>Amazon.com</t>
        </is>
      </c>
      <c r="D249" t="inlineStr">
        <is>
          <t>indeed</t>
        </is>
      </c>
      <c r="E249">
        <f>HYPERLINK("https://www.indeed.com/viewjob?jk=4989a3e150197342", "https://www.indeed.com/viewjob?jk=4989a3e150197342")</f>
        <v/>
      </c>
      <c r="F249">
        <f>HYPERLINK("https://www.amazon.jobs/jobs/2998635/principal-applied-scientist-delivery-foundation-model-?cmpid=DA_INAD200785B", "https://www.amazon.jobs/jobs/2998635/principal-applied-scientist-delivery-foundation-model-?cmpid=DA_INAD200785B")</f>
        <v/>
      </c>
      <c r="G249" t="inlineStr">
        <is>
          <t>New York, NY, US</t>
        </is>
      </c>
      <c r="H249" s="3" t="n">
        <v>45757</v>
      </c>
      <c r="I24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in-7b484b4a691ef6b5</t>
        </is>
      </c>
      <c r="B250" t="inlineStr">
        <is>
          <t>Principal Applied Scientist, FAR (Frontier AI &amp; Robotics)</t>
        </is>
      </c>
      <c r="C250" t="inlineStr">
        <is>
          <t>Amazon.com</t>
        </is>
      </c>
      <c r="D250" t="inlineStr">
        <is>
          <t>indeed</t>
        </is>
      </c>
      <c r="E250">
        <f>HYPERLINK("https://www.indeed.com/viewjob?jk=7b484b4a691ef6b5", "https://www.indeed.com/viewjob?jk=7b484b4a691ef6b5")</f>
        <v/>
      </c>
      <c r="F250">
        <f>HYPERLINK("https://www.amazon.jobs/jobs/2938625/principal-applied-scientist-far-frontier-ai--robotics?cmpid=DA_INAD200785B", "https://www.amazon.jobs/jobs/2938625/principal-applied-scientist-far-frontier-ai--robotics?cmpid=DA_INAD200785B")</f>
        <v/>
      </c>
      <c r="G250" t="inlineStr">
        <is>
          <t>San Francisco, CA, US</t>
        </is>
      </c>
      <c r="H250" s="3" t="n">
        <v>45740</v>
      </c>
      <c r="I25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in-023abee893af4468</t>
        </is>
      </c>
      <c r="B251" t="inlineStr">
        <is>
          <t>Principal Applied Scientist, FAR (Frontier AI &amp; Robotics)</t>
        </is>
      </c>
      <c r="C251" t="inlineStr">
        <is>
          <t>Amazon.com</t>
        </is>
      </c>
      <c r="D251" t="inlineStr">
        <is>
          <t>indeed</t>
        </is>
      </c>
      <c r="E251">
        <f>HYPERLINK("https://www.indeed.com/viewjob?jk=023abee893af4468", "https://www.indeed.com/viewjob?jk=023abee893af4468")</f>
        <v/>
      </c>
      <c r="F251">
        <f>HYPERLINK("https://www.amazon.jobs/jobs/2938625/principal-applied-scientist-far-frontier-ai--robotics?cmpid=DA_INAD200785B", "https://www.amazon.jobs/jobs/2938625/principal-applied-scientist-far-frontier-ai--robotics?cmpid=DA_INAD200785B")</f>
        <v/>
      </c>
      <c r="G251" t="inlineStr">
        <is>
          <t>Seattle, WA, US</t>
        </is>
      </c>
      <c r="H251" s="3" t="n">
        <v>45740</v>
      </c>
      <c r="I25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li-4363849076</t>
        </is>
      </c>
      <c r="B2" t="inlineStr">
        <is>
          <t>Data Scientist</t>
        </is>
      </c>
      <c r="C2" t="inlineStr">
        <is>
          <t>Hirenza</t>
        </is>
      </c>
      <c r="D2" t="inlineStr">
        <is>
          <t>linkedin</t>
        </is>
      </c>
      <c r="E2" t="inlineStr"/>
      <c r="F2" t="inlineStr"/>
      <c r="G2" t="inlineStr"/>
      <c r="H2" t="inlineStr"/>
      <c r="I2" t="inlineStr">
        <is>
          <t>**About The Company**
 Bowhead / UIC Technical Services is a leading provider of specialized technical solutions and support services to government agencies and defense organizations. With a strong commitment to innovation, integrity, and excellence, the company delivers high\-quality services that enhance national security and operational effectiveness. Bowhead is dedicated to fostering a collaborative work environment that encourages professional growth and values diversity, ensuring that its team remains at the forefront of technological advancements in the defense sector.
**About The Role**
 We are seeking a highly skilled Data Scientist to join our dynamic team supporting the Naval Surface Warfare Center Dahlgren Division (NSWCDD), E Department. This role requires a professional with a robust background in data trend analysis, predictive modeling, and machine learning techniques. The successful candidate will be responsible for analyzing complex data sets, developing innovative data\-driven solutions, and providing actionable insights to support critical defense projects. This position is primarily onsite, requiring presence at either the Bowhead office or Navy installation, to facilitate collaboration and effective project execution.
**Qualifications**
 The ideal candidate will hold a Bachelor’s Degree in physics, computer science, or a related field, coupled with a minimum of 5\-8 years of relevant experience in data science and analytics. Proven expertise in database management, data warehousing, and the creation of reports and dashboards is essential. Candidates should possess strong skills in SQL query writing and analysis, with additional experience in coding, software development, and AI technologies highly preferred. Knowledge of relational database systems, mathematical reasoning, and analytical tools is required. Excellent communication skills, both oral and written, are necessary to effectively collaborate with senior government clients and to gather and validate requirements. Candidates must be able to obtain and maintain a security clearance at the Secret level, with US citizenship a prerequisite.
**Responsibilities**
* Apply advanced mathematics, statistics, predictive modeling, and machine learning techniques to uncover meaningful patterns and insights within recorded data.
* Design, develop, modify, verify, and document software components to deliver value aligned with stakeholder requirements.
* Build and refine tools for data testing and validation to ensure accuracy and reliability of data insights.
* Analyze large, high\-velocity, and diverse data sets, including numerical, symbolic, textual, audio, and visual data.
* Develop real\-time, predictive, model\-based insights to facilitate decision\-making and automate processes for operational efficiency.
* Present complex data findings and insights through innovative visualizations and reports tailored for both technical and non\-technical audiences.
* Identify, validate, and leverage internal and external data sources from various processes to enhance analysis and decision support.
* Manage and organize data and information structures, including logical analysis of taxonomies, metadata, and data relationships.
* Collaborate with cross\-functional teams and stakeholders to gather requirements, support project objectives, and ensure alignment with operational goals.
* Perform other related duties as assigned to support project success and organizational objectives.
**Benefits**
 Bowhead offers a comprehensive benefits package designed to support the well\-being and professional development of its employees. Benefits include competitive salary packages, health insurance plans, retirement savings options, paid time off, and opportunities for training and career advancement. The company fosters a supportive work environment that encourages innovation, teamwork, and continuous learning. Additionally, employees have access to a range of resources and programs aimed at promoting work\-life balance and personal growth.
 Equal Opportunity
 Bowhead / UIC Technical Services is an equal opportunity employer committed to creating an inclusive environment for all employees. We do not discriminate based on race, color, religion, sex, national origin, age, disability, or any other protected characteristic. We value diversity and are dedicated to providing equal employment opportunities to ensure a fair and equitable workplace for everyone.</t>
        </is>
      </c>
    </row>
    <row r="3">
      <c r="A3" t="inlineStr">
        <is>
          <t>li-4360142590</t>
        </is>
      </c>
      <c r="B3" t="inlineStr">
        <is>
          <t>Senior Data Scientist</t>
        </is>
      </c>
      <c r="C3" t="inlineStr">
        <is>
          <t>Data Capital Incorporation</t>
        </is>
      </c>
      <c r="D3" t="inlineStr">
        <is>
          <t>linkedin</t>
        </is>
      </c>
      <c r="E3" t="inlineStr"/>
      <c r="F3" t="inlineStr"/>
      <c r="G3" t="inlineStr"/>
      <c r="H3" t="inlineStr"/>
      <c r="I3" t="inlineStr">
        <is>
          <t>**Role and Responsibilities** 
 This Data Scientist position will lead our artificial intelligence (AI) and machine learning (ML) projects in the federal space. The Data Scientist will guide our federal agency clients with large datasets, both structured and unstructured, in extracting useful insights and reducing manual analysis using various AI/ML techniques. This will include leading AI/ML centers of excellence to assist federal agencies understand various approaches and models within AI/ML that may be relevant to their datasets and objectives. It will also include hands\-on modeling work in collaboration with our federal clients to develop and deploy AI/ML models. Finally, the Data Scientist will assist Halvik in proposing innovative AI/ML solutions to help federal agencies go beyond basic analysis needs and answer questions previously not considered.
**What You Need:** 
* Proficient with a broad spectrum of advanced data science techniques and industry expertise including machine learning and AI. Able to explain relevance of data science techniques to various use cases.
* Expert in descriptive statistics and statistical methods with applications in machine learning (e.g., correlation, regression, clustering)
* Practical programming experience in Python, R, Matlab, Spark/PySpark, SQL, and/or other related programming languages (5\+ years preferred)
* Self\-starter with excellent communication skills, able to work independently, and lead projects, initiatives, and/or people
* 3\+ years of practical data science experience
 Preferred Skills
* 5\+ years of practical data science experience (preferred)
* Advanced degree in a STEM\-related field
* Experience delivering end\-to\-end data science projects, starting with project plan, through data modelling \&amp; data integrity checks to delivering value with explainable results
* Experience in automation and deployment preferred (MLOps and Data Engineering)</t>
        </is>
      </c>
    </row>
    <row r="4">
      <c r="A4" t="inlineStr">
        <is>
          <t>li-4222889679</t>
        </is>
      </c>
      <c r="B4" t="inlineStr">
        <is>
          <t>Senior AI Data Scientist</t>
        </is>
      </c>
      <c r="C4" t="inlineStr">
        <is>
          <t>Electronic Arts (EA)</t>
        </is>
      </c>
      <c r="D4" t="inlineStr">
        <is>
          <t>linkedin</t>
        </is>
      </c>
      <c r="E4" t="inlineStr"/>
      <c r="F4" t="inlineStr"/>
      <c r="G4" t="inlineStr"/>
      <c r="H4" t="inlineStr"/>
      <c r="I4"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Empowering players to create is an exciting future for the gaming industry. At Electronic Arts we have many examples of players creating content, whether it be a skateboard park in Skate or fantastical mansions in the Sims 4\. The future definitely has our players being more empowered to create with their imagination being the only limit.
 We are looking for a Data Scientist to help shape the future of content creation and gameplay with AI. If you have the right expertise and are interested we want to hear from you!
**As a Senior AI Data Scientist You Will**
* Build, fine\-tune and implement AI and machine learning models to solve challenging problems
* Ensure AI and machine learning production pipelines are scalable, repeatable and cloud agnostic
* Apply current and emerging techniques in deep learning, natural language processing and other machine learning areas
* Collect, clean, manage, analyze and visualize large sets of data using multiple data platforms, tools and technique
* Work in partnership with game teams to integrate AI solutions into products and services.
* Optimize and fine\-tune AI models for performance and scalability. Analyze and interpret data to extract meaningful insights and improve AI models.
* Document and present findings and solutions to stakeholders.
**Desired Qualifications And Experience**
* A minimum of 3\+ years of experience in data science
* PhD or MSc in statistics, mathematics, computer science, or related field
* Strong expertise in deep learning, fluent in Python and SQL
* Expertise in automating machine learning models and building end to end products
* Experience with devops tools and principles (Git, CI/CD, Docker)
* Effective within Cloud environments (GCP, AWS)
* Understanding of containerization and orchestration technologies (Docker, Kubernetes, etc.)
* C\+\+ and game development experience is a plus.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\*$138,700 \- $199,900 CAD
* California (depending on location e.g. Los Angeles vs. San Francisco) \*$160,600 \- $249,300 USD
* Washington (depending on location e.g. Seattle vs. Spokane) \*$149,200 \- $205,500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In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5">
      <c r="A5" t="inlineStr">
        <is>
          <t>li-4336184229</t>
        </is>
      </c>
      <c r="B5" t="inlineStr">
        <is>
          <t>Data Scientist</t>
        </is>
      </c>
      <c r="C5" t="inlineStr">
        <is>
          <t>ICE</t>
        </is>
      </c>
      <c r="D5" t="inlineStr">
        <is>
          <t>linkedin</t>
        </is>
      </c>
      <c r="E5" t="inlineStr"/>
      <c r="F5" t="inlineStr"/>
      <c r="G5" t="inlineStr">
        <is>
          <t>Atlanta, GA</t>
        </is>
      </c>
      <c r="H5" t="inlineStr"/>
      <c r="I5" t="inlineStr">
        <is>
          <t>**Overview**
**Job Purpose**
 We are seeking a highly skilled and experienced Data Scientist to join our Data Warehouse \&amp; Analytics team. The ideal candidate will have a strong background in Snowflake, Python, machine learning, GenAI and Agentic frameworks to enable data\-driven decision\-making and predictive analytics. This role provides a unique opportunity to work with large\-scale data on peta\-bytes and make impactful contributions to ICE.
**Responsibilities**
* Develop and implement advanced analytics models using machine learning and AI techniques.
* Design and implement intelligent agents using Snowflake Cortex to orchestrate multi\-tool workflows—leveraging Cortex Analyst, Cortex Search, and custom tools to automate complex data tasks and deliver actionable insights across structured and unstructured data.
* Collaborate with cross\-functional teams to understand business needs and provide data\-driven solutions.
* Design and maintain scalable and robust data pipelines in Snowflake.
* Analyzing data and sharing meaningful insights
* Write clean, efficient, and well\-documented Python code to perform data analysis and modeling.
* Stay up to date with the latest technologies and trends in data science and machine learning.
**Knowledge And Experience**
* Bachelor’s or Master's in Computer Science, Analytics, Statistics, Mathematics, or a related field.
* 3\+ years of experience in a data science role, with a focus on Snowflake, Python, SQL, Machine Learning, and GenAI.
* 3\+ years of experience in Tableau or any other data visualization tool
* Proven track record of developing and deploying machine learning models in a production environment.
* Strong analytical and problem\-solving skills.
* Excellent communication and collaboration abilities.
**Preferred**
* Experience with cloud platforms and services.
* Knowledge of additional programming languages and frameworks is a plus.
 Intercontinental Exchange, Inc. is an Equal Opportunity Employer. All qualified applicants will receive consideration for employment without regard to legally protected characteristics.</t>
        </is>
      </c>
    </row>
    <row r="6">
      <c r="A6" t="inlineStr">
        <is>
          <t>li-4222888690</t>
        </is>
      </c>
      <c r="B6" t="inlineStr">
        <is>
          <t>Senior AI Data Scientist</t>
        </is>
      </c>
      <c r="C6" t="inlineStr">
        <is>
          <t>Electronic Arts (EA)</t>
        </is>
      </c>
      <c r="D6" t="inlineStr">
        <is>
          <t>linkedin</t>
        </is>
      </c>
      <c r="E6" t="inlineStr"/>
      <c r="F6" t="inlineStr"/>
      <c r="G6" t="inlineStr">
        <is>
          <t>Orlando, FL</t>
        </is>
      </c>
      <c r="H6" t="inlineStr"/>
      <c r="I6"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Empowering players to create is an exciting future for the gaming industry. At Electronic Arts we have many examples of players creating content, whether it be a skateboard park in Skate or fantastical mansions in the Sims 4\. The future definitely has our players being more empowered to create with their imagination being the only limit.
 We are looking for a Data Scientist to help shape the future of content creation and gameplay with AI. If you have the right expertise and are interested we want to hear from you!
**As a Senior AI Data Scientist You Will**
* Build, fine\-tune and implement AI and machine learning models to solve challenging problems
* Ensure AI and machine learning production pipelines are scalable, repeatable and cloud agnostic
* Apply current and emerging techniques in deep learning, natural language processing and other machine learning areas
* Collect, clean, manage, analyze and visualize large sets of data using multiple data platforms, tools and technique
* Work in partnership with game teams to integrate AI solutions into products and services.
* Optimize and fine\-tune AI models for performance and scalability. Analyze and interpret data to extract meaningful insights and improve AI models.
* Document and present findings and solutions to stakeholders.
**Desired Qualifications And Experience**
* A minimum of 3\+ years of experience in data science
* PhD or MSc in statistics, mathematics, computer science, or related field
* Strong expertise in deep learning, fluent in Python and SQL
* Expertise in automating machine learning models and building end to end products
* Experience with devops tools and principles (Git, CI/CD, Docker)
* Effective within Cloud environments (GCP, AWS)
* Understanding of containerization and orchestration technologies (Docker, Kubernetes, etc.)
* C\+\+ and game development experience is a plus.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\*$138,700 \- $199,900 CAD
* California (depending on location e.g. Los Angeles vs. San Francisco) \*$160,600 \- $249,300 USD
* Washington (depending on location e.g. Seattle vs. Spokane) \*$149,200 \- $205,500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In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7">
      <c r="A7" t="inlineStr">
        <is>
          <t>li-4222893253</t>
        </is>
      </c>
      <c r="B7" t="inlineStr">
        <is>
          <t>Senior AI Data Scientist</t>
        </is>
      </c>
      <c r="C7" t="inlineStr">
        <is>
          <t>Electronic Arts (EA)</t>
        </is>
      </c>
      <c r="D7" t="inlineStr">
        <is>
          <t>linkedin</t>
        </is>
      </c>
      <c r="E7" t="inlineStr"/>
      <c r="F7" t="inlineStr"/>
      <c r="G7" t="inlineStr">
        <is>
          <t>Austin, TX</t>
        </is>
      </c>
      <c r="H7" t="inlineStr"/>
      <c r="I7"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Empowering players to create is an exciting future for the gaming industry. At Electronic Arts we have many examples of players creating content, whether it be a skateboard park in Skate or fantastical mansions in the Sims 4\. The future definitely has our players being more empowered to create with their imagination being the only limit.
 We are looking for a Data Scientist to help shape the future of content creation and gameplay with AI. If you have the right expertise and are interested we want to hear from you!
**As a Senior AI Data Scientist You Will**
* Build, fine\-tune and implement AI and machine learning models to solve challenging problems
* Ensure AI and machine learning production pipelines are scalable, repeatable and cloud agnostic
* Apply current and emerging techniques in deep learning, natural language processing and other machine learning areas
* Collect, clean, manage, analyze and visualize large sets of data using multiple data platforms, tools and technique
* Work in partnership with game teams to integrate AI solutions into products and services.
* Optimize and fine\-tune AI models for performance and scalability. Analyze and interpret data to extract meaningful insights and improve AI models.
* Document and present findings and solutions to stakeholders.
**Desired Qualifications And Experience**
* A minimum of 3\+ years of experience in data science
* PhD or MSc in statistics, mathematics, computer science, or related field
* Strong expertise in deep learning, fluent in Python and SQL
* Expertise in automating machine learning models and building end to end products
* Experience with devops tools and principles (Git, CI/CD, Docker)
* Effective within Cloud environments (GCP, AWS)
* Understanding of containerization and orchestration technologies (Docker, Kubernetes, etc.)
* C\+\+ and game development experience is a plus.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\*$138,700 \- $199,900 CAD
* California (depending on location e.g. Los Angeles vs. San Francisco) \*$160,600 \- $249,300 USD
* Washington (depending on location e.g. Seattle vs. Spokane) \*$149,200 \- $205,500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In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8">
      <c r="A8" t="inlineStr">
        <is>
          <t>li-4360192531</t>
        </is>
      </c>
      <c r="B8" t="inlineStr">
        <is>
          <t>Data Scientist</t>
        </is>
      </c>
      <c r="C8" t="inlineStr">
        <is>
          <t>RemoteHunter</t>
        </is>
      </c>
      <c r="D8" t="inlineStr">
        <is>
          <t>linkedin</t>
        </is>
      </c>
      <c r="E8" t="inlineStr"/>
      <c r="F8" t="inlineStr"/>
      <c r="G8" t="inlineStr"/>
      <c r="H8" t="inlineStr"/>
      <c r="I8"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
      <c r="A9" t="inlineStr">
        <is>
          <t>li-4222889678</t>
        </is>
      </c>
      <c r="B9" t="inlineStr">
        <is>
          <t>Senior AI Data Scientist</t>
        </is>
      </c>
      <c r="C9" t="inlineStr">
        <is>
          <t>Electronic Arts (EA)</t>
        </is>
      </c>
      <c r="D9" t="inlineStr">
        <is>
          <t>linkedin</t>
        </is>
      </c>
      <c r="E9" t="inlineStr"/>
      <c r="F9" t="inlineStr"/>
      <c r="G9" t="inlineStr">
        <is>
          <t>Kirkland, WA</t>
        </is>
      </c>
      <c r="H9" t="inlineStr"/>
      <c r="I9"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Empowering players to create is an exciting future for the gaming industry. At Electronic Arts we have many examples of players creating content, whether it be a skateboard park in Skate or fantastical mansions in the Sims 4\. The future definitely has our players being more empowered to create with their imagination being the only limit.
 We are looking for a Data Scientist to help shape the future of content creation and gameplay with AI. If you have the right expertise and are interested we want to hear from you!
**As a Senior AI Data Scientist You Will**
* Build, fine\-tune and implement AI and machine learning models to solve challenging problems
* Ensure AI and machine learning production pipelines are scalable, repeatable and cloud agnostic
* Apply current and emerging techniques in deep learning, natural language processing and other machine learning areas
* Collect, clean, manage, analyze and visualize large sets of data using multiple data platforms, tools and technique
* Work in partnership with game teams to integrate AI solutions into products and services.
* Optimize and fine\-tune AI models for performance and scalability. Analyze and interpret data to extract meaningful insights and improve AI models.
* Document and present findings and solutions to stakeholders.
**Desired Qualifications And Experience**
* A minimum of 3\+ years of experience in data science
* PhD or MSc in statistics, mathematics, computer science, or related field
* Strong expertise in deep learning, fluent in Python and SQL
* Expertise in automating machine learning models and building end to end products
* Experience with devops tools and principles (Git, CI/CD, Docker)
* Effective within Cloud environments (GCP, AWS)
* Understanding of containerization and orchestration technologies (Docker, Kubernetes, etc.)
* C\+\+ and game development experience is a plus.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\*$138,700 \- $199,900 CAD
* California (depending on location e.g. Los Angeles vs. San Francisco) \*$160,600 \- $249,300 USD
* Washington (depending on location e.g. Seattle vs. Spokane) \*$149,200 \- $205,500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In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0">
      <c r="A10" t="inlineStr">
        <is>
          <t>li-4318382755</t>
        </is>
      </c>
      <c r="B10" t="inlineStr">
        <is>
          <t>Nuuly Senior Data Scientist</t>
        </is>
      </c>
      <c r="C10" t="inlineStr">
        <is>
          <t>Nuuly</t>
        </is>
      </c>
      <c r="D10" t="inlineStr">
        <is>
          <t>linkedin</t>
        </is>
      </c>
      <c r="E10" t="inlineStr"/>
      <c r="F10" t="inlineStr"/>
      <c r="G10" t="inlineStr">
        <is>
          <t>Philadelphia, PA</t>
        </is>
      </c>
      <c r="H10" t="inlineStr"/>
      <c r="I10" t="inlineStr">
        <is>
          <t>Nuuly is seeking a Senior Data Scientist to join the analytics team and help bring data\-driven insights and decision making to functions including buying/planning, logistics, finance, customer service, marketing, and user experience. The analytics team works to solve problems and answer questions that cannot be answered by a dashboard; these often require testing, simulations, model building, causal analysis, and a strong emphasis on data storytelling. Nuuly’s unique business model presents questions that have often not yet been solved for the industry, presenting an opportunity to use data to pave the way forward.
 This is a senior individual contributor role with high visibility, expected to set technical direction and mentor others. You are a strategic problem solver and are able to take ambiguous questions and independently turn them into actionable insights. You are curious and love to immerse yourself in data to drive business value. You are organized and attentive to detail, and value precisely and clearly documenting analyses. You are an organization\-wide thought leader, always on the forefront of new technologies and data science \&amp; machine learning approaches. You enjoy acting as a technical mentor to analysts, providing guidance on code quality, analytical approaches, and strategic thinking. You enjoy being a liaison among the URBN data community, leveraging the shared expertise of a highly technical team of data scientists with the business\-facing analytics team.
**Role Responsibilities**
* Lead analytics initiatives that shape business strategy, especially in high\-priority domains like inventory optimization and planning. Over time, flex across domains (e.g., marketing, logistics, finance), becoming a trusted strategic partner across the org.
* Bring data science capabilities, such as ML modeling and advanced statistical concepts, to the Nuuly analytics team.
* Design and run experiments (e.g., A/B tests, causal inference studies) to measure the impact of strategic initiatives and inform decision\-making at scale.
* Conduct complex analyses independently in Google BigQuery (SQL) and Python. Run simulations and conduct statistical analyses on test results.
* Serve as a liaison between technical and non\-technical stakeholders, translating data into insights.
+ Work with stakeholders to understand the meaning \&amp; intent behind their questions, not just perform question\-and\-answer services. Partner with stakeholders to inform strategy, suggesting new approaches, introducing new metrics to better understand the business, etc.
**Role Qualifications**
* 4\+ years in a data science or applied ML role, preferably with consumer\-facing or e\-commerce applications
* Advanced proficiency in Python and SQL
* Strong statistical and analytical skills (e.g., hypothesis testing, distributional analysis, uncertainty estimation)
* Experience with a wide range of ML techniques (e.g., tree\-based models, clustering, neural networks, time series forecasting) and model evaluation (troubleshooting, metrics, benchmarking)
* Strong familiarity with ML tools and libraries (e.g., scikit\-learn, TensorFlow, PyTorch, Jupyter Notebooks)
* Ability to translate business problems into technical solutions and communicate findings clearly to technical and non\-technical stakeholders
**Additional**
* Strong interest in learning the Nuuly business
* Positive attitude and excellent interpersonal and communication skills
* Self\-motivated and able to deliver on tasks
* Ability to think critically and develop creative solutions to complex problems
**Preferred Skills**
* Master’s or PhD in Computer Science, Statistics, Data Science, or a related quantitative field
* Experience working with Google Cloud Platform or other cloud infrastructure (e.g., GCS, BigQuery, Compute Engine)
* Familiarity with orchestration and ML workflow tools (e.g., MLflow, Airflow, Kubernetes)
* Experience in retail, fashion, logistics, or subscription services
**The Perks**
 URBN offers comprehensive Perks \&amp; Benefits to employees. Availability and eligibility to specific benefits may be subject to your location and employment status. Benefits include medical, dental, vision, PTO, generous employee discounts, retirement savings and much more! For additional information visit www.urbn.com/work\-with\-us/benefits
**EEO Statement**
 URBN celebrates diversity and is committed to creating an inclusive environment for all employees. We are proud to provide equal employment opportunities (EEO) to all employees and applicants for employment without regard to race, color, sex (including gender, pregnancy, sexual orientation, and gender identity or expression), religion, creed, age, physical or mental disability, national origin or ancestry, ethnicity, citizenship, service in the uniformed services, genetic information, or any other protected characteristic as established by law. We believe strongly in fostering a safe, fair and respectful work environment. To ensure compliance with our non\-discrimination and anti\-harassment policies, we offer anti\-harassment training to managers and employees.</t>
        </is>
      </c>
    </row>
    <row r="11">
      <c r="A11" t="inlineStr">
        <is>
          <t>li-4360330086</t>
        </is>
      </c>
      <c r="B11" t="inlineStr">
        <is>
          <t>Data Scientist 3</t>
        </is>
      </c>
      <c r="C11" t="inlineStr">
        <is>
          <t>Sentar Inc.</t>
        </is>
      </c>
      <c r="D11" t="inlineStr">
        <is>
          <t>linkedin</t>
        </is>
      </c>
      <c r="E11" t="inlineStr"/>
      <c r="F11" t="inlineStr"/>
      <c r="G11" t="inlineStr">
        <is>
          <t>Fort Meade, MD</t>
        </is>
      </c>
      <c r="H11" t="inlineStr"/>
      <c r="I11" t="inlineStr">
        <is>
          <t>Sentar is proud to be an employee\-owned company, fostering a culture of empowerment, collaboration, and innovation. Sentar is dedicated to developing the critical talent that the connected world demands to create solutions to address the convergence of cybersecurity, intelligence, analytics, and systems engineering. We invite you to join the team where you can build, innovate, and secure your career.
 Sentar is seeking a Data Scientist 3 in MD!
**Role Description:**
 We are seeking a Data Scientist proficient in Python, GM, and the customer toolset. This role involves leveraging your computer science expertise to develop and sustain analytics tools.
**The Level 3 Data Scientist shall possess the following capabilities:**
* Employ must have some combination (2 or more) of the following skill areas:
* Foundations: Mathematical, Computational, Statistical
* Data Processing: Data management and curation, data description and visualization, workflow and reproducibility
* Modeling, Inference, and Prediction: Data modeling and assessment, domain\-specific consideration.
* Ability to make and communicate principal conclusions from data using elements of mathematics, statistics, computer science, and applications\-specific knowledge.
* Ability to use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 and limitations inherent in National Agency data holdings.
* Translate practical mission needs and analytic questions related to large datasets into technical requirements and, conversely, assist others with drawing appropriate conclusions from the analysis of such data.
* Effectively communicate complex technical information to non\-technical audiences.
**Qualifications:**
**Clearance Level: TS/SCI with active poly**
**Education:**
* Bachelor’s Degree with 10 years of relevant experience, Associates degree with 12 years of experience may be considered for individuals with in\-depth experience that is clearly related to the position.
* Bachelor’s?Degree must be in Mathematics, Applied Mathematics Statistics, Applied Statistics, Machine learning, Data Science, Operations Research, or Computer Science or a degree in a related field (Computer Information Systems, Engineering), a degree in the physical/hard sciences (e.g. physics, chemistry, biology, astronomy), or other science disciplines with a substantial computational component (i.e. behavioral, social, or life) may be considered if it included a concentration of coursework (5 or more courses) in advanced Mathematics (typically 300 level or higher, such as linear algebra, probability and statistics, machine learning) and/or computer science (e.g. algorithms, programming, , data structures, data mining, artificial intelligence). College\-level requirement, or upper\-level math courses designated as elementary or basic do not count.
* Broader range of degrees will be considered if accompanied by a Certificate in Data Science from an accredited college/university.
**Experience:**
* Relevant experience must be in designing/implementing machine learning, data science, advanced analytical algorithms, programming (skill in at least on high level language (e.g. Python), statistical analysis (e.g. variability, sampling error, inference, hypothesis testing, EDA, application of linear models), data management (e.g. data cleaning and transformation), data mining, data modeling and assessment, artificial intelligence, and/or software engineering.
**Benefits at Sentar:**
 Our unique ownership model attracts top talent, giving employees the freedom to take initiative and drive meaningful improvements. In addition to cultivating a thriving and inclusive work environment, Sentar offers an extensive benefits package designed to support the well\-being of employees and their families. Employee ownership is the foundation of our culture, promoting participation, teamwork, and accountability while ensuring long\-term financial security and a commitment to excellence.
* Voluntary Medical, Dental, Vision, with Health Savings or Flexible Spending Plan options
* Voluntary Life, Critical Illness, Accident, and Long Term Care insurance options
* Group Term Life, Short\-Term and Long\-Term Disability is provided by Sentar to all qualifying employees
* Generous 401(k) match
* Competitive PTO plan that graduates quickly with years of service
* Other leave programs; holiday schedule along with bereavement, maternity, jury and military duty
* Mental health awareness programs
* Tuition reimbursement
* Professional development reimbursement
* Recognition and Awards programs
 If you are not ready to apply for this position,
 **submit your resume here to join our talent community** 
**.** 
 We'll keep you updated occasionally on new job opportunities.
**Sentar is an Affirmative Action and Equal Opportunity Employer M/F/Vets/Persons with Disabilities**
 Our culture is one of inclusivity and support. Sentar is proudly an Equal Opportunity and VEVRAA Federal Contractor Employer M/F/Vets/Persons with Disabilities. Follow these links to learn more about your rights: EEO Is the Law Poster ; EEO Is Law Supplement ; and Pay Transparency .
 We want you to build your career at Sentar, so if you are an individual with a disability and require a reasonable workplace accommodation applying for a job or at any point in the employment process, contact the Recruiting Manager at recruiting@sentar.com . Please indicate the specifics of the assistance needed. Thank you for considering Sentar in your employment search.
**Build, Innovate, Secure Your Career at Sentar.**</t>
        </is>
      </c>
    </row>
    <row r="12">
      <c r="A12" t="inlineStr">
        <is>
          <t>li-4360182521</t>
        </is>
      </c>
      <c r="B12" t="inlineStr">
        <is>
          <t>Senior Data Scientist</t>
        </is>
      </c>
      <c r="C12" t="inlineStr">
        <is>
          <t>RemoteHunter</t>
        </is>
      </c>
      <c r="D12" t="inlineStr">
        <is>
          <t>linkedin</t>
        </is>
      </c>
      <c r="E12" t="inlineStr"/>
      <c r="F12" t="inlineStr"/>
      <c r="G12" t="inlineStr"/>
      <c r="H12" t="inlineStr"/>
      <c r="I12" t="inlineStr">
        <is>
          <t>About the Opportunity:
 This team within the Data and Analytics division focuses on understanding the features that drive vehicle pricing and predicting future vehicle values along with other critical sector insights. The role involves creating innovative machine learning processes, deploying them into production, and contributing to accurate, transparent, industry\-leading analytics in the automotive industry.
 Responsibilities:
 • Work daily with automotive industry data
 • Lead end\-to\-end data science projects
 • Design and implement complex feature engineering strategies
 • Build and deploy advanced AI/ML and classical regression models
 • Conduct advanced model evaluation and optimization
 • Document machine learning processes
 • Collaborate with technology and engineering teams to improve and build processes
 • Partner with product teams to develop analytics for new products
 • Create visual reports summarizing findings for internal and external clients
 • Perform ad\-hoc data analysis and reporting
 • Participate in a team environment encouraging idea sharing to build predictive algorithms
 Requirements:
 • Expertise in data analytics and/or statistical concepts such as regression, logistic regression, time\-series modeling, Bayesian statistics, machine learning, data mining, simulation, optimization, or forecasting
 • Ability to communicate technical processes to non\-technical audiences
 • Presentation experience
 • Curiosity and passion for problem\-solving with data
 • 4\+ years’ experience working with large datasets
 • 4\+ years’ fluency in statistical programming software, especially Python and Spark
 • 4\+ years’ experience with database software (RedShift, Hive, SQL, MySQL) with strong SQL skills
 • Master’s Degree in Statistics, Data Science, Economics, or related technical field
 Benefits \&amp; Perks:
 No direct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
      <c r="A13" t="inlineStr">
        <is>
          <t>li-4317230527</t>
        </is>
      </c>
      <c r="B13" t="inlineStr">
        <is>
          <t>Lead Data Scientist</t>
        </is>
      </c>
      <c r="C13" t="inlineStr">
        <is>
          <t>OneMagnify</t>
        </is>
      </c>
      <c r="D13" t="inlineStr">
        <is>
          <t>linkedin</t>
        </is>
      </c>
      <c r="E13" t="inlineStr"/>
      <c r="F13" t="inlineStr"/>
      <c r="G13" t="inlineStr">
        <is>
          <t>Detroit, MI</t>
        </is>
      </c>
      <c r="H13" t="inlineStr"/>
      <c r="I13" t="inlineStr">
        <is>
          <t>OneMagnify is a global performance marketing organization working at the intersection of brand marketing, technology, and analytics. The Company’s core offerings accelerate business, amplify real\-time results, and help set their clients apart from their competitors. OneMagnify partners with clients to design, implement and manage marketing and brand strategies using analytical and predictive data models that provide valuable customer insights to drive higher levels of sales conversion.
 OneMagnify’s commitment to employee growth and development extends far beyond typical approaches. We take great pride in fostering an environment where each of our 700\+ colleagues can thrive and achieve their personal best. OneMagnify has been recognized as a Top Workplace, Best Workplace and Cool Workplace in the United States for 10 consecutive years and recently was recognized as a Top Workplace in India.
 You’ll be joining our RXA Data Science team, a group dedicated to leveraging advanced analytics, predictive modeling, and machine learning to drive smarter marketing and business decisions. As Lead Data Scientist, you will play a critical role in delivering impactful, data\-driven solutions. In this role, you will bridge strategy and execution—translating complex business problems into analytically sound solutions while ensuring technical excellence, timely delivery, and cross\-functional collaboration.
 The Lead Data Scientist is responsible for leading the execution of end\-to\-end data science projects, from scoping and modeling to operationalization and insight delivery. You will partner with clients, internal teams, and technical stakeholders to develop and deploy scalable solutions that drive measurable business value.
**What you'll do:**
* Lead the design, development, and deployment of statistical models, machine learning algorithms, and custom analytics solutions
* Collaborate consistently with team members to understand the purpose, focus, and objectives of each data analysis project, ensuring alignment and meaningful support
* Translate client goals into clear modeling strategies, project plans, and deliverables
* Guide the development of production\-level model pipelines using tools such as Databricks and Azure ML
* Collaborate with engineering, marketing, and strategic partners to integrate models into real\-world applications
* Monitor and improve model performance, ensuring high standards for reliability and business relevance
* Present complex analytical results to technical and non\-technical audiences in a clear, actionable format
* Support innovation by identifying new tools, methods, and data sources—including the use of Snowflake for modern data architecture
* Promote best practices in model governance, data ethics, and responsible AI
**What you need:**
* Minimum 5\-7 years of experience in data science, analytics, or predictive modeling
* Experience leading all aspects of sophisticated data science initiatives with a solid foundation in technical strategy and execution
* Strong programming skills in Python, R, or SAS for modeling and data analysis
* Advanced SQL capabilities and experience working in cloud\-based environments (e.g., Azure, AWS)
* Hands\-on experience with Databricks, Azure Machine Learning, and Snowflake strongly preferred
* Experience applying the modeling rigor and documentation standards required in regulated industries such as financial services is a strong plus
* Expertise in regression, classification, clustering, A/B testing, and audience segmentation
* Proficiency with Tableau, Power BI, and Excel for data visualization and communication
* Strong communication skills and the ability to translate complex technical findings into business insight
* Bachelor’s degree in Data Science, Statistics, Computer Science, or a related quantitative field (Master’s preferred)
**Benefits**
 We offer a comprehensive benefits package including medical, dental, 401(k), paid holidays, vacations, and more.
**About Us**
 Whether it’s awareness, advocacy, engagement, or efficacy, we move brands forward with work that connects with audiences and delivers results. Through meaningful analytics, engaging communications and innovative technology solutions, we help clients tackle their most ambitious projects and overcome their biggest challenges.
**We are an equal opportunity employer**
 We believe that Innovative ideas and solutions start with unique perspectives. That’s why we’re committed to providing every employee a workplace that’s free of discrimination and intolerance. We’re proud to be an equal opportunity employer and actively search for like\-minded people to join our team.
 We will ensure that individuals with disabilities are provided reasonable accommodation to participate in the job application or interview process, to perform job functions, and to receive benefits and privileges of employment. Please contact us to request accommodation.</t>
        </is>
      </c>
    </row>
    <row r="14">
      <c r="A14" t="inlineStr">
        <is>
          <t>li-4363867209</t>
        </is>
      </c>
      <c r="B14" t="inlineStr">
        <is>
          <t>Associate Director, AI Data Scientist</t>
        </is>
      </c>
      <c r="C14" t="inlineStr">
        <is>
          <t>BioSpace</t>
        </is>
      </c>
      <c r="D14" t="inlineStr">
        <is>
          <t>linkedin</t>
        </is>
      </c>
      <c r="E14" t="inlineStr"/>
      <c r="F14" t="inlineStr"/>
      <c r="G14" t="inlineStr">
        <is>
          <t>Palo Alto, CA</t>
        </is>
      </c>
      <c r="H14" t="inlineStr"/>
      <c r="I14"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 including leading therapies for sleep disorders and epilepsy, and a growing portfolio of cancer treatments. Our patient\-focused and science\-driven approach powers pioneering research and development advancements across our robust pipeline of innovative therapeutics in oncology and neuroscience. Jazz is headquartered in Dublin, Ireland with research and development laboratories, manufacturing facilities and employees in multiple countries committed to serving patients worldwide. Please visit www.jazzpharmaceuticals.com for more information.
 The Associate Director, AI Data Scientist will be responsible for leading the implementation of innovative, complex and transformative AI/ML/GenAI solutions across the areas of Clinical Trial Execution and Digital Healthcare across Jazz Research and Development.
**Essential Functions**
* Lead the development and implementation of AI/ML/GenAI solutions to optimize clinical trial operations, including such areas as patient recruitment, patient retention, real\-time data monitoring and automated data collection system build.
* Lead the development and implementation of GenAI applications for automated clinical trial documentation generation including such areas medical reports, clinical study reports, protocols and patient narratives.
* Lead the development and implementation of Digital Healthcare applications for medical and scientific tools, RWE new ways of generating real data, patients’ engagement.
* Design and develop predictive models and generative AI solutions using diverse healthcare data sources, including clinical trials data, electronic health records, wearable devices, patient\-reported outcomes, HEOR data, phase IV studies.
* Collaborate with cross\-functional teams including clinical operations, clinical development, data science and global medical \&amp; scientific affairs, RWE and patients working groups to tackle business challenges and bring value of AI\-driven solutions.
* Build and maintain strategic relationships with external subject matter experts, including healthcare providers, medical researchers, regulators, and AI technology partners, to ensure alignment of AI solutions and stay current with emerging technologies and methodologies in the field.
* Ensuring compliance with regulatory requirements and data privacy standards.
* Facilitate knowledge sharing and exchange within Jazz Data Science and across Jazz Research and Development.
**Required Knowledge, Skills And Abilities**
* Strong programming skills in Python, R, or similar languages, with experience in modern ML frameworks (PyTorch, TensorFlow).
* Demonstrated experience with generative AI technologies, including LLM architectures and frameworks.
* Experience with natural language processing and generative AI for medical text analysis, generation, and interpretation.
* Demonstrated ability to build relationships with stakeholders and subject matter experts.
* Familiarity with high computer cloud\-based platforms and services, in particular AWS.
* Familiarity with code version control and MLOps deployment approaches.
* Ability to understand healthcare challenges and adapt accordingly to the AI solutions.
* Cross\-functions high adaptability to meet cross organization goals.
**Required/Preferred Education**
* Advanced degree (MS or PhD) in Data Science, Computer Science, Biostatistics, or related field
* 7 – 10 years of related professional experience, with 3\+ years of experience applying AI/ML techniques to healthcare or clinical research data.
* Experience in healthcare/AI implementation in healthcare field is a plus.
* Experience/Knowledge in digital healthcare tools design and development
**Description Of Physical Demands**
* Occasional mobility within office environment
* Routinely sitting for extended periods of time
* Constantly operating a computer, printer, telephone and other similar office machinery
*Jazz Pharmaceuticals is an equal opportunity/affirmative action employer and all qualified applicants will receive consideration for employment without regard to race, color, religion, sex, national origin, disability status, protected veteran status, or any characteristic protected by law.*
 The successful candidate will also be eligible to participate in various benefits offerings, including, but not limited to, medical, dental and vision insurance, retirement savings plan, and flexible paid vacation. For more information on our Benefits offerings please click here: https://careers.jazzpharma.com/benefits.html.</t>
        </is>
      </c>
    </row>
    <row r="15">
      <c r="A15" t="inlineStr">
        <is>
          <t>li-4363879315</t>
        </is>
      </c>
      <c r="B15" t="inlineStr">
        <is>
          <t>Associate Data Scientist - Gynecologic Oncology</t>
        </is>
      </c>
      <c r="C15" t="inlineStr">
        <is>
          <t>MD Anderson Cancer Center</t>
        </is>
      </c>
      <c r="D15" t="inlineStr">
        <is>
          <t>linkedin</t>
        </is>
      </c>
      <c r="E15" t="inlineStr"/>
      <c r="F15" t="inlineStr"/>
      <c r="G15" t="inlineStr">
        <is>
          <t>Houston, TX</t>
        </is>
      </c>
      <c r="H15" t="inlineStr"/>
      <c r="I15" t="inlineStr">
        <is>
          <t>The Gynecologic Oncology and Reproductive Medicine department at MD Anderson's Cancer center is internationally renowned for research\-driven patient care, specializing in the medical and surgical treatment of all types of gynecologic cancers including ovarian, vaginal, vulvar, endometrial and cervical cancers, as well as malignant ovarian germ\-cell tumors, ovarian sex\-cord stromal tumors, borderline tumors of the ovary, cervical intraepithelial neoplasia, human papillomavirus and gestational trophoblastic disease.
 The ideal candidate experience in analyzing spatial biology datasets (proteomics, metabolomic and transcriptomics).
 Salary range: Minimum $88,000\.00 \- Midpoint $110,000\.00 \- Maximum $132,000\.00
**Key Responsibilities**
* Computational Analysis \&amp; Pipeline Development
* Assist in the analysis, design and development of pipelines, algorithms and software for the analysis, exploration, and visualization of data generated using exome/whole genome sequencing, RNA\-seq, ChIP\-seq, ATAC\-sequencing, chromatin conformation capture sequencing (e.g. Hi\-C and similar methods) and spatial transcriptomics in a timely fashion.
* Apply statistical and machine learning techniques to derive insights from complex, high\-dimensional datasets, including in\-house and public data (e.g., TCGA, CCLE, GTEx, GEO).
* Run workflows for somatic mutation calling, copy number analysis, transcriptional profiling, clonality estimation, and mutational phylogeny inference on matched tumor/normal and longitudinal samples.
* Run workflows for protein and metabolites analyses and integrate these datasets with abovementioned transcriptomics profiles.
* Independently plan and adapt novel computational approaches to support evolving research needs and emerging experimental technologies in genomics, spatial, and single\-cell omics.
* Workflow Development, Data Management \&amp; Reproducibility
* With direction, develops and maintains bioinformatics tools and infrastructure using Python, R, Docker, Conda and other tools; create well\-organized, reusable, and user\-friendly workflows to support lab\-wide analyses.
* Generate custom visualizations and perform downstream analyses including gene expression profiling, mutation analysis, gene set enrichment, pathway analysis, protein and metabolomic analyses.
* Ensure reproducibility and transparency by organizing data, documenting code, version\-controlling pipelines, and maintaining clear scientific records in notebooks and shared repositories.
* Contribute to the implementation of robust data stewardship practices and help maintain a scalable, collaborative analysis environment leveraging high\-performance computing (HPC) systems.
* Collaboration, Communication \&amp; Scientific Engagement
* Collaborate with experimental biologists, wet lab members, data scientists, and cross\-functional institutional teams to integrate omics data with biological and clinical datasets and harmonize metadata across studies.
* Assist with the preparation of manuscripts, figures, abstracts, grant proposals, and internal reports as well as for presentation at lab meetings, departmental reviews, and institutional events.
* Communicate complex analytical findings effectively to both technical and non\-technical audiences through presentations, visual summaries, and written reports.
* Conduct literature reviews and stay current with emerging tools and trends in genomics, computational biology, and biomedical data science to inform pipeline development and project planning.
* Support mentoring and onboarding of students, fellows, and research personnel by contributing to training in computational methods and analytical workflows.
* Performs other duties as assigned.
**EDUCATION**
**Education Required:** 
 Bachelor's degree in Biomedical Engineering, Electrical Engineering, Computer Engineering, Physics, Applied Mathematics, Statistics, Computer Science, Computational Biology, or related field.
**Experience**
**Experience Required:** 
 Two years experience in scientific software or industry development/analysis.
**Experience Preferred:** 
 Experience in analyzing spatial biology datasets (proteomics, metabolomic and transcriptomics).
 The University of Texas MD Anderson Cancer Center offers excellent benefits, including medical, dental, paid time off, retirement, tuition benefits, educational opportunities, and individual and team recognition.
 This position may be responsible for maintaining the security and integrity of critical infrastructure, as defined in Section 113\.001(2\) of the Texas Business and Commerce Code and therefore may require routine reviews and screening. The ability to satisfy and maintain all requirements necessary to ensure the continued security and integrity of such infrastructure is a condition of hire and continued employment.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law.http://www.mdanderson.org/about\-us/legal\-and\-policy/legal\-statements/eeo\-affirmative\-action.html
 Additional Information
* Requisition ID: 178221
* Employment Status: Full\-Time
* Employee Status: Regular
* Work Week: Days
* Minimum Salary: US Dollar (USD) 88,000
* Midpoint Salary: US Dollar (USD) 110,000
* Maximum Salary : US Dollar (USD) 132,000
* FLSA: exempt and not eligible for overtime pay
* Fund Type: Soft
* Work Location: Hybrid Onsite/Remote
* Pivotal Position: Yes
* Referral Bonus Available?: Yes
* Relocation Assistance Available?: Yes</t>
        </is>
      </c>
    </row>
    <row r="16">
      <c r="A16" t="inlineStr">
        <is>
          <t>li-4363759255</t>
        </is>
      </c>
      <c r="B16" t="inlineStr">
        <is>
          <t>Zappos Data Scientist III, Zappos/Shopbop Catalog Engineering</t>
        </is>
      </c>
      <c r="C16" t="inlineStr">
        <is>
          <t>Amazon</t>
        </is>
      </c>
      <c r="D16" t="inlineStr">
        <is>
          <t>linkedin</t>
        </is>
      </c>
      <c r="E16" t="inlineStr"/>
      <c r="F16" t="inlineStr"/>
      <c r="G16" t="inlineStr">
        <is>
          <t>New York, United States</t>
        </is>
      </c>
      <c r="H16" t="inlineStr"/>
      <c r="I16" t="inlineStr">
        <is>
          <t>**Description**
 How do you get items to customers quickly, cost\-effectively, and—most importantly—safely, in less than an hour? And how do you do it in a way that can scale? Our teams of hundreds of scientists, engineers, aerospace professionals, and futurists have been working hard to do just that! We are delivering to customers and are excited for what’s to come. If you are seeking an iterative environment where you can drive innovation, apply state\-of\-the\-art technologies to solve real world delivery challenges, and provide benefits to customers, Prime Air is the place for you. Come work on the Amazon Prime Air Team! Check out more information about Prime Air on the About Amazon blog: https://www.aboutamazon.com/news/tag/drone
 The Opportunity
 As Amazon Prime Air expands its drone delivery service, we're seeking a Senior Regulatory Affairs Specialist to join our U.S. Regulatory Affairs Infrastructure and Strategy team. This is a pivotal role where you'll shape the regulatory landscape for commercial drone delivery, working at the intersection of technology and aviation policy. You'll be instrumental in obtaining setting and achieving regulatory goals, engaging with regulators and other decision makers, and helping to establish the framework that will further enable safe, scalable drone delivery operations across the United States.
 In this position you will serve as a bridge between Amazon's innovative technology teams and regulatory bodies, engaging with internal experts to determine and update Prime Air’s regulatory goals and translating those objectives into regulatory strategies while navigating the evolving landscape of unmanned aircraft systems regulations. This position will also ensure that internal partners are aware of regulatory developments and requirements. Your work will directly impact our ability to continue to expand Prime Air's operations and bring this transformative service to more customers.
 Export Control License: This
**Basic Qualifications**
* Experience with regulatory filings and reports or equivalent
* Experience with communication, presentation, and negotiation
* Experience handling ambiguous or undefined challenges through strong problem solving abilities
* Bachelor's degree
* 6\+ years of experience working with aviation regulations, regulatory permissions, and/or aviation stakeholder outreach
* Strong familiarity with FAA regulations and policies
* Experience with aviation rulemaking and standards\-setting processes
* Background representing organization interests in standards development organizations or similar groups
**Preferred Qualifications**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A3124684</t>
        </is>
      </c>
    </row>
    <row r="17">
      <c r="A17" t="inlineStr">
        <is>
          <t>li-4284323198</t>
        </is>
      </c>
      <c r="B17" t="inlineStr">
        <is>
          <t>Lead Data Scientist - Safety Alignment</t>
        </is>
      </c>
      <c r="C17" t="inlineStr">
        <is>
          <t>Humana</t>
        </is>
      </c>
      <c r="D17" t="inlineStr">
        <is>
          <t>linkedin</t>
        </is>
      </c>
      <c r="E17" t="inlineStr"/>
      <c r="F17" t="inlineStr"/>
      <c r="G17" t="inlineStr"/>
      <c r="H17" t="inlineStr"/>
      <c r="I17" t="inlineStr">
        <is>
          <t>**Become a part of our caring community and help us put health first**
 The Enterprise AI organization at Humana is a pioneering force, driving AI innovation across our Insurance and CenterWell business segments. By collaborating with world\-leading experts, we are at the forefront of delivering cutting\-edge AI technologies for improving care quality and experience of millions of consumers. We are actively seeking top talent to develop robust and reusable AI modules and pipelines, ensuring adherence to best practices in accountable AI for effective risk management and measurement. Join us in shaping the future of healthcare through AI excellence.
 We are seeking a Lead Data Scientist to drive the safety, alignment, and ethical development of Agentic AI systems. You will lead initiatives to ensure our intelligent agents behave reliably, safely, and in accordance with human values across dynamic, multi\-agent, and high\-stakes environments. This is a cross\-functional role bridging technical safety research, systems engineering, governance, and product implementation.
**Key Responsibilities**
* Design and implement safety architectures for Agentic AI systems, including guardrails, reward modeling, and self\-monitoring capabilities
* Lead and collaborate on alignment techniques such as inverse reinforcement learning, preference learning, interpretability tools, and human\-in\-the\-loop evaluation
* Develop continuous monitoring strategies for agent behavior in both simulated and real\-world environments
* Partner with product, legal, Responsible AI, governance, and deployment teams to ensure responsible scaling and deployment
* Contribute to and publish novel research on alignment of LLM\-based agents, multi\-agent cooperation/conflict, or value learning
* Proactively identify and mitigate failure modes, e.g., goal misgeneralization, deceptive behavior, unintended instrumental actions
* Set safety milestones for autonomous capabilities as part of deployment readiness reviews
**Technical Skills**
* Proficiency in SQL, Python, and data analysis/data mining tools.
* Experience with machine learning frameworks like PyTorch, JAX, ReAct, LangChain, LangGraph, or AutoGen
* Experience with high performance, large\-scale ML systems
* Experience with deploying or auditing LLM\-based agents or multi\-agent AI systems
* Experience with large\-scale ETL
**Required Qualifications**
**Use your skills to make an impact**
* Master's Degree and 4\+ years of experience in research/ML engineering or an applied research scientist position preferably with a focus on developing production\-ready AI solutions
* 2\+ years of experience leading development of AI/ML systems
* Deep expertise in AI alignment, multi\-agent systems, or reinforcement learning
* Demonstrated ability to lead research\-to\-production initiatives or technical governance frameworks
* Strong publication or contribution record in AI safety, interoperability, or algorithm ethics
**Preferred Qualifications**
* Ph.D. in Computer Science, Data Science, Machine Learning, or a related field
* Contributions to open\-source AI safety tools or benchmarks
* Understanding of value\-sensitive design, constitutional AI, or multi\-agent alignment
* Experience in regulated domains such as healthcare, finance, or defense
**Additional Information**
**Location/Work Style:** 
 Remote US
**Why Humana?**
 At Humana, We Know Your Well\-being Is Important To You, And It’s Important To Us Too. That’s Why We’re Committed To Making Resources Available To You That Will Enable You To Become Happier, Healthier, And More Productive In All Areas Of Your Life. Just To Name a Few
* Work\-Life Balance
* Generous PTO package
* Health benefits effective day 1
* Annual Incentive Plan
* 401K \- Excellent company match
* Well\-being program
* Paid Volunteer Time Off
 If you share our passion for helping people, we likely have the right place for you at Humana.
**Work at Home Guidance**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**SSN Alert Statement**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$142,300 \- $195,700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01\-29\-2026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8">
      <c r="A18" t="inlineStr">
        <is>
          <t>li-4342110495</t>
        </is>
      </c>
      <c r="B18" t="inlineStr">
        <is>
          <t>Senior Applied Scientist</t>
        </is>
      </c>
      <c r="C18" t="inlineStr">
        <is>
          <t>Microsoft</t>
        </is>
      </c>
      <c r="D18" t="inlineStr">
        <is>
          <t>linkedin</t>
        </is>
      </c>
      <c r="E18" t="inlineStr"/>
      <c r="F18" t="inlineStr"/>
      <c r="G18" t="inlineStr">
        <is>
          <t>Seattle, WA</t>
        </is>
      </c>
      <c r="H18" t="inlineStr"/>
      <c r="I18" t="inlineStr">
        <is>
          <t>**Overview**
 The Microsoft Applied Sciences Group incubates disruptive technologies for Microsoft’s next\-gen hardware products and is working on several exciting projects that will shape how computers and other devices perceive the user and the user’s environment. Operating as a startup within the company, this team works closely with several research and product teams to bring compelling new experiences to the market. A lot of these experiences are powered by machine learning – and as part of this team, you will have the unique opportunity to work on almost every aspect of a machine learning project \- from ideation to shipping. You will have the opportunity to turn ideas into reality with real\-world impact at Microsoft scale.
 As an
 **Senior Applied Scientist** 
 you will have the opportunity to design and lead the implementation of state\-of\-the\-art language and multimodal models to transform the Windows experience. You will have the opportunity to collaborate with people at the forefront of their field from across the organization and see your ideas turn ideas into reality with real\-world impact at Microsoft scale. This is a hands\-on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Research focusing on foundation models \- Designing and training language and multimodal models (and finetunes) with supervised finetuning, distillation, reinforcement learning, low\-rank adaptation.
* Research focusing on environment interaction, policy specification and verification and human intent alignment.
* Implementation: Train, distill, and finetune language and vision models in PyTorch, DeepSpeed, AzureML stack.
* Machine learning engineering \- Build pipelines to test designs, algorithms and models.
* Data science \- Research and develop synthetic data generation strategies.
* Proactively follow state of the art research and share latest work, write papers, attend conferences and share knowledge in the wider team.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3\+ years experience conducting research as part of a research program in academic or industry settings.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experience training and/or finetuning large language models, model compression, distillation to small language models.
* 3\+ years' experience with Python and deep learning libraries
* Experience in large language/multimodal model training, finetuning and distillation.
* Demonstrated record of publications in top\-tier conferences or journals (ICLR, ACL, EMLP, ICML, CVPR, ICCV, ECCV, NeurIPS, TPAMI, etc.).
* Experience in creating reusable software libraries and packages.
* Experience using dataset curation, data generation using prompting state of art LLMs and/or model alignment.
* Experience with reinforcement learning libraries or formal methods and verification is a plus.
* Demonstrated ability and passion for incubating new ideas, solving problems, and building working systems.
 \#ASG
 \#\#W\+DJOBS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
      <c r="A19" t="inlineStr">
        <is>
          <t>li-4364037154</t>
        </is>
      </c>
      <c r="B19" t="inlineStr">
        <is>
          <t>Principal, AI Data Scientist</t>
        </is>
      </c>
      <c r="C19" t="inlineStr">
        <is>
          <t>BioSpace</t>
        </is>
      </c>
      <c r="D19" t="inlineStr">
        <is>
          <t>linkedin</t>
        </is>
      </c>
      <c r="E19" t="inlineStr"/>
      <c r="F19" t="inlineStr"/>
      <c r="G19" t="inlineStr">
        <is>
          <t>Philadelphia, PA</t>
        </is>
      </c>
      <c r="H19" t="inlineStr"/>
      <c r="I19"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 including leading therapies for sleep disorders and epilepsy, and a growing portfolio of cancer treatments. Our patient\-focused and science\-driven approach powers pioneering research and development advancements across our robust pipeline of innovative therapeutics in oncology and neuroscience. Jazz is headquartered in Dublin, Ireland with research and development laboratories, manufacturing facilities and employees in multiple countries committed to serving patients worldwide. Please visit www.jazzpharmaceuticals.com for more information.
**Brief Description**
 The Principal, AI Data Scientist will be responsible for supporting the implementation of innovative, complex and transformative AI/ML/GenAI solutions across the areas of Clinical Trial Execution and Digital Healthcare across Jazz Research and Development.
**Essential Functions**
* Support the development and implementation of AI/ML/GenAI solutions to optimize clinical trial operations, including such areas as patient recruitment, patient retention, real\-time data monitoring and automated data collection system build.
* Support the development and implementation GenAI applications for automated clinical trial documentation generation including such areas medical reports, clinical study reports, protocols and patient narratives.
* Support the development and implementation of Digital Healthcare applications for medical and scientific tools, RWE new ways of generating real data, patients’ engagement.
* Support the design and develop predictive models and generative AI solutions using diverse healthcare data sources, including clinical trials data, electronic health records, wearable devices, patient\-reported outcomes, HEOR data, phase IV studies.
* Collaborate with cross\-functional teams including clinical operations, clinical development, data science and global medical \&amp; scientific affairs, RWE and patients working groups to tackle business challenges and bring value of AI\-driven solutions.
* Ensuring compliance with regulatory requirements and data privacy standards.
* Facilitate knowledge sharing and exchange within Jazz Data Science and across Jazz Research and Development.
**Required Knowledge, Skills And Abilities**
* Strong programming skills in Python, R, or similar languages, with experience in modern ML frameworks (PyTorch, TensorFlow).
* Demonstrated experience with generative AI technologies, including LLM architectures and frameworks.
* Knowledge/experience with digital healthcare tools design and development
* Experience with natural language processing and generative AI for medical text analysis, generation, and interpretation.
* Demonstrated ability to build relationships with stakeholders and subject matter experts.
* Familiarity with high compute cloud\-based platforms and services, in particular AWS.
* Familiarity with code version control and MLOps deployment approaches.
* Ability to understand healthcare challenges and adapt accordingly the AI solutions.
* Cross\-functions high adaptability to meet cross organization goals.
**Required/Preferred Education**
* Advanced degree (MS or PhD) in Data Science, Computer Science, Biostatistics, or related field
* 3 – 5 years of related professional experience, with 1\+ years of experience applying AI/ML techniques to healthcare or clinical research data.
* Experience in healthcare/AI implementation in healthcare field is a plus.
* Knowledge in digital healthcare tools design and development
**Description Of Physical Demands**
* Occasional mobility within office environment
* Routinely sitting for extended periods of time
* Constantly operating a computer, printer, telephone and other similar office machinery
*Jazz Pharmaceuticals is an equal opportunity/affirmative action employer and all qualified applicants will receive consideration for employment without regard to race, color, religion, sex, national origin, disability status, protected veteran status, or any characteristic protected by law.*
 The successful candidate will also be eligible to participate in various benefits offerings, including, but not limited to, medical, dental and vision insurance, retirement savings plan, and flexible paid vacation. For more information on our Benefits offerings please click here: https://careers.jazzpharma.com/benefits.html.</t>
        </is>
      </c>
    </row>
    <row r="20">
      <c r="A20" t="inlineStr">
        <is>
          <t>li-4363779513</t>
        </is>
      </c>
      <c r="B20" t="inlineStr">
        <is>
          <t>Zappos Data Scientist III, Zappos/Shopbop Catalog Engineering</t>
        </is>
      </c>
      <c r="C20" t="inlineStr">
        <is>
          <t>Amazon</t>
        </is>
      </c>
      <c r="D20" t="inlineStr">
        <is>
          <t>linkedin</t>
        </is>
      </c>
      <c r="E20" t="inlineStr"/>
      <c r="F20" t="inlineStr"/>
      <c r="G20" t="inlineStr">
        <is>
          <t>Madison, WI</t>
        </is>
      </c>
      <c r="H20" t="inlineStr"/>
      <c r="I20" t="inlineStr">
        <is>
          <t>**Description**
 How do you get items to customers quickly, cost\-effectively, and—most importantly—safely, in less than an hour? And how do you do it in a way that can scale? Our teams of hundreds of scientists, engineers, aerospace professionals, and futurists have been working hard to do just that! We are delivering to customers and are excited for what’s to come. If you are seeking an iterative environment where you can drive innovation, apply state\-of\-the\-art technologies to solve real world delivery challenges, and provide benefits to customers, Prime Air is the place for you. Come work on the Amazon Prime Air Team! Check out more information about Prime Air on the About Amazon blog: https://www.aboutamazon.com/news/tag/drone
 The Opportunity
 As Amazon Prime Air expands its drone delivery service, we're seeking a Senior Regulatory Affairs Specialist to join our U.S. Regulatory Affairs Infrastructure and Strategy team. This is a pivotal role where you'll shape the regulatory landscape for commercial drone delivery, working at the intersection of technology and aviation policy. You'll be instrumental in obtaining setting and achieving regulatory goals, engaging with regulators and other decision makers, and helping to establish the framework that will further enable safe, scalable drone delivery operations across the United States.
 In this position you will serve as a bridge between Amazon's innovative technology teams and regulatory bodies, engaging with internal experts to determine and update Prime Air’s regulatory goals and translating those objectives into regulatory strategies while navigating the evolving landscape of unmanned aircraft systems regulations. This position will also ensure that internal partners are aware of regulatory developments and requirements. Your work will directly impact our ability to continue to expand Prime Air's operations and bring this transformative service to more customers.
 Export Control License: This
**Basic Qualifications**
* Experience with regulatory filings and reports or equivalent
* Experience with communication, presentation, and negotiation
* Experience handling ambiguous or undefined challenges through strong problem solving abilities
* Bachelor's degree
* 6\+ years of experience working with aviation regulations, regulatory permissions, and/or aviation stakeholder outreach
* Strong familiarity with FAA regulations and policies
* Experience with aviation rulemaking and standards\-setting processes
* Background representing organization interests in standards development organizations or similar groups
**Preferred Qualifications**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A3124684</t>
        </is>
      </c>
    </row>
    <row r="21">
      <c r="A21" t="inlineStr">
        <is>
          <t>li-4360272167</t>
        </is>
      </c>
      <c r="B21" t="inlineStr">
        <is>
          <t>Data Scientist - Pittsburgh</t>
        </is>
      </c>
      <c r="C21" t="inlineStr">
        <is>
          <t>Jobs via Dice</t>
        </is>
      </c>
      <c r="D21" t="inlineStr">
        <is>
          <t>linkedin</t>
        </is>
      </c>
      <c r="E21" t="inlineStr"/>
      <c r="F21" t="inlineStr"/>
      <c r="G21" t="inlineStr">
        <is>
          <t>Pittsburgh, PA</t>
        </is>
      </c>
      <c r="H21" t="inlineStr"/>
      <c r="I21" t="inlineStr">
        <is>
          <t>Dice is the leading career destination for tech experts at every stage of their careers. Our client, IO Associates, is seeking the following. Apply via Dice today!
**Job Title: Data Scientist**
**Organisation Overview**
 Our Client is at the forefront of transforming Defense Acquisition through innovative software solutions. They support the national security community and military branches by enabling rapid and informed acquisition decisions using advanced data analysis and AI\-driven applications. Known for their collaborative culture and commitment to excellence, Our Client is a place where creativity and quality thrive, providing employees with opportunities for personal and professional growth.
**Role Summary**
 Our Client is seeking a curious and results\-oriented Data Scientist to join their dynamic team. This role is essential as the organisation continues to enhance its data\-driven capabilities and strategic decision\-making processes. You will engage with large datasets to uncover meaningful insights and drive the development of scalable statistical systems. This exciting position offers the chance to make a substantial impact by applying advanced analytics to critical challenges facing government clients.
**Responsibilities**
* Design experiments, test hypotheses, and construct models for advanced data analysis.
* Apply statistical and predictive modelling techniques to improve real\-time decision systems.
* Make strategic recommendations on data collection and integration based on business requirements.
* Model and frame business scenarios to enhance critical processes and decisions.
* Streamline complex client data analyses into repeatable processes within the SaaS platform.
* Collaborate with internal teams and external clients to develop optimal data\-driven solutions.
* Participate in an agile software development process, working closely with team members from various disciplines.
**Essential Skills \&amp; Experience**
* Minimum of 3 years of hands\-on data science experience.
* Demonstrable expertise in deriving key insights and KPIs for both internal and external customers.
* Proficiency in Python and regular experience in software development.
* Strong background in statistical and quantitative analysis, predictive modelling, and optimization algorithms.
* Experience with machine learning algorithms (e.g., gradient\-boosted machines, neural networks).
* Exceptional problem\-solving skills with the ability to work independently.
* Excellent communication and interpersonal skills.
**Desirable Skills \&amp; Experience**
* Current U.S. security clearance or ability to obtain one with sponsorship.
* Familiarity with agile/scrum methodologies and startup settings.
* Experience with SQL and building datasets from common database tools.
* Knowledge of major NLP frameworks (e.g., spaCy, fasttext, BERT) and big data frameworks (e.g., HDFS, Spark).
* Familiarity with Git source control management and product organisations.
* Experience analysing financial, supply chain/logistics, or intellectual property data.
 If you have a strong desire to work in a fast\-paced environment, enjoy tackling complex problems, and are passionate about contributing to global security, we invite you to apply by submitting your CV. Join Our Client and be part of a team that is dedicated to excellence and innovation!</t>
        </is>
      </c>
    </row>
    <row r="22">
      <c r="A22" t="inlineStr">
        <is>
          <t>li-4363899232</t>
        </is>
      </c>
      <c r="B22" t="inlineStr">
        <is>
          <t>Data Scientist</t>
        </is>
      </c>
      <c r="C22" t="inlineStr">
        <is>
          <t>Airbnb</t>
        </is>
      </c>
      <c r="D22" t="inlineStr">
        <is>
          <t>linkedin</t>
        </is>
      </c>
      <c r="E22">
        <f>HYPERLINK("https://www.linkedin.com/jobs/view/4363899232", "https://www.linkedin.com/jobs/view/4363899232")</f>
        <v/>
      </c>
      <c r="F22" t="inlineStr"/>
      <c r="G22" t="inlineStr"/>
      <c r="H22" t="inlineStr"/>
      <c r="I22" t="inlineStr">
        <is>
          <t>**About The Company**
 Airbnb was founded in 2007 when two hosts welcomed three guests to their San Francisco home. Since then, the company has experienced remarkable growth, now boasting over 5 million hosts worldwide who have welcomed more than 2 billion guest arrivals across nearly every country. Airbnb's platform offers unique stays and experiences, enabling guests to connect with local communities in authentic and meaningful ways. The company's mission centers around creating a world where anyone can belong anywhere, fostering community, trust, and belonging through innovative technology and exceptional service.
**About The Role**
 As a Senior Data Scientist within Airbnb's Listing Understanding Data Science team, you will play a pivotal role in enhancing the guest and host experience through advanced computer vision and multimodal data analysis. You will be responsible for developing, evaluating, and deploying machine learning models that interpret listing photos and related data to improve product functionalities and business outcomes. This role involves working cross\-functionally with product, engineering, and design teams to develop a strategic roadmap for integrating visual data into the listing experience. You will leverage your expertise in causal inference, computer vision, and machine learning to identify opportunities, measure impact, and ensure the safety and effectiveness of technological solutions. Your insights will directly influence how photos are managed and utilized, ultimately enriching the overall guest experience and driving business growth.
**Qualifications**
* 9\+ years of industry experience in applied Machine Learning, with a focus on Computer Vision
* Experience with models such as CLIP and ViT
* Expertise in causal inference, preferably within marketplace or platform environments
* Advanced degree in Computer Science, Statistics, Econometrics, or a related field
* Proficiency in programming languages such as Python or R for data analysis
* Familiarity with SQL and developing proof\-of\-concept prototypes
* Deep understanding of machine learning best practices including training/serving skew minimization, A/B testing, feature engineering, and model selection
* Knowledge of algorithms such as gradient\-boosted trees, neural networks, and deep learning frameworks
* Strong communication skills for cross\-functional collaboration with product, engineering, and design teams
* Demonstrated ability to work independently and succeed in collaborative environments
* Engagement with the technical community and a passion for AI and emerging technologies
**Responsibilities**
* Identify and size business opportunities related to computer vision and multimodal listing understanding, developing strategic roadmaps for investment and integration
* Leverage visual and structured data to build and enhance models that improve listing comprehension and guest experience
* Develop causal models to analyze how photos influence search behavior, bookings, and trip quality
* Prototype, evaluate, and iterate machine learning features with engineering, product, and design teams
* Design and implement assessment frameworks to ensure models are safe, effective, and aligned with business goals
* Measure and communicate the business impact of models through experimentation and causal analysis
* Stay current with advancements in computer vision, multimodal modeling, and AI technologies, incorporating them into product development
* Collaborate with cross\-functional teams to translate data insights into actionable product features and improvements
**Benefits**
* Competitive salary and performance\-based bonuses
* Comprehensive health, dental, and vision insurance plans
* Retirement savings plans with company matching
* Flexible work arrangements and remote work options
* Generous paid time off and holidays
* Professional development opportunities, including training and conferences
* Employee travel credits and wellness programs
 Equal Opportunity
 Airbnb is committed to fostering an inclusive environment and is proud to be an equal opportunity employer. We welcome applications from candidates of all backgrounds, identities, and abilities. We believe that diverse perspectives drive innovation and excellence, and we strive to ensure that our hiring practices are equitable and accessible. We encourage all qualified individuals to apply and join us in building a community where everyone can belong anywhere.</t>
        </is>
      </c>
    </row>
    <row r="23">
      <c r="A23" t="inlineStr">
        <is>
          <t>li-4363879596</t>
        </is>
      </c>
      <c r="B23" t="inlineStr">
        <is>
          <t>Data Scientist</t>
        </is>
      </c>
      <c r="C23" t="inlineStr">
        <is>
          <t>Henry Schein One</t>
        </is>
      </c>
      <c r="D23" t="inlineStr">
        <is>
          <t>linkedin</t>
        </is>
      </c>
      <c r="E23">
        <f>HYPERLINK("https://www.linkedin.com/jobs/view/4363879596", "https://www.linkedin.com/jobs/view/4363879596")</f>
        <v/>
      </c>
      <c r="F23">
        <f>HYPERLINK("https://www.wiraa.com/job-description/us4A40A9DBE52A230F93102A860AF7E436?source=Linkedin&amp;urlHash=SYFA", "https://www.wiraa.com/job-description/us4A40A9DBE52A230F93102A860AF7E436?source=Linkedin&amp;urlHash=SYFA")</f>
        <v/>
      </c>
      <c r="G23" t="inlineStr"/>
      <c r="H23" t="inlineStr"/>
      <c r="I23" t="inlineStr">
        <is>
          <t>**About The Company** 
 Henry Schein One is a leading global provider in dental management, analytics, communication, and marketing software solutions. Our organization is dedicated to delivering innovative, integrated platforms that streamline workflows and enhance patient care for dental professionals worldwide. We pride ourselves on fostering a supportive, diverse, and inclusive work environment where creativity and collaboration thrive. Recognized for our commitment to excellence, Henry Schein One was named one of the Best Companies to Work for in Utah in 2022\. Our mission is to empower dental practices through cutting\-edge technology, enabling them to operate more efficiently and deliver superior patient outcomes. We believe that our people are our greatest asset, and we invest heavily in their professional growth and well\-being.
**About The Role** 
 We are seeking a highly skilled Data Scientist to join our team remotely within the United States or in a hybrid capacity at our American Fork, UT office. In this role, you will lead the design and development of complex data systems that generate strategic insights across the organization. Your responsibilities will span data architecture, advanced analytics, and operational execution, ensuring alignment with business objectives. You will collaborate closely with product and engineering teams to translate business needs into scalable, data\-driven solutions. The ideal candidate will have a strong background in quantitative analysis, data engineering, and applied data science, with a passion for leveraging data to solve real\-world problems. This role offers a unique opportunity to influence key business decisions, mentor engineering teams, and shape the future of data initiatives within a dynamic healthcare technology environment.
**Qualifications** 
* 10\+ years of experience in quantitative analysis and data science
* Expert proficiency in SQL, data modeling, and data warehouse optimization, including Redshift query and table design
* Deep understanding of data lake architectures, ETL processes, data catalog management, and data lineage/impact analysis
* Experience designing and optimizing data pipelines for batch and streaming data workloads
* Familiarity with stream processing technologies such as Apache Flink, Spark, and Kafka
* Hands\-on experience with AWS data platforms, including EMR cluster management and performance tuning
* Ability to apply best practices across analytics, data engineering, and data science workflows
* Strong analytical, problem\-solving, and decision\-making skills
* Effective communication skills for presenting complex findings to diverse audiences
* Proven collaboration skills across technical and non\-technical teams
* Preferred: Bachelor’s or Master’s Degree in Data Science, Statistics, Mathematics, Computer Science, or related field
* Preferred: Domain experience in healthcare, finance, or SaaS analytics
**Responsibilities** 
* Partner with product and engineering teams to translate business requirements into scalable data solutions and analytics frameworks
* Design and implement advanced statistical models and predictive analytics to enhance data insights
* Develop clear, actionable reports and visualizations for stakeholders to facilitate data\-driven decision\-making
* Drive operational efficiency by deploying analytics solutions that provide meaningful business intelligence
* Lead initiatives to improve data quality and establish robust data governance standards
* Architect, develop, and optimize data pipelines for scalable analytics and machine learning models
* Create automated monitoring systems to ensure data integrity and model performance
* Stay updated on emerging data technologies and industry best practices, continuously refining analytical processes
* Mentor and guide engineering teams to adopt best practices in data science and engineering
* Address complex data challenges through innovative problem\-solving and strategic planning
**Benefits** 
* Competitive salary range of $170,000 \- $220,000, commensurate with experience
* Bonus potential based on performance
* Comprehensive medical, dental, and vision coverage
* 401(k) plan with company match
* Paid Time Off (PTO) and sick leave
* Paid parental leave
* Short\-term disability and income protection programs
* Work\-life balance initiatives and flexible work arrangements
* Health Savings Accounts (HSAs) and Flexible Spending Accounts (FSAs)
* Educational benefits and professional development opportunities
* Worldwide scholarship programs and volunteer opportunities
* A collaborative and innovative work environment with supportive leadership
 Equal Opportunity
 Henry Schein, Inc. is an Equal Employment Opportunity Employer. We do not discriminate against applicants or employees on the basis of race, color, religion, creed, national origin, ancestry, disability (reasonable accommodations provided), sex, sexual orientation, gender identity, age, citizenship, marital or veteran status, or any other legally protected status.</t>
        </is>
      </c>
    </row>
    <row r="24">
      <c r="A24" t="inlineStr">
        <is>
          <t>li-4360480075</t>
        </is>
      </c>
      <c r="B24" t="inlineStr">
        <is>
          <t>Data Scientist - TikTok Integrity and Safety (San Jose)</t>
        </is>
      </c>
      <c r="C24" t="inlineStr">
        <is>
          <t>TikTok</t>
        </is>
      </c>
      <c r="D24" t="inlineStr">
        <is>
          <t>linkedin</t>
        </is>
      </c>
      <c r="E24">
        <f>HYPERLINK("https://www.linkedin.com/jobs/view/4360480075", "https://www.linkedin.com/jobs/view/4360480075")</f>
        <v/>
      </c>
      <c r="F24" t="inlineStr"/>
      <c r="G24" t="inlineStr">
        <is>
          <t>San Jose, CA</t>
        </is>
      </c>
      <c r="H24" t="inlineStr"/>
      <c r="I24" t="inlineStr">
        <is>
          <t>**Responsibilities**
 About the Team
 Join our team and leverage the power of data science to directly safeguard content, users, and privacy on TikTok. You will provide critical data\-driven insights for platform responsibility and safety initiatives, including video content safety, live content safety, account security, privacy compliance, and moderation platforms, ultimately enhancing the safety experience for millions of users worldwide.
 Responsibilities \- What You'II Do
 1\. Design, build, and maintain core metrics systems related to platform content safety and risk, including but not limited to content violation, user report, and account risk identification. Develop comprehensive monitoring and anomaly detection systems to quickly identify and analyze security incidents, providing data support for risk alerts and policy adjustments.
 2\. Apply rigorous statistical methods, including A/B testing, causal inference, regression analysis, and more, to evaluate the effectiveness of security policies. You will deeply analyze experiment results, provide quantitative evidence for business decisions, and continuously optimize experiment design to improve evaluation efficiency.
 3\. Develop quantitative analysis systems for specific business challenges and leverage data mining techniques to identify potential optimization opportunities. You will work closely with product, operations, R\&amp;D, and algorithm teams to translate analytical insights into actionable improvements and drive their implementation, ultimately improving platform safety.
 4\. Continuously explore and summarize data analysis methodologies, create reusable analysis frameworks and tools to improve the overall analytical capabilities of the team. Participate in the design and iteration of data products, productizing data analysis capabilities to provide business teams with more efficient and convenient data services.
**Qualifications**
 Minimum Qualifications
 \- 2\+ years of data science experience and Bachelor's degree or above in statistics, data science, economics, mathematics, or a related field
 \- Proficient in SQL, skilled in using data analysis tools such as Python/R, and possesses excellent visualization skills
 \- Familiar with common machine learning algorithm principles and understands methods such as causal inference and A/B testing
 \- Proficient in English as a working language
 Preferred Qualifications
 \- Familiarity with Internet/content platform safety business
 \- Excellent logical thinking, problem analysis and solving abilities, as well as good communication, expression, and cross\-team collaboration skills
 \-Experience in content security, integrity, or risk management is preferred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$144000 \- $329334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5">
      <c r="A25" t="inlineStr">
        <is>
          <t>li-4363799861</t>
        </is>
      </c>
      <c r="B25" t="inlineStr">
        <is>
          <t>Data Scientist Mid</t>
        </is>
      </c>
      <c r="C25" t="inlineStr">
        <is>
          <t>Castalia Systems</t>
        </is>
      </c>
      <c r="D25" t="inlineStr">
        <is>
          <t>linkedin</t>
        </is>
      </c>
      <c r="E25">
        <f>HYPERLINK("https://www.linkedin.com/jobs/view/4363799861", "https://www.linkedin.com/jobs/view/4363799861")</f>
        <v/>
      </c>
      <c r="F25" t="inlineStr"/>
      <c r="G25" t="inlineStr">
        <is>
          <t>St Louis, MO</t>
        </is>
      </c>
      <c r="H25" t="inlineStr"/>
      <c r="I25" t="inlineStr">
        <is>
          <t>**Job Type:** 
 Full\- Time
**Workplace Type** 
 : Onsite at St. Louis, MO
**Clearance:** 
 Active TS/SCI clearance with CI Polygraph
**Must be a U.S. Citizen**
**Benefits:** 
 Medical, dental, and vision coverage, 401k matching, generous PTO, paid holidays, professional training opportunities, and even pet insurance to ensure your furry friends are cared for too.
**Job Summary**
 Castalia is seeking a highly skilled
 **Data Scientist** 
 with a TS/SCI clearance and CI Polygraph to support a government customer in the St. Louis, Missouri area.
**Roles And Responsibilities**
**A qualified candidate will perform the following duties and responsibilities, but are not limited to:**
* Interact with analysts; routinely take and translate analytical requirements and transform them into data formats to allow for use and the application of new emerging analytical methodologies
* Interpret rich data sources, manage large amounts of data, merge data sources together, ensure consistency of data\-sets, support the creation of visualizations to understand data, build mathematical models using the data, present and communicate the data insights/findings to specialists and scientists in their team and if required to a non\-expert audience
* Design, develop, program, and test applications and exchange data within and amongst information systems
**Required Qualifications**
* Current TS clearance with access to SCI?
* Bachelor�s degree in related field
* At least 4 years of full\-time experience creating and applying algorithms and statistical methods to data, visualizing data, and developing database architecture?
* Demonstrated experience developing data visualizations with tools such as Tableau, Power Bl, Grafana, etc.
* Demonstrated experience with data collection, conditioning, and wrangling
* Demonstrated experience with SharePoint content management, lists, and forms
* Demonstrated experience developing complex Nintex workflows
* Demonstrated understanding of data analytics and statistics
**Desired Qualifications**
* Knowledge and experience with database creation and management
* Demonstrated experiences with coding languages, specifically Python, SQL, HTML, CSS, Java, R and JavaScript
* Effective oral and written communications skills
**Physical Requirements/Work Environment**
* Normal office environment.
**Travel**
 Less than 5%.
**Company Description**
 Castalia Systems is a proven business partner providing mission critical solutions to the Federal Government. We provide cutting edge solutions from Securing and Managing Data to Systems Engineering and Development. Castalia Systems is a pioneer in Artificial Intelligence Design and Application.
 With our vast knowledge of our customers� needs and relevant technology, our team is able to bring successful solutions to every mission. We are one\-upping our competitors by providing premium IT solutions and platforms with cutting\-edge technology so it�s so evident when you compare us with anyone.
**Disclaimer**
 Castalia Systems is an equal employment opportunity and affirmative action employer and strives to comply with all applicable laws prohibiting discrimination based on race, color, creed, sex, sexual orientation, age, national origin, or ancestry, physical or mental disability, veteran status, marital status, HIV\-positive status, as well as any other category protected by federal, state, or local laws. All such discrimination is unlawful, and all persons involved in the operations of the company are prohibited from engaging in this type of conduct.</t>
        </is>
      </c>
    </row>
    <row r="26">
      <c r="A26" t="inlineStr">
        <is>
          <t>li-4360870093</t>
        </is>
      </c>
      <c r="B26" t="inlineStr">
        <is>
          <t>Data Scientist</t>
        </is>
      </c>
      <c r="C26" t="inlineStr">
        <is>
          <t>Energy Job Search</t>
        </is>
      </c>
      <c r="D26" t="inlineStr">
        <is>
          <t>linkedin</t>
        </is>
      </c>
      <c r="E26">
        <f>HYPERLINK("https://www.linkedin.com/jobs/view/4360870093", "https://www.linkedin.com/jobs/view/4360870093")</f>
        <v/>
      </c>
      <c r="F26" t="inlineStr"/>
      <c r="G26" t="inlineStr">
        <is>
          <t>Houston, TX</t>
        </is>
      </c>
      <c r="H26" t="inlineStr"/>
      <c r="I26" t="inlineStr">
        <is>
          <t>**Job Description**
 Build, train, and deploy large\-scale, self\-supervised "foundation" models that learn rich representations of time series, sequential sensor data in addition to textual and vision data, to be fine\-tuned for tasks such as anomaly/event detection, predictive maintenance, forecasting, classification, or multi\-modal sensor fusion for industrial and scientific applications.
**Data/Signal Processing**
* Time Series \&amp; Sequential Data: processing, augmentation, feature engineering for financial, industrial, IoT, medical, or other sensor streams (univariate/multivariate time series).
* Sensor Data Analysis: expertise with diverse sensor modalities (e.g., accelerometers, temperature, vibration, audio, images), sampling rates, synchronization, and real\-world noise/artifact handling.
* Multi\-Modality Learning: integrating heterogeneous data types (time series, images, text, audio, structured) into robust deep learning architectures; cross\-modal representation learning.
**Machine Learning \&amp; Foundation Model Expertise**
* Self\-supervised and Semi\-supervised Learning: time series foundation models, masked modeling, contrastive methods, temporal predictive coding, multimodal alignment and fusion.
* Model Architectures: sequence models (RNNs, GRU/LSTM, TCN), 1D/2D/3D CNNs, Transformers (BERT, ViT, TimeSFormer), graph neural networks, diffusion/generative models, multi\-modal/fusion encoders.
* Transfer Learning \&amp; Fine\-Tuning at Scale: prompt/adapter\-based strategies, temporal domain adaptation, few\-shot learning for specialized tasks.
* Evaluation Metrics: regression/classification (MSE, F1, AUC), time series similarity (DTW, correlation), event detection/segmentation (IoU, accuracy), business/end\-user KPIs.
**Software \&amp; Infrastructure**
* Programming: expert Python (NumPy, SciPy, Pandas), C\+\+/CUDA for custom kernels and high\-performance preprocessing.
* Deep Learning Frameworks: PyTorch (Lightning, Distributed), TensorFlow/Keras, JAX/Flax.
* Large\-scale Training: multi\-GPU, multi\-node clusters, mixed\-precision, ZeRO optimization, scalable data loaders for long sequences.
* Data Engineering: robust pipelines for ingesting, cleaning, segmenting, and aligning large\-scale, time\-synchronized multi\-sensor datasets.
**Mathematical \&amp; Algorithmic Foundations**
* Linear Algebra, Probability \&amp; Statistics, Optimization (stochastic, convex/non\-convex, Bayesian).
* Signal Processing: Fourier/wavelet analysis, filters (Kalman, Savitzky\-Golay), resampling, noise modeling.
* Numerical Methods: ODE/PDE solvers, inverse problems, regularization, time\-frequency methods for complex systems.
**Collaboration \&amp; Communication**
* Cross\-disciplinary teamwork with domain experts, engineers, product owners, and end\-users from industrial, scientific, or medical backgrounds.
* Clear presentation of complex model behaviors (interpretability, attention analysis), uncertainty quantification, and value impact.
* MS / Ph.D. in computer science, data science and AI or related fields.
* 3\+ years of relevant experience in data science and AI or related fields.</t>
        </is>
      </c>
    </row>
    <row r="27">
      <c r="A27" t="inlineStr">
        <is>
          <t>li-4360830073</t>
        </is>
      </c>
      <c r="B27" t="inlineStr">
        <is>
          <t>Senior Data Scientist, Trust &amp; Safety - USDS</t>
        </is>
      </c>
      <c r="C27" t="inlineStr">
        <is>
          <t>TikTok</t>
        </is>
      </c>
      <c r="D27" t="inlineStr">
        <is>
          <t>linkedin</t>
        </is>
      </c>
      <c r="E27">
        <f>HYPERLINK("https://www.linkedin.com/jobs/view/4360830073", "https://www.linkedin.com/jobs/view/4360830073")</f>
        <v/>
      </c>
      <c r="F27" t="inlineStr"/>
      <c r="G27" t="inlineStr">
        <is>
          <t>San Jose, CA</t>
        </is>
      </c>
      <c r="H27" t="inlineStr"/>
      <c r="I27" t="inlineStr">
        <is>
          <t>**Responsibilities**
 Team Intro
 At TikTok, we're committed to a process of continuous innovation and improvement in our user experience and safety controls. We're proud to be able to serve a global community of more than a billion people who use TikTok to creatively express themselves and be entertained, and we're dedicated to giving them a platform that builds opportunity and fosters connection. We also take our responsibility to safeguard our community seriously, both in how we address potentially harmful content and how we protect against unauthorized access to user data.
 Our US Data Security Safety team provides key support for TikTok’s innovative initiatives, state\-of\-the\-art products, and integrated platforms servicing our US market. As a Data Scientist on TikTok's US Data Security Safety Product team, you will be instrumental in ensuring that TikTok remains a safe, trustworthy, and risk\-free environment to create and enjoy content across all of our apps while protecting our brand.
 The ideal candidate will have a background in a statistics and product analytics, will have experience working with large data sets, and will have some experience delivering data products on a fast\-paced team.
 This Senior Data Scientist may be exposed to harmful content as part of their core day\-to\-day functions, as well as in project work; in response to escalation requests; or by chance.
 Some content viewed my violate our community guidelines which include but are not limited to bullying; hate speech; child abuse; sexual assault; torture; bestiality; self\-harm; suicide; and murder.
 This position will be full\-time and will be based in our San Jose location.
 Responsibilities:
 \- Partner with product, operations, policy, and engineering teams to scope, design, execute, measure, and improve the impact of US Safety efforts
 \- This individual will break down the hairiest of problems by applying the full data science toolkit and provide insights to stakeholders across the organization to change minds and hearts
 \- Be constantly curious and continue to pursue in\-depth explorations of our datasets and business
 \- Conduct quantitative analysis, deliver insights, and influence US Safety decision making through understanding of user behavior and safety ecosystem
 \- Independently design, research, develop and apply ML/AI solutions to solve business problems, including prediction, optimization, segmentation and so on
 \- Deep understanding of our organization's data structure; look for ways to improve to enhance our ability to perform robust data analysis; create new data sets when there is little or no data available, to inform marketing analysis
 \- Design and monitor core metrics; perform root cause analysis to explain drivers
 \- Identify trends and opportunities to drive safety initiatives and create a healthy ecosystem for content creators, users, and consumers
 \- Collect and provide quantitative and qualitative information to measure risk of feature/product launches and answer strategic business questions
**Qualifications**
 Minimum Qualifications
 \- Ph.D., M.S., or Bachelors degree in Computer Science, Data Science, Mathematics/Statistics and other STEM majors is required
 \- Over 5\+ years of industry experience in data science, data analytics, product analytics, quantitative analysis and machine learning experience to build ML\-driven products for solving business problems
 \- Experience with experimentation and testing of Minimum Viable Products to determine if proposed business models / solutions scale up
 \- Experience in utilizing SQL/Python to extract, manipulate, and analyze datasets.
 \- Experience with creating data visualizations to communicate metric performance.
 \- Experience with statistical analysis or data modeling techniques, including: hypothesis testing, experiment design, and common regression and classification algorithms.
 \- Experience building data infrastructure and implementing reporting solutions
 Preferred Qualifications
 \- 4 or more years of experience as a Product or Applied Data Scientist
 \- Your ability to work in a high tempo environment, adapt, respond to day\-to\-day challenges of the role.
 \- Your resilience and commitment to self\-care to manage the emotional demands of the role.
 \- Previous experience in data science, data analytics, or product analytics at a consumer technology company.
 \- Passion for social technology products and a curiosity to learn and grow with a fast paced company.
 \- Experience working with international partners in different time zones.
**Trust \&amp; Safety**
 Content that this role interacts with includes images, video, and text related to every\-day life, but it can also include (but is not limited to) bullying; hate speech; child safety; depictions of harm to self and others, and harm to animals. Hence, it is possible that this role will be exposed to harmful content on a daily basis. ​
 ​
 TikTok recognises that keeping our platform safe for the TikTok communities is no ordinary job which can be both rewarding and psychologically demanding and emotionally taxing for some. This is why we are sharing the potential hazards, risks and implications in this unique line of work from the start, so our candidates are well informed before joining. ​
 ​
 We are committed to the wellbeing of all our employees and promise to provide comprehensive and evidence\-based programs, to promote and support physical and mental wellbeing throughout each employee's journey with us. We believe that wellbeing is a relationship and that everyone has a part to play, so we work in collaboration and consultation with our employees and across our functions in order to ensure a truly person\-centred, innovative and integrated approach.​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$144000 \- $329334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8">
      <c r="A28" t="inlineStr">
        <is>
          <t>li-4360115632</t>
        </is>
      </c>
      <c r="B28" t="inlineStr">
        <is>
          <t>Data Scientist</t>
        </is>
      </c>
      <c r="C28" t="inlineStr">
        <is>
          <t>Jobs via Dice</t>
        </is>
      </c>
      <c r="D28" t="inlineStr">
        <is>
          <t>linkedin</t>
        </is>
      </c>
      <c r="E28">
        <f>HYPERLINK("https://www.linkedin.com/jobs/view/4360115632", "https://www.linkedin.com/jobs/view/4360115632")</f>
        <v/>
      </c>
      <c r="F28" t="inlineStr"/>
      <c r="G28" t="inlineStr"/>
      <c r="H28" t="inlineStr"/>
      <c r="I28" t="inlineStr">
        <is>
          <t>Dice is the leading career destination for tech experts at every stage of their careers. Our client, Data Capital Inc, is seeking the following. Apply via Dice today!
**Role And Responsibilities**
 This Data Scientist position will lead our artificial intelligence (AI) and machine learning (ML) projects in the federal space. The Data Scientist will guide our federal agency clients with large datasets, both structured and unstructured, in extracting useful insights and reducing manual analysis using various AI/ML techniques. This will include leading AI/ML centers of excellence to assist federal agencies understand various approaches and models within AI/ML that may be relevant to their datasets and objectives. It will also include hands\-on modeling work in collaboration with our federal clients to develop and deploy AI/ML models. Finally, the Data Scientist will assist Halvik in proposing innovative AI/ML solutions to help federal agencies go beyond basic analysis needs and answer questions previously not considered.
**What You Need:**
* Proficient with a broad spectrum of advanced data science techniques and industry expertise including machine learning and AI. Able to explain relevance of data science techniques to various use cases.
* Expert in descriptive statistics and statistical methods with applications in machine learning (e.g., correlation, regression, clustering)
* Practical programming experience in Python, R, Matlab, Spark/PySpark, SQL, and/or other related programming languages (5\+ years preferred)
* Self\-starter with excellent communication skills, able to work independently, and lead projects, initiatives, and/or people
* 3\+ years of practical data science experience
**Preferred Skills**
* 5\+ years of practical data science experience (preferred)
* Advanced degree in a STEM\-related field
* Experience delivering end\-to\-end data science projects, starting with project plan, through data modelling \&amp; data integrity checks to delivering value with explainable results
* Experience in automation and deployment preferred (MLOps and Data Engineering)</t>
        </is>
      </c>
    </row>
    <row r="29">
      <c r="A29" t="inlineStr">
        <is>
          <t>li-4360410308</t>
        </is>
      </c>
      <c r="B29" t="inlineStr">
        <is>
          <t>Lead Data Scientist - Finance Technology</t>
        </is>
      </c>
      <c r="C29" t="inlineStr">
        <is>
          <t>hackajob</t>
        </is>
      </c>
      <c r="D29" t="inlineStr">
        <is>
          <t>linkedin</t>
        </is>
      </c>
      <c r="E29">
        <f>HYPERLINK("https://www.linkedin.com/jobs/view/4360410308", "https://www.linkedin.com/jobs/view/4360410308")</f>
        <v/>
      </c>
      <c r="F29">
        <f>HYPERLINK("https://www.hackajob.com/job/4a3f5e53-d603-11f0-9e38-0a05e249917d-lead-data-scientist-finance-technology?utm_source=LinkedIn&amp;utm_medium=JobAds&amp;utm_term=Automated&amp;utm_campaign=jp-morgan-lead-data-scientist-finance-technology&amp;job_name=lead-data-scientist-finance-technology&amp;company=jp-morgan&amp;workplace_type=on-site&amp;city=jersey-city&amp;country=united-states&amp;urlHash=wNYH", "https://www.hackajob.com/job/4a3f5e53-d603-11f0-9e38-0a05e249917d-lead-data-scientist-finance-technology?utm_source=LinkedIn&amp;utm_medium=JobAds&amp;utm_term=Automated&amp;utm_campaign=jp-morgan-lead-data-scientist-finance-technology&amp;job_name=lead-data-scientist-finance-technology&amp;company=jp-morgan&amp;workplace_type=on-site&amp;city=jersey-city&amp;country=united-states&amp;urlHash=wNYH")</f>
        <v/>
      </c>
      <c r="G29" t="inlineStr">
        <is>
          <t>Jersey City, NJ</t>
        </is>
      </c>
      <c r="H29" t="inlineStr"/>
      <c r="I29" t="inlineStr">
        <is>
          <t>***hackajob** 
 is collaborating with
 **J.P. Morgan** 
 to connect them with exceptional tech professionals for this role.*
**Job Description**
 Join our Finance Technology team to build world\-class AI/ML solutions for finance processes and drive significant business impact by tackling diverse challenges across multiple technologies and applications.
 As a Lead Data Scientist in our Finance Technology team, you will play a pivotal role in building and delivering cutting\-edge AI/ML solutions that enhance our finance processes. Your deep technical expertise and problem\-solving skills will drive significant business impact, as you work on diverse challenges across multiple technologies and applications. Collaborate with business users and technology partners to identify and execute machine learning opportunities, while managing a global team of data scientists and engineers.
**Job Responsibilities**
* Build and train production\-grade ML models on large\-scale datasets to solve business use cases.
* Utilize large\-scale data processing frameworks to extract value from structured and unstructured data.
* Apply Deep Learning models like NLP, LLM, and Gen AI for summarization, forecasting, and anomaly detection.
* Conduct data modeling experiments, evaluate against baselines, and extract key statistical insights.
* Create data models using best practices to ensure high data quality and reduced redundancy.
* Stay current on industry trends and adopt the latest methodologies into existing implementations.
* Present and market proposed solutions to senior business and technology colleagues.
* Collaborate closely with business users to identify and execute machine learning opportunities.
* Work with the team and other technology partners on ML Ops aspects.
* Manage a global team of data scientists and data engineers.
**Required Qualifications, Capabilities, And Skills**
* Bachelor’s Degree or equivalent experience in Computer Science or Data Science.
* 12\+ years of experience as a data scientist.
* Experience with machine learning techniques and advanced analytics (e.g., regression, classification, clustering, time series, econometrics, causal inference, mathematical optimization, NLP).
* Experience with LLM and Gen AI.
* Experience with Agentic workflows.
* Proficiency in ML languages such as Python, SQL, Scala.
* Experience with statistical techniques \- i.e., data mining, data transformations, text mining, data visualization.
**Preferred Qualifications, Capabilities, And Skills**
* Familiarity with Financial Services.
* Experience building ML models in a cloud environment.
* Experience with Big Data Platforms such as Hadoop.
* Outstanding written/verbal communication and presentation skills.
* Comfort with ambiguity and proven ability to structure problems.
* Team\-oriented collaborator.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0">
      <c r="A30" t="inlineStr">
        <is>
          <t>li-4360800371</t>
        </is>
      </c>
      <c r="B30" t="inlineStr">
        <is>
          <t>Product Data Scientist, Payments</t>
        </is>
      </c>
      <c r="C30" t="inlineStr">
        <is>
          <t>Jobs via Dice</t>
        </is>
      </c>
      <c r="D30" t="inlineStr">
        <is>
          <t>linkedin</t>
        </is>
      </c>
      <c r="E30">
        <f>HYPERLINK("https://www.linkedin.com/jobs/view/4360800371", "https://www.linkedin.com/jobs/view/4360800371")</f>
        <v/>
      </c>
      <c r="F30" t="inlineStr"/>
      <c r="G30" t="inlineStr">
        <is>
          <t>San Francisco, CA</t>
        </is>
      </c>
      <c r="H30" t="inlineStr"/>
      <c r="I30" t="inlineStr">
        <is>
          <t>**About The Role**
 We are looking for a Data Scientist to join our Payments Science team and make significant contributions to our mission to streamline and optimize Uber's global payment experiences.
 You will work with product managers, engineers and fellow data scientists to shape the direction of one or more products within Payments. You will work on fast\-moving, high\-stakes problems reaching a global audience. A deep analytical passion and the ability to execute on key business priorities is a must for this role.
**What The Candidate Will Need / Bonus Points**
 \\\\\-\\\\\-\\\\\-\\\\\- What the Candidate Will Do \-\-\-\-
* Analyze key data assets to understand our payment experiences.
* Develop and monitor strategic metrics and understand all underlying drivers.
* Design and run experiments to analyze the impact of product changes.
* Deep dive into data to evaluate proposed product changes and identify opportunities for improving the user experience.
* Collaborate with product managers and other business leaders to make decisions based on data insights and experiment results.
* Communicate your findings to cross functional peers and management.
 \\\\\-\\\\\-\\\\\-\\\\\- Basic Qualifications \-\-\-\-
* Bachelors or M.S. with a degree in Statistics, Economics, Computer Science, or other quantitative fields.
* 3yrs\+ experience in improving products, understanding the user journey and extracting insights from data.
* You know SQL in and out and also are comfortable with using Python and R when needed.
* 3yrs\+ experience in launching multiple experiments (such as A/B experiments) and an expert in experimental design and using statistical methods in exploratory analysis.
* Advanced experience with dashboarding/data visualization (i.e. Google Data Studio, Tableau, Mixpanel, Looker or similar).
* Ability to work in a self\-guided manner and deliver on tight timelines and prioritize tasks while maintaining quality and detail.
* Strong communication and organization skills and able to communicate with a diverse set of stakeholders.
 \\\\\-\\\\\-\\\\\-\\\\\- Preferred Qualifications \-\-\-\-
* Experience with causal inference and statistical methods.
* Data engineering/pipeline creation experience.
* Prior experience within the payments or fintech industry.
 For San Francisco, CA\-based roles: The base salary range for this role is USD$142,000 per year \- USD$158,000 per year.
 For Sunnyvale, CA\-based roles: The base salary range for this role is USD$142,000 per year \- USD$158,000 per year.
 For all US locations, you will be eligible to participate in Uber's bonus program, and may be offered an equity award \&amp; other types of comp. You will also be eligible for various benefits. More details can be found at the following link \[](;br\&gt;
 Uber's mission is to reimagine the way the world moves for the better. Here, bold ideas create real\-world impact, challenges drive growth, and speed fuels progress. What moves us, moves the world \- let's move it forward, together.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form](;br\&gt;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t>
        </is>
      </c>
    </row>
    <row r="31">
      <c r="A31" t="inlineStr">
        <is>
          <t>li-4360880362</t>
        </is>
      </c>
      <c r="B31" t="inlineStr">
        <is>
          <t>Senior Product Data Scientist</t>
        </is>
      </c>
      <c r="C31" t="inlineStr">
        <is>
          <t>Jobs via Dice</t>
        </is>
      </c>
      <c r="D31" t="inlineStr">
        <is>
          <t>linkedin</t>
        </is>
      </c>
      <c r="E31">
        <f>HYPERLINK("https://www.linkedin.com/jobs/view/4360880362", "https://www.linkedin.com/jobs/view/4360880362")</f>
        <v/>
      </c>
      <c r="F31" t="inlineStr"/>
      <c r="G31" t="inlineStr">
        <is>
          <t>Redmond, WA</t>
        </is>
      </c>
      <c r="H31" t="inlineStr"/>
      <c r="I31" t="inlineStr">
        <is>
          <t>**Overview**
 Microsoft's Path team helps customers along their journey from the initial idea to the final realization of their goals \- from Idea to Plan to Done
 We are responsible for collaborative work management products including Microsoft Project, Planner, To Do, Whiteboard, and Visio. We are actively working to envision and create "The Future of Work" leveraging large language models (LLMs) and Agentic artificial intelligence (AI) to provide utility and value to our customers.
 As a
 **Senior Product Data Scientist** 
 in Path you will help us measure what matters, surface actionable insights, run rigorous experiments, and help deliver transformative AI capabilities that customers love and trust. You will help drive the analysis and quality and direction of Microsoft Planner , including our agentic experiences such as Project Manager agent . In this role you will have the opportunity to apply \- and advance \- your data science skills and have real impact on millions of customers. This role requires Microsoft Campus presence, where you will get to interact with many of your co\-workers in person.
 If this sounds like a great fit, we look forward to meeting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Create customer and business impact by identifying and leading high\-leverage data science and analytics opportunities across product areas.
* Measurement: Define, invent, and deliver metrics which accurately measure user and business value across various products.
* Experimental Design: Think critically about sampling and experimental design across User and Demand dimensions.
* Product Iteration: Interpret the results of analyses, validate approaches, and learn to monitor, analyze, and iterate to continuously improve.
* Cooperation: Partner effectively and drive alignment with executives, product management, engineers, and other areas of business.
* Influence: engage with stakeholders to produce clear, compelling, measurable, and actionable insights and data\-science driven workflows that influence product and service improvements.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 3\+ years of experience leading data science and analytics projects that delivered measurable product and growth wins, including deploying AI/LLM/MLmodels to production.
* 3\+ years of experience analyzing, visualizing, and modeling large\-scale data using SQL, Python, or R.
* 3\+ years of experience designing and analyzing experiments and causal inference studies.
* Experience in all phases of managing data science projects including: problem definition, solution formulation, model building, productionizing and delivering measurable impact.
* Experience using AI tools in data science and analytics workflows.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2">
      <c r="A32" t="inlineStr">
        <is>
          <t>li-4360810386</t>
        </is>
      </c>
      <c r="B32" t="inlineStr">
        <is>
          <t>Data Scientist IV</t>
        </is>
      </c>
      <c r="C32" t="inlineStr">
        <is>
          <t>Jobs via Dice</t>
        </is>
      </c>
      <c r="D32" t="inlineStr">
        <is>
          <t>linkedin</t>
        </is>
      </c>
      <c r="E32">
        <f>HYPERLINK("https://www.linkedin.com/jobs/view/4360810386", "https://www.linkedin.com/jobs/view/4360810386")</f>
        <v/>
      </c>
      <c r="F32">
        <f>HYPERLINK("https://click.appcast.io/t/C-nSExrLHBlnaKx954I_dhlh5J0BdydcO9mFi-LfL-Q=&amp;urlHash=BE6L", "https://click.appcast.io/t/C-nSExrLHBlnaKx954I_dhlh5J0BdydcO9mFi-LfL-Q=&amp;urlHash=BE6L")</f>
        <v/>
      </c>
      <c r="G32" t="inlineStr">
        <is>
          <t>Fort Belvoir, VA</t>
        </is>
      </c>
      <c r="H32" t="inlineStr"/>
      <c r="I32" t="inlineStr">
        <is>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from a wide range of backgrounds and experiences and welcome all qualified individuals to apply.
**Job Summary**
 Battelle's National Security Business Unit is seeking experienced Geospatial Researchers/Data Scientists to support cutting\-edge research and development activities for the Army Geospatial Center and ERDC's Geospatial Research Laboratory. This position is remote, with flexible work location, and supports client activities at Ft. Belvoir, VA. Battelle offers a comprehensive benefits package including health, dental, vision, and life insurance, 401k, pension plan, and tuition reimbursement. Compensation is commensurate with qualifications and experience.
 The Geospatial Research Laboratory (GRL) conducts advanced geospatial research, development, testing, and evaluation of current and emerging technologies to characterize and measure phenomena within both physical (terrain) and social (cultural) environments encountered by the U.S. Army. Research supports the Army Geospatial Enterprise and the development of geospatially enabled technologies for Joint, other Services, and Functional Combatant Command (COCOM) programs, with additional applications in military engineering, DoD installation management, and USACE projects.
 Deliverable:
 The primary deliverable for this position is the development of well\-formed, 3D urban\-relevant models that are effective for operational applications and exhibit smart reduction techniques, enabling sharing in low\-bandwidth environments. These models must be optimized for use in Army tactical systems, with priority metrics including rapid development timelines, minimized file sizes, and high utility in operational contexts.
**Responsibilities**
* Review scientific literature to identify and implement appropriate research methods.
* Extract, organize, and analyze data from diverse databases and files at varying scales.
* Develop software tools utilizing statistical and machine learning techniques.
* Critically evaluate data for completeness, accuracy, and applicability.
* Communicate technical results clearly, emphasizing data visualization.
* Collaborate effectively with co\-located and geographically diverse team members.
* Author and contribute to technical reports and presentations, including tables, graphs, and software tools.
* Implement methodologies to solve complex geospatial problems.
* Develop and optimize 3D urban models for operational use, focusing on smart reduction for low\-bandwidth sharing and integration with Army tactical systems.
**Key Qualifications**
* Experience/knowledge in photogrammetry and remote sensing.
* Coding expertise (Python preferred), with a focus on open\-source software.
* Experience collecting and processing point cloud data from LiDAR and EO sensor systems (aerial, terrestrial, mobile).
* Proficiency with 3D data visualization/manipulation software (ArcGIS Pro, QGIS, Cloud Compare, QT Modeler, Meshlab, Agisoft Metashape, RealityCapture, Blender, Unreal, Unity).
* Familiarity with 3D mesh generation and texturing (OBJ, glTF formats).
* Expertise in data compression for efficient 3D model storage and dissemination.
* Experience with real\-time 3D rendering and optimization for low\-power devices.
* Familiarity with US Army geospatial end\-user devices (e.g., ATAK, GWS).
* Knowledge of machine learning for automated feature extraction and model simplification (3D data models).
* Understanding of geospatial data standards for interoperability.
* Field work experience in geospatial data collection, testing, and evaluation.
* Understanding of geodetic principles, 3D/2D registration, and georeferencing.
* Experience with survey control data collection, post\-processing, and product generation (GPS, Total Station).
 General Skillsets:
* Inherently curious, innovative, and a natural problem solver.
* Ability to design and complete R\&amp;D projects.
* Experience working as a team member and team leader.
* Strong communication skills for presenting complex technical concepts to non\-technical stakeholders.
* Adaptability to rapidly evolving technologies and operational requirements.
* Publishing experience in peer\-reviewed journals or strong technical writing skills.
* Statistical data analysis skills (preferred).
**Preferred Qualifications**
* Existing or eligible to obtain TS/SCI clearance.
* Ideally local to Northern Virginia area (remote candidates considered).
* Senior\-level experience (not junior; able to be productive quickly).
* Military/Army/DoD background highly beneficial (especially familiarity with fielded systems and use\-cases).
**Benefits: Live an Extraordinary Life**
 We care about your well\-being, not just on the job. Battelle offers comprehensive and competitive benefits to help you live your best life.
* Balance life through a compressed work schedule: Most of our team follows a flexible, compressed work schedule that allows for every other Friday off\-giving you a dedicated day to accomplish things in your personal life without using vacation time.
* Enjoy enhanced work flexibility, including a hybrid arrangement: You have options for where and when you work. Our Together with Flexibility model allows you to work 60% in\-office and 40% remote, with Monday and Tuesday as common in\-office days, dependent on team and position needs.
* Take time to recharge: You get paid time off to support work\-life balance and keep motivated.
* Prioritize wellness: Stay healthy with medical, dental, and vision coverage with wellness incentives and benefits plus a variety of optional supplemental benefits.
* Better together: Coverage for partners, gender\-affirming care and health support, and family formation support.
* Build your financial future: Build financial stability with an industry\-leading 401(k) retirement savings plan. For most employees, we put in 5 percent whether you contribute or not, and match your contributions on top of that.
* Advance your education: Tuition assistance is available to pursue higher education.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 Apply your talent to challenging and meaningful projects
* Receive select funding to pursue ideas in scientific and technological discovery
* Partner with world\-class experts in a collaborative environment
* Nurture and develop the next generation of scientific leaders
*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t>
        </is>
      </c>
    </row>
    <row r="33">
      <c r="A33" t="inlineStr">
        <is>
          <t>li-4360410878</t>
        </is>
      </c>
      <c r="B33" t="inlineStr">
        <is>
          <t>Senior UX Data Scientist</t>
        </is>
      </c>
      <c r="C33" t="inlineStr">
        <is>
          <t>Jobs via Dice</t>
        </is>
      </c>
      <c r="D33" t="inlineStr">
        <is>
          <t>linkedin</t>
        </is>
      </c>
      <c r="E33">
        <f>HYPERLINK("https://www.linkedin.com/jobs/view/4360410878", "https://www.linkedin.com/jobs/view/4360410878")</f>
        <v/>
      </c>
      <c r="F33" t="inlineStr"/>
      <c r="G33" t="inlineStr">
        <is>
          <t>Redmond, WA</t>
        </is>
      </c>
      <c r="H33" t="inlineStr"/>
      <c r="I33" t="inlineStr">
        <is>
          <t>**Overview**
 We are a team of product designers, UX researchers, data scientists, content designers, and technical writers. Together with our PM and Engineering partners, we design product experiences that are trusted, human\-centered, and easy to use, enabling our users to manage, protect and secure their digital environments with peace of mind.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As a Senior UX Data Scientist, you will use your data insight skills to influence impactful UX projects and long\-term strategic explorations. Your role will be pivotal in validating our belief that good UX equates to good business.
 You will dive into telemetry/instrumentation datasets to uncover patterns of user behavior and connect those to gaps in the customer experience and opportunities for business impact. We are looking for a visionary who can bring fresh ideas to the table, expand the existing data\-driven approach to steer product UX strategy, and exhibit strong leadership, research, storytelling, and organizational skills. Essential to the role is business acumen and the capacity to collaborate effectively across teams.
**Responsibilities**
* Work closely with data scientists, data analysts, and UX Researchers to define user\-level behavioral telemetry in our product portfolio.
* Develop data collection and statistical analysis strategies, ensuring data integrity and accuracy.
* Develop an understanding of technical and non\-technical users of Microsoft Security products to ensure we are designing solutions that meet their expectations.
* Expand the UX measurement framework to measure the effectiveness of UX improvements and track user engagement.
* Use data analytic and data scientific approaches to measure and understand user behavior and UX challenges.
* Collaborate closely with cross\-functional teams, including product managers, designers, and engineers, to define research objectives and incorporate insights into the product development process.
* Utilize analytic tools and techniques to analyze very large data sets, derive meaningful insights, and uncover patterns and trends related to user behavior.
* Present research findings, insights, and recommendations to stakeholders in a clear and concise manner, both verbally and through visual presentations.
* Stay updated on industry trends, emerging technologies, and best practices in UX research and data analysis and apply them to enhance our research methodologies and techniques.
**Qualifications**
**Required/minimum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Experience managing structured and unstructured data including coding in at least one high\-level programming language such as Python, R, C/C\+\+, C\#, or Java.
* Proven experience analyzing user experience either through UX research or UX focused data science
**Additional or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 Expertise in algorithms, machine learning, and deep learning.
+ Proficiency in data mining, big data technologies, and experimentation methods (e.g., A/B testing).
+ Ability to influence and tell compelling data stories.
+ Experience working in Agile development environments is preferred.
+ Experience building dashboards using tools such as PowerBI, Tableau, or similar.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2026-01-19T01:31:34Z</dcterms:created>
  <dcterms:modified xsi:type="dcterms:W3CDTF">2026-01-19T01:31:34Z</dcterms:modified>
</cp:coreProperties>
</file>