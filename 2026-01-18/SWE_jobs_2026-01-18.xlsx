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0"/>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in-794f6aa4e32cd32f</t>
        </is>
      </c>
      <c r="B2" t="inlineStr">
        <is>
          <t>Software Engineer I</t>
        </is>
      </c>
      <c r="C2" t="inlineStr">
        <is>
          <t>Amazon.com</t>
        </is>
      </c>
      <c r="D2" t="inlineStr">
        <is>
          <t>indeed</t>
        </is>
      </c>
      <c r="E2" t="inlineStr"/>
      <c r="F2" t="inlineStr"/>
      <c r="G2" t="inlineStr">
        <is>
          <t>San Francisco, CA, US</t>
        </is>
      </c>
      <c r="H2" s="2" t="n">
        <v>45946</v>
      </c>
      <c r="I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in-7175113121a1c713</t>
        </is>
      </c>
      <c r="B3" t="inlineStr">
        <is>
          <t>Software Engineer I</t>
        </is>
      </c>
      <c r="C3" t="inlineStr">
        <is>
          <t>Amazon.com</t>
        </is>
      </c>
      <c r="D3" t="inlineStr">
        <is>
          <t>indeed</t>
        </is>
      </c>
      <c r="E3" t="inlineStr"/>
      <c r="F3" t="inlineStr"/>
      <c r="G3" t="inlineStr">
        <is>
          <t>Irvine, CA, US</t>
        </is>
      </c>
      <c r="H3" s="2" t="n">
        <v>45946</v>
      </c>
      <c r="I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in-c08907fdf3a3e290</t>
        </is>
      </c>
      <c r="B4" t="inlineStr">
        <is>
          <t>Software Engineer II</t>
        </is>
      </c>
      <c r="C4" t="inlineStr">
        <is>
          <t>Amazon.com</t>
        </is>
      </c>
      <c r="D4" t="inlineStr">
        <is>
          <t>indeed</t>
        </is>
      </c>
      <c r="E4" t="inlineStr"/>
      <c r="F4" t="inlineStr"/>
      <c r="G4" t="inlineStr">
        <is>
          <t>San Francisco, CA, US</t>
        </is>
      </c>
      <c r="H4" s="2" t="n">
        <v>45938</v>
      </c>
      <c r="I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in-72d2cb2dec833579</t>
        </is>
      </c>
      <c r="B5" t="inlineStr">
        <is>
          <t>Software Engineer II</t>
        </is>
      </c>
      <c r="C5" t="inlineStr">
        <is>
          <t>Amazon.com</t>
        </is>
      </c>
      <c r="D5" t="inlineStr">
        <is>
          <t>indeed</t>
        </is>
      </c>
      <c r="E5" t="inlineStr"/>
      <c r="F5" t="inlineStr"/>
      <c r="G5" t="inlineStr">
        <is>
          <t>Irvine, CA, US</t>
        </is>
      </c>
      <c r="H5" s="2" t="n">
        <v>45938</v>
      </c>
      <c r="I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in-5c7afe3b7477ebc3</t>
        </is>
      </c>
      <c r="B6" t="inlineStr">
        <is>
          <t>Software Engineer II</t>
        </is>
      </c>
      <c r="C6" t="inlineStr">
        <is>
          <t>Amazon.com</t>
        </is>
      </c>
      <c r="D6" t="inlineStr">
        <is>
          <t>indeed</t>
        </is>
      </c>
      <c r="E6" t="inlineStr"/>
      <c r="F6" t="inlineStr"/>
      <c r="G6" t="inlineStr">
        <is>
          <t>Culver City, CA, US</t>
        </is>
      </c>
      <c r="H6" s="2" t="n">
        <v>45938</v>
      </c>
      <c r="I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in-9544cb7723c8c5d3</t>
        </is>
      </c>
      <c r="B7" t="inlineStr">
        <is>
          <t>Software Engineer II</t>
        </is>
      </c>
      <c r="C7" t="inlineStr">
        <is>
          <t>Amazon.com</t>
        </is>
      </c>
      <c r="D7" t="inlineStr">
        <is>
          <t>indeed</t>
        </is>
      </c>
      <c r="E7" t="inlineStr"/>
      <c r="F7" t="inlineStr"/>
      <c r="G7" t="inlineStr">
        <is>
          <t>Irvine, CA, US</t>
        </is>
      </c>
      <c r="H7" s="2" t="n">
        <v>45938</v>
      </c>
      <c r="I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in-cb6e867fdcaa2dfa</t>
        </is>
      </c>
      <c r="B8" t="inlineStr">
        <is>
          <t>Software Engineer II</t>
        </is>
      </c>
      <c r="C8" t="inlineStr">
        <is>
          <t>Amazon.com</t>
        </is>
      </c>
      <c r="D8" t="inlineStr">
        <is>
          <t>indeed</t>
        </is>
      </c>
      <c r="E8" t="inlineStr"/>
      <c r="F8" t="inlineStr"/>
      <c r="G8" t="inlineStr">
        <is>
          <t>San Francisco, CA, US</t>
        </is>
      </c>
      <c r="H8" s="2" t="n">
        <v>45938</v>
      </c>
      <c r="I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in-928ebbeedb2f1556</t>
        </is>
      </c>
      <c r="B9" t="inlineStr">
        <is>
          <t>Software Engineer II</t>
        </is>
      </c>
      <c r="C9" t="inlineStr">
        <is>
          <t>Amazon.com</t>
        </is>
      </c>
      <c r="D9" t="inlineStr">
        <is>
          <t>indeed</t>
        </is>
      </c>
      <c r="E9" t="inlineStr"/>
      <c r="F9" t="inlineStr"/>
      <c r="G9" t="inlineStr">
        <is>
          <t>Irvine, CA, US</t>
        </is>
      </c>
      <c r="H9" s="2" t="n">
        <v>45921</v>
      </c>
      <c r="I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in-836f5110e0a1dd0e</t>
        </is>
      </c>
      <c r="B10" t="inlineStr">
        <is>
          <t>Software Engineer II</t>
        </is>
      </c>
      <c r="C10" t="inlineStr">
        <is>
          <t>Amazon.com</t>
        </is>
      </c>
      <c r="D10" t="inlineStr">
        <is>
          <t>indeed</t>
        </is>
      </c>
      <c r="E10" t="inlineStr"/>
      <c r="F10" t="inlineStr"/>
      <c r="G10" t="inlineStr">
        <is>
          <t>San Francisco, CA, US</t>
        </is>
      </c>
      <c r="H10" s="2" t="n">
        <v>45921</v>
      </c>
      <c r="I1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in-b335737ea54a71ae</t>
        </is>
      </c>
      <c r="B11" t="inlineStr">
        <is>
          <t>Sr Software Engineer</t>
        </is>
      </c>
      <c r="C11" t="inlineStr">
        <is>
          <t>Amazon.com</t>
        </is>
      </c>
      <c r="D11" t="inlineStr">
        <is>
          <t>indeed</t>
        </is>
      </c>
      <c r="E11" t="inlineStr"/>
      <c r="F11" t="inlineStr"/>
      <c r="G11" t="inlineStr">
        <is>
          <t>San Francisco, CA, US</t>
        </is>
      </c>
      <c r="H11" s="2" t="n">
        <v>45921</v>
      </c>
      <c r="I1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in-1270430b710d3777</t>
        </is>
      </c>
      <c r="B12" t="inlineStr">
        <is>
          <t>Sr Software Engineer</t>
        </is>
      </c>
      <c r="C12" t="inlineStr">
        <is>
          <t>Amazon.com</t>
        </is>
      </c>
      <c r="D12" t="inlineStr">
        <is>
          <t>indeed</t>
        </is>
      </c>
      <c r="E12" t="inlineStr"/>
      <c r="F12" t="inlineStr"/>
      <c r="G12" t="inlineStr">
        <is>
          <t>Irvine, CA, US</t>
        </is>
      </c>
      <c r="H12" s="2" t="n">
        <v>45921</v>
      </c>
      <c r="I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in-6b58168ce3e3e981</t>
        </is>
      </c>
      <c r="B13" t="inlineStr">
        <is>
          <t>Senior Software Engineer, Twitch</t>
        </is>
      </c>
      <c r="C13" t="inlineStr">
        <is>
          <t>Amazon.com</t>
        </is>
      </c>
      <c r="D13" t="inlineStr">
        <is>
          <t>indeed</t>
        </is>
      </c>
      <c r="E13" t="inlineStr"/>
      <c r="F13" t="inlineStr"/>
      <c r="G13" t="inlineStr">
        <is>
          <t>San Francisco, CA, US</t>
        </is>
      </c>
      <c r="H13" s="2" t="n">
        <v>45995</v>
      </c>
      <c r="I13"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in-4e852ff4d5fbd862</t>
        </is>
      </c>
      <c r="B14" t="inlineStr">
        <is>
          <t>Senior Software Engineer, Twitch</t>
        </is>
      </c>
      <c r="C14" t="inlineStr">
        <is>
          <t>Amazon.com</t>
        </is>
      </c>
      <c r="D14" t="inlineStr">
        <is>
          <t>indeed</t>
        </is>
      </c>
      <c r="E14" t="inlineStr"/>
      <c r="F14" t="inlineStr"/>
      <c r="G14" t="inlineStr">
        <is>
          <t>Seattle, WA, US</t>
        </is>
      </c>
      <c r="H14" s="2" t="n">
        <v>45995</v>
      </c>
      <c r="I14"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in-4b87eec782e1f034</t>
        </is>
      </c>
      <c r="B15" t="inlineStr">
        <is>
          <t>Sr. Software Engineer (ML), AGI Customization</t>
        </is>
      </c>
      <c r="C15" t="inlineStr">
        <is>
          <t>Amazon.com</t>
        </is>
      </c>
      <c r="D15" t="inlineStr">
        <is>
          <t>indeed</t>
        </is>
      </c>
      <c r="E15" t="inlineStr"/>
      <c r="F15" t="inlineStr"/>
      <c r="G15" t="inlineStr">
        <is>
          <t>Boston, MA, US</t>
        </is>
      </c>
      <c r="H15" s="2" t="n">
        <v>45964</v>
      </c>
      <c r="I15"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in-ed48888a91cda606</t>
        </is>
      </c>
      <c r="B16" t="inlineStr">
        <is>
          <t>Sr. Software Engineer (ML), AGI Customization</t>
        </is>
      </c>
      <c r="C16" t="inlineStr">
        <is>
          <t>Amazon.com</t>
        </is>
      </c>
      <c r="D16" t="inlineStr">
        <is>
          <t>indeed</t>
        </is>
      </c>
      <c r="E16" t="inlineStr"/>
      <c r="F16" t="inlineStr"/>
      <c r="G16" t="inlineStr">
        <is>
          <t>Sunnyvale, CA, US</t>
        </is>
      </c>
      <c r="H16" s="2" t="n">
        <v>45964</v>
      </c>
      <c r="I16"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in-82060f982473eecd</t>
        </is>
      </c>
      <c r="B17" t="inlineStr">
        <is>
          <t>Software Engineer- AI/ML, AWS Neuron Distributed Training</t>
        </is>
      </c>
      <c r="C17" t="inlineStr">
        <is>
          <t>Amazon Web Services</t>
        </is>
      </c>
      <c r="D17" t="inlineStr">
        <is>
          <t>indeed</t>
        </is>
      </c>
      <c r="E17" t="inlineStr"/>
      <c r="F17" t="inlineStr"/>
      <c r="G17" t="inlineStr">
        <is>
          <t>Cupertino, CA, US</t>
        </is>
      </c>
      <c r="H17" s="2" t="n">
        <v>45727</v>
      </c>
      <c r="I17"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in-db6f4146bf5c6c98</t>
        </is>
      </c>
      <c r="B18" t="inlineStr">
        <is>
          <t>Software Engineer- AI/ML, AWS Neuron Distributed Training</t>
        </is>
      </c>
      <c r="C18" t="inlineStr">
        <is>
          <t>Amazon Web Services</t>
        </is>
      </c>
      <c r="D18" t="inlineStr">
        <is>
          <t>indeed</t>
        </is>
      </c>
      <c r="E18" t="inlineStr"/>
      <c r="F18" t="inlineStr"/>
      <c r="G18" t="inlineStr">
        <is>
          <t>Seattle, WA, US</t>
        </is>
      </c>
      <c r="H18" s="2" t="n">
        <v>45727</v>
      </c>
      <c r="I18"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in-9dbab210ec70587c</t>
        </is>
      </c>
      <c r="B19" t="inlineStr">
        <is>
          <t>Sr. Software Engineer- AI/ML, AWS Neuron Distributed Training</t>
        </is>
      </c>
      <c r="C19" t="inlineStr">
        <is>
          <t>Amazon Web Services</t>
        </is>
      </c>
      <c r="D19" t="inlineStr">
        <is>
          <t>indeed</t>
        </is>
      </c>
      <c r="E19" t="inlineStr"/>
      <c r="F19" t="inlineStr"/>
      <c r="G19" t="inlineStr">
        <is>
          <t>Seattle, WA, US</t>
        </is>
      </c>
      <c r="H19" s="2" t="n">
        <v>45713</v>
      </c>
      <c r="I19"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in-c3203dcd48ff2cc9</t>
        </is>
      </c>
      <c r="B20" t="inlineStr">
        <is>
          <t>Sr. Software Engineer- AI/ML, AWS Neuron Distributed Training</t>
        </is>
      </c>
      <c r="C20" t="inlineStr">
        <is>
          <t>Amazon Web Services</t>
        </is>
      </c>
      <c r="D20" t="inlineStr">
        <is>
          <t>indeed</t>
        </is>
      </c>
      <c r="E20" t="inlineStr"/>
      <c r="F20" t="inlineStr"/>
      <c r="G20" t="inlineStr">
        <is>
          <t>Cupertino, CA, US</t>
        </is>
      </c>
      <c r="H20" s="2" t="n">
        <v>45713</v>
      </c>
      <c r="I20"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in-8aaafea74de75194</t>
        </is>
      </c>
      <c r="B21" t="inlineStr">
        <is>
          <t>Lead Software Engineer, Content Systems MAM</t>
        </is>
      </c>
      <c r="C21" t="inlineStr">
        <is>
          <t>Pluto TV</t>
        </is>
      </c>
      <c r="D21" t="inlineStr">
        <is>
          <t>indeed</t>
        </is>
      </c>
      <c r="E21" t="inlineStr"/>
      <c r="F21" t="inlineStr"/>
      <c r="G21" t="inlineStr">
        <is>
          <t>West Hollywood, CA, US</t>
        </is>
      </c>
      <c r="H21" s="2" t="n">
        <v>46039</v>
      </c>
      <c r="I21" t="inlineStr">
        <is>
          <t>**Overview:**
-------------
Pluto TV is seeking an experienced Lead Software Engineer to drive the development and enhancement of the application services powering our Media Asset Management (MAM) ecosystem. The ideal candidate is a deeply hands\-on engineer with extensive experience in Java, JavaScript, Node.js, React, and modern cloud platforms such as AWS and GCP. Strong technical leadership skills and the ability to guide high\-performing engineering teams are essential. Familiarity with Oracle Cloud is a plus. This is a true technical leadership position; senior engineers and aspiring leads are encouraged to apply.
**Responsibilities include:**
-----------------------------
* Provide full\-stack technical leadership in building a next\-generation, advanced media asset management platform supporting our media operation and programming partners.
* Lead and mentor a team of engineers, ensuring delivery of sprint commitments with consistency, quality, and accountability. Conduct thorough code reviews and enforce engineering best practices, standards, and processes.
* Translate product requirements into clear technical specifications and identify opportunities to enhance existing systems and workflows.
* Investigate and resolve production issues quickly and effectively to maintain platform stability.
* Collaborate closely with Product, Program Management, and QA teams to drive alignment and successful execution.
* Guide realistic LOE (Level of Effort) discussions during the planning, ensuring accurate forecasting that accounts for risks, dependencies, and potential setbacks.
**Basic Qualifications:**
-------------------------
* Highly hands\-on developer and technical leader with expertise in Java, Node.js, JavaScript and related technologies.
* Experience building or integrating AI/ML\-powered services, especially within media processing, metadata enrichment, or automation workflows.
* Bachelor’s degree (or higher) in Computer Science, Engineering, or a related technical field.
* 7\+ years of professional software engineering experience.
* 4\+ years building application services using Java, Node.js, Express with strong experience with workflow orchestration tools like Camunda, Orkes, or Termporal
* 3\+ years developing scalable, performant, and responsive web applications.
* 2\+ years of technical leadership and people\-management experience, ideally on teams of 7\+ engineers.
* 3\+ years building and deploying applications on AWS or GCP.
**Additional Qualifications:**
------------------------------
* Excellent problem\-solving, analytical thinking, and communication skills.
* VOD/streaming experience is strongly preferred.
* Highly technical engineering managers are encouraged to apply.
\#LI\-AD1
Join the Paramount Streaming Talent Community! Get the inside scoop on life at Paramount Streaming and about career opportunities.
Pluto TV, a Paramount Global company, is the leading free streaming television service in America, delivering 250\+ live and original channels and thousands of on\-demand movies in partnership with major TV networks, movie studios, publishers, and digital media companies. Pluto TV is available on all mobile, web and connected TV streaming devices and millions of viewers tune in each month to watch premium news, TV shows, movies, sports, lifestyle, and trending digital series. Headquartered in West Hollywood, Pluto TV has offices in New York, Silicon Valley, Chicago and Berlin.
ADDITIONAL INFORMATION
Hiring Salary Range: $139,000\.00 \- 190,000\.00\.
The hiring salary range for this position applies to New York City, California, Colorado, Washington state, and most other geographies. Starting pay for the successful applicant depends on a variety of job\-related factors, including but not limited to geographic location, market demands, experience, training, and education. The benefits available for this position include medical, dental, vision, 401(k) plan, life insurance coverage, disability benefits, tuition assistance program and PTO or, if applicable, as otherwise dictated by the appropriate Collective Bargaining Agreement. This position is bonus eligible.
https://www.paramount.com/careers/benefits
Paramount is an equal opportunity employer (EOE) including disability/vet.
At Paramount, the spirit of inclusion feeds into everything that we do, on\-screen and off. From the programming and movies we create to employee benefits/programs and social impact outreach initiatives, we believe that opportunity, access, resources and rewards should be available to and for the benefit of all. Paramount is proud to be an equal opportunity workplace. We are committed to equal employment opportunity regardless of race, color, ethnicity, ancestry, religion, creed, sex, national origin, sexual orientation, age, citizenship status, marital status, disability, gender identity, gender expression, and Veteran status.
If you are a qualified individual with a disability or a disabled veteran, you may request a reasonable accommodation if you are unable or limited in your ability to use or access https://www.paramount.com/careers as a result of your disability. You can request reasonable accommodations by calling 212\.846\.5500 or by sending an email to paramountaccommodations@paramount.com. Only messages left for this purpose will be returned.</t>
        </is>
      </c>
    </row>
    <row r="22">
      <c r="A22" t="inlineStr">
        <is>
          <t>in-75d76a498b5ad38b</t>
        </is>
      </c>
      <c r="B22" t="inlineStr">
        <is>
          <t>Sr. ADAS Software Engineer</t>
        </is>
      </c>
      <c r="C22" t="inlineStr">
        <is>
          <t>Qualcomm</t>
        </is>
      </c>
      <c r="D22" t="inlineStr">
        <is>
          <t>indeed</t>
        </is>
      </c>
      <c r="E22" t="inlineStr"/>
      <c r="F22" t="inlineStr"/>
      <c r="G22" t="inlineStr">
        <is>
          <t>San Diego, CA, US</t>
        </is>
      </c>
      <c r="H22" s="2" t="n">
        <v>46012</v>
      </c>
      <c r="I22" t="inlineStr">
        <is>
          <t>**Company:**
------------
Qualcomm Technologies, Inc.**Job Area:**
-------------
Engineering Group, Engineering Group \&gt; ADAS R\&amp;D Software**General Summary:**
At Qualcomm, we are advancing the automotive industry through our Snapdragon Digital Chassis, leading the development of next\-generation software\-defined vehicles.
Snapdragon Ride represents a key component of the Snapdragon Digital Chassis. Since its introduction, it has been adopted by numerous global automakers and Tier 1 suppliers. Designed to navigate the complexities of autonomous driving and advanced driver\-assistance systems (ADAS), Snapdragon Ride utilizes high\-performance, power\-efficient system\-on\-chip (SoC) architectures, state\-of\-the\-art artificial intelligence (AI) capabilities, and an innovative vision and drive policy stack. This enables the delivery of comprehensive solutions that optimize both cost and energy efficiency.
We are seeking highly skilled, innovative, and motivated professionals with strong software engineering backgrounds and demonstrated programming proficiency in languages such as C\+\+/C and Python. Primary responsibilities include designing and developing software solutions for sensor data acquisition from devices including IMU, GPS, camera, radar, and LiDAR; ensuring accurate sensor time synchronization; conducting comprehensive system\-level benchmarking and utilizing insights to optimize software modules; and collaborating effectively with cross\-functional teams—including vehicle integration and testing—to validate deliverables and integrate the software stack in prototype vehicles.”
**Minimum Qualifications:**
* Bachelor's degree in Computer Science, Electrical Engineering, Robotics, or related field and 2\+ years Software Engineering or related work experience.
OR  
Master's degree in Computer Science, Electrical Engineering, Robotics, or related field and 1\+ year Software Engineering or related work experience.  
OR  
PhD in Computer Science, Electrical Engineering, Robotics, or related field.**Preferred Qualifications:**
* 4\+ years of C\+\+ development; C\+\+14 and C\+\+17 is a strong plus
* Embedded SW design and development for safety critical systems is a strong plus
* Proficiency in programming languages such as C\+\+, C, Python
* Experience with multi\-threaded / multi\-core SW development and design
* Hands\-on experience with embedded platforms running QNX, AGL, Safe Linux, etc.
* Knowledge of Linux network stack and any experience with network device drivers is a plus
* Familiarity with Adaptive AUTOSAR middleware and frameworks
* Knowledge / experience with safety critical software development process (Functional Safety), including ASPICE, ASIL, ISO26262, MISRA C\+\+, AUTOSAR C\+\+
* Familiarity with static analysis tools, code coverage metrics, unit test generation
* Experience with source code management tools such as git, git\-lfs, GitHub/GitLab
* Excellent written and verbal communication skills
* Ability to work with cross\-functional teams
Roles/Responsibilities:
* Leverage advanced knowledge and experience of ADAS Software to design, develop, and optimize complex software for embedded technology blocks that directly enable autonomous and self\-driving vehicles.
* Develop and enhance technologies for sensor data acquisition, precise sensor synchronization, etc.
* Develop and verify code or design for a module and works across teams to evaluate the impact of results and validates ADAS software against specifications.
* Design and develop advanced software development kits (SDK) to enable customer proof of concepts.
* Develop efficient techniques to enable data sharing between software modules using state of the art middleware.
* Write detailed technical documentation, descriptions, specifications, and/or feature descriptions for difficult projects to guide users and/or customers to use or implement output.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$122,500\.00 \- $183,700\.00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23">
      <c r="A23" t="inlineStr">
        <is>
          <t>in-fc5b3f50cc818b54</t>
        </is>
      </c>
      <c r="B23" t="inlineStr">
        <is>
          <t>Software Engineer</t>
        </is>
      </c>
      <c r="C23" t="inlineStr">
        <is>
          <t>Amazon.com</t>
        </is>
      </c>
      <c r="D23" t="inlineStr">
        <is>
          <t>indeed</t>
        </is>
      </c>
      <c r="E23" t="inlineStr"/>
      <c r="F23" t="inlineStr"/>
      <c r="G23" t="inlineStr">
        <is>
          <t>San Francisco, CA, US</t>
        </is>
      </c>
      <c r="H23" s="2" t="n">
        <v>46008</v>
      </c>
      <c r="I2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in-d7de8b908529b9fc</t>
        </is>
      </c>
      <c r="B24" t="inlineStr">
        <is>
          <t>Software Engineer</t>
        </is>
      </c>
      <c r="C24" t="inlineStr">
        <is>
          <t>Amazon.com</t>
        </is>
      </c>
      <c r="D24" t="inlineStr">
        <is>
          <t>indeed</t>
        </is>
      </c>
      <c r="E24" t="inlineStr"/>
      <c r="F24" t="inlineStr"/>
      <c r="G24" t="inlineStr">
        <is>
          <t>Seattle, WA, US</t>
        </is>
      </c>
      <c r="H24" s="2" t="n">
        <v>46008</v>
      </c>
      <c r="I2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in-37e90ca09672b56a</t>
        </is>
      </c>
      <c r="B25" t="inlineStr">
        <is>
          <t>Sr. Embedded Software Engineer - FPGA Systems, Amazon Leo's Wireless Systems</t>
        </is>
      </c>
      <c r="C25" t="inlineStr">
        <is>
          <t>Amazon.com</t>
        </is>
      </c>
      <c r="D25" t="inlineStr">
        <is>
          <t>indeed</t>
        </is>
      </c>
      <c r="E25" t="inlineStr"/>
      <c r="F25" t="inlineStr"/>
      <c r="G25" t="inlineStr">
        <is>
          <t>San Diego, CA, US</t>
        </is>
      </c>
      <c r="H25" s="2" t="n">
        <v>46008</v>
      </c>
      <c r="I25"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in-d1bd35d889cf1b6a</t>
        </is>
      </c>
      <c r="B26" t="inlineStr">
        <is>
          <t>Sr. Embedded Software Engineer - FPGA Systems, Amazon Leo's Wireless Systems</t>
        </is>
      </c>
      <c r="C26" t="inlineStr">
        <is>
          <t>Amazon.com</t>
        </is>
      </c>
      <c r="D26" t="inlineStr">
        <is>
          <t>indeed</t>
        </is>
      </c>
      <c r="E26" t="inlineStr"/>
      <c r="F26" t="inlineStr"/>
      <c r="G26" t="inlineStr">
        <is>
          <t>Austin, TX, US</t>
        </is>
      </c>
      <c r="H26" s="2" t="n">
        <v>46008</v>
      </c>
      <c r="I26"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in-f6d1dc9539b6ab3b</t>
        </is>
      </c>
      <c r="B27" t="inlineStr">
        <is>
          <t>Software Engineer I</t>
        </is>
      </c>
      <c r="C27" t="inlineStr">
        <is>
          <t>Amazon.com</t>
        </is>
      </c>
      <c r="D27" t="inlineStr">
        <is>
          <t>indeed</t>
        </is>
      </c>
      <c r="E27" t="inlineStr"/>
      <c r="F27" t="inlineStr"/>
      <c r="G27" t="inlineStr">
        <is>
          <t>Irvine, CA, US</t>
        </is>
      </c>
      <c r="H27" s="2" t="n">
        <v>46006</v>
      </c>
      <c r="I2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in-defe372cee42c1d2</t>
        </is>
      </c>
      <c r="B28" t="inlineStr">
        <is>
          <t>Software Engineer I</t>
        </is>
      </c>
      <c r="C28" t="inlineStr">
        <is>
          <t>Amazon.com</t>
        </is>
      </c>
      <c r="D28" t="inlineStr">
        <is>
          <t>indeed</t>
        </is>
      </c>
      <c r="E28" t="inlineStr"/>
      <c r="F28" t="inlineStr"/>
      <c r="G28" t="inlineStr">
        <is>
          <t>San Francisco, CA, US</t>
        </is>
      </c>
      <c r="H28" s="2" t="n">
        <v>46006</v>
      </c>
      <c r="I2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in-74a875629df76ddc</t>
        </is>
      </c>
      <c r="B29" t="inlineStr">
        <is>
          <t>Software Engineer I</t>
        </is>
      </c>
      <c r="C29" t="inlineStr">
        <is>
          <t>Amazon.com</t>
        </is>
      </c>
      <c r="D29" t="inlineStr">
        <is>
          <t>indeed</t>
        </is>
      </c>
      <c r="E29" t="inlineStr"/>
      <c r="F29" t="inlineStr"/>
      <c r="G29" t="inlineStr">
        <is>
          <t>Seattle, WA, US</t>
        </is>
      </c>
      <c r="H29" s="2" t="n">
        <v>46006</v>
      </c>
      <c r="I2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in-54ec0f058439bf59</t>
        </is>
      </c>
      <c r="B30" t="inlineStr">
        <is>
          <t>Sr Software Engineer, Amazon Ads Exchange</t>
        </is>
      </c>
      <c r="C30" t="inlineStr">
        <is>
          <t>Amazon.com</t>
        </is>
      </c>
      <c r="D30" t="inlineStr">
        <is>
          <t>indeed</t>
        </is>
      </c>
      <c r="E30" t="inlineStr"/>
      <c r="F30" t="inlineStr"/>
      <c r="G30" t="inlineStr">
        <is>
          <t>San Francisco, CA, US</t>
        </is>
      </c>
      <c r="H30" s="2" t="n">
        <v>46002</v>
      </c>
      <c r="I30"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in-d7895d339ca88c6d</t>
        </is>
      </c>
      <c r="B31" t="inlineStr">
        <is>
          <t>Sr Software Engineer, Amazon Ads Exchange</t>
        </is>
      </c>
      <c r="C31" t="inlineStr">
        <is>
          <t>Amazon.com</t>
        </is>
      </c>
      <c r="D31" t="inlineStr">
        <is>
          <t>indeed</t>
        </is>
      </c>
      <c r="E31" t="inlineStr"/>
      <c r="F31" t="inlineStr"/>
      <c r="G31" t="inlineStr">
        <is>
          <t>Arlington, VA, US</t>
        </is>
      </c>
      <c r="H31" s="2" t="n">
        <v>46002</v>
      </c>
      <c r="I31"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in-10200e392bf76566</t>
        </is>
      </c>
      <c r="B32" t="inlineStr">
        <is>
          <t>Sr Software Engineer, Amazon Ads Exchange</t>
        </is>
      </c>
      <c r="C32" t="inlineStr">
        <is>
          <t>Amazon.com</t>
        </is>
      </c>
      <c r="D32" t="inlineStr">
        <is>
          <t>indeed</t>
        </is>
      </c>
      <c r="E32" t="inlineStr"/>
      <c r="F32" t="inlineStr"/>
      <c r="G32" t="inlineStr">
        <is>
          <t>Palo Alto, CA, US</t>
        </is>
      </c>
      <c r="H32" s="2" t="n">
        <v>46002</v>
      </c>
      <c r="I32"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in-325ff766abf86bef</t>
        </is>
      </c>
      <c r="B33" t="inlineStr">
        <is>
          <t>Software Engineer I</t>
        </is>
      </c>
      <c r="C33" t="inlineStr">
        <is>
          <t>Amazon.com</t>
        </is>
      </c>
      <c r="D33" t="inlineStr">
        <is>
          <t>indeed</t>
        </is>
      </c>
      <c r="E33" t="inlineStr"/>
      <c r="F33" t="inlineStr"/>
      <c r="G33" t="inlineStr">
        <is>
          <t>San Francisco, CA, US</t>
        </is>
      </c>
      <c r="H33" s="2" t="n">
        <v>46001</v>
      </c>
      <c r="I3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in-58669bca85cd7575</t>
        </is>
      </c>
      <c r="B34" t="inlineStr">
        <is>
          <t>Software Engineer I</t>
        </is>
      </c>
      <c r="C34" t="inlineStr">
        <is>
          <t>Amazon.com</t>
        </is>
      </c>
      <c r="D34" t="inlineStr">
        <is>
          <t>indeed</t>
        </is>
      </c>
      <c r="E34" t="inlineStr"/>
      <c r="F34" t="inlineStr"/>
      <c r="G34" t="inlineStr">
        <is>
          <t>Seattle, WA, US</t>
        </is>
      </c>
      <c r="H34" s="2" t="n">
        <v>46001</v>
      </c>
      <c r="I3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in-c0ca8b234c86788f</t>
        </is>
      </c>
      <c r="B35" t="inlineStr">
        <is>
          <t>Software Engineer II, Twitch</t>
        </is>
      </c>
      <c r="C35" t="inlineStr">
        <is>
          <t>Amazon.com</t>
        </is>
      </c>
      <c r="D35" t="inlineStr">
        <is>
          <t>indeed</t>
        </is>
      </c>
      <c r="E35" t="inlineStr"/>
      <c r="F35" t="inlineStr"/>
      <c r="G35" t="inlineStr">
        <is>
          <t>San Francisco, CA, US</t>
        </is>
      </c>
      <c r="H35" s="2" t="n">
        <v>45995</v>
      </c>
      <c r="I35"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in-7eb65b74aeb5f5a5</t>
        </is>
      </c>
      <c r="B36" t="inlineStr">
        <is>
          <t>Software Engineer II, Twitch</t>
        </is>
      </c>
      <c r="C36" t="inlineStr">
        <is>
          <t>Amazon.com</t>
        </is>
      </c>
      <c r="D36" t="inlineStr">
        <is>
          <t>indeed</t>
        </is>
      </c>
      <c r="E36" t="inlineStr"/>
      <c r="F36" t="inlineStr"/>
      <c r="G36" t="inlineStr">
        <is>
          <t>Seattle, WA, US</t>
        </is>
      </c>
      <c r="H36" s="2" t="n">
        <v>45995</v>
      </c>
      <c r="I36"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in-e399a9f5d5c5f8f4</t>
        </is>
      </c>
      <c r="B37" t="inlineStr">
        <is>
          <t>Software Engineer II, Android</t>
        </is>
      </c>
      <c r="C37" t="inlineStr">
        <is>
          <t>Amazon.com</t>
        </is>
      </c>
      <c r="D37" t="inlineStr">
        <is>
          <t>indeed</t>
        </is>
      </c>
      <c r="E37" t="inlineStr"/>
      <c r="F37" t="inlineStr"/>
      <c r="G37" t="inlineStr">
        <is>
          <t>San Francisco, CA, US</t>
        </is>
      </c>
      <c r="H37" s="2" t="n">
        <v>45995</v>
      </c>
      <c r="I3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in-49a26bcfdf9fadf6</t>
        </is>
      </c>
      <c r="B38" t="inlineStr">
        <is>
          <t>Software Engineer II, Android</t>
        </is>
      </c>
      <c r="C38" t="inlineStr">
        <is>
          <t>Amazon.com</t>
        </is>
      </c>
      <c r="D38" t="inlineStr">
        <is>
          <t>indeed</t>
        </is>
      </c>
      <c r="E38" t="inlineStr"/>
      <c r="F38" t="inlineStr"/>
      <c r="G38" t="inlineStr">
        <is>
          <t>Seattle, WA, US</t>
        </is>
      </c>
      <c r="H38" s="2" t="n">
        <v>45995</v>
      </c>
      <c r="I3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in-cc808df5f9fedb60</t>
        </is>
      </c>
      <c r="B39" t="inlineStr">
        <is>
          <t>Software Engineer II, Android</t>
        </is>
      </c>
      <c r="C39" t="inlineStr">
        <is>
          <t>Amazon.com</t>
        </is>
      </c>
      <c r="D39" t="inlineStr">
        <is>
          <t>indeed</t>
        </is>
      </c>
      <c r="E39" t="inlineStr"/>
      <c r="F39" t="inlineStr"/>
      <c r="G39" t="inlineStr">
        <is>
          <t>Irvine, CA, US</t>
        </is>
      </c>
      <c r="H39" s="2" t="n">
        <v>45995</v>
      </c>
      <c r="I3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in-5526c9711d3b43be</t>
        </is>
      </c>
      <c r="B40" t="inlineStr">
        <is>
          <t>Embedded Software Engineer, Merlin Manager</t>
        </is>
      </c>
      <c r="C40" t="inlineStr">
        <is>
          <t>Amazon.com</t>
        </is>
      </c>
      <c r="D40" t="inlineStr">
        <is>
          <t>indeed</t>
        </is>
      </c>
      <c r="E40" t="inlineStr"/>
      <c r="F40" t="inlineStr"/>
      <c r="G40" t="inlineStr">
        <is>
          <t>Redmond, WA, US</t>
        </is>
      </c>
      <c r="H40" s="2" t="n">
        <v>45981</v>
      </c>
      <c r="I40"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in-cd33a420aae7346b</t>
        </is>
      </c>
      <c r="B41" t="inlineStr">
        <is>
          <t>Embedded Software Engineer, Merlin Manager</t>
        </is>
      </c>
      <c r="C41" t="inlineStr">
        <is>
          <t>Amazon.com</t>
        </is>
      </c>
      <c r="D41" t="inlineStr">
        <is>
          <t>indeed</t>
        </is>
      </c>
      <c r="E41" t="inlineStr"/>
      <c r="F41" t="inlineStr"/>
      <c r="G41" t="inlineStr">
        <is>
          <t>Sunnyvale, CA, US</t>
        </is>
      </c>
      <c r="H41" s="2" t="n">
        <v>45981</v>
      </c>
      <c r="I41"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in-5529700ed17f6161</t>
        </is>
      </c>
      <c r="B42" t="inlineStr">
        <is>
          <t>Software Engineer – Platform Test</t>
        </is>
      </c>
      <c r="C42" t="inlineStr">
        <is>
          <t>Qualcomm</t>
        </is>
      </c>
      <c r="D42" t="inlineStr">
        <is>
          <t>indeed</t>
        </is>
      </c>
      <c r="E42" t="inlineStr"/>
      <c r="F42" t="inlineStr"/>
      <c r="G42" t="inlineStr">
        <is>
          <t>San Diego, CA, US</t>
        </is>
      </c>
      <c r="H42" s="2" t="n">
        <v>45980</v>
      </c>
      <c r="I42" t="inlineStr">
        <is>
          <t>**Company:**
------------
Qualcomm Technologies, Inc.**Job Area:**
-------------
Engineering Group, Engineering Group \&gt; Systems Test Engineering**General Summary:**
Drive innovation and reliability for Snapdragon SoC\-based platforms at scale. As part of the Platform Test team, You’ll focus on **test content development**, **automation**, and **validation** of critical platform components such as **CPU, Kernel, Performance, CI/CD pipelines, and Linux distributions**. This role emphasizes **execution excellence**, **problem\-solving**, and **independent ownership** of tasks with minimal guidance.
**Skills**
* Proficient in **Python** and **Shell/Bash** scripting; familiarity with **Java** or **C/C\+\+** is a plus.
* Basic understanding of **Linux distributions** (Ubuntu, Redhat, CentOS) and OS fundamentals (memory, scheduling, storage, virtualization).
* Exposure to **CI/CD workflows**, source code management, and test automation tools.
* Strong problem\-solving skills with ability to work independently and manage time effectively.
* Willingness to learn performance benchmarking and optimization techniques.
* Experience with real\-world deployment scenarios is desirable; open\-source contributions are a bonus.
**Key Responsibilities**
As an **Engineer**, you will:
* Develop and maintain **automated test scripts** and integrate them into CI/CD workflows.
* Execute test plans and validate platform components for performance, stability, and compliance.
* Enhance existing test frameworks and contribute to automation improvements.
* Collaborate with development teams to ensure testability and resolve issues quickly.
* Automate industry\-standard benchmarks and assist in incorporating OEM requirements.
* Troubleshoot technical challenges and deliver solutions with a focus on efficiency.
**Minimum Qualifications:**
* Bachelor's degree in Engineering, Information Systems, Computer Science, or related field.
**Education Preferred Qualifications**
* Bachelor’s degree in engineering, Information Systems, Computer Science, or related field and **1\+ years** of Software Engineering or related work experience.
* Master’s degree in Engineering, Information Systems, Computer Science, or related field, and **1\+ years** of Software Engineering or related work experience.
* Strong programming foundation in **Python** and scripting languages.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$89,000\.00 \- $133,600\.00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43">
      <c r="A43" t="inlineStr">
        <is>
          <t>in-b3c22e8bd30ce662</t>
        </is>
      </c>
      <c r="B43" t="inlineStr">
        <is>
          <t>Senior UX Software Engineer FULL TIME REMOTE</t>
        </is>
      </c>
      <c r="C43" t="inlineStr">
        <is>
          <t>Lockheed Martin</t>
        </is>
      </c>
      <c r="D43" t="inlineStr">
        <is>
          <t>indeed</t>
        </is>
      </c>
      <c r="E43" t="inlineStr"/>
      <c r="F43" t="inlineStr"/>
      <c r="G43" t="inlineStr">
        <is>
          <t>Colorado Springs, CO, US</t>
        </is>
      </c>
      <c r="H43" s="2" t="n">
        <v>45970</v>
      </c>
      <c r="I43" t="inlineStr">
        <is>
          <t>**Job ID:** 710472BR
**Date posted:** Nov. 10, 2025  
**Description:**We are committed to work life balance by promoting this REMOTE telework option. These job requirements allow the employee to work their entire schedule somewhere other than a Lockheed Martin designated office or job site.  
**What We're Doing**  
Do you want to be part of a culture that inspires employees to think big, innovate, perform with excellence, and build incredible products? If you have the passion, drive, and courage to dream big, then we want to build a better tomorrow with you. Come and join our team!  
Lockheed Martin's **Rotary and Mission Systems' C4ISR** team is looking for proven and experienced **UX SW Engineers** to support a one‑of‑a‑kind Cross Business Area campaign that exemplifies our commitment to our **OneLM Strategy**.  
**The Work**  
\- **Front‑End Development** \- Build responsive UI components using React / Angular and implement reusable UI kits.  
\- **Back‑End / Middleware** \- Develop real‑time data‑pipeline adapters to ingest sensor, AI/ML, and telemetry feeds. Write high‑performance services for native console displays and HMI extensions. Integrate with AWS services.  
\- **DevSecOps \&amp; CI/CD** \- Own the CI/CD pipelines that build, test, and deploy UI packages.  
\- **Testing \&amp; Validation** \- Write unit, integration, and UI‑automation tests.  
\- **Collaboration** \- Participate in SAFe Program Increment (PI) Planning, Scrum of Scrums, and System Demos. Produce design specs, API docs, and acceptance criteria. Work closely with the Advisory Board to validate that UI meets mission‑critical detection‑prediction‑response‑recovery workflows.  
**Who We Are**  
The **Unified HMI** team within our **Digital Production Environment** is building the next‑generation command‑and‑control operator workspace that fuses AI/ML insights, real‑time mission data, and a seamless AWS‑based data‑lake backend. We are seeking UX Software Engineers who can translate complex sensor and analytics streams into intuitive, mission‑focused visual experiences for a non‑DoD customer. You will work closely with system architects, software engineers, AI/ML specialists, and the Advisory Board to ensure the interface supports the full Detection Prediction Response Recovery workflow.  
**Who You Are**  
* A **self‑starter**
* An experienced **UX Designer**
* An engineer committed to delivering **high‑quality, cutting‑edge technology** used by our customers and allies worldwide.
**Why Join Us**  
Joining our team offers you the opportunity to support a company and a team where your contributions are valued and you can develop your skills and expertise.  
* Our team puts a high value on **work‑life balance**. We focus on results, not on how many hours you spend at work or online.
* We offer a **flexible schedule** so you can be productive while enjoying a well‑balanced life inside and outside of work.
* **Competitive pay** and a comprehensive benefits package.
Become part of a mission‑driven organization where **innovation**, **excellence**, and **balance** go hand‑in‑hand.  
**Basic Qualifications:**  
* B.S. in Computer Science, Software Engineering, Electrical Engineering, or related field (M.S. preferred).
* 3\+ years professional software development; at least 3 years building mission‑critical HMI/C2 interfaces or real‑time dashboards.
* Proficiency in C\+\+ (Qt) or C\#, TypeScript/JavaScript, and HTML5/CSS3\.
* Strong experience with React or Angular, UI‑state management (Redux, NgRx), and WebGL/Three.js for 3‑D visualizations.
* Experience building and maintaining CI/CD pipelines (GitLab CI, Jenkins, Azure DevOps) and using static/dynamic security tooling.
* Experience with Unit test frameworks and UI\-automation
Agile/SAFe execution, JIRA/Confluence, and ability to produce clear technical documentation.  
**Desired Skills:**  
* Prior work on C2/Command‑and‑Control or operator console systems for aerospace, cyber‑defense, or critical infrastructure.
* Hands‑on data integration experience with Kafka, MQTT, AWS Kinesis/AppSync, REST/GraphQL, and experience handling high‑velocity streaming data.
* Experience with AWS services and Infrastructure‑as‑Code.
* Familiarity with MBSE tools (Cameo DOORS NEXT) and the ability to surface model‑derived data in the UI.
* Background in AI/ML explainability visualizations integrated into the operator dashboard.
\- Certifications: Microsoft Certified: Azure Developer Associate, AWS Certified Solutions Architect \- Professional, IAAP CPACC (accessibility), or CISSP (security).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Lockheed Martin designated office/job site. Employees may travel to a Lockheed Martin office for periodic meetings.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**Pay Rate:** The annual base salary range for this position in most major metropolitan areas in California, Massachusetts, and New York is $107,300 \- $185,840\.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  
**Pay Rate:** The annual base salary range for this position in California, Massachusetts, and New York (excluding most major metropolitan areas), Colorado, Hawaii, Illinois, Maryland, Minnesota, New Jersey, Vermont, Washington or Washington DC is $93,200 \- $164,450\.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No  
**Career Area:** Systems Engineering: Design and Verification  
**Type:** Full\-Time  
**Shift:** First</t>
        </is>
      </c>
    </row>
    <row r="44">
      <c r="A44" t="inlineStr">
        <is>
          <t>in-a98033258562a5bc</t>
        </is>
      </c>
      <c r="B44" t="inlineStr">
        <is>
          <t>Software Engineer / Game Engine Developer - level 3</t>
        </is>
      </c>
      <c r="C44" t="inlineStr">
        <is>
          <t>Lockheed Martin</t>
        </is>
      </c>
      <c r="D44" t="inlineStr">
        <is>
          <t>indeed</t>
        </is>
      </c>
      <c r="E44" t="inlineStr"/>
      <c r="F44" t="inlineStr"/>
      <c r="G44" t="inlineStr">
        <is>
          <t>Fort Worth, TX, US</t>
        </is>
      </c>
      <c r="H44" s="2" t="n">
        <v>45970</v>
      </c>
      <c r="I44" t="inlineStr">
        <is>
          <t>**Job ID:** 708737BR
**Date posted:** Nov. 10, 2025  
**Description:**  
You will be the Senior Software Engineer for the Virtual Prototyping group. Our team delivers advanced visualization, simulation, and digital‑twin technologies across Lockheed Martin Aeronautics, turning complex systems into interactive 3D, AR/VR, and web‑based experiences that drive faster, better‑informed decisions from concept through sustainment.  
**What You Will Be Doing:**  
As the Senior Software Engineer you will be responsible for designing, building, and sustaining real‑time 3D and web‑based applications that enable visualization, simulation, and digital‑twin capabilities for multiple Lockheed Martin products. Your responsibilities will include:  
* Creating high‑performance real‑time 3D applications and web visualization tools using modern frameworks (Unity, Unreal, WebGL, etc.).
* Developing front‑end and back‑end components with JavaScript/TypeScript, C\#, C\+\+, Python, and related technologies.
* Integrating and extending game‑engine pipelines to support data‑driven, networked virtual‑prototyping and digital‑twin experiences.
* Collaborating with distributed engineers, designers, and domain experts on software architecture, UI/UX design, testing, and continuous delivery.
About Virtual Prototyping  
The Virtual Prototyping group provides cutting‑edge visualization and simulation solutions enterprise‑wide, including product visualization, AR/VR/spatial computing, human‑machine interfaces, digital‑twin/operational‑awareness tools, and virtual training/serious‑gaming applications.  
**What's In It For You:**  
From onsite to remote, we offer flexible work schedules to comprehensive benefits investing in your future and security, Learn more about Lockheed Martin's comprehensive benefits package here.  
Do you want to be part of a company culture that empowers employees to think big, lead with a growth mindset, and make the impossible a reality? We provide the resources and give you the flexibility to enable inspiration and focus \-if you have the passion and courage to dream big, work hard, and have fun doing what you love then we want to build a better tomorrow with you.  
Location: Marietta, GA \| Fort Worth, TX \| Palmdale, CA (full‑time, senior‑level)  
**This position is in Fort Worth, TX Discover Fort Worth.**  
**This position is in Palmdale, CA Discover Palmdale.**  
**This position is in Marietta, GA Discover Marietta.**  
**You will need to be a US Citizen, and be able to obtain and maintain a US DoD SECRET clearance, to support this government contract, as well as successfully pass a drug and background check, in order to meet eligibility requirements for access to classified information.**  
**Basic Qualifications:**  
* Bachelor's degree in Computer Science, Software Engineering, or STEM discipline or 3\+ years of related experience.
* 3\+ years of professional software development experience.
* Proficiency with JavaScript or TypeScript, including modern frameworks (React, Vue, Angular, or similar).
* Experience with real\-time 3D development using Unity, Unreal, or WebGL.
* Strong debugging and problem\-solving skills.
**Desired Skills:**  
* Experience building interactive web applications that integrate 3D content or simulation data.
* Familiarity with WebGL, Three.js, or similar visualization libraries.
* Experience with C\+\+, C\#, or Python for backend or simulation integration.
* Exposure to mixed reality (AR/VR), spatial computing, or digital twin applications.
* Knowledge of containerization and deployment (Docker, Kubernetes, etc.).
* Experience with REST APIs, WebSockets, or real\-time networked systems.
* Familiarity with 3D graphics pipelines, shaders, and GPU programming (DirectX, OpenGL, Vulkan).
* Ability to learn new tools, technologies, and domains quickly.
* Excellent communication and collaboration skills.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**Pay Rate:** The annual base salary range for this position in California, Massachusetts, and New York (excluding most major metropolitan areas), Colorado, Hawaii, Illinois, Maryland, Minnesota, New Jersey, Vermont, Washington or Washington DC is $85,500 \- $150,765\.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**Pay Rate:** The annual base salary range for this position in most major metropolitan areas in California, Massachusetts, and New York is $98,300 \- $170,315\.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AERONAUTICS COMPANY  
**Relocation Available:** Possible  
**Career Area:** Software Engineering  
**Type:** Full\-Time  
**Shift:** First</t>
        </is>
      </c>
    </row>
    <row r="45">
      <c r="A45" t="inlineStr">
        <is>
          <t>in-a1407a4930374a1a</t>
        </is>
      </c>
      <c r="B45" t="inlineStr">
        <is>
          <t>Staff Software Engineer UX - FULL TIME REMOTE</t>
        </is>
      </c>
      <c r="C45" t="inlineStr">
        <is>
          <t>Lockheed Martin</t>
        </is>
      </c>
      <c r="D45" t="inlineStr">
        <is>
          <t>indeed</t>
        </is>
      </c>
      <c r="E45" t="inlineStr"/>
      <c r="F45" t="inlineStr"/>
      <c r="G45" t="inlineStr">
        <is>
          <t>Colorado Springs, CO, US</t>
        </is>
      </c>
      <c r="H45" s="2" t="n">
        <v>45970</v>
      </c>
      <c r="I45" t="inlineStr">
        <is>
          <t>**Job ID:** 710470BR
**Date posted:** Nov. 10, 2025  
**Description:**We are committed to work life balance by promoting this REMOTE telework option. These job requirements allow the employee to work their entire schedule somewhere other than a Lockheed Martin designated office or job site.  
**What We're Doing**  
Do you want to be part of a culture that inspires employees to think big, innovate, perform with excellence, and build incredible products? If you have the passion, drive, and courage to dream big, then we want to build a better tomorrow with you. Come and join our team!  
Lockheed Martin's **Rotary and Mission Systems C4ISR** team is looking for proven and experienced **UX Software Engineers** to support a onea‑kind Cross Business Area campaign that exemplifies our commitment to the **OneLM Strategy**.  
**The Work**  
\- **Front‑End Development** \- Build responsive UI components using React / Angular and implement reusable UI kits.  
\- **Back‑End / Middleware** \- Develop real‑time data‑pipeline adapters to ingest sensor, AI/ML, and telemetry feeds. Write high‑performance services for native console displays and HMI extensions. Integrate with AWS services.  
\- **DevSecOps \&amp; CI/CD** \- Own the CI/CD pipelines that build, test, and deploy UI packages.  
\- **Testing \&amp; Validation** \- Write unit, integration, and UI‑automation tests.  
\- **Collaboration** \- Participate in SAFe Program Increment (PI) Planning, Scrum of Scrums, and System Demos. Produce design specs, API docs, and acceptance criteria. Work closely with the Advisory Board to validate that UI meets mission‑critical Detection Prediction Response Recovery workflows.  
**Who We Are**  
The **Unified HMI** team within our **Digital Production Environment** is building the next‑generation command‑and‑control operator workspace that fuses AI/ML insights, real‑time mission data, and a seamless AWS‑based data‑lake backend. We are seeking UX Software Engineers who can translate complex sensor and analytics streams into intuitive, mission‑focused visual experiences for a non‑DoD customer. You will work closely with system architects, software engineers, AI/ML specialists, and the Advisory Board to ensure the interface supports the full Detection Response Recovery workflow.  
**Who You Are**  
* A **self‑starter** who thrives in a fast‑paced environment.
* An experienced **UX Designer** with a strong visual‑design portfolio.
* An engineer committed to delivering **high‑quality, cutting‑edge technology** for customers and allies worldwide.
**Why Join Us**  
Joining our team gives you the chance to contribute to a company and a team that **values your contributions** and supports your professional growth.  
\- **Work‑life balance** is a top priority \- we focus on results, not clock‑watching.  
* **Flexible schedule** allows you to be productive while enjoying life outside of work.
* **Competitive pay** and **comprehensive benefits** package.
Become part of a mission‑driven organization where **innovation**, **excellence**, and **balance** go hand‑in‑hand.  
**Basic Qualifications:**  
* B.S. in Computer Science, Software Engineering, Electrical Engineering, or related field (M.S. preferred).
* 8\+ years professional software development; at least 3 years building mission‑critical HMI/C2 interfaces or real‑time dashboards.
* Proficiency in C\+\+ (Qt) or C\#, TypeScript/JavaScript, and HTML5/CSS3\.
Strong experience with React or Angular, UI‑state management (Redux, NgRx), and WebGL/Three.js for 3‑D visualizations.
* Experience building and maintaining CI/CD pipelines (GitLab CI, Jenkins, Azure DevOps) and using static/dynamic security tooling.
* Experience with Unit test frameworks and UI\-automation
Agile/SAFe execution, JIRA/Confluence, and ability to produce clear technical documentation.  
**Desired Skills:**  
* Prior work on C2/Command‑and‑Control or operator console systems for aerospace, cyber‑defense, or critical infrastructure.
* Hands‑on data integration experience with Kafka, MQTT, AWS Kinesis/AppSync, REST/GraphQL, and experience handling high‑velocity streaming data.
* Experience with AWS services and Infrastructure‑as‑Code.
* Familiarity with MBSE tools (Cameo DOORS NEXT) and the ability to surface model‑derived data in the UI.
* Background in AI/ML explainability visualizations integrated into the operator dashboard.
\- Certifications: Microsoft Certified: Azure Developer Associate, AWS Certified Solutions Architect \- Professional, IAAP CPACC (accessibility), or CISSP (security).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Lockheed Martin designated office/job site. Employees may travel to a Lockheed Martin office for periodic meetings.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**Pay Rate:** The annual base salary range for this position in most major metropolitan areas in California, Massachusetts, and New York is $131,000 \- $227,125\.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  
**Pay Rate:** The annual base salary range for this position in California, Massachusetts, and New York (excluding most major metropolitan areas), Colorado, Hawaii, Illinois, Maryland, Minnesota, New Jersey, Vermont, Washington or Washington DC is $113,900 \- $200,905\.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No  
**Career Area:** Systems Engineering: Design and Verification  
**Type:** Full\-Time  
**Shift:** First</t>
        </is>
      </c>
    </row>
    <row r="46">
      <c r="A46" t="inlineStr">
        <is>
          <t>in-de7c5be507a35251</t>
        </is>
      </c>
      <c r="B46" t="inlineStr">
        <is>
          <t>Software Engineer - UX FULL TIME REMOTE</t>
        </is>
      </c>
      <c r="C46" t="inlineStr">
        <is>
          <t>Lockheed Martin</t>
        </is>
      </c>
      <c r="D46" t="inlineStr">
        <is>
          <t>indeed</t>
        </is>
      </c>
      <c r="E46" t="inlineStr"/>
      <c r="F46" t="inlineStr"/>
      <c r="G46" t="inlineStr">
        <is>
          <t>Colorado Springs, CO, US</t>
        </is>
      </c>
      <c r="H46" s="2" t="n">
        <v>45970</v>
      </c>
      <c r="I46" t="inlineStr">
        <is>
          <t>**Job ID:** 710475BR
**Date posted:** Nov. 10, 2025  
**Description:**We are committed to work life balance by promoting this REMOTE telework option. These job requirements allow the employee to work their entire schedule somewhere other than a Lockheed Martin designated office or job site.  
**What We're Doing**  
Do you want to be part of a culture that inspires employees to think big, innovate, perform with excellence, and build incredible products? If you have the passion, drive, and courage to dream big, then we want to build a better tomorrow with you. Come and join our team!  
Lockheed Martin's **Rotary and Mission Systems' C4ISR** team is looking for proven and experienced **UX SW Engineers** to support a one‑of‑a‑kind Cross Business Area campaign that exemplifies our commitment to our **OneLM Strategy**.  
**The Work**  
\- **Front‑End Development** \- Build responsive UI components using React / Angular and implement reusable UI kits.  
\- **Back‑End / Middleware** \- Develop real‑time data‑pipeline adapters to ingest sensor, AI/ML, and telemetry feeds. Write high‑performance services for native console displays and HMI extensions. Integrate with AWS services.  
\- **DevSecOps \&amp; CI/CD** \- Own the CI/CD pipelines that build, test, and deploy UI packages.  
\- **Testing \&amp; Validation** \- Write unit, integration, and UI‑automation tests.  
\- **Collaboration** \- Participate in SAFe Program Increment (PI) Planning, Scrum of Scrums, and System Demos. Produce design specs, API docs, and acceptance criteria. Work closely with the Advisory Board to validate that UI meets mission‑critical detection‑prediction‑response‑recovery workflows.  
**Who We Are**  
The **Unified HMI** team within our **Digital Production Environment** is building the next‑generation command‑and‑control operator workspace that fuses AI/ML insights, real‑time mission data, and a seamless AWS‑based data‑lake backend. We are seeking UX Software Engineers who can translate complex sensor and analytics streams into intuitive, mission‑focused visual experiences for a non‑DoD customer. You will work closely with system architects, software engineers, AI/ML specialists, and the Advisory Board to ensure the interface supports the full Detection Prediction Response Recovery workflow.  
**Who You Are**  
* A **self‑starter**
* An experienced **UX Designer**
* An engineer committed to delivering **high‑quality, cutting‑edge technology** for customers and allies worldwide.
**Why Join Us**  
Joining our team offers you the opportunity to support a company and a team where your contributions are valued and you can develop your skills and expertise.  
* Our team puts a high value on **work‑life balance**. We focus on results, not on how many hours you spend at work or online.
* We offer a **flexible schedule** so you can be productive while enjoying a well‑balanced life inside and outside of work.
* **Competitive pay** and a comprehensive benefits package.
Become part of a mission‑driven organization where **innovation**, **excellence**, and **balance** go hand‑in‑hand.  
**Basic Qualifications:**  
* B.S. in Computer Science, Software Engineering, Electrical Engineering, or related field (M.S. preferred).
* 1\+ years professional software development; at least 1 year building mission‑critical HMI/C2 interfaces or real‑time dashboards.
* Proficiency in C\+\+ (Qt) or C\#, TypeScript/JavaScript, and HTML5/CSS3\.
* Strong experience with React or Angular, UI‑state management (Redux, NgRx), and WebGL/Three.js for 3‑D visualizations.
* Experience building and maintaining CI/CD pipelines (GitLab CI, Jenkins, Azure DevOps) and using static/dynamic security tooling.
* Experience with Unit test frameworks and UI\-automation
Agile/SAFe execution, JIRA/Confluence, and ability to produce clear technical documentation.  
**Desired Skills:**  
* Prior work on C2/Command‑and‑Control or operator console systems for aerospace, cyber‑defense, or critical infrastructure.
* Hands‑on data integration experience with Kafka, MQTT, AWS Kinesis/AppSync, REST/GraphQL, and experience handling high‑velocity streaming data.
* Experience with AWS services and Infrastructure‑as‑Code.
* Familiarity with MBSE tools (Cameo DOORS NEXT) and the ability to surface model‑derived data in the UI.
* Background in AI/ML explainability visualizations integrated into the operator dashboard.
\- Certifications: Microsoft Certified: Azure Developer Associate, AWS Certified Solutions Architect \- Professional, IAAP CPACC (accessibility), or CISSP (security).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Lockheed Martin designated office/job site. Employees may travel to a Lockheed Martin office for periodic meetings.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**Pay Rate:** The annual base salary range for this position in most major metropolitan areas in California, Massachusetts, and New York is $88,000 \- $152,490\.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  
**Pay Rate:** The annual base salary range for this position in California, Massachusetts, and New York (excluding most major metropolitan areas), Colorado, Hawaii, Illinois, Maryland, Minnesota, New Jersey, Vermont, Washington or Washington DC is $76,500 \- $134,895\.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No  
**Career Area:** Systems Engineering: Software  
**Type:** Full\-Time  
**Shift:** First</t>
        </is>
      </c>
    </row>
    <row r="47">
      <c r="A47" t="inlineStr">
        <is>
          <t>in-2157c66c4ab85c73</t>
        </is>
      </c>
      <c r="B47" t="inlineStr">
        <is>
          <t>Full Stack Engineer / TS/SCI / Onsite: CO or CA</t>
        </is>
      </c>
      <c r="C47" t="inlineStr">
        <is>
          <t>Lockheed Martin</t>
        </is>
      </c>
      <c r="D47" t="inlineStr">
        <is>
          <t>indeed</t>
        </is>
      </c>
      <c r="E47" t="inlineStr"/>
      <c r="F47" t="inlineStr"/>
      <c r="G47" t="inlineStr">
        <is>
          <t>Littleton, CO, US</t>
        </is>
      </c>
      <c r="H47" s="2" t="n">
        <v>45970</v>
      </c>
      <c r="I47" t="inlineStr">
        <is>
          <t>**Job ID:** 710339BR
**Date posted:** Nov. 10, 2025  
**Description:**Classified IT Operations supporting the Space IT Applications team is seeking a full stack engineer with expertise in deploying and sustaining applications in a collaborative, high paced, high energy environment. The candidate will participate in the entire application deployment life\-cycle including requirements, design, implementation, integration, installation, and test. Typical tasks include implementing applications for deployment in a classified area. Maintain and debug current systems or interfaces, act as liaison between classified programs and unclassified applications. Must have the ability to obtain the necessary clearance. Work Location is in Littleton, CO OR Sunnyvale CA.  
**In light of current internal business pressures, priority consideration will be given to qualified candidates who are currently affiliated with the Enterprise Business \&amp; Digital Transformation (EBDT) organization** \#EBDT  
**Basic Qualifications:**  
\*\* TS/SCI Clearance with CI Polygraph is required prior to start \*\*  
* CompTIA Security\+, other DoD IAT Level II certificate, or the ability to obtain one within 90 days
* Demonstrated experience troubleshooting complex technical issues at the application layer
* Experience working with enterprise environments (compute, storage, network, database)
* Ability to learn technical skills quickly in a collaborative team environment
* Strong written and verbal communication skills
* Track record of being a self\-starter and strong independent contributor
* Ability to manage priorities and requirements and establish strong team relationships and deliver exceptional customer service
* Experience with databases (e.g. MySQL, Cassandra, MongoDB, Oracle, PostgreSQL, MariaDB, SQL Server) and SQL
**Desired Skills:**  
* Familiarity with agile development methodologies and DevOps concepts.
* Familiarity developing with scripting and/or programming languages such as C\#, Java, Bash or equivalents
* Demonstrated experience deploying enterprise applications (Jira, Confluence, GitLab, Teamwork Cloud, Tableau)
* Experience with container development and orchestration with Kubernetes
* Familiarity with Ansible
* Familiarity with network attached storage systems
**Security Clearance Statement:** This position requires a government security clearance, you must be a US Citizen for consideration.  
**Clearance Level:** TS/SCI w/Poly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$113,900 \- $200,905\.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**Pay Rate:** The annual base salary range for this position in most major metropolitan areas in California, Massachusetts, and New York is $131,000 \- $227,125\.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ENTERPRISE BUSINESS SERVICES  
**Relocation Available:** Possible  
**Career Area:** Information Technology  
**Type:** Full\-Time  
**Shift:** First</t>
        </is>
      </c>
    </row>
    <row r="48">
      <c r="A48" t="inlineStr">
        <is>
          <t>in-47ea470a84f4f33a</t>
        </is>
      </c>
      <c r="B48" t="inlineStr">
        <is>
          <t>Senior Software Engineer, Machine Learning Accelerator Technology</t>
        </is>
      </c>
      <c r="C48" t="inlineStr">
        <is>
          <t>Amazon Web Services</t>
        </is>
      </c>
      <c r="D48" t="inlineStr">
        <is>
          <t>indeed</t>
        </is>
      </c>
      <c r="E48" t="inlineStr"/>
      <c r="F48" t="inlineStr"/>
      <c r="G48" t="inlineStr">
        <is>
          <t>Cupertino, CA, US</t>
        </is>
      </c>
      <c r="H48" s="2" t="n">
        <v>45930</v>
      </c>
      <c r="I48" t="inlineStr">
        <is>
          <t>**DESCRIPTION**
---------------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Annapurna Labs (our organization within AWS UC)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The MLA Technology team is looking for candidates interested in diving deep into the different hardware technologies that power our Machine Learning servers and view the software to drive these technologies as the deliverable.  
Do you like hacking memory using PCIe expansion cards? Great! Do you read data sheets like others read the news? Great! Done some embedded programming? Great! Messed with FPGAs? Great! Hacked your autonomous vacuum cleaner? Great! Let the magic smoke out once or twice? Didn't we all ... Did this make you smile? Awesome.
Our team writes software focused on hardware for the most advanced servers in the world. If that interests you, come join our team!  
Key job responsibilities  
* Members of the team are responsible for software related to machine learning hardware at all points in the hardware life cycle.
* Working with silicon design and hardware design teams across EC2
* Developing software which can be maintained, improved upon, documented, tested, and reused.
A day in the life  
The MLA Technology team was formed to focus on server software primarily for debug, testing, qualification, and manufacturing. No software is too low level for us. No software is too high level for us. At a high\-level our goal is to find ways to help the organization scale though the use of software and automation as it relates to specific hardware technologies.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**PREFERRED QUALIFICATIONS**
----------------------------
* Bachelor's degree in computer science or equivalent
* Experience writing low level drivers, or experience with general troubleshooting/debugging of hardware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in-db71d3eeef0c0df6</t>
        </is>
      </c>
      <c r="B49" t="inlineStr">
        <is>
          <t>Sr. Device Software Engineer, Amazon Leo Government</t>
        </is>
      </c>
      <c r="C49" t="inlineStr">
        <is>
          <t>Amazon.com</t>
        </is>
      </c>
      <c r="D49" t="inlineStr">
        <is>
          <t>indeed</t>
        </is>
      </c>
      <c r="E49" t="inlineStr"/>
      <c r="F49" t="inlineStr"/>
      <c r="G49" t="inlineStr">
        <is>
          <t>El Segundo, CA, US</t>
        </is>
      </c>
      <c r="H49" s="2" t="n">
        <v>45911</v>
      </c>
      <c r="I49"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in-f8833f20aa95e9e6</t>
        </is>
      </c>
      <c r="B50" t="inlineStr">
        <is>
          <t>Sr. Device Software Engineer, Amazon Leo Government</t>
        </is>
      </c>
      <c r="C50" t="inlineStr">
        <is>
          <t>Amazon.com</t>
        </is>
      </c>
      <c r="D50" t="inlineStr">
        <is>
          <t>indeed</t>
        </is>
      </c>
      <c r="E50" t="inlineStr"/>
      <c r="F50" t="inlineStr"/>
      <c r="G50" t="inlineStr">
        <is>
          <t>Arlington, VA, US</t>
        </is>
      </c>
      <c r="H50" s="2" t="n">
        <v>45911</v>
      </c>
      <c r="I50"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in-7a762fac6277a2a9</t>
        </is>
      </c>
      <c r="B51" t="inlineStr">
        <is>
          <t>Sr. Device Software Engineer, Amazon Leo Government</t>
        </is>
      </c>
      <c r="C51" t="inlineStr">
        <is>
          <t>Amazon.com</t>
        </is>
      </c>
      <c r="D51" t="inlineStr">
        <is>
          <t>indeed</t>
        </is>
      </c>
      <c r="E51" t="inlineStr"/>
      <c r="F51" t="inlineStr"/>
      <c r="G51" t="inlineStr">
        <is>
          <t>Northridge, CA, US</t>
        </is>
      </c>
      <c r="H51" s="2" t="n">
        <v>45911</v>
      </c>
      <c r="I51"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in-6feaf681f501432c</t>
        </is>
      </c>
      <c r="B52" t="inlineStr">
        <is>
          <t>Sr. Device Software Engineer, Amazon Leo Government</t>
        </is>
      </c>
      <c r="C52" t="inlineStr">
        <is>
          <t>Amazon.com</t>
        </is>
      </c>
      <c r="D52" t="inlineStr">
        <is>
          <t>indeed</t>
        </is>
      </c>
      <c r="E52" t="inlineStr"/>
      <c r="F52" t="inlineStr"/>
      <c r="G52" t="inlineStr">
        <is>
          <t>Redmond, WA, US</t>
        </is>
      </c>
      <c r="H52" s="2" t="n">
        <v>45911</v>
      </c>
      <c r="I52"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in-ea55a5d6054224da</t>
        </is>
      </c>
      <c r="B53" t="inlineStr">
        <is>
          <t>Device Software Engineer, Amazon Leo Government</t>
        </is>
      </c>
      <c r="C53" t="inlineStr">
        <is>
          <t>Amazon.com</t>
        </is>
      </c>
      <c r="D53" t="inlineStr">
        <is>
          <t>indeed</t>
        </is>
      </c>
      <c r="E53" t="inlineStr"/>
      <c r="F53" t="inlineStr"/>
      <c r="G53" t="inlineStr">
        <is>
          <t>El Segundo, CA, US</t>
        </is>
      </c>
      <c r="H53" s="2" t="n">
        <v>45910</v>
      </c>
      <c r="I53"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in-c564b8d2dffc084b</t>
        </is>
      </c>
      <c r="B54" t="inlineStr">
        <is>
          <t>Device Software Engineer, Amazon Leo Government</t>
        </is>
      </c>
      <c r="C54" t="inlineStr">
        <is>
          <t>Amazon.com</t>
        </is>
      </c>
      <c r="D54" t="inlineStr">
        <is>
          <t>indeed</t>
        </is>
      </c>
      <c r="E54" t="inlineStr"/>
      <c r="F54" t="inlineStr"/>
      <c r="G54" t="inlineStr">
        <is>
          <t>Redmond, WA, US</t>
        </is>
      </c>
      <c r="H54" s="2" t="n">
        <v>45910</v>
      </c>
      <c r="I54"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in-41b1d0b8cf213be3</t>
        </is>
      </c>
      <c r="B55" t="inlineStr">
        <is>
          <t>Device Software Engineer, Amazon Leo Government</t>
        </is>
      </c>
      <c r="C55" t="inlineStr">
        <is>
          <t>Amazon.com</t>
        </is>
      </c>
      <c r="D55" t="inlineStr">
        <is>
          <t>indeed</t>
        </is>
      </c>
      <c r="E55" t="inlineStr"/>
      <c r="F55" t="inlineStr"/>
      <c r="G55" t="inlineStr">
        <is>
          <t>Northridge, CA, US</t>
        </is>
      </c>
      <c r="H55" s="2" t="n">
        <v>45910</v>
      </c>
      <c r="I55"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in-f93bed58bd445bf4</t>
        </is>
      </c>
      <c r="B56" t="inlineStr">
        <is>
          <t>Device Software Engineer, Amazon Leo Government</t>
        </is>
      </c>
      <c r="C56" t="inlineStr">
        <is>
          <t>Amazon.com</t>
        </is>
      </c>
      <c r="D56" t="inlineStr">
        <is>
          <t>indeed</t>
        </is>
      </c>
      <c r="E56" t="inlineStr"/>
      <c r="F56" t="inlineStr"/>
      <c r="G56" t="inlineStr">
        <is>
          <t>Arlington, VA, US</t>
        </is>
      </c>
      <c r="H56" s="2" t="n">
        <v>45910</v>
      </c>
      <c r="I56"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in-2b57aa3e277dd014</t>
        </is>
      </c>
      <c r="B57" t="inlineStr">
        <is>
          <t>Software Engineer I- Ad Demand</t>
        </is>
      </c>
      <c r="C57" t="inlineStr">
        <is>
          <t>Amazon.com</t>
        </is>
      </c>
      <c r="D57" t="inlineStr">
        <is>
          <t>indeed</t>
        </is>
      </c>
      <c r="E57" t="inlineStr"/>
      <c r="F57" t="inlineStr"/>
      <c r="G57" t="inlineStr">
        <is>
          <t>San Francisco, CA, US</t>
        </is>
      </c>
      <c r="H57" s="2" t="n">
        <v>45908</v>
      </c>
      <c r="I5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in-b63c8ce8d48d99c1</t>
        </is>
      </c>
      <c r="B58" t="inlineStr">
        <is>
          <t>Software Engineer I- Ad Demand</t>
        </is>
      </c>
      <c r="C58" t="inlineStr">
        <is>
          <t>Amazon.com</t>
        </is>
      </c>
      <c r="D58" t="inlineStr">
        <is>
          <t>indeed</t>
        </is>
      </c>
      <c r="E58" t="inlineStr"/>
      <c r="F58" t="inlineStr"/>
      <c r="G58" t="inlineStr">
        <is>
          <t>New York, NY, US</t>
        </is>
      </c>
      <c r="H58" s="2" t="n">
        <v>45908</v>
      </c>
      <c r="I5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in-ec45d7bfc524ad4d</t>
        </is>
      </c>
      <c r="B59" t="inlineStr">
        <is>
          <t>Software Developer Engineer - iOS, Ring</t>
        </is>
      </c>
      <c r="C59" t="inlineStr">
        <is>
          <t>Amazon.com</t>
        </is>
      </c>
      <c r="D59" t="inlineStr">
        <is>
          <t>indeed</t>
        </is>
      </c>
      <c r="E59" t="inlineStr"/>
      <c r="F59" t="inlineStr"/>
      <c r="G59" t="inlineStr">
        <is>
          <t>Hawthorne, CA, US</t>
        </is>
      </c>
      <c r="H59" s="2" t="n">
        <v>45812</v>
      </c>
      <c r="I59"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in-333cc3d7f06e2773</t>
        </is>
      </c>
      <c r="B60" t="inlineStr">
        <is>
          <t>Software Developer Engineer - iOS, Ring</t>
        </is>
      </c>
      <c r="C60" t="inlineStr">
        <is>
          <t>Amazon.com</t>
        </is>
      </c>
      <c r="D60" t="inlineStr">
        <is>
          <t>indeed</t>
        </is>
      </c>
      <c r="E60" t="inlineStr"/>
      <c r="F60" t="inlineStr"/>
      <c r="G60" t="inlineStr">
        <is>
          <t>Austin, TX, US</t>
        </is>
      </c>
      <c r="H60" s="2" t="n">
        <v>45812</v>
      </c>
      <c r="I60"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in-5aff602e00459610</t>
        </is>
      </c>
      <c r="B61" t="inlineStr">
        <is>
          <t>Software Developer Engineer - iOS, Ring</t>
        </is>
      </c>
      <c r="C61" t="inlineStr">
        <is>
          <t>Amazon.com</t>
        </is>
      </c>
      <c r="D61" t="inlineStr">
        <is>
          <t>indeed</t>
        </is>
      </c>
      <c r="E61" t="inlineStr"/>
      <c r="F61" t="inlineStr"/>
      <c r="G61" t="inlineStr">
        <is>
          <t>Irvine, CA, US</t>
        </is>
      </c>
      <c r="H61" s="2" t="n">
        <v>45812</v>
      </c>
      <c r="I61"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in-29749ca5683f8b94</t>
        </is>
      </c>
      <c r="B62" t="inlineStr">
        <is>
          <t>Senior Software Engineer - Query Processing, Aurora DSQL</t>
        </is>
      </c>
      <c r="C62" t="inlineStr">
        <is>
          <t>Amazon Web Services</t>
        </is>
      </c>
      <c r="D62" t="inlineStr">
        <is>
          <t>indeed</t>
        </is>
      </c>
      <c r="E62" t="inlineStr"/>
      <c r="F62" t="inlineStr"/>
      <c r="G62" t="inlineStr">
        <is>
          <t>East Palo Alto, CA, US</t>
        </is>
      </c>
      <c r="H62" s="2" t="n">
        <v>45796</v>
      </c>
      <c r="I62"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in-3907212700cce46a</t>
        </is>
      </c>
      <c r="B63" t="inlineStr">
        <is>
          <t>Senior Software Engineer - Query Processing, Aurora DSQL</t>
        </is>
      </c>
      <c r="C63" t="inlineStr">
        <is>
          <t>Amazon Web Services</t>
        </is>
      </c>
      <c r="D63" t="inlineStr">
        <is>
          <t>indeed</t>
        </is>
      </c>
      <c r="E63" t="inlineStr"/>
      <c r="F63" t="inlineStr"/>
      <c r="G63" t="inlineStr">
        <is>
          <t>Seattle, WA, US</t>
        </is>
      </c>
      <c r="H63" s="2" t="n">
        <v>45796</v>
      </c>
      <c r="I63"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in-1610d2e2c8d52d93</t>
        </is>
      </c>
      <c r="B64" t="inlineStr">
        <is>
          <t>Embedded C++ Software Engineer, Machine Learning Acceleration</t>
        </is>
      </c>
      <c r="C64" t="inlineStr">
        <is>
          <t>Amazon Web Services</t>
        </is>
      </c>
      <c r="D64" t="inlineStr">
        <is>
          <t>indeed</t>
        </is>
      </c>
      <c r="E64" t="inlineStr"/>
      <c r="F64" t="inlineStr"/>
      <c r="G64" t="inlineStr">
        <is>
          <t>Cupertino, CA, US</t>
        </is>
      </c>
      <c r="H64" s="2" t="n">
        <v>45691</v>
      </c>
      <c r="I64"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in-6f826575214d6ef6</t>
        </is>
      </c>
      <c r="B65" t="inlineStr">
        <is>
          <t>Embedded C++ Software Engineer, Machine Learning Acceleration</t>
        </is>
      </c>
      <c r="C65" t="inlineStr">
        <is>
          <t>Amazon Web Services</t>
        </is>
      </c>
      <c r="D65" t="inlineStr">
        <is>
          <t>indeed</t>
        </is>
      </c>
      <c r="E65" t="inlineStr"/>
      <c r="F65" t="inlineStr"/>
      <c r="G65" t="inlineStr">
        <is>
          <t>Austin, TX, US</t>
        </is>
      </c>
      <c r="H65" s="2" t="n">
        <v>45691</v>
      </c>
      <c r="I65"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in-6e0a7f94d8a65f36</t>
        </is>
      </c>
      <c r="B66" t="inlineStr">
        <is>
          <t>Software Engineer II</t>
        </is>
      </c>
      <c r="C66" t="inlineStr">
        <is>
          <t>Amazon.com</t>
        </is>
      </c>
      <c r="D66" t="inlineStr">
        <is>
          <t>indeed</t>
        </is>
      </c>
      <c r="E66">
        <f>HYPERLINK("https://www.indeed.com/viewjob?jk=6e0a7f94d8a65f36", "https://www.indeed.com/viewjob?jk=6e0a7f94d8a65f36")</f>
        <v/>
      </c>
      <c r="F66">
        <f>HYPERLINK("https://www.amazon.jobs/jobs/3104730/software-engineer-ii?cmpid=DA_INAD200785B", "https://www.amazon.jobs/jobs/3104730/software-engineer-ii?cmpid=DA_INAD200785B")</f>
        <v/>
      </c>
      <c r="G66" t="inlineStr">
        <is>
          <t>San Francisco, CA, US</t>
        </is>
      </c>
      <c r="H66" s="3" t="n">
        <v>45938</v>
      </c>
      <c r="I6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in-d12f307dc597cb96</t>
        </is>
      </c>
      <c r="B67" t="inlineStr">
        <is>
          <t>Software Engineer II</t>
        </is>
      </c>
      <c r="C67" t="inlineStr">
        <is>
          <t>Amazon.com</t>
        </is>
      </c>
      <c r="D67" t="inlineStr">
        <is>
          <t>indeed</t>
        </is>
      </c>
      <c r="E67">
        <f>HYPERLINK("https://www.indeed.com/viewjob?jk=d12f307dc597cb96", "https://www.indeed.com/viewjob?jk=d12f307dc597cb96")</f>
        <v/>
      </c>
      <c r="F67">
        <f>HYPERLINK("https://www.amazon.jobs/jobs/3104730/software-engineer-ii?cmpid=DA_INAD200785B", "https://www.amazon.jobs/jobs/3104730/software-engineer-ii?cmpid=DA_INAD200785B")</f>
        <v/>
      </c>
      <c r="G67" t="inlineStr">
        <is>
          <t>Irvine, CA, US</t>
        </is>
      </c>
      <c r="H67" s="3" t="n">
        <v>45938</v>
      </c>
      <c r="I6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in-e1b4c72221d2b10f</t>
        </is>
      </c>
      <c r="B68" t="inlineStr">
        <is>
          <t>Software Engineer II</t>
        </is>
      </c>
      <c r="C68" t="inlineStr">
        <is>
          <t>Amazon.com</t>
        </is>
      </c>
      <c r="D68" t="inlineStr">
        <is>
          <t>indeed</t>
        </is>
      </c>
      <c r="E68">
        <f>HYPERLINK("https://www.indeed.com/viewjob?jk=e1b4c72221d2b10f", "https://www.indeed.com/viewjob?jk=e1b4c72221d2b10f")</f>
        <v/>
      </c>
      <c r="F68">
        <f>HYPERLINK("https://www.amazon.jobs/jobs/3104734/software-engineer-ii?cmpid=DA_INAD200785B", "https://www.amazon.jobs/jobs/3104734/software-engineer-ii?cmpid=DA_INAD200785B")</f>
        <v/>
      </c>
      <c r="G68" t="inlineStr">
        <is>
          <t>San Francisco, CA, US</t>
        </is>
      </c>
      <c r="H68" s="3" t="n">
        <v>45938</v>
      </c>
      <c r="I6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in-54130c6152c588c2</t>
        </is>
      </c>
      <c r="B69" t="inlineStr">
        <is>
          <t>Software Engineer II</t>
        </is>
      </c>
      <c r="C69" t="inlineStr">
        <is>
          <t>Amazon.com</t>
        </is>
      </c>
      <c r="D69" t="inlineStr">
        <is>
          <t>indeed</t>
        </is>
      </c>
      <c r="E69">
        <f>HYPERLINK("https://www.indeed.com/viewjob?jk=54130c6152c588c2", "https://www.indeed.com/viewjob?jk=54130c6152c588c2")</f>
        <v/>
      </c>
      <c r="F69">
        <f>HYPERLINK("https://www.amazon.jobs/jobs/3104734/software-engineer-ii?cmpid=DA_INAD200785B", "https://www.amazon.jobs/jobs/3104734/software-engineer-ii?cmpid=DA_INAD200785B")</f>
        <v/>
      </c>
      <c r="G69" t="inlineStr">
        <is>
          <t>Irvine, CA, US</t>
        </is>
      </c>
      <c r="H69" s="3" t="n">
        <v>45938</v>
      </c>
      <c r="I6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in-af37ce6c7adecc72</t>
        </is>
      </c>
      <c r="B70" t="inlineStr">
        <is>
          <t>Software Engineer II</t>
        </is>
      </c>
      <c r="C70" t="inlineStr">
        <is>
          <t>Amazon.com</t>
        </is>
      </c>
      <c r="D70" t="inlineStr">
        <is>
          <t>indeed</t>
        </is>
      </c>
      <c r="E70">
        <f>HYPERLINK("https://www.indeed.com/viewjob?jk=af37ce6c7adecc72", "https://www.indeed.com/viewjob?jk=af37ce6c7adecc72")</f>
        <v/>
      </c>
      <c r="F70">
        <f>HYPERLINK("https://www.amazon.jobs/jobs/3104734/software-engineer-ii?cmpid=DA_INAD200785B", "https://www.amazon.jobs/jobs/3104734/software-engineer-ii?cmpid=DA_INAD200785B")</f>
        <v/>
      </c>
      <c r="G70" t="inlineStr">
        <is>
          <t>Culver City, CA, US</t>
        </is>
      </c>
      <c r="H70" s="3" t="n">
        <v>45938</v>
      </c>
      <c r="I7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in-238e8e48ee2941fc</t>
        </is>
      </c>
      <c r="B71" t="inlineStr">
        <is>
          <t>Senior Software Engineer, Twitch</t>
        </is>
      </c>
      <c r="C71" t="inlineStr">
        <is>
          <t>Amazon.com</t>
        </is>
      </c>
      <c r="D71" t="inlineStr">
        <is>
          <t>indeed</t>
        </is>
      </c>
      <c r="E71">
        <f>HYPERLINK("https://www.indeed.com/viewjob?jk=238e8e48ee2941fc", "https://www.indeed.com/viewjob?jk=238e8e48ee2941fc")</f>
        <v/>
      </c>
      <c r="F71">
        <f>HYPERLINK("https://www.amazon.jobs/jobs/3138042/senior-software-engineer-twitch?cmpid=DA_INAD200785B", "https://www.amazon.jobs/jobs/3138042/senior-software-engineer-twitch?cmpid=DA_INAD200785B")</f>
        <v/>
      </c>
      <c r="G71" t="inlineStr">
        <is>
          <t>Seattle, WA, US</t>
        </is>
      </c>
      <c r="H71" s="3" t="n">
        <v>45995</v>
      </c>
      <c r="I71"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in-eb266f8aaacf0e82</t>
        </is>
      </c>
      <c r="B72" t="inlineStr">
        <is>
          <t>Senior Software Engineer, Twitch</t>
        </is>
      </c>
      <c r="C72" t="inlineStr">
        <is>
          <t>Amazon.com</t>
        </is>
      </c>
      <c r="D72" t="inlineStr">
        <is>
          <t>indeed</t>
        </is>
      </c>
      <c r="E72">
        <f>HYPERLINK("https://www.indeed.com/viewjob?jk=eb266f8aaacf0e82", "https://www.indeed.com/viewjob?jk=eb266f8aaacf0e82")</f>
        <v/>
      </c>
      <c r="F72">
        <f>HYPERLINK("https://www.amazon.jobs/jobs/3138042/senior-software-engineer-twitch?cmpid=DA_INAD200785B", "https://www.amazon.jobs/jobs/3138042/senior-software-engineer-twitch?cmpid=DA_INAD200785B")</f>
        <v/>
      </c>
      <c r="G72" t="inlineStr">
        <is>
          <t>San Francisco, CA, US</t>
        </is>
      </c>
      <c r="H72" s="3" t="n">
        <v>45995</v>
      </c>
      <c r="I72"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in-0fbb32ec435cb29f</t>
        </is>
      </c>
      <c r="B73" t="inlineStr">
        <is>
          <t>Sr. Software Engineer (ML), AGI Customization</t>
        </is>
      </c>
      <c r="C73" t="inlineStr">
        <is>
          <t>Amazon.com</t>
        </is>
      </c>
      <c r="D73" t="inlineStr">
        <is>
          <t>indeed</t>
        </is>
      </c>
      <c r="E73">
        <f>HYPERLINK("https://www.indeed.com/viewjob?jk=0fbb32ec435cb29f", "https://www.indeed.com/viewjob?jk=0fbb32ec435cb29f")</f>
        <v/>
      </c>
      <c r="F73">
        <f>HYPERLINK("https://www.amazon.jobs/jobs/3127625/sr-software-engineer-ml-agi-customization?cmpid=DA_INAD200785B", "https://www.amazon.jobs/jobs/3127625/sr-software-engineer-ml-agi-customization?cmpid=DA_INAD200785B")</f>
        <v/>
      </c>
      <c r="G73" t="inlineStr">
        <is>
          <t>Boston, MA, US</t>
        </is>
      </c>
      <c r="H73" s="3" t="n">
        <v>45964</v>
      </c>
      <c r="I73"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in-2ec4d82abff245d8</t>
        </is>
      </c>
      <c r="B74" t="inlineStr">
        <is>
          <t>Sr. Software Engineer (ML), AGI Customization</t>
        </is>
      </c>
      <c r="C74" t="inlineStr">
        <is>
          <t>Amazon.com</t>
        </is>
      </c>
      <c r="D74" t="inlineStr">
        <is>
          <t>indeed</t>
        </is>
      </c>
      <c r="E74">
        <f>HYPERLINK("https://www.indeed.com/viewjob?jk=2ec4d82abff245d8", "https://www.indeed.com/viewjob?jk=2ec4d82abff245d8")</f>
        <v/>
      </c>
      <c r="F74">
        <f>HYPERLINK("https://www.amazon.jobs/jobs/3127625/sr-software-engineer-ml-agi-customization?cmpid=DA_INAD200785B", "https://www.amazon.jobs/jobs/3127625/sr-software-engineer-ml-agi-customization?cmpid=DA_INAD200785B")</f>
        <v/>
      </c>
      <c r="G74" t="inlineStr">
        <is>
          <t>Sunnyvale, CA, US</t>
        </is>
      </c>
      <c r="H74" s="3" t="n">
        <v>45964</v>
      </c>
      <c r="I74"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in-335ba8ed456beb3a</t>
        </is>
      </c>
      <c r="B75" t="inlineStr">
        <is>
          <t>Associate Software Engineer, Data Engineering</t>
        </is>
      </c>
      <c r="C75" t="inlineStr"/>
      <c r="D75" t="inlineStr">
        <is>
          <t>indeed</t>
        </is>
      </c>
      <c r="E75">
        <f>HYPERLINK("https://www.indeed.com/viewjob?jk=335ba8ed456beb3a", "https://www.indeed.com/viewjob?jk=335ba8ed456beb3a")</f>
        <v/>
      </c>
      <c r="F75">
        <f>HYPERLINK("https://grnh.se/jfohcjq53us", "https://grnh.se/jfohcjq53us")</f>
        <v/>
      </c>
      <c r="G75" t="inlineStr">
        <is>
          <t>Philadelphia, PA, US</t>
        </is>
      </c>
      <c r="H75" s="3" t="n">
        <v>45963</v>
      </c>
      <c r="I75" t="inlineStr">
        <is>
          <t>**Title:** Associate Software Engineer, Data Engineering  
**Department:** Research \&amp; Development
**Reports to:** Manager, Software Engineering  
**Status:** Hourly Part\-Time Seasonal  
**Location:** Philadelphia, PA
**Position Overview:**
The work of an Associate Software Engineer at the Phillies extends well beyond merely coding. Phillies Engineering takes a product\-centered approach in creating the platform, systems, and tooling that empower our entire organization to spend more time thinking about baseball. We turn data into information into action.
As an associate on our data engineering team, you will play a role in how data flows throughout the organization. You will gain hands\-on experience designing, building, and optimizing the data infrastructure that powers predictive models, research, dashboards, reports, and internal applications. You will collaborate with senior engineers and data scientists to ensure our data is reliable, timely, and accessible for decision\-makers.
Your work will directly impact our analytics capabilities by helping to manage a wide range of unique datasets, including ball and player tracking data (Statcast), biomechanical time\-series data, and player contract information.
**Responsibilities:**
* Assist in developing, scheduling, and monitoring scalable data pipelines and systems.
* Contribute to the management and optimization of our cloud\-based data platforms and databases.
* Write and maintain code for data ingestion, transformation, and validation to ensure high data quality.
* Collaborate with data scientists and analysts to understand their data requirements and provide support.
* Learn and apply data engineering best practices, including participating in code reviews, documentation, and testing.
**Required Qualifications:**
* Possess or are pursuing a BS degree in Computer Science, similar technical field of study or equivalent practical experience.
* Software development experience in one or more general purpose programming languages (our stack is Python, Typescript, and Go).
* Familiarity with SQL and relational databases (e.g. MySQL, Postgres).
* Familiarity with data engineering concepts such as ETL/ELT, data warehousing, and data modeling.
* Excellent problem\-solving skills and a strong desire to learn new technologies.
* Ability to work collaboratively in a team environment.
* Self\-motivated with a strong sense of curiosity.
**Preferred Qualifications:**
* Experience with workflow orchestration tools such as Apache Airflow, Dagster, or Prefect.
* Familiarity with cloud platforms (e.g., Google Cloud, AWS) and their data services.
* Experience with containerization (Docker).
* Exposure to data transformation frameworks like dbt.
* A demonstrated passion for baseball and sports analytics.
**Interested applicants should submit their resume, cover letter, and answers to the following questions:**
Tell us about a technical decision you made for a project where you had to make a significant trade\-off (e.g., choosing a simpler but less performant solution, picking a library you didn't know well, etc.). What was the situation, what were the pros and cons you weighed, and in hindsight, would you make the same decision again? (300 words or less)
Why do you want to work for a baseball team, and how do you see your technical skills contributing to a baseball operations or research \&amp; development environment? (200 words or less)
**We are an equal opportunity employer, and all qualified applicants will receive consideration for employment without regard to race, color, religion, national origin, sex, sexual orientation, age, disability, gender identity, marital or veteran status, or any other protected class.**</t>
        </is>
      </c>
    </row>
    <row r="76">
      <c r="A76" t="inlineStr">
        <is>
          <t>in-67191e539599b728</t>
        </is>
      </c>
      <c r="B76" t="inlineStr">
        <is>
          <t>Software Engineer- AI/ML, AWS Neuron Distributed Training</t>
        </is>
      </c>
      <c r="C76" t="inlineStr">
        <is>
          <t>Amazon Web Services</t>
        </is>
      </c>
      <c r="D76" t="inlineStr">
        <is>
          <t>indeed</t>
        </is>
      </c>
      <c r="E76">
        <f>HYPERLINK("https://www.indeed.com/viewjob?jk=67191e539599b728", "https://www.indeed.com/viewjob?jk=67191e539599b728")</f>
        <v/>
      </c>
      <c r="F76">
        <f>HYPERLINK("https://www.amazon.jobs/jobs/2937757/software-engineer-aiml-aws-neuron-distributed-training?cmpid=DA_INAD200785B", "https://www.amazon.jobs/jobs/2937757/software-engineer-aiml-aws-neuron-distributed-training?cmpid=DA_INAD200785B")</f>
        <v/>
      </c>
      <c r="G76" t="inlineStr">
        <is>
          <t>Seattle, WA, US</t>
        </is>
      </c>
      <c r="H76" s="3" t="n">
        <v>45727</v>
      </c>
      <c r="I76"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in-9f7cc422fa1f72d0</t>
        </is>
      </c>
      <c r="B77" t="inlineStr">
        <is>
          <t>Software Engineer- AI/ML, AWS Neuron Distributed Training</t>
        </is>
      </c>
      <c r="C77" t="inlineStr">
        <is>
          <t>Amazon Web Services</t>
        </is>
      </c>
      <c r="D77" t="inlineStr">
        <is>
          <t>indeed</t>
        </is>
      </c>
      <c r="E77">
        <f>HYPERLINK("https://www.indeed.com/viewjob?jk=9f7cc422fa1f72d0", "https://www.indeed.com/viewjob?jk=9f7cc422fa1f72d0")</f>
        <v/>
      </c>
      <c r="F77">
        <f>HYPERLINK("https://www.amazon.jobs/jobs/2937757/software-engineer-aiml-aws-neuron-distributed-training?cmpid=DA_INAD200785B", "https://www.amazon.jobs/jobs/2937757/software-engineer-aiml-aws-neuron-distributed-training?cmpid=DA_INAD200785B")</f>
        <v/>
      </c>
      <c r="G77" t="inlineStr">
        <is>
          <t>Cupertino, CA, US</t>
        </is>
      </c>
      <c r="H77" s="3" t="n">
        <v>45727</v>
      </c>
      <c r="I77"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in-31ea31f9cae5bc65</t>
        </is>
      </c>
      <c r="B78" t="inlineStr">
        <is>
          <t>Sr. Software Engineer- AI/ML, AWS Neuron Distributed Training</t>
        </is>
      </c>
      <c r="C78" t="inlineStr">
        <is>
          <t>Amazon Web Services</t>
        </is>
      </c>
      <c r="D78" t="inlineStr">
        <is>
          <t>indeed</t>
        </is>
      </c>
      <c r="E78">
        <f>HYPERLINK("https://www.indeed.com/viewjob?jk=31ea31f9cae5bc65", "https://www.indeed.com/viewjob?jk=31ea31f9cae5bc65")</f>
        <v/>
      </c>
      <c r="F78">
        <f>HYPERLINK("https://www.amazon.jobs/jobs/2912412/sr-software-engineer-aiml-aws-neuron-distributed-training?cmpid=DA_INAD200785B", "https://www.amazon.jobs/jobs/2912412/sr-software-engineer-aiml-aws-neuron-distributed-training?cmpid=DA_INAD200785B")</f>
        <v/>
      </c>
      <c r="G78" t="inlineStr">
        <is>
          <t>Seattle, WA, US</t>
        </is>
      </c>
      <c r="H78" s="3" t="n">
        <v>45713</v>
      </c>
      <c r="I78"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in-4d16dfbf0cc3e089</t>
        </is>
      </c>
      <c r="B79" t="inlineStr">
        <is>
          <t>Sr. Software Engineer- AI/ML, AWS Neuron Distributed Training</t>
        </is>
      </c>
      <c r="C79" t="inlineStr">
        <is>
          <t>Amazon Web Services</t>
        </is>
      </c>
      <c r="D79" t="inlineStr">
        <is>
          <t>indeed</t>
        </is>
      </c>
      <c r="E79">
        <f>HYPERLINK("https://www.indeed.com/viewjob?jk=4d16dfbf0cc3e089", "https://www.indeed.com/viewjob?jk=4d16dfbf0cc3e089")</f>
        <v/>
      </c>
      <c r="F79">
        <f>HYPERLINK("https://www.amazon.jobs/jobs/2912412/sr-software-engineer-aiml-aws-neuron-distributed-training?cmpid=DA_INAD200785B", "https://www.amazon.jobs/jobs/2912412/sr-software-engineer-aiml-aws-neuron-distributed-training?cmpid=DA_INAD200785B")</f>
        <v/>
      </c>
      <c r="G79" t="inlineStr">
        <is>
          <t>Cupertino, CA, US</t>
        </is>
      </c>
      <c r="H79" s="3" t="n">
        <v>45713</v>
      </c>
      <c r="I79"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in-f71dcfee24434cec</t>
        </is>
      </c>
      <c r="B80" t="inlineStr">
        <is>
          <t>Contract Software Engineer</t>
        </is>
      </c>
      <c r="C80" t="inlineStr">
        <is>
          <t>Epype</t>
        </is>
      </c>
      <c r="D80" t="inlineStr">
        <is>
          <t>indeed</t>
        </is>
      </c>
      <c r="E80">
        <f>HYPERLINK("https://www.indeed.com/viewjob?jk=f71dcfee24434cec", "https://www.indeed.com/viewjob?jk=f71dcfee24434cec")</f>
        <v/>
      </c>
      <c r="F80">
        <f>HYPERLINK("http://www.indeed.com/job/contract-software-engineer-f71dcfee24434cec", "http://www.indeed.com/job/contract-software-engineer-f71dcfee24434cec")</f>
        <v/>
      </c>
      <c r="G80" t="inlineStr">
        <is>
          <t>Provo, UT, US</t>
        </is>
      </c>
      <c r="H80" s="3" t="n">
        <v>46040</v>
      </c>
      <c r="I80" t="inlineStr">
        <is>
          <t>**Job Summary**  
We are seeking a skilled Contract Software Engineer to join our team. This may become a full time position. We are looking for someone that has experience as listed below under Job Skills required. The work is for in office (Provo) work.
**Work History Required and Skills**
* Front/backend
* 3\+ years experience
Bachelor's degree
* PHP \- mix of procedural and object\-oriented
* MySQL \- table layout, indexingHTML5/CSS/JSComposer package/SDK usageAbility to follow existing code styleWriting unit/code tests
* Problem\-solving skillsgit knowledge (branching, etc.)Node.js experience a plusAWS CDK experience a plus
* Other AWS experience (IAM, S3, SQS, SNS, etc.) a plusExpected tasks: API expansion, 3rd\-party integrations, utility/task scripts, automated services (edited)
Pay: $68,088\.20 \- $85,000\.00 per year
Work Location: In person</t>
        </is>
      </c>
    </row>
    <row r="81">
      <c r="A81" t="inlineStr">
        <is>
          <t>in-b3d13d895b7585d4</t>
        </is>
      </c>
      <c r="B81" t="inlineStr">
        <is>
          <t>Senior/Staff Software Engineer</t>
        </is>
      </c>
      <c r="C81" t="inlineStr"/>
      <c r="D81" t="inlineStr">
        <is>
          <t>indeed</t>
        </is>
      </c>
      <c r="E81">
        <f>HYPERLINK("https://www.indeed.com/viewjob?jk=b3d13d895b7585d4", "https://www.indeed.com/viewjob?jk=b3d13d895b7585d4")</f>
        <v/>
      </c>
      <c r="F81">
        <f>HYPERLINK("https://jobs.ashbyhq.com/fauna-robotics/3c2d1b0f-e43f-4bba-b63b-aa89de311b94?utm_source=YqMNlBMvjr", "https://jobs.ashbyhq.com/fauna-robotics/3c2d1b0f-e43f-4bba-b63b-aa89de311b94?utm_source=YqMNlBMvjr")</f>
        <v/>
      </c>
      <c r="G81" t="inlineStr">
        <is>
          <t>New York, NY, US</t>
        </is>
      </c>
      <c r="H81" s="3" t="n">
        <v>46039</v>
      </c>
      <c r="I81" t="inlineStr">
        <is>
          <t>**Job Description**
-------------------
We are looking for talented and driven **Senior/Staff Software Engineers** to design and implement advanced software solutions for safe, intelligent, human\-centric robotic systems. Your contributions will focus on building software modules that empower robots to operate autonomously in dynamic and unpredictable environments – that is, the real world.
Whether you’re passionate about robotics, full\-stack development, or low\-level controls, this role offers opportunities to tackle exciting technical challenges and deliver impactful solutions. You’ll collaborate across disciplines, working closely with research, hardware, and operations teams to drive innovation and shape the future of intelligent robotics in the physical world.
**Key Responsibilities**
------------------------
* Develop and maintain software systems for robotic applications, including perception, navigation, motor control, reasoning, and human\-robot interaction.
* Write high\-quality, production\-level code to support robotic operations, including SDKs for developer use.
* Collaborate with research and machine learning teams to integrate state\-of\-the\-art AI models into robotic systems.
* Build systems to speed up the development processes of a multi\-disciplinary team of engineers and researchers.
* Partner with hardware and deployment teams to deliver seamless performance in real\-world environments.
**Required Skills \&amp; Qualifications**
-------------------------------------
* **Education**: Bachelor’s or Master’s degree in Computer Science, Robotics, Engineering, or a related field, or equivalent practical experience.
* **Work Experience**: 5\+ years of professional software development experience.
* **Technical Expertise**:
	+ Proficiency developing software in Python, C\+\+, and/or Rust.
	+ Strong grasp of software engineering principles, including system design, algorithms, and data structures.
**Nice\-to\-have Skills**
-------------------------
* Prior work experience with robotics (using ROS/ROS2 or otherwise) and/or a deep understanding of robotic subsystems such as computer vision, signal processing, or motor control.
* Experience delivering developer products with powerful SDKs and fault\-tolerant systems.
* Familiarity with machine learning, especially integrating models into real\-time systems.
* Knowledge of human\-robot interaction (or human\-computer interaction) principles.
**What We Offer**
-----------------
* The opportunity to work on groundbreaking robotics technology, enabling the next generation of humanoid robots to interact dynamically with their environments.
* A collaborative and innovative environment that fosters creativity and exploration.
* Equity ownership in the company
* Health Benefits (Medical, Dental, and Vision)
**Compensation**
----------------
$150k \- $225k/yr, plus equity</t>
        </is>
      </c>
    </row>
    <row r="82">
      <c r="A82" t="inlineStr">
        <is>
          <t>in-3ca41d1ae7e198f2</t>
        </is>
      </c>
      <c r="B82" t="inlineStr">
        <is>
          <t>Software Engineer / Principal Software Engineer</t>
        </is>
      </c>
      <c r="C82" t="inlineStr">
        <is>
          <t>Dhara Consulting Group</t>
        </is>
      </c>
      <c r="D82" t="inlineStr">
        <is>
          <t>indeed</t>
        </is>
      </c>
      <c r="E82">
        <f>HYPERLINK("https://www.indeed.com/viewjob?jk=3ca41d1ae7e198f2", "https://www.indeed.com/viewjob?jk=3ca41d1ae7e198f2")</f>
        <v/>
      </c>
      <c r="F82">
        <f>HYPERLINK("https://www.clearancejobs.com/jobs/8712599/software-engineer-principal-software-engineer", "https://www.clearancejobs.com/jobs/8712599/software-engineer-principal-software-engineer")</f>
        <v/>
      </c>
      <c r="G82" t="inlineStr">
        <is>
          <t>Robins AFB, GA, US</t>
        </is>
      </c>
      <c r="H82" s="3" t="n">
        <v>46039</v>
      </c>
      <c r="I82" t="inlineStr">
        <is>
          <t>Posted today
Secret
$79,300 \- $118,900
Unspecified
IT \- Software
Robins AFB, GA (On\-Site/Office)
RELOCATION ASSISTANCE: No relocation assistance available  
CLEARANCE TYPE: Secret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Put your skills to the test by pushing the boundaries of what's possible. From global defense to sustainment and modernization to mission readiness, your experience and ability will make it a reality. Our programs are built on equal parts of curiosity and collaboration. Our combined effort means our customers can connect and defend millions of people around the world. With Northrop Grumman, you'll have the opportunity to be an essential part of projects that will define your career, now and in the future.
Northrop Grumman Defense Sector has a need for a Software Engineer / Principal Software Engineer at its Integrated Mission Solutions (IMS) organization in Warner Robins, GA. This engineering position is for a role on our Software Engineering Team. In this role you will be supporting our AN/ALR\-56M/56C Integrated Support Station Engineering Services Program at Robins Air Force Base. You will support upgrades to the AN/ALR\-56M and AN/ALR\-56C Integrated Support Stations and associated software applications. This candidate will develop, integrate, test, document and deliver software upgrades in support of system integration testing. The candidate will have the opportunity to take ownership of difficult problems and drive to a solution while working in a supportive team environment. This position is located in Warner Robins, GA.  
**Your responsibilities will include:**  
* Develop, modify, maintain, and test embedded software using software engineering best practices and standards
* Participate in the full life cycle of software development, to include requirements development, application development, modular testing, integration, formal system testing, release, installation, and upgrades
* Apply technical expertise in solving complex integration problems
* Frequent opportunities to interact with Program Management, external suppliers and/or government customers, therefore excellent verbal, written and interpersonal skills are essential to succeeding in this role.
\*\*This position may be field at either Software Engineer or Principal Software Engineer level.  
**Basic Qualifications:**  
* **For Software Engineer Level:** A High School Diploma/GED and 6 years of systems or software engineering experience is required. A Bachelor's Degree in Computer Science, Software Engineering, Electrical Engineering, or Computer Engineering from an accredited university with at least 2\-years of systems or software engineering experience OR a master's degree OR a PhD in one of the above listed majors; will also be considered
* **For Principal Software Engineer Level:** A High School Diploma/GED and 9 years of systems or software engineering experience is required. A Bachelor's Degree in Computer Science, Software Engineering, Electrical Engineering, or Computer Engineering from an accredited university with at least 5 years of systems or software engineering experience OR a master's degree and 2 years related systems or software engineering experience OR a PhD in one of the above listed majors; will also be considered
* Proficient in C/C\+\+ software development
* Experience with Red Hat Enterprise Linux
* Experience with Qt Integrated Development Environment
* Ability to efficiently operate in a fast\-paced team in a customer\-driven environment
* Must currently hold or be able to obtain and maintain a U.S Department of Defense (DoD) Secret level security clearance within a reasonable amount of time as determined by the company to meet its business needs
**Preferred Qualifications:**  
* Bachelor's Degree in Computer Science, Software Engineering, Electrical Engineering, or Computer Engineering from an accredited university with at least 5\-years of systems or software engineering experience OR a master's degree in one of the above listed majors with at least 3\-years of systems or software engineering experience
* Experience with development in the VxWorks environment
* Experience developing custom displays and user interfaces
* Experience with embedded software development, integration and testing
* Experience developing and deploying software on FPGA platforms with embedded ARM cores
* Familiarity with containerization applications
* Familiarity with emulation of embedded processor systems
* Familiarity with Electronic Warfare (EW) and radar principles
* Familiarity with software configuration management tools (JIRA, GitLab.)
* Familiarity with integration of avionics interfaces (Ethernet, MIL\-STD\-1553B, ARINC\-429, etc.)
* Active Secret Security Clearance
NGSkills  
Primary Level Salary Range: $79,300\.00 \- $118,900\.00  
Secondary Level Salary Range: $98,400\.00 \- $147,600\.00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positions.**GROUP ID:** 10122071**R****Recruiter**
**APPLY NOW**</t>
        </is>
      </c>
    </row>
    <row r="83">
      <c r="A83" t="inlineStr">
        <is>
          <t>in-da5e28490b2f1670</t>
        </is>
      </c>
      <c r="B83" t="inlineStr">
        <is>
          <t>Software Engineer (lead) - level 4</t>
        </is>
      </c>
      <c r="C83" t="inlineStr">
        <is>
          <t>Dhara Consulting Group</t>
        </is>
      </c>
      <c r="D83" t="inlineStr">
        <is>
          <t>indeed</t>
        </is>
      </c>
      <c r="E83">
        <f>HYPERLINK("https://www.indeed.com/viewjob?jk=da5e28490b2f1670", "https://www.indeed.com/viewjob?jk=da5e28490b2f1670")</f>
        <v/>
      </c>
      <c r="F83">
        <f>HYPERLINK("https://www.clearancejobs.com/jobs/8712596/software-engineer-lead-level-4", "https://www.clearancejobs.com/jobs/8712596/software-engineer-lead-level-4")</f>
        <v/>
      </c>
      <c r="G83" t="inlineStr">
        <is>
          <t>Fairfax, VA, US</t>
        </is>
      </c>
      <c r="H83" s="3" t="n">
        <v>46039</v>
      </c>
      <c r="I83" t="inlineStr">
        <is>
          <t>Posted today
Top Secret/SCI
$142,200 \- $213,400
Unspecified
IT \- Software
Fairfax, VA (On\-Site/Office)
RELOCATION ASSISTANCE: Relocation assistance may be available  
CLEARANCE TYPE: SCI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Expand your horizons, advance your career, and contribute to a secure future for generations. Northrop Grumman's Space Sector invites you to bring your pioneering spirit to our collaborative teams.  
This Software Engineer (lead) \- Level 4 role at our **Fairfax, VA location.**  
**This position is 100% onsite and cannot accommodate telecommute work** This position will work a 9/80 schedule, with every other Friday off.
This role will lead a small team of software developers to advance a new tool that simulates data flow through a network of satellites and ground stations. This role will work with large datasets from various sources to develop software that characterizes and predicts the impacts of the atmosphere on various missions and integrates communications network traffic solutions to optimize data flow through the system. The work will include complex algorithm development for software that contains logical and mathematical solutions to quantify and optimize operational decision\-making and mission performance.  
The ideal candidate will possess strong object\-oriented python programming skills and attributes that include collaboration, creativity, curiosity, and critical thinking. The candidate should place a high value on rigorous testing, comprehensive documentation, and the maintainability of the software solutions. The ideal candidate will also have experience with satellite systems and networking.
**Key Responsibilities**  
* Contribute to architecture decisions by evaluating the pros and cons of approaches and technologies, and how they align with the project's goals and requirements.
* Design and implement new software or modify existing software to add new features
* Identify and fix bugs in the code, while considering greater impact on the software application as a whole
* Develop tests that verify the correctness of the code and ensure it meets system requirements
* Design, develop, and modify software pipelines and deployment methods to automate the software development process, ensuring consistency and efficiency.
* Collaborate with other teams, such as network specialists, to ensure that the simulation software properly models relevant parameters.
* Lead, mentor, and task less experienced software developers to create software capability
* Support and deliver technical updates to Government customer.
* Leads effort to transfer existing software tools and datasets from an Unclassified to a Classified environment
This position is contingent upon clearance verification and transfer to the NG sponsored program as well as continued ability to maintain required clearance level. US Citizenship is required.
**Basic Qualifications (** must have to be considered **)**  
* Requires an **active** DoD Top\-Secret **(TS)** with Sensitive Compartmented Information **(SCI)** **clearance \[TS/SCI] at time of application.**
* **Level 4**: (Senior Principal level)  
	+ Bachelor's degree with 8 years of software development experience  
		- An additional 4 years of experience may be considered in lieu of a completed Bachelor's
	+ Master's degree with 6 years of software development experience
	+ PhD with 4 years of software development experience
* 3\+ years of non\-internship professional software development experience in Python.
* Experience in software architecture design patterns.
* Experience with Version Control practices ( Gitlab Preferred).
* A basic understanding of the network stack and associated network protocols.
* Strong software engineering fundamentals.
**Preferred Qualifications (** not required but preferred **)**  
* STEM degree
* Experience with developing or using containerized software
* Experience with DevOps fundamentals and the maintenance of software pipelines
* Experience with productizing software solutions
* Experience leading junior software developers
* Experience with satellite network management and traffic topology
**Curious about all the exciting developments with the Northrop Grumman Space Sector? Click the link below:**  
https://www.northropgrumman.com/space
Working at Northrop Grumman is more than just a paycheck. We offer a comprehensive Total Rewards and benefits package designed to help you thrive at work and in life. For more information on our Total Rewards package, please visit our Total Rewards site.  
**Northrop Grumman Total Rewards**
Primary Level Salary Range: $142,200\.00 \- $213,400\.00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positions.**GROUP ID:** 10122071**R****Recruiter**
**APPLY NOW**</t>
        </is>
      </c>
    </row>
    <row r="84">
      <c r="A84" t="inlineStr">
        <is>
          <t>in-07c4ea723a1c5020</t>
        </is>
      </c>
      <c r="B84" t="inlineStr">
        <is>
          <t>Python Software Engineer</t>
        </is>
      </c>
      <c r="C84" t="inlineStr">
        <is>
          <t>Acuity Inc.</t>
        </is>
      </c>
      <c r="D84" t="inlineStr">
        <is>
          <t>indeed</t>
        </is>
      </c>
      <c r="E84">
        <f>HYPERLINK("https://www.indeed.com/viewjob?jk=07c4ea723a1c5020", "https://www.indeed.com/viewjob?jk=07c4ea723a1c5020")</f>
        <v/>
      </c>
      <c r="F84">
        <f>HYPERLINK("https://careers.acuityinc.com/job/Boulder-Python-Software-Engineer-CO-80301/1336099000/?feedId=275200&amp;utm_source=Indeed&amp;utm_campaign=Acuity_Indeed", "https://careers.acuityinc.com/job/Boulder-Python-Software-Engineer-CO-80301/1336099000/?feedId=275200&amp;utm_source=Indeed&amp;utm_campaign=Acuity_Indeed")</f>
        <v/>
      </c>
      <c r="G84" t="inlineStr">
        <is>
          <t>Boulder, CO, US</t>
        </is>
      </c>
      <c r="H84" s="3" t="n">
        <v>46039</v>
      </c>
      <c r="I84" t="inlineStr">
        <is>
          <t>QSC is creating exceptional, people\-centric experiences with the perfect balance of technology and creativity. Q\-SYS, our innovative full stack audio, video and control platform, unifies data, devices and a cloud\-first architecture, empowering organizations to deliver transformative AV experiences across built spaces. Building on the QSC legacy, QSC Audio delivers audio technology that empowers live entertainers and sound reinforcement professionals with the confidence to create and deliver memorable experiences for their audiences.
Atrius, Distech Controls and QSC are part of the Acuity Intelligent Spaces (AIS) business segment. Our mission is to make spaces smarter, safer and greener through our strategy of connecting the edge with the cloud using disruptive technologies that leverage data interoperability.
Acuity Inc. (NYSE: AYI) is a market\-leading industrial technology company. We use technology to solve problems in spaces, light and more things to come. Through our two business segments, Acuity Brands Lighting (ABL) and Acuity Intelligent Spaces (AIS), we design, manufacture, and bring to market products and services that make a valuable difference in people’s lives.
We achieve growth through the development of innovative new products and services, including lighting, lighting controls, building management solutions, and an audio, video and control platform. We focus on customer outcomes and drive growth and productivity to increase market share and deliver superior returns. We look to aggressively deploy capital to grow the business and to enter attractive new verticals. Acuity Inc. is based in Atlanta, Georgia, with operations across North America, Europe and Asia. The Company is powered by approximately 13,000 dedicated and talented associates. Visit us at www.acuityinc.com.
**Job Summary**
---------------
The Python Software Engineer develops scripts, applications, and solutions across the full suite of Audio, Video, Control \- and Building System spaces \- focusing on solving the problems that can't be solved traditionally. The team focuses at the intersetion of physical spaces, AV systems, building systems, and artificial intelligence. Join us as we not only imagine the future of intelligent spaces \- but develop them! We are progressive with technology, move fast, and drive outcomes that are then incorporated into larger and broader production applications.
**Key Tasks \&amp; Responsibilities (Essential Functions)**
-------------------------------------------------------
* Write python code to support research, AI, and data activities within the applied research team.
* Code review and ideation.
* Support demonstrations, lab activities, and tradeshow presence.
* Other duties as assigned.
**Skills and Minimum Experience Required**
------------------------------------------
* Bachelor’s Degree or Equivalent
* Fluent knowledge of Python and implementation across Windows and Linux required.
* Experience with LangChain, MCP, RAG A2A required
* Experience with typical python libraries (async, json, typing, pandas, scikit\-learn, etc.) required
* Experience with Docker required.
* Experience in BMS (Building Management Services) or A/V (Audio/Visual) systems and programming a plus.
* Experience in Microsoft Azure a plus.
* Experience with Weights and Biases a plus.
QSC. is owned by Acuity Inc., which is located in the United States. These companies share a global recruitment system on which the data you provide will be stored, and which will be subject to the laws of the United States of America.
The range for this position is $93,000 to $167,400\. Placement within this range may vary, depending on the applicant’s experience and geographic location. Acuity offers generous benefits including health care, dental coverage, vision plans, 401K benefits, and commissions/incentive compensation depending on role. For a list of our benefits, click here.
We value diversity and are an equal opportunity employer. All qualified applicants will be considered for employment without regards to race, color, age, gender, sexual orientation, gender identity and expression, ethnicity or national origin, disability, pregnancy, religion, covered veteran status, protected genetic information, or any other characteristic protected by law.
 **Accommodation for Applicants with Disabilities:** As an equal opportunity employer, Acuity Inc. is committed to providing reasonable accommodations in its application process for qualified individuals with disabilities and disabled veterans. If you have difficulty using our online system due to a disability and need accommodation, you may contact us at (770\) 922\-9000\. Please clearly indicate what type of accommodation you are requesting and for what requisition.
Any unsolicited resumes sent to Acuity Inc. from a third party, such as an Agency recruiter, including unsolicited resumes sent to an Acuity Inc. mailing address, fax machine or email address, directly to Acuity Inc. employees, or to Acuity Inc. resume database will be considered Acuity Inc. property. Acuity Inc. will NOT pay a fee for any placement resulting from the receipt of an unsolicited resume.
Acuity Inc. will consider any candidate for whom an Agency has submitted an unsolicited resume to have been referred by the Agency free of any charges or fees. This includes any Agency that is an approved/engaged vendor, but does not have the appropriate approvals to be engaged on a search.
E\-Verify Participation Poster
e\-verify.gov
eeoc.gov</t>
        </is>
      </c>
    </row>
    <row r="85">
      <c r="A85" t="inlineStr">
        <is>
          <t>in-fd87a9441b941c24</t>
        </is>
      </c>
      <c r="B85" t="inlineStr">
        <is>
          <t>Software Engineer</t>
        </is>
      </c>
      <c r="C85" t="inlineStr">
        <is>
          <t>Amazon.com</t>
        </is>
      </c>
      <c r="D85" t="inlineStr">
        <is>
          <t>indeed</t>
        </is>
      </c>
      <c r="E85">
        <f>HYPERLINK("https://www.indeed.com/viewjob?jk=fd87a9441b941c24", "https://www.indeed.com/viewjob?jk=fd87a9441b941c24")</f>
        <v/>
      </c>
      <c r="F85">
        <f>HYPERLINK("https://www.amazon.jobs/jobs/3145977/software-engineer?cmpid=DA_INAD200785B", "https://www.amazon.jobs/jobs/3145977/software-engineer?cmpid=DA_INAD200785B")</f>
        <v/>
      </c>
      <c r="G85" t="inlineStr">
        <is>
          <t>San Francisco, CA, US</t>
        </is>
      </c>
      <c r="H85" s="3" t="n">
        <v>46008</v>
      </c>
      <c r="I8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in-b64eaf9040f41f2d</t>
        </is>
      </c>
      <c r="B86" t="inlineStr">
        <is>
          <t>Software Engineer</t>
        </is>
      </c>
      <c r="C86" t="inlineStr">
        <is>
          <t>Amazon.com</t>
        </is>
      </c>
      <c r="D86" t="inlineStr">
        <is>
          <t>indeed</t>
        </is>
      </c>
      <c r="E86">
        <f>HYPERLINK("https://www.indeed.com/viewjob?jk=b64eaf9040f41f2d", "https://www.indeed.com/viewjob?jk=b64eaf9040f41f2d")</f>
        <v/>
      </c>
      <c r="F86">
        <f>HYPERLINK("https://www.amazon.jobs/jobs/3145977/software-engineer?cmpid=DA_INAD200785B", "https://www.amazon.jobs/jobs/3145977/software-engineer?cmpid=DA_INAD200785B")</f>
        <v/>
      </c>
      <c r="G86" t="inlineStr">
        <is>
          <t>Seattle, WA, US</t>
        </is>
      </c>
      <c r="H86" s="3" t="n">
        <v>46008</v>
      </c>
      <c r="I8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in-831c2df28c095f94</t>
        </is>
      </c>
      <c r="B87" t="inlineStr">
        <is>
          <t>Sr. Embedded Software Engineer - FPGA Systems, Amazon Leo's Wireless Systems</t>
        </is>
      </c>
      <c r="C87" t="inlineStr">
        <is>
          <t>Amazon.com</t>
        </is>
      </c>
      <c r="D87" t="inlineStr">
        <is>
          <t>indeed</t>
        </is>
      </c>
      <c r="E87">
        <f>HYPERLINK("https://www.indeed.com/viewjob?jk=831c2df28c095f94", "https://www.indeed.com/viewjob?jk=831c2df28c095f94")</f>
        <v/>
      </c>
      <c r="F87">
        <f>HYPERLINK("https://www.amazon.jobs/jobs/3146069/sr-embedded-software-engineer--fpga-systems-amazon-leos-wireless-systems-?cmpid=DA_INAD200785B", "https://www.amazon.jobs/jobs/3146069/sr-embedded-software-engineer--fpga-systems-amazon-leos-wireless-systems-?cmpid=DA_INAD200785B")</f>
        <v/>
      </c>
      <c r="G87" t="inlineStr">
        <is>
          <t>Sunnyvale, CA, US</t>
        </is>
      </c>
      <c r="H87" s="3" t="n">
        <v>46008</v>
      </c>
      <c r="I87"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in-4a9f58a6761e8428</t>
        </is>
      </c>
      <c r="B88" t="inlineStr">
        <is>
          <t>Sr. Embedded Software Engineer - FPGA Systems, Amazon Leo's Wireless Systems</t>
        </is>
      </c>
      <c r="C88" t="inlineStr">
        <is>
          <t>Amazon.com</t>
        </is>
      </c>
      <c r="D88" t="inlineStr">
        <is>
          <t>indeed</t>
        </is>
      </c>
      <c r="E88">
        <f>HYPERLINK("https://www.indeed.com/viewjob?jk=4a9f58a6761e8428", "https://www.indeed.com/viewjob?jk=4a9f58a6761e8428")</f>
        <v/>
      </c>
      <c r="F88">
        <f>HYPERLINK("https://www.amazon.jobs/jobs/3146069/sr-embedded-software-engineer--fpga-systems-amazon-leos-wireless-systems-?cmpid=DA_INAD200785B", "https://www.amazon.jobs/jobs/3146069/sr-embedded-software-engineer--fpga-systems-amazon-leos-wireless-systems-?cmpid=DA_INAD200785B")</f>
        <v/>
      </c>
      <c r="G88" t="inlineStr">
        <is>
          <t>Austin, TX, US</t>
        </is>
      </c>
      <c r="H88" s="3" t="n">
        <v>46008</v>
      </c>
      <c r="I88"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in-a1971d5de48ac110</t>
        </is>
      </c>
      <c r="B89" t="inlineStr">
        <is>
          <t>Sr. Embedded Software Engineer - FPGA Systems, Amazon Leo's Wireless Systems</t>
        </is>
      </c>
      <c r="C89" t="inlineStr">
        <is>
          <t>Amazon.com</t>
        </is>
      </c>
      <c r="D89" t="inlineStr">
        <is>
          <t>indeed</t>
        </is>
      </c>
      <c r="E89">
        <f>HYPERLINK("https://www.indeed.com/viewjob?jk=a1971d5de48ac110", "https://www.indeed.com/viewjob?jk=a1971d5de48ac110")</f>
        <v/>
      </c>
      <c r="F89">
        <f>HYPERLINK("https://www.amazon.jobs/jobs/3146069/sr-embedded-software-engineer--fpga-systems-amazon-leos-wireless-systems-?cmpid=DA_INAD200785B", "https://www.amazon.jobs/jobs/3146069/sr-embedded-software-engineer--fpga-systems-amazon-leos-wireless-systems-?cmpid=DA_INAD200785B")</f>
        <v/>
      </c>
      <c r="G89" t="inlineStr">
        <is>
          <t>San Diego, CA, US</t>
        </is>
      </c>
      <c r="H89" s="3" t="n">
        <v>46008</v>
      </c>
      <c r="I89"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in-b356f036dd355c2e</t>
        </is>
      </c>
      <c r="B90" t="inlineStr">
        <is>
          <t>Software Engineer I</t>
        </is>
      </c>
      <c r="C90" t="inlineStr">
        <is>
          <t>Amazon.com</t>
        </is>
      </c>
      <c r="D90" t="inlineStr">
        <is>
          <t>indeed</t>
        </is>
      </c>
      <c r="E90">
        <f>HYPERLINK("https://www.indeed.com/viewjob?jk=b356f036dd355c2e", "https://www.indeed.com/viewjob?jk=b356f036dd355c2e")</f>
        <v/>
      </c>
      <c r="F90">
        <f>HYPERLINK("https://www.amazon.jobs/jobs/3144113/software-engineer-i?cmpid=DA_INAD200785B", "https://www.amazon.jobs/jobs/3144113/software-engineer-i?cmpid=DA_INAD200785B")</f>
        <v/>
      </c>
      <c r="G90" t="inlineStr">
        <is>
          <t>San Francisco, CA, US</t>
        </is>
      </c>
      <c r="H90" s="3" t="n">
        <v>46006</v>
      </c>
      <c r="I9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in-137cfc46f463893e</t>
        </is>
      </c>
      <c r="B91" t="inlineStr">
        <is>
          <t>Software Engineer I</t>
        </is>
      </c>
      <c r="C91" t="inlineStr">
        <is>
          <t>Amazon.com</t>
        </is>
      </c>
      <c r="D91" t="inlineStr">
        <is>
          <t>indeed</t>
        </is>
      </c>
      <c r="E91">
        <f>HYPERLINK("https://www.indeed.com/viewjob?jk=137cfc46f463893e", "https://www.indeed.com/viewjob?jk=137cfc46f463893e")</f>
        <v/>
      </c>
      <c r="F91">
        <f>HYPERLINK("https://www.amazon.jobs/jobs/3144113/software-engineer-i?cmpid=DA_INAD200785B", "https://www.amazon.jobs/jobs/3144113/software-engineer-i?cmpid=DA_INAD200785B")</f>
        <v/>
      </c>
      <c r="G91" t="inlineStr">
        <is>
          <t>Seattle, WA, US</t>
        </is>
      </c>
      <c r="H91" s="3" t="n">
        <v>46006</v>
      </c>
      <c r="I9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in-d8c3c09fad419293</t>
        </is>
      </c>
      <c r="B92" t="inlineStr">
        <is>
          <t>Software Engineer I</t>
        </is>
      </c>
      <c r="C92" t="inlineStr">
        <is>
          <t>Amazon.com</t>
        </is>
      </c>
      <c r="D92" t="inlineStr">
        <is>
          <t>indeed</t>
        </is>
      </c>
      <c r="E92">
        <f>HYPERLINK("https://www.indeed.com/viewjob?jk=d8c3c09fad419293", "https://www.indeed.com/viewjob?jk=d8c3c09fad419293")</f>
        <v/>
      </c>
      <c r="F92">
        <f>HYPERLINK("https://www.amazon.jobs/jobs/3144113/software-engineer-i?cmpid=DA_INAD200785B", "https://www.amazon.jobs/jobs/3144113/software-engineer-i?cmpid=DA_INAD200785B")</f>
        <v/>
      </c>
      <c r="G92" t="inlineStr">
        <is>
          <t>Irvine, CA, US</t>
        </is>
      </c>
      <c r="H92" s="3" t="n">
        <v>46006</v>
      </c>
      <c r="I9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in-d0ebbe9b4a2a1e4b</t>
        </is>
      </c>
      <c r="B93" t="inlineStr">
        <is>
          <t>Sr Software Engineer, Amazon Ads Exchange</t>
        </is>
      </c>
      <c r="C93" t="inlineStr">
        <is>
          <t>Amazon.com</t>
        </is>
      </c>
      <c r="D93" t="inlineStr">
        <is>
          <t>indeed</t>
        </is>
      </c>
      <c r="E93">
        <f>HYPERLINK("https://www.indeed.com/viewjob?jk=d0ebbe9b4a2a1e4b", "https://www.indeed.com/viewjob?jk=d0ebbe9b4a2a1e4b")</f>
        <v/>
      </c>
      <c r="F93">
        <f>HYPERLINK("https://www.amazon.jobs/jobs/3146713/sr-software-engineer-amazon-ads-exchange?cmpid=DA_INAD200785B", "https://www.amazon.jobs/jobs/3146713/sr-software-engineer-amazon-ads-exchange?cmpid=DA_INAD200785B")</f>
        <v/>
      </c>
      <c r="G93" t="inlineStr">
        <is>
          <t>Arlington, VA, US</t>
        </is>
      </c>
      <c r="H93" s="3" t="n">
        <v>46002</v>
      </c>
      <c r="I93"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in-97132c1d8025f4b4</t>
        </is>
      </c>
      <c r="B94" t="inlineStr">
        <is>
          <t>Sr Software Engineer, Amazon Ads Exchange</t>
        </is>
      </c>
      <c r="C94" t="inlineStr">
        <is>
          <t>Amazon.com</t>
        </is>
      </c>
      <c r="D94" t="inlineStr">
        <is>
          <t>indeed</t>
        </is>
      </c>
      <c r="E94">
        <f>HYPERLINK("https://www.indeed.com/viewjob?jk=97132c1d8025f4b4", "https://www.indeed.com/viewjob?jk=97132c1d8025f4b4")</f>
        <v/>
      </c>
      <c r="F94">
        <f>HYPERLINK("https://www.amazon.jobs/jobs/3146713/sr-software-engineer-amazon-ads-exchange?cmpid=DA_INAD200785B", "https://www.amazon.jobs/jobs/3146713/sr-software-engineer-amazon-ads-exchange?cmpid=DA_INAD200785B")</f>
        <v/>
      </c>
      <c r="G94" t="inlineStr">
        <is>
          <t>San Francisco, CA, US</t>
        </is>
      </c>
      <c r="H94" s="3" t="n">
        <v>46002</v>
      </c>
      <c r="I94"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in-52b01d802a49871e</t>
        </is>
      </c>
      <c r="B95" t="inlineStr">
        <is>
          <t>Sr Software Engineer, Amazon Ads Exchange</t>
        </is>
      </c>
      <c r="C95" t="inlineStr">
        <is>
          <t>Amazon.com</t>
        </is>
      </c>
      <c r="D95" t="inlineStr">
        <is>
          <t>indeed</t>
        </is>
      </c>
      <c r="E95">
        <f>HYPERLINK("https://www.indeed.com/viewjob?jk=52b01d802a49871e", "https://www.indeed.com/viewjob?jk=52b01d802a49871e")</f>
        <v/>
      </c>
      <c r="F95">
        <f>HYPERLINK("https://www.amazon.jobs/jobs/3146713/sr-software-engineer-amazon-ads-exchange?cmpid=DA_INAD200785B", "https://www.amazon.jobs/jobs/3146713/sr-software-engineer-amazon-ads-exchange?cmpid=DA_INAD200785B")</f>
        <v/>
      </c>
      <c r="G95" t="inlineStr">
        <is>
          <t>Palo Alto, CA, US</t>
        </is>
      </c>
      <c r="H95" s="3" t="n">
        <v>46002</v>
      </c>
      <c r="I95"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in-d27a1d2950f8626c</t>
        </is>
      </c>
      <c r="B96" t="inlineStr">
        <is>
          <t>Software Engineer I</t>
        </is>
      </c>
      <c r="C96" t="inlineStr">
        <is>
          <t>Amazon.com</t>
        </is>
      </c>
      <c r="D96" t="inlineStr">
        <is>
          <t>indeed</t>
        </is>
      </c>
      <c r="E96">
        <f>HYPERLINK("https://www.indeed.com/viewjob?jk=d27a1d2950f8626c", "https://www.indeed.com/viewjob?jk=d27a1d2950f8626c")</f>
        <v/>
      </c>
      <c r="F96">
        <f>HYPERLINK("https://www.amazon.jobs/jobs/3141336/software-engineer-i?cmpid=DA_INAD200785B", "https://www.amazon.jobs/jobs/3141336/software-engineer-i?cmpid=DA_INAD200785B")</f>
        <v/>
      </c>
      <c r="G96" t="inlineStr">
        <is>
          <t>San Francisco, CA, US</t>
        </is>
      </c>
      <c r="H96" s="3" t="n">
        <v>46001</v>
      </c>
      <c r="I9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in-32a02261e8bf9c25</t>
        </is>
      </c>
      <c r="B97" t="inlineStr">
        <is>
          <t>Software Engineer I</t>
        </is>
      </c>
      <c r="C97" t="inlineStr">
        <is>
          <t>Amazon.com</t>
        </is>
      </c>
      <c r="D97" t="inlineStr">
        <is>
          <t>indeed</t>
        </is>
      </c>
      <c r="E97">
        <f>HYPERLINK("https://www.indeed.com/viewjob?jk=32a02261e8bf9c25", "https://www.indeed.com/viewjob?jk=32a02261e8bf9c25")</f>
        <v/>
      </c>
      <c r="F97">
        <f>HYPERLINK("https://www.amazon.jobs/jobs/3141336/software-engineer-i?cmpid=DA_INAD200785B", "https://www.amazon.jobs/jobs/3141336/software-engineer-i?cmpid=DA_INAD200785B")</f>
        <v/>
      </c>
      <c r="G97" t="inlineStr">
        <is>
          <t>Seattle, WA, US</t>
        </is>
      </c>
      <c r="H97" s="3" t="n">
        <v>46001</v>
      </c>
      <c r="I9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in-70fc37bcce16d6fb</t>
        </is>
      </c>
      <c r="B98" t="inlineStr">
        <is>
          <t>Software Engineer II, Twitch</t>
        </is>
      </c>
      <c r="C98" t="inlineStr">
        <is>
          <t>Amazon.com</t>
        </is>
      </c>
      <c r="D98" t="inlineStr">
        <is>
          <t>indeed</t>
        </is>
      </c>
      <c r="E98">
        <f>HYPERLINK("https://www.indeed.com/viewjob?jk=70fc37bcce16d6fb", "https://www.indeed.com/viewjob?jk=70fc37bcce16d6fb")</f>
        <v/>
      </c>
      <c r="F98">
        <f>HYPERLINK("https://www.amazon.jobs/jobs/3138052/software-engineer-ii-twitch?cmpid=DA_INAD200785B", "https://www.amazon.jobs/jobs/3138052/software-engineer-ii-twitch?cmpid=DA_INAD200785B")</f>
        <v/>
      </c>
      <c r="G98" t="inlineStr">
        <is>
          <t>San Francisco, CA, US</t>
        </is>
      </c>
      <c r="H98" s="3" t="n">
        <v>45995</v>
      </c>
      <c r="I98"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in-b13e27fd88e631d7</t>
        </is>
      </c>
      <c r="B99" t="inlineStr">
        <is>
          <t>Software Engineer II, Android</t>
        </is>
      </c>
      <c r="C99" t="inlineStr">
        <is>
          <t>Amazon.com</t>
        </is>
      </c>
      <c r="D99" t="inlineStr">
        <is>
          <t>indeed</t>
        </is>
      </c>
      <c r="E99">
        <f>HYPERLINK("https://www.indeed.com/viewjob?jk=b13e27fd88e631d7", "https://www.indeed.com/viewjob?jk=b13e27fd88e631d7")</f>
        <v/>
      </c>
      <c r="F99">
        <f>HYPERLINK("https://www.amazon.jobs/jobs/3138330/software-engineer-ii-android?cmpid=DA_INAD200785B", "https://www.amazon.jobs/jobs/3138330/software-engineer-ii-android?cmpid=DA_INAD200785B")</f>
        <v/>
      </c>
      <c r="G99" t="inlineStr">
        <is>
          <t>Seattle, WA, US</t>
        </is>
      </c>
      <c r="H99" s="3" t="n">
        <v>45995</v>
      </c>
      <c r="I9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in-268e7038ff322b6c</t>
        </is>
      </c>
      <c r="B100" t="inlineStr">
        <is>
          <t>Software Engineer II, Android</t>
        </is>
      </c>
      <c r="C100" t="inlineStr">
        <is>
          <t>Amazon.com</t>
        </is>
      </c>
      <c r="D100" t="inlineStr">
        <is>
          <t>indeed</t>
        </is>
      </c>
      <c r="E100">
        <f>HYPERLINK("https://www.indeed.com/viewjob?jk=268e7038ff322b6c", "https://www.indeed.com/viewjob?jk=268e7038ff322b6c")</f>
        <v/>
      </c>
      <c r="F100">
        <f>HYPERLINK("https://www.amazon.jobs/jobs/3138330/software-engineer-ii-android?cmpid=DA_INAD200785B", "https://www.amazon.jobs/jobs/3138330/software-engineer-ii-android?cmpid=DA_INAD200785B")</f>
        <v/>
      </c>
      <c r="G100" t="inlineStr">
        <is>
          <t>San Francisco, CA, US</t>
        </is>
      </c>
      <c r="H100" s="3" t="n">
        <v>45995</v>
      </c>
      <c r="I10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in-52eb3ea956c5a96f</t>
        </is>
      </c>
      <c r="B101" t="inlineStr">
        <is>
          <t>Software Engineer II, Twitch</t>
        </is>
      </c>
      <c r="C101" t="inlineStr">
        <is>
          <t>Amazon.com</t>
        </is>
      </c>
      <c r="D101" t="inlineStr">
        <is>
          <t>indeed</t>
        </is>
      </c>
      <c r="E101">
        <f>HYPERLINK("https://www.indeed.com/viewjob?jk=52eb3ea956c5a96f", "https://www.indeed.com/viewjob?jk=52eb3ea956c5a96f")</f>
        <v/>
      </c>
      <c r="F101">
        <f>HYPERLINK("https://www.amazon.jobs/jobs/3138052/software-engineer-ii-twitch?cmpid=DA_INAD200785B", "https://www.amazon.jobs/jobs/3138052/software-engineer-ii-twitch?cmpid=DA_INAD200785B")</f>
        <v/>
      </c>
      <c r="G101" t="inlineStr">
        <is>
          <t>Seattle, WA, US</t>
        </is>
      </c>
      <c r="H101" s="3" t="n">
        <v>45995</v>
      </c>
      <c r="I101"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in-0898a61d978297ba</t>
        </is>
      </c>
      <c r="B102" t="inlineStr">
        <is>
          <t>Software Engineer II, Android</t>
        </is>
      </c>
      <c r="C102" t="inlineStr">
        <is>
          <t>Amazon.com</t>
        </is>
      </c>
      <c r="D102" t="inlineStr">
        <is>
          <t>indeed</t>
        </is>
      </c>
      <c r="E102">
        <f>HYPERLINK("https://www.indeed.com/viewjob?jk=0898a61d978297ba", "https://www.indeed.com/viewjob?jk=0898a61d978297ba")</f>
        <v/>
      </c>
      <c r="F102">
        <f>HYPERLINK("https://www.amazon.jobs/jobs/3138330/software-engineer-ii-android?cmpid=DA_INAD200785B", "https://www.amazon.jobs/jobs/3138330/software-engineer-ii-android?cmpid=DA_INAD200785B")</f>
        <v/>
      </c>
      <c r="G102" t="inlineStr">
        <is>
          <t>Irvine, CA, US</t>
        </is>
      </c>
      <c r="H102" s="3" t="n">
        <v>45995</v>
      </c>
      <c r="I10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in-ed2767a4bbf3ca05</t>
        </is>
      </c>
      <c r="B103" t="inlineStr">
        <is>
          <t>Embedded Software Engineer, Merlin Manager</t>
        </is>
      </c>
      <c r="C103" t="inlineStr">
        <is>
          <t>Amazon.com</t>
        </is>
      </c>
      <c r="D103" t="inlineStr">
        <is>
          <t>indeed</t>
        </is>
      </c>
      <c r="E103">
        <f>HYPERLINK("https://www.indeed.com/viewjob?jk=ed2767a4bbf3ca05", "https://www.indeed.com/viewjob?jk=ed2767a4bbf3ca05")</f>
        <v/>
      </c>
      <c r="F103">
        <f>HYPERLINK("https://www.amazon.jobs/jobs/3136032/embedded-software-engineer-merlin-manager?cmpid=DA_INAD200785B", "https://www.amazon.jobs/jobs/3136032/embedded-software-engineer-merlin-manager?cmpid=DA_INAD200785B")</f>
        <v/>
      </c>
      <c r="G103" t="inlineStr">
        <is>
          <t>Sunnyvale, CA, US</t>
        </is>
      </c>
      <c r="H103" s="3" t="n">
        <v>45981</v>
      </c>
      <c r="I103"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in-789e86d24997853a</t>
        </is>
      </c>
      <c r="B104" t="inlineStr">
        <is>
          <t>Embedded Software Engineer, Merlin Manager</t>
        </is>
      </c>
      <c r="C104" t="inlineStr">
        <is>
          <t>Amazon.com</t>
        </is>
      </c>
      <c r="D104" t="inlineStr">
        <is>
          <t>indeed</t>
        </is>
      </c>
      <c r="E104">
        <f>HYPERLINK("https://www.indeed.com/viewjob?jk=789e86d24997853a", "https://www.indeed.com/viewjob?jk=789e86d24997853a")</f>
        <v/>
      </c>
      <c r="F104">
        <f>HYPERLINK("https://www.amazon.jobs/jobs/3136032/embedded-software-engineer-merlin-manager?cmpid=DA_INAD200785B", "https://www.amazon.jobs/jobs/3136032/embedded-software-engineer-merlin-manager?cmpid=DA_INAD200785B")</f>
        <v/>
      </c>
      <c r="G104" t="inlineStr">
        <is>
          <t>Redmond, WA, US</t>
        </is>
      </c>
      <c r="H104" s="3" t="n">
        <v>45981</v>
      </c>
      <c r="I104"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in-9a330e61f06d9ef2</t>
        </is>
      </c>
      <c r="B105" t="inlineStr">
        <is>
          <t>Associate Software Engineer, Full-Stack Development</t>
        </is>
      </c>
      <c r="C105" t="inlineStr"/>
      <c r="D105" t="inlineStr">
        <is>
          <t>indeed</t>
        </is>
      </c>
      <c r="E105">
        <f>HYPERLINK("https://www.indeed.com/viewjob?jk=9a330e61f06d9ef2", "https://www.indeed.com/viewjob?jk=9a330e61f06d9ef2")</f>
        <v/>
      </c>
      <c r="F105">
        <f>HYPERLINK("https://grnh.se/2yph3ejl3us", "https://grnh.se/2yph3ejl3us")</f>
        <v/>
      </c>
      <c r="G105" t="inlineStr">
        <is>
          <t>Philadelphia, PA, US</t>
        </is>
      </c>
      <c r="H105" s="3" t="n">
        <v>45963</v>
      </c>
      <c r="I105" t="inlineStr">
        <is>
          <t>**Title:** Associate Software Engineer, Full\-Stack Development  
**Department:** Research and Development  
**Reports to:** Manager, Software Engineering  
**Status:** Hourly Part\-Time Seasonal  
**Location:** Philadelphia, PA
**Position Overview:**
The work of an Associate Software Engineer at the Phillies extends well beyond merely coding. Phillies Engineering takes a product\-centered approach in creating the platform, systems, and tooling that empower our entire organization to spend more time thinking about baseball. We turn data into information into action.
As an associate on our application development team, you will have the opportunity to build the data\-driven applications that our front office staff, scouts, and coaches use every day. You will gain hands\-on experience across the entire technical stack, from crafting intuitive front\-end interfaces to developing robust back\-end APIs. You will collaborate with senior engineers and end\-users to create visually engaging and highly performant tools.
Your work will focus on translating complex datasets, including ball and player tracking data (Statcast), biomechanical time\-series data, player biographical and contract information, and internally developed datasets, into interactive products that allow users to make better, faster decisions.
**Responsibilities:**
* Contribute to the design and development of web\-based applications used by Baseball Operations.
* Assist in building and maintaining back\-end APIs that power our front\-end applications.
* Collaborate with engineers and product stakeholders to translate requirements into intuitive and engaging user interfaces.
* Apply strong design principles to ensure a clean and seamless user experience.
* Learn and apply full\-stack development best practices, including participating in code reviews, documentation, and testing.
**Required Qualifications:**
* Possess or are pursuing a BS degree in Computer Science, similar technical field of study or equivalent practical experience.
* Software development experience in one or more general purpose programming languages (our stack is Python, Typescript, and Go).
* Familiarity with SQL and relational databases (e.g. MySQL, Postgres).
* Familiarity with web development concepts, API design, and UI/UX principles.
* Excellent problem\-solving skills and a strong desire to learn new technologies.
* Ability to work collaboratively in a team environment.
* Self\-motivated with a strong sense of curiosity.
**Preferred Qualifications:**
* Experience with modern front\-end frameworks like React or Vue.
* Experience building and consuming RESTful APIs using frameworks like FastAPI, Flask, or Express.
* Familiarity with cloud platforms (e.g., Google Cloud, AWS) and containerization (Docker).
* A demonstrated passion for baseball and sports analytics.
**Interested applicants should submit their resume, cover letter, and answers to the following questions:**
Tell us about a technical decision you made for a project where you had to make a significant trade\-off (e.g., choosing a simpler but less performant solution, picking a library you didn't know well, etc.). What was the situation, what were the pros and cons you weighed, and in hindsight, would you make the same decision again? (300 words or less)
Why do you want to work for a baseball team, and how do you see your technical skills contributing to a baseball operations or research \&amp; development environment? (200 words or less)
**We are an equal opportunity employer, and all qualified applicants will receive consideration for employment without regard to race, color, religion, national origin, sex, sexual orientation, age, disability, gender identity, marital or veteran status, or any other protected class.**</t>
        </is>
      </c>
    </row>
    <row r="106">
      <c r="A106" t="inlineStr">
        <is>
          <t>in-7d7b192dd105fe74</t>
        </is>
      </c>
      <c r="B106" t="inlineStr">
        <is>
          <t>Software Engineer I</t>
        </is>
      </c>
      <c r="C106" t="inlineStr">
        <is>
          <t>Amazon.com</t>
        </is>
      </c>
      <c r="D106" t="inlineStr">
        <is>
          <t>indeed</t>
        </is>
      </c>
      <c r="E106">
        <f>HYPERLINK("https://www.indeed.com/viewjob?jk=7d7b192dd105fe74", "https://www.indeed.com/viewjob?jk=7d7b192dd105fe74")</f>
        <v/>
      </c>
      <c r="F106">
        <f>HYPERLINK("https://www.amazon.jobs/jobs/3111761/software-engineer-i?cmpid=DA_INAD200785B", "https://www.amazon.jobs/jobs/3111761/software-engineer-i?cmpid=DA_INAD200785B")</f>
        <v/>
      </c>
      <c r="G106" t="inlineStr">
        <is>
          <t>San Francisco, CA, US</t>
        </is>
      </c>
      <c r="H106" s="3" t="n">
        <v>45946</v>
      </c>
      <c r="I10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in-60d17d847719640c</t>
        </is>
      </c>
      <c r="B107" t="inlineStr">
        <is>
          <t>Software Engineer I</t>
        </is>
      </c>
      <c r="C107" t="inlineStr">
        <is>
          <t>Amazon.com</t>
        </is>
      </c>
      <c r="D107" t="inlineStr">
        <is>
          <t>indeed</t>
        </is>
      </c>
      <c r="E107">
        <f>HYPERLINK("https://www.indeed.com/viewjob?jk=60d17d847719640c", "https://www.indeed.com/viewjob?jk=60d17d847719640c")</f>
        <v/>
      </c>
      <c r="F107">
        <f>HYPERLINK("https://www.amazon.jobs/jobs/3111761/software-engineer-i?cmpid=DA_INAD200785B", "https://www.amazon.jobs/jobs/3111761/software-engineer-i?cmpid=DA_INAD200785B")</f>
        <v/>
      </c>
      <c r="G107" t="inlineStr">
        <is>
          <t>Irvine, CA, US</t>
        </is>
      </c>
      <c r="H107" s="3" t="n">
        <v>45946</v>
      </c>
      <c r="I10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in-c031f3068f8e9ace</t>
        </is>
      </c>
      <c r="B108" t="inlineStr">
        <is>
          <t>Senior Software Engineer, Machine Learning Accelerator Technology</t>
        </is>
      </c>
      <c r="C108" t="inlineStr">
        <is>
          <t>Amazon Web Services</t>
        </is>
      </c>
      <c r="D108" t="inlineStr">
        <is>
          <t>indeed</t>
        </is>
      </c>
      <c r="E108">
        <f>HYPERLINK("https://www.indeed.com/viewjob?jk=c031f3068f8e9ace", "https://www.indeed.com/viewjob?jk=c031f3068f8e9ace")</f>
        <v/>
      </c>
      <c r="F108">
        <f>HYPERLINK("https://www.amazon.jobs/jobs/3100161/senior-software-engineer-machine-learning-accelerator-technology?cmpid=DA_INAD200785B", "https://www.amazon.jobs/jobs/3100161/senior-software-engineer-machine-learning-accelerator-technology?cmpid=DA_INAD200785B")</f>
        <v/>
      </c>
      <c r="G108" t="inlineStr">
        <is>
          <t>Cupertino, CA, US</t>
        </is>
      </c>
      <c r="H108" s="3" t="n">
        <v>45930</v>
      </c>
      <c r="I108" t="inlineStr">
        <is>
          <t>**DESCRIPTION**
---------------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Annapurna Labs (our organization within AWS UC)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The MLA Technology team is looking for candidates interested in diving deep into the different hardware technologies that power our Machine Learning servers and view the software to drive these technologies as the deliverable.  
Do you like hacking memory using PCIe expansion cards? Great! Do you read data sheets like others read the news? Great! Done some embedded programming? Great! Messed with FPGAs? Great! Hacked your autonomous vacuum cleaner? Great! Let the magic smoke out once or twice? Didn't we all ... Did this make you smile? Awesome.
Our team writes software focused on hardware for the most advanced servers in the world. If that interests you, come join our team!  
Key job responsibilities  
* Members of the team are responsible for software related to machine learning hardware at all points in the hardware life cycle.
* Working with silicon design and hardware design teams across EC2
* Developing software which can be maintained, improved upon, documented, tested, and reused.
A day in the life  
The MLA Technology team was formed to focus on server software primarily for debug, testing, qualification, and manufacturing. No software is too low level for us. No software is too high level for us. At a high\-level our goal is to find ways to help the organization scale though the use of software and automation as it relates to specific hardware technologies.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**PREFERRED QUALIFICATIONS**
----------------------------
* Bachelor's degree in computer science or equivalent
* Experience writing low level drivers, or experience with general troubleshooting/debugging of hardware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in-1838307ce3ef51c6</t>
        </is>
      </c>
      <c r="B109" t="inlineStr">
        <is>
          <t>Senior Software Engineer, Machine Learning Accelerator Technology</t>
        </is>
      </c>
      <c r="C109" t="inlineStr">
        <is>
          <t>Amazon Web Services</t>
        </is>
      </c>
      <c r="D109" t="inlineStr">
        <is>
          <t>indeed</t>
        </is>
      </c>
      <c r="E109">
        <f>HYPERLINK("https://www.indeed.com/viewjob?jk=1838307ce3ef51c6", "https://www.indeed.com/viewjob?jk=1838307ce3ef51c6")</f>
        <v/>
      </c>
      <c r="F109">
        <f>HYPERLINK("https://www.amazon.jobs/jobs/3100161/senior-software-engineer-machine-learning-accelerator-technology?cmpid=DA_INAD200785B", "https://www.amazon.jobs/jobs/3100161/senior-software-engineer-machine-learning-accelerator-technology?cmpid=DA_INAD200785B")</f>
        <v/>
      </c>
      <c r="G109" t="inlineStr">
        <is>
          <t>Austin, TX, US</t>
        </is>
      </c>
      <c r="H109" s="3" t="n">
        <v>45930</v>
      </c>
      <c r="I109" t="inlineStr">
        <is>
          <t>**DESCRIPTION**
---------------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Annapurna Labs (our organization within AWS UC)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The MLA Technology team is looking for candidates interested in diving deep into the different hardware technologies that power our Machine Learning servers and view the software to drive these technologies as the deliverable.  
Do you like hacking memory using PCIe expansion cards? Great! Do you read data sheets like others read the news? Great! Done some embedded programming? Great! Messed with FPGAs? Great! Hacked your autonomous vacuum cleaner? Great! Let the magic smoke out once or twice? Didn't we all ... Did this make you smile? Awesome.
Our team writes software focused on hardware for the most advanced servers in the world. If that interests you, come join our team!  
Key job responsibilities  
* Members of the team are responsible for software related to machine learning hardware at all points in the hardware life cycle.
* Working with silicon design and hardware design teams across EC2
* Developing software which can be maintained, improved upon, documented, tested, and reused.
A day in the life  
The MLA Technology team was formed to focus on server software primarily for debug, testing, qualification, and manufacturing. No software is too low level for us. No software is too high level for us. At a high\-level our goal is to find ways to help the organization scale though the use of software and automation as it relates to specific hardware technologies.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**PREFERRED QUALIFICATIONS**
----------------------------
* Bachelor's degree in computer science or equivalent
* Experience writing low level drivers, or experience with general troubleshooting/debugging of hardware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in-7f7afd2b1abe2743</t>
        </is>
      </c>
      <c r="B110" t="inlineStr">
        <is>
          <t>Software Engineer II</t>
        </is>
      </c>
      <c r="C110" t="inlineStr">
        <is>
          <t>Amazon.com</t>
        </is>
      </c>
      <c r="D110" t="inlineStr">
        <is>
          <t>indeed</t>
        </is>
      </c>
      <c r="E110">
        <f>HYPERLINK("https://www.indeed.com/viewjob?jk=7f7afd2b1abe2743", "https://www.indeed.com/viewjob?jk=7f7afd2b1abe2743")</f>
        <v/>
      </c>
      <c r="F110">
        <f>HYPERLINK("https://www.amazon.jobs/jobs/3090680/software-engineer-ii?cmpid=DA_INAD200785B", "https://www.amazon.jobs/jobs/3090680/software-engineer-ii?cmpid=DA_INAD200785B")</f>
        <v/>
      </c>
      <c r="G110" t="inlineStr">
        <is>
          <t>San Francisco, CA, US</t>
        </is>
      </c>
      <c r="H110" s="3" t="n">
        <v>45921</v>
      </c>
      <c r="I11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in-fca12d65eebcf353</t>
        </is>
      </c>
      <c r="B111" t="inlineStr">
        <is>
          <t>Software Engineer II</t>
        </is>
      </c>
      <c r="C111" t="inlineStr">
        <is>
          <t>Amazon.com</t>
        </is>
      </c>
      <c r="D111" t="inlineStr">
        <is>
          <t>indeed</t>
        </is>
      </c>
      <c r="E111">
        <f>HYPERLINK("https://www.indeed.com/viewjob?jk=fca12d65eebcf353", "https://www.indeed.com/viewjob?jk=fca12d65eebcf353")</f>
        <v/>
      </c>
      <c r="F111">
        <f>HYPERLINK("https://www.amazon.jobs/jobs/3090680/software-engineer-ii?cmpid=DA_INAD200785B", "https://www.amazon.jobs/jobs/3090680/software-engineer-ii?cmpid=DA_INAD200785B")</f>
        <v/>
      </c>
      <c r="G111" t="inlineStr">
        <is>
          <t>Irvine, CA, US</t>
        </is>
      </c>
      <c r="H111" s="3" t="n">
        <v>45921</v>
      </c>
      <c r="I11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in-ba8d35f85b643da1</t>
        </is>
      </c>
      <c r="B112" t="inlineStr">
        <is>
          <t>Sr Software Engineer</t>
        </is>
      </c>
      <c r="C112" t="inlineStr">
        <is>
          <t>Amazon.com</t>
        </is>
      </c>
      <c r="D112" t="inlineStr">
        <is>
          <t>indeed</t>
        </is>
      </c>
      <c r="E112">
        <f>HYPERLINK("https://www.indeed.com/viewjob?jk=ba8d35f85b643da1", "https://www.indeed.com/viewjob?jk=ba8d35f85b643da1")</f>
        <v/>
      </c>
      <c r="F112">
        <f>HYPERLINK("https://www.amazon.jobs/jobs/3090674/sr-software-engineer?cmpid=DA_INAD200785B", "https://www.amazon.jobs/jobs/3090674/sr-software-engineer?cmpid=DA_INAD200785B")</f>
        <v/>
      </c>
      <c r="G112" t="inlineStr">
        <is>
          <t>San Francisco, CA, US</t>
        </is>
      </c>
      <c r="H112" s="3" t="n">
        <v>45921</v>
      </c>
      <c r="I1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in-29f21cf98e33e9d6</t>
        </is>
      </c>
      <c r="B113" t="inlineStr">
        <is>
          <t>Sr Software Engineer</t>
        </is>
      </c>
      <c r="C113" t="inlineStr">
        <is>
          <t>Amazon.com</t>
        </is>
      </c>
      <c r="D113" t="inlineStr">
        <is>
          <t>indeed</t>
        </is>
      </c>
      <c r="E113">
        <f>HYPERLINK("https://www.indeed.com/viewjob?jk=29f21cf98e33e9d6", "https://www.indeed.com/viewjob?jk=29f21cf98e33e9d6")</f>
        <v/>
      </c>
      <c r="F113">
        <f>HYPERLINK("https://www.amazon.jobs/jobs/3090674/sr-software-engineer?cmpid=DA_INAD200785B", "https://www.amazon.jobs/jobs/3090674/sr-software-engineer?cmpid=DA_INAD200785B")</f>
        <v/>
      </c>
      <c r="G113" t="inlineStr">
        <is>
          <t>Irvine, CA, US</t>
        </is>
      </c>
      <c r="H113" s="3" t="n">
        <v>45921</v>
      </c>
      <c r="I1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in-9e8b79aea26fc1f1</t>
        </is>
      </c>
      <c r="B114" t="inlineStr">
        <is>
          <t>Sr. Device Software Engineer, Amazon Leo Government</t>
        </is>
      </c>
      <c r="C114" t="inlineStr">
        <is>
          <t>Amazon.com</t>
        </is>
      </c>
      <c r="D114" t="inlineStr">
        <is>
          <t>indeed</t>
        </is>
      </c>
      <c r="E114">
        <f>HYPERLINK("https://www.indeed.com/viewjob?jk=9e8b79aea26fc1f1", "https://www.indeed.com/viewjob?jk=9e8b79aea26fc1f1")</f>
        <v/>
      </c>
      <c r="F114">
        <f>HYPERLINK("https://www.amazon.jobs/jobs/3082545/sr-device-software-engineer-amazon-leo-government-?cmpid=DA_INAD200785B", "https://www.amazon.jobs/jobs/3082545/sr-device-software-engineer-amazon-leo-government-?cmpid=DA_INAD200785B")</f>
        <v/>
      </c>
      <c r="G114" t="inlineStr">
        <is>
          <t>Northridge, CA, US</t>
        </is>
      </c>
      <c r="H114" s="3" t="n">
        <v>45911</v>
      </c>
      <c r="I114"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in-480de77ca30dd5d8</t>
        </is>
      </c>
      <c r="B115" t="inlineStr">
        <is>
          <t>Sr. Device Software Engineer, Amazon Leo Government</t>
        </is>
      </c>
      <c r="C115" t="inlineStr">
        <is>
          <t>Amazon.com</t>
        </is>
      </c>
      <c r="D115" t="inlineStr">
        <is>
          <t>indeed</t>
        </is>
      </c>
      <c r="E115">
        <f>HYPERLINK("https://www.indeed.com/viewjob?jk=480de77ca30dd5d8", "https://www.indeed.com/viewjob?jk=480de77ca30dd5d8")</f>
        <v/>
      </c>
      <c r="F115">
        <f>HYPERLINK("https://www.amazon.jobs/jobs/3082545/sr-device-software-engineer-amazon-leo-government-?cmpid=DA_INAD200785B", "https://www.amazon.jobs/jobs/3082545/sr-device-software-engineer-amazon-leo-government-?cmpid=DA_INAD200785B")</f>
        <v/>
      </c>
      <c r="G115" t="inlineStr">
        <is>
          <t>Arlington, VA, US</t>
        </is>
      </c>
      <c r="H115" s="3" t="n">
        <v>45911</v>
      </c>
      <c r="I115"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in-37824ca03b656bf4</t>
        </is>
      </c>
      <c r="B116" t="inlineStr">
        <is>
          <t>Sr. Device Software Engineer, Amazon Leo Government</t>
        </is>
      </c>
      <c r="C116" t="inlineStr">
        <is>
          <t>Amazon.com</t>
        </is>
      </c>
      <c r="D116" t="inlineStr">
        <is>
          <t>indeed</t>
        </is>
      </c>
      <c r="E116">
        <f>HYPERLINK("https://www.indeed.com/viewjob?jk=37824ca03b656bf4", "https://www.indeed.com/viewjob?jk=37824ca03b656bf4")</f>
        <v/>
      </c>
      <c r="F116">
        <f>HYPERLINK("https://www.amazon.jobs/jobs/3082545/sr-device-software-engineer-amazon-leo-government-?cmpid=DA_INAD200785B", "https://www.amazon.jobs/jobs/3082545/sr-device-software-engineer-amazon-leo-government-?cmpid=DA_INAD200785B")</f>
        <v/>
      </c>
      <c r="G116" t="inlineStr">
        <is>
          <t>El Segundo, CA, US</t>
        </is>
      </c>
      <c r="H116" s="3" t="n">
        <v>45911</v>
      </c>
      <c r="I116"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in-b81d3581e1c2a05c</t>
        </is>
      </c>
      <c r="B117" t="inlineStr">
        <is>
          <t>Sr. Device Software Engineer, Amazon Leo Government</t>
        </is>
      </c>
      <c r="C117" t="inlineStr">
        <is>
          <t>Amazon.com</t>
        </is>
      </c>
      <c r="D117" t="inlineStr">
        <is>
          <t>indeed</t>
        </is>
      </c>
      <c r="E117">
        <f>HYPERLINK("https://www.indeed.com/viewjob?jk=b81d3581e1c2a05c", "https://www.indeed.com/viewjob?jk=b81d3581e1c2a05c")</f>
        <v/>
      </c>
      <c r="F117">
        <f>HYPERLINK("https://www.amazon.jobs/jobs/3082545/sr-device-software-engineer-amazon-leo-government-?cmpid=DA_INAD200785B", "https://www.amazon.jobs/jobs/3082545/sr-device-software-engineer-amazon-leo-government-?cmpid=DA_INAD200785B")</f>
        <v/>
      </c>
      <c r="G117" t="inlineStr">
        <is>
          <t>Redmond, WA, US</t>
        </is>
      </c>
      <c r="H117" s="3" t="n">
        <v>45911</v>
      </c>
      <c r="I117"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in-4c961d07ead04527</t>
        </is>
      </c>
      <c r="B118" t="inlineStr">
        <is>
          <t>Device Software Engineer, Amazon Leo Government</t>
        </is>
      </c>
      <c r="C118" t="inlineStr">
        <is>
          <t>Amazon.com</t>
        </is>
      </c>
      <c r="D118" t="inlineStr">
        <is>
          <t>indeed</t>
        </is>
      </c>
      <c r="E118">
        <f>HYPERLINK("https://www.indeed.com/viewjob?jk=4c961d07ead04527", "https://www.indeed.com/viewjob?jk=4c961d07ead04527")</f>
        <v/>
      </c>
      <c r="F118">
        <f>HYPERLINK("https://www.amazon.jobs/jobs/3083623/device-software-engineer-amazon-leo-government-?cmpid=DA_INAD200785B", "https://www.amazon.jobs/jobs/3083623/device-software-engineer-amazon-leo-government-?cmpid=DA_INAD200785B")</f>
        <v/>
      </c>
      <c r="G118" t="inlineStr">
        <is>
          <t>Northridge, CA, US</t>
        </is>
      </c>
      <c r="H118" s="3" t="n">
        <v>45910</v>
      </c>
      <c r="I118"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in-6d2473636f20e31e</t>
        </is>
      </c>
      <c r="B119" t="inlineStr">
        <is>
          <t>Device Software Engineer, Amazon Leo Government</t>
        </is>
      </c>
      <c r="C119" t="inlineStr">
        <is>
          <t>Amazon.com</t>
        </is>
      </c>
      <c r="D119" t="inlineStr">
        <is>
          <t>indeed</t>
        </is>
      </c>
      <c r="E119">
        <f>HYPERLINK("https://www.indeed.com/viewjob?jk=6d2473636f20e31e", "https://www.indeed.com/viewjob?jk=6d2473636f20e31e")</f>
        <v/>
      </c>
      <c r="F119">
        <f>HYPERLINK("https://www.amazon.jobs/jobs/3083623/device-software-engineer-amazon-leo-government-?cmpid=DA_INAD200785B", "https://www.amazon.jobs/jobs/3083623/device-software-engineer-amazon-leo-government-?cmpid=DA_INAD200785B")</f>
        <v/>
      </c>
      <c r="G119" t="inlineStr">
        <is>
          <t>Redmond, WA, US</t>
        </is>
      </c>
      <c r="H119" s="3" t="n">
        <v>45910</v>
      </c>
      <c r="I119"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in-9c6f8fa0a4332bbb</t>
        </is>
      </c>
      <c r="B120" t="inlineStr">
        <is>
          <t>Device Software Engineer, Amazon Leo Government</t>
        </is>
      </c>
      <c r="C120" t="inlineStr">
        <is>
          <t>Amazon.com</t>
        </is>
      </c>
      <c r="D120" t="inlineStr">
        <is>
          <t>indeed</t>
        </is>
      </c>
      <c r="E120">
        <f>HYPERLINK("https://www.indeed.com/viewjob?jk=9c6f8fa0a4332bbb", "https://www.indeed.com/viewjob?jk=9c6f8fa0a4332bbb")</f>
        <v/>
      </c>
      <c r="F120">
        <f>HYPERLINK("https://www.amazon.jobs/jobs/3083623/device-software-engineer-amazon-leo-government-?cmpid=DA_INAD200785B", "https://www.amazon.jobs/jobs/3083623/device-software-engineer-amazon-leo-government-?cmpid=DA_INAD200785B")</f>
        <v/>
      </c>
      <c r="G120" t="inlineStr">
        <is>
          <t>Arlington, VA, US</t>
        </is>
      </c>
      <c r="H120" s="3" t="n">
        <v>45910</v>
      </c>
      <c r="I120"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in-d9f5dc693012bf61</t>
        </is>
      </c>
      <c r="B121" t="inlineStr">
        <is>
          <t>Device Software Engineer, Amazon Leo Government</t>
        </is>
      </c>
      <c r="C121" t="inlineStr">
        <is>
          <t>Amazon.com</t>
        </is>
      </c>
      <c r="D121" t="inlineStr">
        <is>
          <t>indeed</t>
        </is>
      </c>
      <c r="E121">
        <f>HYPERLINK("https://www.indeed.com/viewjob?jk=d9f5dc693012bf61", "https://www.indeed.com/viewjob?jk=d9f5dc693012bf61")</f>
        <v/>
      </c>
      <c r="F121">
        <f>HYPERLINK("https://www.amazon.jobs/jobs/3083623/device-software-engineer-amazon-leo-government-?cmpid=DA_INAD200785B", "https://www.amazon.jobs/jobs/3083623/device-software-engineer-amazon-leo-government-?cmpid=DA_INAD200785B")</f>
        <v/>
      </c>
      <c r="G121" t="inlineStr">
        <is>
          <t>El Segundo, CA, US</t>
        </is>
      </c>
      <c r="H121" s="3" t="n">
        <v>45910</v>
      </c>
      <c r="I121"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in-a341306cc528e994</t>
        </is>
      </c>
      <c r="B122" t="inlineStr">
        <is>
          <t>Software Engineer I- Ad Demand</t>
        </is>
      </c>
      <c r="C122" t="inlineStr">
        <is>
          <t>Amazon.com</t>
        </is>
      </c>
      <c r="D122" t="inlineStr">
        <is>
          <t>indeed</t>
        </is>
      </c>
      <c r="E122">
        <f>HYPERLINK("https://www.indeed.com/viewjob?jk=a341306cc528e994", "https://www.indeed.com/viewjob?jk=a341306cc528e994")</f>
        <v/>
      </c>
      <c r="F122">
        <f>HYPERLINK("https://www.amazon.jobs/jobs/3082168/software-engineer-i-ad-demand?cmpid=DA_INAD200785B", "https://www.amazon.jobs/jobs/3082168/software-engineer-i-ad-demand?cmpid=DA_INAD200785B")</f>
        <v/>
      </c>
      <c r="G122" t="inlineStr">
        <is>
          <t>San Francisco, CA, US</t>
        </is>
      </c>
      <c r="H122" s="3" t="n">
        <v>45908</v>
      </c>
      <c r="I12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in-d9cfb41af8c13712</t>
        </is>
      </c>
      <c r="B123" t="inlineStr">
        <is>
          <t>Software Engineer I- Ad Demand</t>
        </is>
      </c>
      <c r="C123" t="inlineStr">
        <is>
          <t>Amazon.com</t>
        </is>
      </c>
      <c r="D123" t="inlineStr">
        <is>
          <t>indeed</t>
        </is>
      </c>
      <c r="E123">
        <f>HYPERLINK("https://www.indeed.com/viewjob?jk=d9cfb41af8c13712", "https://www.indeed.com/viewjob?jk=d9cfb41af8c13712")</f>
        <v/>
      </c>
      <c r="F123">
        <f>HYPERLINK("https://www.amazon.jobs/jobs/3082168/software-engineer-i-ad-demand?cmpid=DA_INAD200785B", "https://www.amazon.jobs/jobs/3082168/software-engineer-i-ad-demand?cmpid=DA_INAD200785B")</f>
        <v/>
      </c>
      <c r="G123" t="inlineStr">
        <is>
          <t>New York, NY, US</t>
        </is>
      </c>
      <c r="H123" s="3" t="n">
        <v>45908</v>
      </c>
      <c r="I12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in-0fcef50f30a54126</t>
        </is>
      </c>
      <c r="B124" t="inlineStr">
        <is>
          <t>Software Developer Engineer - iOS, Ring</t>
        </is>
      </c>
      <c r="C124" t="inlineStr">
        <is>
          <t>Amazon.com</t>
        </is>
      </c>
      <c r="D124" t="inlineStr">
        <is>
          <t>indeed</t>
        </is>
      </c>
      <c r="E124">
        <f>HYPERLINK("https://www.indeed.com/viewjob?jk=0fcef50f30a54126", "https://www.indeed.com/viewjob?jk=0fcef50f30a54126")</f>
        <v/>
      </c>
      <c r="F124">
        <f>HYPERLINK("https://www.amazon.jobs/jobs/3011028/software-developer-engineer--ios-ring?cmpid=DA_INAD200785B", "https://www.amazon.jobs/jobs/3011028/software-developer-engineer--ios-ring?cmpid=DA_INAD200785B")</f>
        <v/>
      </c>
      <c r="G124" t="inlineStr">
        <is>
          <t>Hawthorne, CA, US</t>
        </is>
      </c>
      <c r="H124" s="3" t="n">
        <v>45812</v>
      </c>
      <c r="I124"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in-c4f958c9dd89a7df</t>
        </is>
      </c>
      <c r="B125" t="inlineStr">
        <is>
          <t>Software Developer Engineer - iOS, Ring</t>
        </is>
      </c>
      <c r="C125" t="inlineStr">
        <is>
          <t>Amazon.com</t>
        </is>
      </c>
      <c r="D125" t="inlineStr">
        <is>
          <t>indeed</t>
        </is>
      </c>
      <c r="E125">
        <f>HYPERLINK("https://www.indeed.com/viewjob?jk=c4f958c9dd89a7df", "https://www.indeed.com/viewjob?jk=c4f958c9dd89a7df")</f>
        <v/>
      </c>
      <c r="F125">
        <f>HYPERLINK("https://www.amazon.jobs/jobs/3011028/software-developer-engineer--ios-ring?cmpid=DA_INAD200785B", "https://www.amazon.jobs/jobs/3011028/software-developer-engineer--ios-ring?cmpid=DA_INAD200785B")</f>
        <v/>
      </c>
      <c r="G125" t="inlineStr">
        <is>
          <t>Austin, TX, US</t>
        </is>
      </c>
      <c r="H125" s="3" t="n">
        <v>45812</v>
      </c>
      <c r="I125"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in-14c4c51271bcc789</t>
        </is>
      </c>
      <c r="B126" t="inlineStr">
        <is>
          <t>Software Developer Engineer - iOS, Ring</t>
        </is>
      </c>
      <c r="C126" t="inlineStr">
        <is>
          <t>Amazon.com</t>
        </is>
      </c>
      <c r="D126" t="inlineStr">
        <is>
          <t>indeed</t>
        </is>
      </c>
      <c r="E126">
        <f>HYPERLINK("https://www.indeed.com/viewjob?jk=14c4c51271bcc789", "https://www.indeed.com/viewjob?jk=14c4c51271bcc789")</f>
        <v/>
      </c>
      <c r="F126">
        <f>HYPERLINK("https://www.amazon.jobs/jobs/3011028/software-developer-engineer--ios-ring?cmpid=DA_INAD200785B", "https://www.amazon.jobs/jobs/3011028/software-developer-engineer--ios-ring?cmpid=DA_INAD200785B")</f>
        <v/>
      </c>
      <c r="G126" t="inlineStr">
        <is>
          <t>Irvine, CA, US</t>
        </is>
      </c>
      <c r="H126" s="3" t="n">
        <v>45812</v>
      </c>
      <c r="I126"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in-211c91e18b8db719</t>
        </is>
      </c>
      <c r="B127" t="inlineStr">
        <is>
          <t>Senior Software Engineer - Query Processing, Aurora DSQL</t>
        </is>
      </c>
      <c r="C127" t="inlineStr">
        <is>
          <t>Amazon Web Services</t>
        </is>
      </c>
      <c r="D127" t="inlineStr">
        <is>
          <t>indeed</t>
        </is>
      </c>
      <c r="E127">
        <f>HYPERLINK("https://www.indeed.com/viewjob?jk=211c91e18b8db719", "https://www.indeed.com/viewjob?jk=211c91e18b8db719")</f>
        <v/>
      </c>
      <c r="F127">
        <f>HYPERLINK("https://www.amazon.jobs/jobs/2987643/senior-software-engineer--query-processing-aurora-dsql?cmpid=DA_INAD200785B", "https://www.amazon.jobs/jobs/2987643/senior-software-engineer--query-processing-aurora-dsql?cmpid=DA_INAD200785B")</f>
        <v/>
      </c>
      <c r="G127" t="inlineStr">
        <is>
          <t>East Palo Alto, CA, US</t>
        </is>
      </c>
      <c r="H127" s="3" t="n">
        <v>45796</v>
      </c>
      <c r="I127"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in-6a80251840d830a5</t>
        </is>
      </c>
      <c r="B128" t="inlineStr">
        <is>
          <t>Senior Software Engineer - Query Processing, Aurora DSQL</t>
        </is>
      </c>
      <c r="C128" t="inlineStr">
        <is>
          <t>Amazon Web Services</t>
        </is>
      </c>
      <c r="D128" t="inlineStr">
        <is>
          <t>indeed</t>
        </is>
      </c>
      <c r="E128">
        <f>HYPERLINK("https://www.indeed.com/viewjob?jk=6a80251840d830a5", "https://www.indeed.com/viewjob?jk=6a80251840d830a5")</f>
        <v/>
      </c>
      <c r="F128">
        <f>HYPERLINK("https://www.amazon.jobs/jobs/2987643/senior-software-engineer--query-processing-aurora-dsql?cmpid=DA_INAD200785B", "https://www.amazon.jobs/jobs/2987643/senior-software-engineer--query-processing-aurora-dsql?cmpid=DA_INAD200785B")</f>
        <v/>
      </c>
      <c r="G128" t="inlineStr">
        <is>
          <t>Seattle, WA, US</t>
        </is>
      </c>
      <c r="H128" s="3" t="n">
        <v>45796</v>
      </c>
      <c r="I128"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in-695381f752802e55</t>
        </is>
      </c>
      <c r="B129" t="inlineStr">
        <is>
          <t>Embedded C++ Software Engineer, Machine Learning Acceleration</t>
        </is>
      </c>
      <c r="C129" t="inlineStr">
        <is>
          <t>Amazon Web Services</t>
        </is>
      </c>
      <c r="D129" t="inlineStr">
        <is>
          <t>indeed</t>
        </is>
      </c>
      <c r="E129">
        <f>HYPERLINK("https://www.indeed.com/viewjob?jk=695381f752802e55", "https://www.indeed.com/viewjob?jk=695381f752802e55")</f>
        <v/>
      </c>
      <c r="F129">
        <f>HYPERLINK("https://www.amazon.jobs/jobs/2894488/embedded-c-software-engineer-machine-learning-acceleration?cmpid=DA_INAD200785B", "https://www.amazon.jobs/jobs/2894488/embedded-c-software-engineer-machine-learning-acceleration?cmpid=DA_INAD200785B")</f>
        <v/>
      </c>
      <c r="G129" t="inlineStr">
        <is>
          <t>Cupertino, CA, US</t>
        </is>
      </c>
      <c r="H129" s="3" t="n">
        <v>45691</v>
      </c>
      <c r="I129"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in-1651a4555571e552</t>
        </is>
      </c>
      <c r="B130" t="inlineStr">
        <is>
          <t>Embedded C++ Software Engineer, Machine Learning Acceleration</t>
        </is>
      </c>
      <c r="C130" t="inlineStr">
        <is>
          <t>Amazon Web Services</t>
        </is>
      </c>
      <c r="D130" t="inlineStr">
        <is>
          <t>indeed</t>
        </is>
      </c>
      <c r="E130">
        <f>HYPERLINK("https://www.indeed.com/viewjob?jk=1651a4555571e552", "https://www.indeed.com/viewjob?jk=1651a4555571e552")</f>
        <v/>
      </c>
      <c r="F130">
        <f>HYPERLINK("https://www.amazon.jobs/jobs/2894488/embedded-c-software-engineer-machine-learning-acceleration?cmpid=DA_INAD200785B", "https://www.amazon.jobs/jobs/2894488/embedded-c-software-engineer-machine-learning-acceleration?cmpid=DA_INAD200785B")</f>
        <v/>
      </c>
      <c r="G130" t="inlineStr">
        <is>
          <t>Austin, TX, US</t>
        </is>
      </c>
      <c r="H130" s="3" t="n">
        <v>45691</v>
      </c>
      <c r="I130"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li-4342485757</t>
        </is>
      </c>
      <c r="B2" t="inlineStr">
        <is>
          <t>Software Engineer II - CTJ - POLY</t>
        </is>
      </c>
      <c r="C2" t="inlineStr">
        <is>
          <t>Microsoft</t>
        </is>
      </c>
      <c r="D2" t="inlineStr">
        <is>
          <t>linkedin</t>
        </is>
      </c>
      <c r="E2" t="inlineStr"/>
      <c r="F2" t="inlineStr"/>
      <c r="G2" t="inlineStr"/>
      <c r="H2" t="inlineStr"/>
      <c r="I2" t="inlineStr">
        <is>
          <t>**Overview**
**Overview**
 Do you have a passion for high scale services and working with some of Microsoft’s most critical customers? We’re looking for a Senior Software Engineer with the right mix of software development, on\-line services experience and passion for quality to envision, design, and deliver Office 365 government cloud service offerings.
 Office 365 is at the center of Microsoft’s cloud first, devices first strategy as it brings together cloud versions of our most trusted communication and collaboration products like Exchange, SharePoint, and Teams with our cross\-platform desktop suites and mobile apps. The Office 365 Enterprise Cloud team works with Microsoft’s largest enterprise and government customers to deliver features that meet their specific needs and enable cloud adoption. As you would expect, our customers have the highest expectations for feature quality, security, reliability, availability, and performance.
 The software engineering team provides leadership, direction and accountability for application architecture, system design, and end\-to\-end implementation. As a Senior Software Engineer, you will identify and deliver software improvements using your expertise in software development, complexity analysis, and scalable system design. Collaboration skills will be required to work closely with other engineering teams to ensure services/systems are highly stable and performant, meeting the expectations of our government customers and users.
 At Microsoft, we can offer you great teams, exciting challenges, and a fun place to work. The work environment empowers you to have a positive impact on millions of end users.
**The Right Candidate For This Job (is)**
* Passionate about distributed systems and working with highly scalable services.
* Enjoys new technological challenges and is motivated to solve them.
* Excited about making better software and continuously improving the development, integration, and deployment processes.
* Self\-starter who thrives in a bottoms\-up, fast\-paced, highly technical environment.
* Effective collaborator, experienced in creating technical partnerships across teams.
* Unwavering passion for meeting customer demands and delivering a dial tone service.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**Coding**
* Supports efforts to use debugging, tests, tools, logs, telemetry, and other methods to proactively verify assumptions before issues occur for product features in production.
* Conducts incident retrospectives to identify root causes of problems, implements repair actions, and identifies mechanisms to prevent incident recurrence with minimal supervision.
* Under minimal guidance, applies least\-access principles, and uses logging, telemetry, and other appropriate mechanisms to investigate issues while retaining privacy and security.
* Reviews product feature code and test code to ensure it meets team standards, contains the correct test coverage, and is appropriate for the product feature.
* Contributes to bringing insight to code reviews to help improve code quality, coaching and providing feedback to develop other engineers' skills with minimal guidance.
* Contributes to code reviews in a timely fashion that helps accelerate the pace of development on the team.
* Considers diagnosability, reliability, testability, and maintainability when reviewing code and understands when code is ready to be shared or delivered.
* Applies and reviews for coding patterns, security risks, compliance issues, and best practices in code reviews.
* Uses automated source code analysis tools that are incorporated into the build/development process with minimal supervision.
* Creates and implements code for a product, service, or feature, reusing code as applicable with minimal supervision.
* Writes and learns to create code that is extensible and maintainable.
* Considers diagnosability, reliability, and maintainability with few defects, and understands when the code is ready to be shared and delivered.
* Applies coding patterns and best practices to write code (e.g., leveraging state\-of\-the\-art generative artificial intelligence \[GenAI], approaches to source code organization, naming conventions).
* Escalates identified blockers or unknowns during the development process, communicates how they will impact timelines, and contributes to identifying strategies and/or opportunities to address them with minimal supervision.
**Design**
* Understands and provides feedback for proposals for architecture, with technical leadership from others.
* With minimal supervision, tests and explores various design options for a product/solution feature, outlining strengths and weaknesses of each option.
* Collaborates with architects with minimal supervision to build and modify a product/solution feature, providing feedback as needed.
* Begins to own or collaborate with other engineers on the architecture of solutions, following technical leadership as applicable.
* Contributes to the development of design documents that support user stories and other product requirements with oversight.
* Develops an awareness of the current technology landscape.
* Escalates and shares findings from investigations with the team and owns some design decisions.
* Helps to ensure system architecture and individual designs meet performance, scalability, resiliency, cost of goods sold (COGS), and other requirements and expectations.
* Upholds Microsoft standards of security, privacy, and other compliance requirements and expectations.
* Understands the importance of building solutions that expand upon the work of others.
* Contributes to the refinement of product features by escalating findings from analyses to inform decisions regarding the engineering of products.
* Creates a clear test strategy that ensures solution quality, prevents regression from being introduced into existing code with minimal supervision.
* Executes test plans that incorporate security testing to validate security invariants (including negative cases) with minimal supervision.
* Adds new tests to cover gaps, deleting or fixing broken tests, improving the speed, reliability, and defect localization of tests in the feature area.
* Builds testable code and considers testability during design for a set of features with minimal guidance.
* Understands the different types of tests that can be done on a particular system (e.g., unit tests), and maintains up\-to\-date understanding of testing architectures used both across Microsoft and across the industry.
* Leverages artificial intelligence (AI) tools for test automation with minimal supervision.
* Contributes to identifying dependencies, and incorporates them into the development of design documents for a product area with little oversight.
* Helps to actively identify other teams and technologies to leverage, how they interact, and where their own system or team can support others.
* Understands downstream interactions between systems.
* Contributes to collaborating with other teams to reach common goals where dependencies and validation concerns overlap.
**Engineering Excellence**
* Contributes to the identification of requirements for, and development of automation within production and deployment of a complex product feature, targeting zero\-touch deployment when possible.
* Runs code in simulated, or other non\-production environments to confirm functionality and error\-free runtime for products with little to no oversight.
* Applies best practices to build code based on well\-established methods and secure design principles while also applying best practices for new code development and formal validation of security invariants.
* Follows best practices for product development and scaling to customer requirements, and applies best practices for meeting scaling needs and performance expectations and security promises.
* Builds knowledge, shares new ideas, and shares pinpoints of engineering tool gaps to improve software developer tools to support easier, faster, and more effective software engineering for complex product features.
* Identifies whether open source or internal code is available to address coding needs for a set of product features, and reuses it in a responsible manner where applicable.
* Develops higher\-level awareness of tools outside current areas of expertise.
* Helps to identify and/or create tools that are useful for building the product, determining if methods are still applicable for the current solution.
* Understands and applies security best practices and establishes code invariants to model "security as code," ensuring each layer is independently secure, and minimizing risk with minimal supervision.
* Adopts security standards for clear security code review practices for a set of product features that align with design and engineering principles to raise the security hardening for both protections and detections.
* Contributes to incorporating deployment gates on security controls, and scanners for a set of product features to prevent regressions and/or vulnerabilities that would have customer impact.
* Includes required security monitoring to ensure detection of violations with minimal guidance.
* With minimal supervision, works with relevant security partners to define security promises and security invariants while factoring in attacker/investigator personas for security monitoring and telemetry needs, ensure threat models and premortems validate upstream and downstream assumptions and security invariants, establish security breach drills and security incident response processes (e.g., impact analysis, containment), and ensure that artificial intelligence (AI) safety features are implemented for the AI production systems tied to a set of product features.
* Contributes to efforts to ensure the correct processes are followed to achieve a high degree of security, privacy, safety, and accessibility.
* Checks for visible evidence (e.g., audit trail) to demonstrate compliance for product areas.
* Develops and holds an understanding of the implications of onboarding new technologies following expectations of compliance at Microsoft.
* Demonstrates and maintains an up\-to\-date understanding of both global and local regulations for technologies and system applications to ensure regulations are met.
* Works with partner teams to ensure a set of product features work well with the components of the partner team with minimal supervision, contributing to efforts to ensure proper end\-to\-end testing, live\-site coverage, scalability, performance, and DRI escalation pathways are established before going live.
* Remains current in skills by investing time and effort into being informed of current developments that will improve the availability, reliability, efficiency, observability, and performance of products while also driving consistency in monitoring and operations at scale.
* Conducts learning and literary sessions to raise awareness on relevant engineering design principles (e.g., security, testability, performance, scalability, accessibility, product knowledge) with minimal guidance.
**Implement**
* Reviews work items to deepen knowledge of product features in partnership with appropriate stakeholders (e.g., technical program managers) and executes project plans, release plans, and work items.
* Contributes to efforts to break down larger work items into smaller work items and providing estimation.
* Escalates issues that might cause a delay.
* Ensures required security protections and detection processes are accounted for in planning with minimal guidance.
* Contributes to ensuring project plans adhere to security, privacy, and compliance requirements.
* Ensures all code for a set of product/solution features is properly flighted for quicker mitigation of production incidents with minimal supervision.
* Calculates capacity for planning, accounting for appropriate failover and backup/restore mechanisms for disaster recovery for a set of features with minimal guidance.
* Makes considerations for efficient operation of a set of features after it is live with minimal supervision.
* Contributes to establishing a rollback plan for a set of features.
* Learns about and supports deployment to customers by following the correct measures to push features out to customers.
* Follows safe change deployment practices (e.g., ensuring that flights are set correctly) for their team to minimize adverse impact to users and other services with managerial guidance.
* Learns about and applies best practices for the deployment of features safely with managerial oversight and/or guidance from more experienced peers.
* Contributes to monitoring dependency status and ensuring that only the latest, secure versions are deployed.
* Identifies when rollback plans should be enacted for a product feature with direct supervision.
* Contributes to building deployment infrastructure to allow developers' private builds for a product feature to be tested in a production\-like environment.
* Leveraging internal experimentation infrastructures, conducts experiments that determine the impact of changes, using feature flags/flighting in their code.
* Collaborates with internal partners (e.g., Data Science, product managers) to incorporate success and guard rail metrics for experimentation with minimal guidance.
**Reliability and Supportability**
* Maintains operations of live site service, following security best practices when responding quickly to mitigate issues while using the minimum required permissions to do so that arise on a rotational, on\-call basis.
* Identifies solutions and mitigations to simple issues and complex issues when applicable impacting performance or functionality of live site services and escalates appropriately.
* With minimal supervision, improves troubleshooting guides (TSGs), wikis, tests, and telemetry to make on\-call better, and recommends user\-facing support documentation and additional test coverage to reduce likelihood of future user\-initiated incidents.
* Contributes to enabling secure operations, security monitoring, and integration with live site investigation activities with minimal oversight.
* Identifies and proposes opportunities (e.g., lunch talks, automation, practices, tools) that can be leveraged to improve the live site experience with minimal guidance.
* Identifies areas to contribute to efforts to integrate logging and instrumentation for gathering telemetry data on system behavior such as performance, reliability, availability, usage, and safety mechanisms, and for allowing monitoring and investigating security\-related concerns and scenarios for both live and A/B experiments for products, services, and offerings.
* Leverages telemetry feedback and effectiveness to contribute to improving subsequent monitoring designs with minimal guidance.
* Contributes to efforts to classify, and analyze data with little oversight on a range of metrics (e.g., health of the system, where bugs might be occurring), and helps to create outputs (e.g., notifications, dashboards) that improve monitoring and investigating security\-related concerns and scenarios, system monitoring and/or issue identification and mitigation.
* Considers the privacy implications of telemetry code changes, and adding new data points with minimal guidance.
* Acts as a designated responsible individual (DRI), working on\-call to monitor a system/product feature/service for degradation, downtime, or interruptions.
* Alerts stakeholders as to the status and gains approval to restore system/product/service for simple problems.
* Responds within service level agreement (SLA) timeframe.
* Escalates issues to appropriate owners.
**Understand User Requirements**
* Works with appropriate internal stakeholders (e.g., product manager, privacy/security subject matter expert, technical lead) to understand and determine customer/user requirements for a set of features.
* Incorporates customer insights into future designs or solution fixes with minimal supervision.
* Incorporates unwritten requirements, such as appropriate continuous feedback loops that measure actionable, quantitative (e.g., customer value, usage patterns, solution performance) and qualitative (e.g., accessibility, globalization) indicators of value.
* Understands, and begins providing feedback on, and advocating for the security and privacy needs of the customer who will be using the set of features.
**Qualifications**
**Required/Minimum Qualifications**
* Bachelor's Degree in Computer Science or related technical field AND 2\+ years technical engineering experience with coding in languages including, but not limited to, C, C\+\+, C\#, Java, JavaScript, or Python OR equivalent experience.
**Other Requirements**
**Security Clearance Requirements:** 
 Candidates must be able to meet Microsoft, customer and/or government security screening requirements are required for this role. These requirements include, but are not limited to the following specialized security screenings:
* The successful candidate must have an active U.S. Government Top Secret Clearance with access to Sensitive Compartmented Information (SCI) based on a Single Scope Background Investigation (SSBI) with Polygraph. Ability to meet Microsoft, customer and/or government security screening requirements are required for this role. Failure to maintain or obtain the appropriate U.S. Government clearance and/or customer screening requirements may result in employment action up to and including termination.
* Clearance Verification: This position requires successful verification of the stated security clearance to meet federal government customer requirements. You will be asked to provide clearance verification information prior to an offer of employment.
* Microsoft Cloud Background Check: This position will be required to pass the Microsoft Cloud background check upon hire/transfer and every two years thereafter.
*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**Preferred/Additional Qualifications**
*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OR equivalent experience.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
      <c r="A3" t="inlineStr">
        <is>
          <t>li-4322506280</t>
        </is>
      </c>
      <c r="B3" t="inlineStr">
        <is>
          <t>Senior Backend Product Software Engineer, Reclaim</t>
        </is>
      </c>
      <c r="C3" t="inlineStr">
        <is>
          <t>Dropbox</t>
        </is>
      </c>
      <c r="D3" t="inlineStr">
        <is>
          <t>linkedin</t>
        </is>
      </c>
      <c r="E3" t="inlineStr"/>
      <c r="F3" t="inlineStr"/>
      <c r="G3" t="inlineStr"/>
      <c r="H3" t="inlineStr"/>
      <c r="I3" t="inlineStr">
        <is>
          <t>**PLEASE READ: Zones are based on your zip code. If you’re within 100 miles of a listed metro area (straight\-line radius), you’re included in that Zone. For this role, we are hiring in Zones 2 and 3\. Check your Zone here before applying.**
**Company Description**
 Dropbox isn’t just a workplace—it’s a living lab for more enlightened ways of working. We're a global community of bold visionaries and resourceful doers who are shaping the future of Dropbox—and with it the future of work. Our Virtual First model combines the autonomy of a distributed workplace with the power of human connection, making space for both meaningful work and meaningful relationships. With our start\-up mindset and enterprise\-level opportunities, you can be who you are and grow into who you’re meant to be. Here, you can own your impact to make work more intuitive, joyful, and human—for you as a Dropboxer and for hundreds of millions of people worldwide. If you're ready to push boundaries—and yourself— Dropbox is ready for you.
**Team Description**
 The Dropbox Engineering Team builds the technology that creates more enlightened ways of working for hundreds of millions of people. Every day, our platforms—including Dropbox Dash, Dropbox Sign, and our core sync engine—handle over a billion files for users worldwide, creating engineering challenges as great as the opportunity for impact. Our software engineering team uses a range of technologies to solve interesting problems, including Python, React, Node.js, JavaScript, MongoDB, PostgreSQL, and Android development. We think like a startup but build for an enterprise, exploring new possibilities that transform how people work. If you're excited about turning complex technical challenges into intuitive solutions at scale, join our Engineering team. Areas of work include Machine Learning Engineers, Infrastructure Engineer, Product SWE Frontend and Backend, Mobile Software Engineers (iOS and Android), Engineering Manager, Data Engineer, Software Development Engineer in Test, Security Engineering, Site Reliability Engineer, Technical Program Managers, Network Engineer, Datacenter Engineer, Technical Supply Chain Manager and more.
**Role Description**
 As a Product Engineer at Dropbox, you will play a pivotal role in shaping the future of collaboration and file sharing. Your responsibilities will revolve around developing and enhancing our suite of Dropbox Products to deliver exceptional user experiences. You will work closely with cross\-functional teams, turning innovative ideas into robust, scalable, and user\-friendly features.
 This year, Dropbox is on a mission to expedite the creation and implementation of AI\-enable products by providing a comprehensive AI technology stack that facilitates speedy prototyping and reliable deployment of AI\-driven functionalities.
 Our Engineering Career Framework is viewable by anyone outside the company and describes what’s expected for our engineers at each of our career levels. Check out our blog post on this topic and more here.
**Responsibilities**
* Write and maintain high performance Java code from day 1\.
* Debug and optimize database queries and schemas, including the creation of indices as needed and the resolution of deadlocks when they happen.
* Write resilient distributed software that integrates with 3rd parties, such as Google Calendar, Slack, Office 365, Asana, Linear, and more.
* Develop REST (and perhaps GraphQL) services to be consumed by the Reclaim front end to start and eventually by 3rd parties.
* Participate in the process of continuous deployment, including multiple code reviews and deploys per day.
* Debug customer issues using logs, metrics, and traces.
* Autonomously deliver ongoing business impact across a team, product capability, or technical system.
* Collaborate effectively with cross\-functional teams, including product managers, designers, and other engineers.
* Excellent problem\-solving skills and the ability to make effective tradeoffs between technical requirements and business goals.
* Mentor junior engineers and contributing to the overall growth and success of the engineering team.
* Adapt to a dynamic and fast\-paced work environment, with a focus on continuous learning and professional development.
 Many teams at Dropbox run Services with on\-call rotations, which entails being available for calls during both core and non\-core business hours. If a team has an on\-call rotation, all engineers on the team are expected to participate in the rotation as part of their employment. Applicants are encouraged to ask for more details of the rotations to which the applicant is applying.
**Requirements**
* 8\+ years of professional experience in Java backend development, with a strong track record of building and maintaining high\-performance, scalable systems.
* BS degree or higher in Computer Science or a related technical field. (e.g., physics or mathematics), or equivalent technical experience.
* Proven ability to thrive in agile, fast\-paced environments, including comfort with continuous deployment practices and rapid iteration.
* Passion for customer advocacy and support, with a user\-first mindset and experience building systems that solve real customer pain points.
* Delivered tangible results, from conceptualization to implementation, while making significant contributions to the success of the project.
* Experience in developing web applications, demonstrating a deep understanding of the intricacies involved in building robust and scalable systems.
**Preferred Qualifications**
* Deep expertise in AWS (or similar cloud platforms), including hands\-on experience designing and operating cloud\-native infrastructure.
* Strong proficiency in SQL and Postgres, including schema design, performance tuning, and operational troubleshooting.
* Familiarity with modern observability tools and practices, including monitoring, logging, and tracing in distributed systems.
**Compensation**
 US Zone 1
 This role is not available in Zone 1
 US Zone 2
 $202,700—$274,300 USD
 US Zone 3
 $180,200—$243,800 USD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 including job and level they are hired into, location/metropolitan area, skillset, and peer compensation. We target most new hire offers between the minimum up to the middle of the range.
 Dropbox uses the zip code of an employee’s remote work location to determine which metropolitan pay range we use. Current US Zone locations are as follows:
* US Zone 1: San Francisco metro, New York City metro, or Seattle metro
* US Zone 2: California (outside SF metro), Colorado, Connecticut (outside NYC metro), Delaware, Illinois (Chicago metro), Indiana (Chicago metro), Maryland, Massachusetts, Michigan (Chicago metro), New Hampshire, New Jersey (outside NYC metro), New York (outside NYC metro), Oregon, Pennsylvania (D.C. metro), Pennsylvania (outside NYC or DC metro), Texas (Austin metro) Virginia (DC metro), Washington (outside Seattle metro), Washington DC metro, West Virginia (DC metro), Wisconsin (Chicago metro)
* US Zone 3: All other US locations
**Benefits**
 Dropbox is committed to investing in the holistic health and wellbeing of all Dropboxers and their families. Our benefits and perks programs include, but are not limited to:
* Competitive medical, dental, and vision coverage
* 401(k) plan with a generous company match and immediate vesting
* Flexible PTO/Paid Time Off, paid holidays, Volunteer Time Off, and more, allowing you time to unplug, unwind, and refresh
* Income Protection Plans: Life and disability insurance
* Business Travel Protection: Travel medical and accident insurance
* Perks Allowance to be used on what matters most to you, whether that’s wellness, learning and development, food and groceries, and much more
* Parental benefits including: Parental Leave, Child and Adult Care, Day Care FSA, Fertility Benefits, Adoption and Surrogacy Support, and Lactation Support
* Access to over 10,000 global co\-working spaces through Gable.tomaking it easy to book flexible workspaces for collaboration or individual work
* Quarterly Cell phone and internet allowance
* Mental health and wellness benefits
* Disability and neurodivergence support benefits
 Additional benefit details are available upon request.
 Dropbox supports responsible use of AI for preparation, but misrepresentation of skills or experience is not permitted. See our AI philosophy.
 Dropbox is an equal opportunity employer. We are a welcoming place for everyone, and we do our best to make sure all people feel supported and connected at work. A big part of that effort is our support for members and allies of internal groups like Asians at Dropbox, BlackDropboxers, enABLE, TODOS (Latinx), Pridebox (LGBTQ), Vets at Dropbox, and Women at Dropbox.</t>
        </is>
      </c>
    </row>
    <row r="4">
      <c r="A4" t="inlineStr">
        <is>
          <t>li-4308502697</t>
        </is>
      </c>
      <c r="B4" t="inlineStr">
        <is>
          <t>Software Engineer, Developer Productivity</t>
        </is>
      </c>
      <c r="C4" t="inlineStr">
        <is>
          <t>Glean</t>
        </is>
      </c>
      <c r="D4" t="inlineStr">
        <is>
          <t>linkedin</t>
        </is>
      </c>
      <c r="E4" t="inlineStr"/>
      <c r="F4" t="inlineStr"/>
      <c r="G4" t="inlineStr"/>
      <c r="H4" t="inlineStr"/>
      <c r="I4" t="inlineStr">
        <is>
          <t>**About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**About The Role**
 We are looking for a Software Engineer, Developer Productivity to shape the way our engineers build, test, and ship software. Our codebase is large and multi\-language, powered by Bazel, with pipelines running on GitHub Actions and cloud remote execution.
 In this role, you will design and optimize build systems, CI/CD pipelines, and developer tooling, while also enabling engineers to effectively leverage AI\-powered coding and productivity tools. Your work will reduce friction in everyday workflows, scale our infrastructure, and help the entire engineering team move faster with confidence.
**You Will**
**Build Systems \&amp; Tooling**
* Develop and maintain our Bazel monorepo with support for multiple languages.
* Improve build hermeticity, caching, reproducibility, and dependency management.
* Extend Bazel with custom rules, macros, and integrations.
**CI/CD Engineering**
* Operate and optimize pipelines on GitHub Actions, Kubernetes, and cloud runners.
* Reduce CI latency through remote execution, caching, and parallelization.
* Instrument pipelines with telemetry and dashboards to measure speed, reliability, and cost.
**Developer Enablement**
* Build tools and workflows (CLI utilities, IDE plugins, GitHub bots) that improve day\-to\-day developer experience.
* Automate debugging of flaky tests and CI failures.
* Simplify onboarding and local dev environments.
**AI Adoption \&amp; Productivity**
* Enable engineers to integrate AI\-powered coding assistants (e.g. GitHub Copilot, Cursor, Claude) into daily workflows.
* Build agentic tooling that automates CI failure analysis, PR triage, and code review support.
* Collect usage insights, build dashboards, and iterate on adoption strategies to maximize developer ROI from AI.
**Additionally**
* You’ll work on critical build and CI/CD systems that touch every engineer’s workflow.
* You’ll have a direct impact on the speed, reliability, and cost of software delivery.
* You’ll be at the frontier of AI adoption in engineering teams, shaping how humans and AI collaborate in development.
* You’ll have opportunities to contribute to open source (Bazel, rules projects, CI tooling) and share learnings at conferences
**About You**
* Strong software engineering background (Java, Go, Python, or similar).
* Experience with build systems (Bazel strongly preferred; Buck, Blaze, Gradle, or Maven acceptable).
* Hands\-on with CI/CD systems (GitHub Actions, Buildkite, Jenkins, etc.).
* Familiarity with Docker/Kubernetes, cloud runners, and distributed build/test environments.
* Experience integrating or enabling AI developer tools is a plus.
* Strong debugging skills and an interest in solving workflow bottlenecks.
* Passion for multiplying the effectiveness of other engineers.
**Location:**
* This role is hybrid (3\-4 days a week in one of our SF Bay Area offices)
**Compensation \&amp; Benefits**
 The standard base salary range for this position is $140,000 \- $265,000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5">
      <c r="A5" t="inlineStr">
        <is>
          <t>li-4363809551</t>
        </is>
      </c>
      <c r="B5" t="inlineStr">
        <is>
          <t>Full Stack Engineer</t>
        </is>
      </c>
      <c r="C5" t="inlineStr">
        <is>
          <t>Cloudera</t>
        </is>
      </c>
      <c r="D5" t="inlineStr">
        <is>
          <t>linkedin</t>
        </is>
      </c>
      <c r="E5" t="inlineStr"/>
      <c r="F5" t="inlineStr"/>
      <c r="G5" t="inlineStr"/>
      <c r="H5" t="inlineStr"/>
      <c r="I5" t="inlineStr">
        <is>
          <t>**About The Company**
 Cloudera is a leading provider of enterprise data management and analytics solutions, empowering organizations worldwide to transform complex data into clear, actionable insights. With a strong foundation rooted in open\-source innovation, Cloudera supports digital transformation initiatives for some of the world’s largest and most influential enterprises across various industries. The company manages vast amounts of data, comparable to hyperscalers, and is recognized as a trusted data partner for its ability to deliver scalable, secure, and reliable data platforms. Cloudera’s commitment to continuous innovation and open\-source collaboration enables it to stay at the forefront of the data technology landscape, providing cutting\-edge solutions that meet the evolving needs of its clients.
**About The Role**
 We are seeking a highly skilled and motivated Staff Full Stack Engineer to join our Product Security team on a remote basis. This contract position focuses on developing and enhancing Heimdall, our internal vulnerability metrics and dashboard platform designed to provide critical security insights. The ideal candidate will possess extensive experience in full lifecycle software development, with a strong emphasis on security and vulnerability management. You will be responsible for translating complex requirements, UI mockups, and technical specifications into robust, scalable solutions that bolster our internal security posture. This role offers an exciting opportunity to work at the intersection of software engineering and cybersecurity, contributing directly to the security and integrity of Cloudera’s products and services.
**Qualifications**
* Bachelor’s or Master’s degree in Computer Science, Software Engineering, or a related field
* 5\-7 years of professional experience as a Software Engineer, with a focus on security and vulnerability remediation preferred
* Proficiency in at least two programming languages such as Python, Go, TypeScript, or React JS
* Experience with vulnerability management tools including Aquasec, CVE triaging, and JIRA ticketing system
* Hands\-on experience with containerization and CI/CD tools like Docker, Maven, SonarQube, Harness, Jenkins, and GitHub Actions
* Familiarity with relational databases such as Postgres or RDS
* Understanding of cloud technologies, particularly Kubernetes and AWS
* Experience contributing to open\-source projects is a plus
* Excellent problem\-solving skills and the ability to diagnose and resolve complex security issues in large\-scale systems
* Strong communication and collaboration skills to work effectively across cross\-functional teams
* Experience with large\-scale software development, testing, and deployment processes
**Responsibilities**
* Gain comprehensive understanding of Cloudera’s product ecosystem and development lifecycle, identifying areas for security improvements
* Design and develop tooling, frameworks, and proof\-of\-concept solutions to improve vulnerability detection, remediation, and developer productivity
* Identify opportunities to leverage AI/ML tools to expedite CVE remediation efforts
* Collaborate with the product security team to evaluate and enhance existing security tools such as SCA, SAST, DAST, and integrate these into CI/CD pipelines
* Develop proactive dependency management strategies to reduce vulnerability exposure
* Define and enforce SLAs for CVE management, ensuring accountability and timely resolution
* Work closely with cross\-functional teams including engineering, quality engineering, release engineering, and customer support to implement security best practices
* Participate in regular reporting on CVE debt reduction, SLA adherence, and key security metrics
* Contribute to continuous improvement initiatives within the security and engineering teams
**Benefits**
* Competitive compensation package
* Flexible remote working arrangements
* Opportunities for professional growth and development within a leading technology company
* Engagement in innovative projects at the forefront of data security and management
* Collaborative and inclusive work environment
* Access to cutting\-edge tools and technologies
 Equal Opportunity
 Cloudera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 We are dedicated to fostering a workplace culture that values differences and promotes equal opportunity for everyone.</t>
        </is>
      </c>
    </row>
    <row r="6">
      <c r="A6" t="inlineStr">
        <is>
          <t>li-4363769470</t>
        </is>
      </c>
      <c r="B6" t="inlineStr">
        <is>
          <t>Software Engineer (Full Stack)</t>
        </is>
      </c>
      <c r="C6" t="inlineStr">
        <is>
          <t>Rad AI</t>
        </is>
      </c>
      <c r="D6" t="inlineStr">
        <is>
          <t>linkedin</t>
        </is>
      </c>
      <c r="E6" t="inlineStr"/>
      <c r="F6" t="inlineStr"/>
      <c r="G6" t="inlineStr"/>
      <c r="H6" t="inlineStr"/>
      <c r="I6" t="inlineStr">
        <is>
          <t>**About Rad AI** 
 Rad AI is at the forefront of transforming healthcare through innovative artificial intelligence solutions. Founded by a radiologist, the company leverages one of the largest proprietary datasets of radiology reports worldwide to develop AI tools that significantly enhance diagnostic accuracy, reduce errors, and alleviate radiologist burnout. Rad AI's mission is to empower medical professionals with cutting\-edge AI technology, ultimately improving patient outcomes and streamlining healthcare workflows. With substantial funding exceeding $140 million, including a recent oversubscribed Series C round, Rad AI's valuation has reached over $528 million. The company's investor portfolio features prominent names such as Khosla Ventures, Gradient Ventures, and World Innovation Lab, all committed to advancing healthcare innovation. Rad AI’s generative AI solutions are utilized daily by thousands of radiologists across major healthcare systems, supporting a substantial portion of medical imaging in the United States. Recognized as one of the most promising healthcare AI companies by CB Insights and AuntMinnie, and ranked among the fastest\-growing companies in North America by Deloitte, Rad AI continues to lead the industry with its innovative approach. The company’s recent inclusion in CNBC’s Disruptor 50 list underscores its rapid growth and transformative impact on healthcare. Rad AI is dedicated to building a diverse, inclusive environment where talented professionals can thrive and contribute to meaningful healthcare advancements.
**About The Role** 
 Rad AI is seeking a skilled Staff Software Engineer to join our platform team, focusing on building and maintaining our healthcare data platform. This pivotal role involves developing scalable, secure, and reliable backend systems that power our core products, including our reporting applications. The ideal candidate will have extensive experience in backend development, particularly with Python and TypeScript, and a strong understanding of web architecture, data storage, and healthcare data standards such as HL7 and FHIR. You will collaborate closely with cross\-functional teams—including Product Management, UX, and Customer Success—to design and implement new features that support our growing customer base. Your contributions will directly impact how healthcare data flows within our systems, ensuring seamless integration and high performance in a HIPAA\-compliant environment. This role offers a unique opportunity to work at the intersection of healthcare and technology, shaping the future of medical data management and AI\-driven healthcare solutions.
**Qualifications** 
* 8\+ years of professional full\-stack engineering experience in multi\-tenant environments
* Proficiency in JavaScript, TypeScript, Python, and FastAPI or equivalent frameworks
* Experience with relational databases such as PostgreSQL and document\-based storage systems
* Strong understanding of modern web architecture, security, and best practices
* Solid knowledge of HTML, CSS, responsive design, and web APIs like WebSockets and IndexedDB
* Experience with unit and integration testing methodologies
* Proficiency with version control systems, especially Git, within distributed teams
* Ability to diagnose and optimize performance issues at scale
* Experience working in HIPAA\-compliant environments and familiarity with healthcare data standards like HL7 and FHIR
**Responsibilities** 
* Develop and maintain large\-scale web applications, including single\-page applications with React/TypeScript
* Build robust backend services using Python and FastAPI, including REST APIs and machine learning pipelines
* Implement new features and enhancements to support an expanding customer base
* Ensure code quality, security, and maintainability by adhering to internal standards and best practices
* Collaborate with cross\-functional teams to gather requirements, iterate on features, and resolve defects
* Participate in architectural decisions to improve system scalability and performance
* Diagnose and troubleshoot performance bottlenecks and system issues
* Contribute to documentation and knowledge sharing within the team
**Benefits** 
* Comprehensive Medical, Dental, Vision \&amp; Life Insurance
* Health Savings Account (HSA) with employer match, Flexible Spending Account (FSA), and Dependent Care FSA (DCFSA)
* 401(k) retirement plan
* 11 paid company holidays annually
* Flexible PTO policy to support work\-life balance
* Location flexibility with a remote\-first work environment
* Annual company\-wide offsite events and periodic team gatherings
* Annual equipment stipend to support remote work setup
 Equal Opportunity
 Rad AI is committed to fostering an inclusive and diverse workplace. We are proud to be an equal opportunity employer and do not discriminate based on race, color, religion, national origin, gender, sexual orientation, age, marital status, veteran status, disability, or any other protected characteristic. We consider all qualified applicants, including those with criminal histories, in accordance with applicable laws such as the San Francisco Fair Chance Ordinance.</t>
        </is>
      </c>
    </row>
    <row r="7">
      <c r="A7" t="inlineStr">
        <is>
          <t>li-4363759394</t>
        </is>
      </c>
      <c r="B7" t="inlineStr">
        <is>
          <t>Software Engineer II</t>
        </is>
      </c>
      <c r="C7" t="inlineStr">
        <is>
          <t>Samsara</t>
        </is>
      </c>
      <c r="D7" t="inlineStr">
        <is>
          <t>linkedin</t>
        </is>
      </c>
      <c r="E7" t="inlineStr"/>
      <c r="F7" t="inlineStr"/>
      <c r="G7" t="inlineStr"/>
      <c r="H7" t="inlineStr"/>
      <c r="I7" t="inlineStr">
        <is>
          <t>**About The Company** 
 Samsara (NYSE: IOT) is at the forefront of the Internet of Things (IoT) revolution, pioneering the Connected Operations Cloud platform. Our mission is to enable organizations that rely on physical operations to harness IoT data, transforming their processes into safer, more efficient, and sustainable operations. Serving industries that constitute over 40% of the global GDP, such as agriculture, construction, field services, transportation, and manufacturing, we are committed to digital transformation at scale. Our innovative solutions help improve safety standards, optimize operational efficiency, and promote environmental sustainability across these vital sectors.
 As a dynamic and rapidly growing company, Samsara offers an environment where employees can make a tangible impact on the physical world. Our product suite includes Video\-Based Safety, Vehicle Telematics, Driver Workflows, Equipment Monitoring, and Site Visibility, all designed to reshape how industries operate. Working at Samsara means being part of a team that is shaping the future of physical operations, with the autonomy and support to innovate and grow in a collaborative setting. Being a recently public company, we provide our team members with opportunities for professional development, meaningful work, and long\-term career growth.
**About The Role** 
 The Full\-Stack Software Engineer role within the Platform team is pivotal to the development and maintenance of Samsara’s core infrastructure and customer\-facing features. The platform acts as the central hub connecting various product spokes—such as safety, route planning, maintenance, and fuel efficiency—allowing seamless user interaction and data management. Unlike traditional platforms that operate behind the scenes, Samsara’s platform is highly integrated with the customer experience, providing dashboards, reports, settings, and alerts that are essential for operational decision\-making.
 In this role, you will take full ownership of the systems and features you develop, ensuring they are scalable, reliable, and impactful. You will collaborate closely with cross\-functional teams—including product managers, designers, firmware, and infrastructure engineers—to design, build, test, and deploy end\-to\-end solutions. Your work will directly influence the safety and emissions performance of fleets worldwide, contributing to real\-world outcomes such as reducing carbon footprints and enhancing worker safety. This position is remote and open to candidates residing in the United States, offering flexibility to work from anywhere while contributing to a meaningful mission.
**Qualifications** 
* 2\+ years of professional experience building customer\-facing applications
* Strong programming fundamentals in Java, Python, Golang, or TypeScript
* Experience designing and architecting large\-scale, high\-performance systems
* Ability to estimate, communicate, and deliver project milestones effectively
* Bachelor’s degree or higher in Computer Science or a related discipline
**Additional Preferred Qualifications Include** 
* Experience with cloud platforms such as AWS
* Familiarity with multi\-tier architectures, including React frontends and microservices
* Proven track record of delivering significant value to customers
* Curiosity about customer needs and eagerness to improve user experience
* Passion for shipping features that are immediately utilized by customers
* Interest in iterating and improving products based on customer feedback
**Responsibilities** 
* Collaborate with product managers, designers, firmware, and infrastructure engineers to architect, develop, test, and deploy full\-stack features across front\-end, back\-end, and mobile platforms
* Maintain and support production systems owned by your team, ensuring high availability and performance
* Implement customer\-facing features that enhance user experience and operational insights
* Participate in code reviews, testing, and documentation to uphold quality standards
* Partner with cross\-functional teams to gather requirements, prioritize tasks, and evangelize platform capabilities
* Contribute to building a collaborative, inclusive, and innovative team culture
* Embed Samsara’s core cultural principles—Customer Success, Long\-term Building, Growth Mindset, Inclusivity, and Teamwork—into daily work practices
**Benefits** 
* Competitive total compensation package
* Flexible remote and hybrid work arrangements
* Health, dental, and vision insurance plans
* Paid time off and holidays
* Professional development opportunities and continuous learning
* Inclusive and diverse work environment
* Employee\-led wellness programs and initiatives
* Support for accommodations and accessibility needs
 Equal Opportunity
 Samsara is committed to creating a diverse and inclusive workplace. We provide equal employment opportunities to all qualified applicants without regard to race, color, religion, national origin, sex, gender identity, sexual orientation, protected veteran status, disability, age, or any other characteristic protected by law.</t>
        </is>
      </c>
    </row>
    <row r="8">
      <c r="A8" t="inlineStr">
        <is>
          <t>li-4278342578</t>
        </is>
      </c>
      <c r="B8" t="inlineStr">
        <is>
          <t>Software Developer</t>
        </is>
      </c>
      <c r="C8" t="inlineStr">
        <is>
          <t>Orange Barrel Media</t>
        </is>
      </c>
      <c r="D8" t="inlineStr">
        <is>
          <t>linkedin</t>
        </is>
      </c>
      <c r="E8" t="inlineStr"/>
      <c r="F8" t="inlineStr"/>
      <c r="G8" t="inlineStr">
        <is>
          <t>Columbus, OH</t>
        </is>
      </c>
      <c r="H8" t="inlineStr"/>
      <c r="I8" t="inlineStr">
        <is>
          <t>Columbus, OH (in office)
 ***Must be located in Columbus. If you are not located in Columbus your application will not be considered.***
**Company Overview**
 Orange Barrel Media creates and operates iconic urban media displays that advertisers ask for by name in the top markets in the U.S. Our commitment to innovation has differentiated OBM as a leader in the Out\-of\-Home industry and driven the development of our subsidiary, IKE Smart City, a company that is blazing the way in smart city initiatives with our interactive digital kiosk, IKE. We are widely known as a place where people are inspired to achieve success and have endless opportunities to grow. We value our associates and have created an environment of inclusion, respect, and fun. We hire and reward top\-notch talent who contribute to our unique culture and shared vision. OBM and IKE Smart City are experiencing momentous growth, almost tripling in size over the past two years, and we start and end each day excited about the work we do together and the new challenges ahead. Learn more at www.ikesmartcity.com and www.orangebarrelmedia.com.
**Position Overview**
 The Software Developer will manage and oversee a range of tasks, with a focus on leading small to medium\-sized projects and mentoring junior developers. This position requires a candidate with a strong understanding of React and Ruby on Rails, the ability to work independently, and a commitment to delivering high\-quality, scalable solutions. The ideal candidate will possess strong communication skills and be adept at collaborating with team members and addressing user needs directly.
**What You’ll Do**
* Lead the design, development, and deployment of small to medium\-sized features and projects using React and Rails.
* Perform in\-depth code reviews, ensuring adherence to best practices, coding standards, and system design principles.
* Mentor junior developers by providing guidance on coding techniques, tools, and problem\-solving approaches.
* Implement automated testing strategies to maintain high\-quality code and reduce regressions.
* Continuously evaluate and improve development workflows, tools, and processes for the team.
* Respond to and resolve user\-reported issues directly, ensuring timely fixes and a high\-quality experience for our users.
**About You**
* At least 3 years of professional experience in software development, with expertise in React and Ruby on Rails.
* Proven ability to design, implement, and maintain scalable, maintainable, and well\-tested software solutions.
* Experience leading small to medium\-sized projects and mentoring other developers.
* Strong problem\-solving skills and a user\-focused mindset, with the ability to troubleshoot and resolve issues effectively.
* Excellent communication skills and a commitment to continuous learning and process improvement.
**Desired Skills**
* Deep understanding of React and Ruby on Rails, including component\-based design and API development.
* Strong knowledge of caching strategies and their implementation to improve application performance.
* Strong knowledge of automated testing frameworks and best practices for maintaining high\-quality code.
* Familiarity with software lifecycle management, including version control, CI/CD pipelines, and deployment processes.
* Ability to balance technical debt with feature delivery, ensuring long\-term maintainability.
*OBM is an equal\-opportunity employer, and provides competitive salary/incentive compensation and benefits, generous PTO, 401k match, a beautiful office stocked with snacks, and daily lunch.*</t>
        </is>
      </c>
    </row>
    <row r="9">
      <c r="A9" t="inlineStr">
        <is>
          <t>li-4363819655</t>
        </is>
      </c>
      <c r="B9" t="inlineStr">
        <is>
          <t>Software Engineer (API, Data)</t>
        </is>
      </c>
      <c r="C9" t="inlineStr">
        <is>
          <t>Gusto</t>
        </is>
      </c>
      <c r="D9" t="inlineStr">
        <is>
          <t>linkedin</t>
        </is>
      </c>
      <c r="E9" t="inlineStr"/>
      <c r="F9" t="inlineStr"/>
      <c r="G9" t="inlineStr"/>
      <c r="H9" t="inlineStr"/>
      <c r="I9" t="inlineStr">
        <is>
          <t>**About The Company** 
 Gusto is a leading provider of comprehensive payroll, benefits, and HR management solutions dedicated to empowering small businesses. With a mission to grow the small business economy, Gusto simplifies complex administrative tasks, allowing business owners to focus on their core operations and customer relationships. The company boasts a diverse team located in Denver, San Francisco, and New York, supporting over 400,000 small businesses nationwide. Gusto prides itself on fostering an inclusive workplace culture that reflects and celebrates the diversity of its customers. Its innovative approach to employee benefits and commitment to total rewards make it a prominent player in the HR technology space.
**About The Role** 
 We are seeking a highly skilled Staff Software Engineer to join Gusto’s Payroll Platform team. This pivotal role involves designing, developing, and maintaining backend infrastructure that powers Gusto’s payroll experiences. As a fully backend\-focused position, you will be responsible for creating and evolving internal APIs and services used by various product teams to ensure payroll processes are accurate, compliant, and scalable. The ideal candidate will own complex technical problems from conception to implementation, collaborate closely with cross\-functional teams, and contribute to raising the technical standards of payroll capabilities across the organization. This role offers an exciting opportunity to influence the foundational systems that support millions of payroll transactions for small businesses across the country.
**Qualifications** 
* 8\+ years of professional software engineering experience, with a strong emphasis on backend development
* Proven experience in building and scaling internal platforms, shared services, or foundational APIs supporting multiple product teams
* Strong system design skills, including performance optimization, scalability, and reliability in production environments
* Experience working independently on ambiguous problems, from understanding business needs to delivery and iteration
* Proficiency in one or more backend programming languages; experience with Ruby is strongly preferred
* Experience with AI\-assisted development tools such as LLMs, Claude Code, or Cursor, and familiarity with their adoption in engineering workflows
* Excellent collaboration skills, with a history of acting as a technical partner across teams
* Experience in highly regulated domains, ensuring compliance and security standards are met
**Responsibilities** 
* Design, develop, and maintain backend services and APIs supporting core payroll workflows used by multiple Gusto engineering teams
* Own a primary domain within the Payroll Platform, overseeing system health, correctness, scalability, and long\-term evolution
* Collaborate with cross\-functional teams including Product, Design, Data, Compliance, and Operations to deliver compliant and impactful solutions
* Drive architecture and design documentation, guiding technical direction while balancing immediate delivery needs with long\-term platform goals
* Enhance system performance, reliability, and observability to support payroll processing for hundreds of thousands of businesses
* Partner with other engineering teams to understand their requirements, promote platform adoption, and co\-design scalable solutions
* Leverage AI\-assisted development tools to accelerate development cycles, improve code quality, and facilitate documentation
* Participate in code reviews, technical discussions, and continuous improvement initiatives to uphold engineering excellence
**Benefits** 
* Competitive salary range, with targeted compensation based on experience and location
* Stock options and equity participation
* Comprehensive health, dental, and vision insurance plans
* Flexible work arrangements, including hybrid work models in designated office locations
* Generous paid time off and holidays
* Professional development opportunities and continuous learning support
* Inclusive and diverse workplace culture that values innovation and collaboration
* Employee wellness programs and resources to support work\-life balance
 Equal Opportunity
 Gusto is an equal opportunity employer. We celebrate diversity and are committed to creating an inclusive environment for all employees. We do not discriminate based on race, color, religion, national origin, age, sex (including pregnancy, childbirth, or related medical conditions), marital status, ancestry, physical or mental disability, genetic information, veteran status, gender identity or expression, sexual orientation, or any other legally protected characteristic.</t>
        </is>
      </c>
    </row>
    <row r="10">
      <c r="A10" t="inlineStr">
        <is>
          <t>li-4359272524</t>
        </is>
      </c>
      <c r="B10" t="inlineStr">
        <is>
          <t>Software Engineer</t>
        </is>
      </c>
      <c r="C10" t="inlineStr">
        <is>
          <t>Xlent IT service</t>
        </is>
      </c>
      <c r="D10" t="inlineStr">
        <is>
          <t>linkedin</t>
        </is>
      </c>
      <c r="E10" t="inlineStr"/>
      <c r="F10" t="inlineStr"/>
      <c r="G10" t="inlineStr">
        <is>
          <t>Arizona City, AZ</t>
        </is>
      </c>
      <c r="H10" t="inlineStr"/>
      <c r="I10" t="inlineStr">
        <is>
          <t>**Company Description**
 Xlent\-IT is a leading career acceleration partner dedicated to helping IT students and professionals secure full\-time roles in the United States. Offering end\-to\-end job search support, including resume optimization, profile marketing, job applications, and interview preparation, Xlent\-IT is committed to empowering IT job seekers. The organization caters to candidates across key domains such as Java, Python, Data, QA, Cloud, DevOps, and more. With a transparent and personalized approach, Xlent\-IT ensures timely and strategic support for individuals navigating the job market. The company prioritizes ethical guidance and real\-world hiring insights to drive career success for its clients.
**Role Description**
 This is a full\-time, on\-site Software Engineer role located in Arizona City, AZ. The Software Engineer will be responsible for designing, developing, and maintaining high\-quality software solutions. This includes back\-end web development, implementing object\-oriented programming principles, and collaborating with cross\-functional teams to create efficient, scalable, and secure applications. Additionally, the Software Engineer will troubleshoot, optimize code, and ensure the software's performance aligns with business objectives.
**Qualifications**
* Strong foundation in Computer Science, with knowledge of data structures, algorithms, and software design patterns.
* Experience in Back\-End Web Development and Software Development, with the ability to build and maintain robust systems.
* Proficiency in Programming and Object\-Oriented Programming (OOP) concepts.
* Capability to work collaboratively in an on\-site team environment to deliver software solutions effectively.
* Bachelor’s degree in Computer Science, Software Engineering, or a related field is required.
* Experience with relevant tools and frameworks is highly desirable.
* Effective communication skills and a proactive approach to problem\-solving.</t>
        </is>
      </c>
    </row>
    <row r="11">
      <c r="A11" t="inlineStr">
        <is>
          <t>li-4363869556</t>
        </is>
      </c>
      <c r="B11" t="inlineStr">
        <is>
          <t>Backend Engineer</t>
        </is>
      </c>
      <c r="C11" t="inlineStr">
        <is>
          <t>Calyptus</t>
        </is>
      </c>
      <c r="D11" t="inlineStr">
        <is>
          <t>linkedin</t>
        </is>
      </c>
      <c r="E11" t="inlineStr"/>
      <c r="F11" t="inlineStr"/>
      <c r="G11" t="inlineStr">
        <is>
          <t>New York, United States</t>
        </is>
      </c>
      <c r="H11" t="inlineStr"/>
      <c r="I11"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**Responsibilities** 
* Design and implement scalable backend services using Node.js, TypeScript (NestJS), and Python.
* Architect and integrate Web3 functionalities throughout the tech stack.
* Design and implement caching solutions using Redis to optimize application performance.
* Build and maintain API integrations between frontend and backend systems.
* Ensure high performance, reliability, and security across all system components.
* Collaborate with the team on technical architecture decisions and implementation strategies.
* Work closely with product and design teams to implement new features.
* Contribute to technical documentation and engineering best practices.
**Requirements** 
* Strong experience with Node.js, TypeScript (NestJS), PostgreSQL, AWS, and Redis.
* Experience with containerization and orchestration using Kubernetes (K8s).
* Experience with various communication protocols: REST, WebSockets, Server\-Sent Events (SSE), etc.
* Familiarity with IPFS and distributed storage systems.
* Experience with ethers.js and Web3 libraries for blockchain interaction.
* Experience with microservices architecture.
* Strong understanding of database design and optimization.
* Knowledge of security best practices and performance optimization.
* Experience with automated testing and CI/CD pipelines.
* Go development experience is a plus.
* Experience with monitoring and observability tools such as Prometheus and Grafana is a plus.
**Preferred Qualifications** 
* Previous experience in DeFi or trading platforms.
* Experience with Subgraph integration and GraphQL.
* Understanding of perpetuals trading and RWA markets.
* Contributions to open\-source projects.
* Experience with high\-frequency trading systems or real\-time data processing.
 \_\_\_\_\_\_\_\_\_\_\_\_\_\_\_\_\_\_\_\_\_\_\_\_\_\_\_\_\_\_\_\_\_\_\_\_\_\_\_\_\_\_\_\_\_\_\_\_\_\_\_\_\_\_\_\_\_\_\_\_
**Want to put your job search on autopilot? Join our platform, complete a 6\-minute AI screening interview, and get auto\-applied to 100s of high\-paying roles.** 
**Sign up now at https://app.calyptus.co/auth/candidate/sign\-up and let the opportunities come to you.**</t>
        </is>
      </c>
    </row>
    <row r="12">
      <c r="A12" t="inlineStr">
        <is>
          <t>li-4340691774</t>
        </is>
      </c>
      <c r="B12" t="inlineStr">
        <is>
          <t>Software Engineer, ML</t>
        </is>
      </c>
      <c r="C12" t="inlineStr">
        <is>
          <t>Twitch</t>
        </is>
      </c>
      <c r="D12" t="inlineStr">
        <is>
          <t>linkedin</t>
        </is>
      </c>
      <c r="E12" t="inlineStr"/>
      <c r="F12" t="inlineStr"/>
      <c r="G12" t="inlineStr">
        <is>
          <t>New York, NY</t>
        </is>
      </c>
      <c r="H12" t="inlineStr"/>
      <c r="I12" t="inlineStr">
        <is>
          <t>**About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the Monetization ML team within Twitch's Commerce organization, where we're building the intelligent systems that power personalized experiences for creators and viewers across all monetization products. We are the team behind the ML infrastructure for ads, commerce, and money products – systems that optimize revenue and detect fraud while serving millions of users in real\-time.
 From production model infrastructure to API integrations across services, we're constantly pushing the boundaries of what's possible in live streaming monetization.
 Our team are based in Seattle, WA and New York City, NY
**You Will:**
* Build robust ML infrastructure and platforms that power personalized monetization experiences across Twitch's ecosystem
* Architect and develop APIs that seamlessly integrate ML models with existing monetization services, enabling real\-time and batch predictions at scale
* Collaborate with Applied Scientists to productionize ML models, transforming research into production\-ready systems that serve millions of users
* Partner with product engineering teams across monetization to deliver ML\-powered features that enhance creator and viewer experiences
* Design and implement comprehensive monitoring and operational excellence systems for ML model performance, ensuring reliability and quality at scale
* Develop data ingestion and processing pipelines that support both real\-time inference and batch training workflows
* Explore and build infrastructure for emerging use cases including LLM applications in monetization contexts
**You Have:**
* 1\+ years of professional software development experience with a focus on building scalable systems
* Experience building production ML infrastructure, including model deployment, serving, and monitoring systems
* Proficiency in modern programming languages (Python, Java, Go) and distributed system technologies
* A track record of building APIs and integrating systems that handle high\-throughput, low\-latency requirements
* Understanding of data processing pipelines and experience with streaming technologies (Flink, Kafka, or similar)
* Sharp problem\-solving skills with a focus on algorithms, data structures, and distributed system design
* Bachelor's degree in Computer Science, Engineering, or equivalent real\-world experience
**Bonus Points**
* Familiarity with Twitch's tech stack: Golang, Python, Apache Flink, Cond
* Experience with workflow orchestration tools like Airflow or Conductor for managing ML pipelines
* Experience with AWS technologies like ECS, DynamoDB, Lambda, SQS, and Step Functions
* Knowledge of real\-time ML serving systems and model deployment at scale
* Experience with fraud detection, recommendation systems, or monetization optimization
* A passion for gaming, streaming, or the Twitch platform
**Perks**
* Medical, Dental, Vision \&amp; Disability Insurance
* 401(k)
* Maternity \&amp; Parental Leave
* Flexible PTO
* Amazon Employee Discount
 Job ID: TW8973
*Our compensation reflects the cost of labor across several US geographic markets. The base pay for this position ranges from our lowest geographic market up to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This position will remain open until filled. For more information, please visit https://www.twitch.tv/jobs/en/\#learn\-more. Applicants should apply via our internal or external career site.*
 US Pay Per Year
 $99,500—$200,000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t>
        </is>
      </c>
    </row>
    <row r="13">
      <c r="A13" t="inlineStr">
        <is>
          <t>li-3986111789</t>
        </is>
      </c>
      <c r="B13" t="inlineStr">
        <is>
          <t>Software Engineer</t>
        </is>
      </c>
      <c r="C13" t="inlineStr">
        <is>
          <t>Epic</t>
        </is>
      </c>
      <c r="D13" t="inlineStr">
        <is>
          <t>linkedin</t>
        </is>
      </c>
      <c r="E13" t="inlineStr"/>
      <c r="F13" t="inlineStr"/>
      <c r="G13" t="inlineStr">
        <is>
          <t>Fremont, CA</t>
        </is>
      </c>
      <c r="H13" t="inlineStr"/>
      <c r="I13"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4">
      <c r="A14" t="inlineStr">
        <is>
          <t>li-4364009605</t>
        </is>
      </c>
      <c r="B14" t="inlineStr">
        <is>
          <t>Backend Software Developer</t>
        </is>
      </c>
      <c r="C14" t="inlineStr">
        <is>
          <t>Sketchy</t>
        </is>
      </c>
      <c r="D14" t="inlineStr">
        <is>
          <t>linkedin</t>
        </is>
      </c>
      <c r="E14" t="inlineStr"/>
      <c r="F14" t="inlineStr"/>
      <c r="G14" t="inlineStr"/>
      <c r="H14" t="inlineStr"/>
      <c r="I14" t="inlineStr">
        <is>
          <t>**About The Company**
 Sketchy is at the forefront of transforming clinical education through innovative storytelling, scalable platforms, and applied artificial intelligence. Dedicated to expanding access to high\-quality medical training, Sketchy partners with institutions, health systems, and learners worldwide to prepare clinicians for the future of healthcare. Our mission emphasizes building clinicians' readiness and agility to deliver better decisions, foster stronger patient connections, and provide higher\-quality care in a rapidly evolving medical landscape shaped by AI and precision medicine. We are committed to reimagining core competencies such as clinical reasoning and communication, empowering every learner to adapt, grow, and lead in the healthcare industry of tomorrow.
**About The Role**
 As a Principal Software Developer, Backend at Sketchy, you will play a pivotal role in shaping the technical direction of our most critical backend systems and AI\-enabled services. You will be responsible for guiding architecture decisions that balance speed, reliability, and long\-term maintainability, ensuring the delivery of scalable and robust solutions. This role requires a strategic thinker who can translate ambiguous product goals into clear technical plans, collaborating closely with Product, Design, Data, and Frontend Engineering teams.
 You will serve as a technical leader, mentoring team members, conducting architecture reviews, and establishing engineering best practices. Your expertise will help us build and operate AI\-driven workflows, retrieval systems, and monitoring frameworks that directly impact how clinicians learn and practice medicine. This is an exciting opportunity for an experienced backend engineer passionate about applied AI, high\-ownership environments, and making a tangible difference in healthcare education.
**Qualifications**
* 10\+ years of experience building and operating production backend systems in consumer and/or B2B SaaS environments, including experience with scaling and distributed systems
* Deep expertise in AWS cloud\-native architectures (EC2, Fargate, Lambda, queues) and Infrastructure as Code (Terraform)
* Proficiency with Node.js, TypeScript, and modern backend frameworks such as NestJS or equivalent
* Experience working with Redis, Postgres, SQL, and data\-intensive backend systems
* Proven ability to design scalable architectures and lead complex technical decisions related to APIs, data models, async workflows, caching, and migrations
* Strong knowledge of Docker, CI/CD pipelines, and production deployment patterns
* Expertise in observability, reliability, and cost optimization using metrics, logging, and tracing tools (e.g., Datadog)
* Excellent communication skills with a track record of ownership and delivery in fast\-paced startup environments
* Hands\-on experience with applied AI and Generative AI, including shipping AI\-enabled features, LLM\-backed workflows, retrieval patterns (RAG, embeddings, vector databases), evaluation, guardrails, and monitoring for quality, latency, and model drift
**Responsibilities**
* Own architecture and establish technical direction for major backend systems and initiatives, ensuring a balance between product velocity, reliability, scalability, and maintainability
* Lead cross\-functional teams by translating ambiguous product requirements into clear technical plans, milestones, and measurable outcomes
* Design, build, and operate applied AI systems in production, including LLM\-backed workflows, retrieval patterns, embeddings, and vector stores
* Develop evaluation frameworks, guardrails, and quality measurement tools to monitor AI system performance and safety
* Implement monitoring solutions for latency, cost, failures, and model drift to ensure operational excellence
* Establish and uphold engineering best practices across the backend organization, including code quality, testing strategies, documentation, and incident response
* Mentor team members through technical guidance, architecture reviews, and raising engineering standards
* Drive operational excellence by improving observability, system reliability, performance tuning, and cost efficiency
* Participate in on\-call rotations, supporting production systems and leading investigations during incidents
* Break down complex product requirements into well\-scoped workstreams to enable predictable delivery and high\-quality output
**Benefits**
* Competitive salary range of $195,000 to $215,000 annually, complemented by performance\-based bonuses and stock options
* Equity stake from day one, aligning your success with the company's growth
* 401(k) plan with up to 5% matching to support your financial future
* Annual company retreats in desirable locations for team building and relaxation
* Flexible time off policy to promote work\-life balance
* Annual work anniversary stipend to celebrate milestones
* Monthly reimbursement for Wi\-Fi and phone expenses
* Short\-term and long\-term disability coverage for added security
 Equal Opportunity
 Sketchy Group LLC is an Equal Opportunity Employer. We are committed to creating an inclusive environment where all applicants are considered without discrimination based on race, religion, color, sex, age, sexual orientation, marital status, national origin, disability, or any other protected characteristic by applicable law. We welcome diverse perspectives and are dedicated to fostering a workplace that reflects the communities we serve.</t>
        </is>
      </c>
    </row>
    <row r="15">
      <c r="A15" t="inlineStr">
        <is>
          <t>li-4346530451</t>
        </is>
      </c>
      <c r="B15" t="inlineStr">
        <is>
          <t>Software Engineer</t>
        </is>
      </c>
      <c r="C15" t="inlineStr">
        <is>
          <t>Microsoft</t>
        </is>
      </c>
      <c r="D15" t="inlineStr">
        <is>
          <t>linkedin</t>
        </is>
      </c>
      <c r="E15" t="inlineStr"/>
      <c r="F15" t="inlineStr"/>
      <c r="G15" t="inlineStr">
        <is>
          <t>Redmond, WA</t>
        </is>
      </c>
      <c r="H15" t="inlineStr"/>
      <c r="I15" t="inlineStr">
        <is>
          <t>**Overview**
**Team Purpose** 
 The Microsoft Power Platform has embraced a shift to delivering agentic experiences that fuel customer productivity and vastly expand the horizon of possibilities to address real\-world challenges through the application of AI.  Our Developer Agents group leads the charge to establish generative AI technology as the pathway to evolve our industry beyond low\-code to agent\-driven app building.
**Job Purpose** 
 As a Software Engineer on the Power Platform Developer Agents team, you will play a key role in building next\-generation, cloud\-first application experiences that empower customers to create AI\-driven solutions. In this role, you will develop a platform that enables users to transform business problems into intelligent applications by leveraging the full capabilities of the Power Platform. Your work will help customers intuitively harness the power of AI to innovate and build real solutions that drive meaningful business impact.
**Company Culture Statement**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 closely with stakeholders to gather and refine user requirements, ensuring alignment with business goals.
* Contribute to design documentation, identify dependencies, and implement scalable, reusable code for features and services with minimal oversight.
* Break down complex work into smaller tasks, provide accurate estimations, and actively participate in an agile, feature\-crew environment.
* Embrace a start\-up\-like culture by thinking creatively, optimizing for cloud\-first solutions, and delivering at a rapid release cadence.
* Periodically act as a Designated Responsible Individual (DRI) for monitoring, troubleshooting, and maintaining 24x7 live site reliability for global customers.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 Microsoft Cloud background check upon hire/transfer and every two years thereafter.
**Preferred Qualifications**
* 3\+ years of experience in development experience.
* Experience with web application development using .Net\\C\#\\React ypescript.
* Comfortable driving complex server \&amp; client architecture across large product teams.
* A passion for improving engineering practices and producing high quality software.
* Experience designing with LLMs and prompt engineering.
* Self\-motivated and customer focused.
 \#BICJOBS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6">
      <c r="A16" t="inlineStr">
        <is>
          <t>li-3986112652</t>
        </is>
      </c>
      <c r="B16" t="inlineStr">
        <is>
          <t>Software Engineer</t>
        </is>
      </c>
      <c r="C16" t="inlineStr">
        <is>
          <t>Epic</t>
        </is>
      </c>
      <c r="D16" t="inlineStr">
        <is>
          <t>linkedin</t>
        </is>
      </c>
      <c r="E16" t="inlineStr"/>
      <c r="F16" t="inlineStr"/>
      <c r="G16" t="inlineStr">
        <is>
          <t>Butte, MT</t>
        </is>
      </c>
      <c r="H16" t="inlineStr"/>
      <c r="I16"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7">
      <c r="A17" t="inlineStr">
        <is>
          <t>li-3986113600</t>
        </is>
      </c>
      <c r="B17" t="inlineStr">
        <is>
          <t>Software Engineer</t>
        </is>
      </c>
      <c r="C17" t="inlineStr">
        <is>
          <t>Epic</t>
        </is>
      </c>
      <c r="D17" t="inlineStr">
        <is>
          <t>linkedin</t>
        </is>
      </c>
      <c r="E17" t="inlineStr"/>
      <c r="F17" t="inlineStr"/>
      <c r="G17" t="inlineStr">
        <is>
          <t>Stockton, CA</t>
        </is>
      </c>
      <c r="H17" t="inlineStr"/>
      <c r="I17"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8">
      <c r="A18" t="inlineStr">
        <is>
          <t>li-3986112645</t>
        </is>
      </c>
      <c r="B18" t="inlineStr">
        <is>
          <t>Software Engineer</t>
        </is>
      </c>
      <c r="C18" t="inlineStr">
        <is>
          <t>Epic</t>
        </is>
      </c>
      <c r="D18" t="inlineStr">
        <is>
          <t>linkedin</t>
        </is>
      </c>
      <c r="E18" t="inlineStr"/>
      <c r="F18" t="inlineStr"/>
      <c r="G18" t="inlineStr">
        <is>
          <t>Sacramento, CA</t>
        </is>
      </c>
      <c r="H18" t="inlineStr"/>
      <c r="I18"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9">
      <c r="A19" t="inlineStr">
        <is>
          <t>li-4353119606</t>
        </is>
      </c>
      <c r="B19" t="inlineStr">
        <is>
          <t>Java Software Engineer</t>
        </is>
      </c>
      <c r="C19" t="inlineStr">
        <is>
          <t>BeaconFire Inc.</t>
        </is>
      </c>
      <c r="D19" t="inlineStr">
        <is>
          <t>linkedin</t>
        </is>
      </c>
      <c r="E19" t="inlineStr"/>
      <c r="F19" t="inlineStr"/>
      <c r="G19" t="inlineStr">
        <is>
          <t>Texas, United States</t>
        </is>
      </c>
      <c r="H19" t="inlineStr"/>
      <c r="I19"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20">
      <c r="A20" t="inlineStr">
        <is>
          <t>li-4340652013</t>
        </is>
      </c>
      <c r="B20" t="inlineStr">
        <is>
          <t>Software Engineer, ML</t>
        </is>
      </c>
      <c r="C20" t="inlineStr">
        <is>
          <t>Twitch</t>
        </is>
      </c>
      <c r="D20" t="inlineStr">
        <is>
          <t>linkedin</t>
        </is>
      </c>
      <c r="E20" t="inlineStr"/>
      <c r="F20" t="inlineStr"/>
      <c r="G20" t="inlineStr">
        <is>
          <t>Seattle, WA</t>
        </is>
      </c>
      <c r="H20" t="inlineStr"/>
      <c r="I20" t="inlineStr">
        <is>
          <t>**About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the Monetization ML team within Twitch's Commerce organization, where we're building the intelligent systems that power personalized experiences for creators and viewers across all monetization products. We are the team behind the ML infrastructure for ads, commerce, and money products – systems that optimize revenue and detect fraud while serving millions of users in real\-time.
 From production model infrastructure to API integrations across services, we're constantly pushing the boundaries of what's possible in live streaming monetization.
 Our team are based in Seattle, WA and New York City, NY
**You Will:**
* Build robust ML infrastructure and platforms that power personalized monetization experiences across Twitch's ecosystem
* Architect and develop APIs that seamlessly integrate ML models with existing monetization services, enabling real\-time and batch predictions at scale
* Collaborate with Applied Scientists to productionize ML models, transforming research into production\-ready systems that serve millions of users
* Partner with product engineering teams across monetization to deliver ML\-powered features that enhance creator and viewer experiences
* Design and implement comprehensive monitoring and operational excellence systems for ML model performance, ensuring reliability and quality at scale
* Develop data ingestion and processing pipelines that support both real\-time inference and batch training workflows
* Explore and build infrastructure for emerging use cases including LLM applications in monetization contexts
**You Have:**
* 1\+ years of professional software development experience with a focus on building scalable systems
* Experience building production ML infrastructure, including model deployment, serving, and monitoring systems
* Proficiency in modern programming languages (Python, Java, Go) and distributed system technologies
* A track record of building APIs and integrating systems that handle high\-throughput, low\-latency requirements
* Understanding of data processing pipelines and experience with streaming technologies (Flink, Kafka, or similar)
* Sharp problem\-solving skills with a focus on algorithms, data structures, and distributed system design
* Bachelor's degree in Computer Science, Engineering, or equivalent real\-world experience
**Bonus Points**
* Familiarity with Twitch's tech stack: Golang, Python, Apache Flink, Cond
* Experience with workflow orchestration tools like Airflow or Conductor for managing ML pipelines
* Experience with AWS technologies like ECS, DynamoDB, Lambda, SQS, and Step Functions
* Knowledge of real\-time ML serving systems and model deployment at scale
* Experience with fraud detection, recommendation systems, or monetization optimization
* A passion for gaming, streaming, or the Twitch platform
**Perks**
* Medical, Dental, Vision \&amp; Disability Insurance
* 401(k)
* Maternity \&amp; Parental Leave
* Flexible PTO
* Amazon Employee Discount
 Job ID: TW8973
*Our compensation reflects the cost of labor across several US geographic markets. The base pay for this position ranges from our lowest geographic market up to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This position will remain open until filled. For more information, please visit https://www.twitch.tv/jobs/en/\#learn\-more. Applicants should apply via our internal or external career site.*
 US Pay Per Year
 $99,500—$200,000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t>
        </is>
      </c>
    </row>
    <row r="21">
      <c r="A21" t="inlineStr">
        <is>
          <t>li-3986115541</t>
        </is>
      </c>
      <c r="B21" t="inlineStr">
        <is>
          <t>Software Engineer</t>
        </is>
      </c>
      <c r="C21" t="inlineStr">
        <is>
          <t>Epic</t>
        </is>
      </c>
      <c r="D21" t="inlineStr">
        <is>
          <t>linkedin</t>
        </is>
      </c>
      <c r="E21" t="inlineStr"/>
      <c r="F21" t="inlineStr"/>
      <c r="G21" t="inlineStr">
        <is>
          <t>Memphis, TN</t>
        </is>
      </c>
      <c r="H21" t="inlineStr"/>
      <c r="I21"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22">
      <c r="A22" t="inlineStr">
        <is>
          <t>li-3986116443</t>
        </is>
      </c>
      <c r="B22" t="inlineStr">
        <is>
          <t>Software Engineer</t>
        </is>
      </c>
      <c r="C22" t="inlineStr">
        <is>
          <t>Epic</t>
        </is>
      </c>
      <c r="D22" t="inlineStr">
        <is>
          <t>linkedin</t>
        </is>
      </c>
      <c r="E22" t="inlineStr"/>
      <c r="F22" t="inlineStr"/>
      <c r="G22" t="inlineStr">
        <is>
          <t>Fresno, CA</t>
        </is>
      </c>
      <c r="H22" t="inlineStr"/>
      <c r="I22"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23">
      <c r="A23" t="inlineStr">
        <is>
          <t>li-3986114485</t>
        </is>
      </c>
      <c r="B23" t="inlineStr">
        <is>
          <t>Software Engineer</t>
        </is>
      </c>
      <c r="C23" t="inlineStr">
        <is>
          <t>Epic</t>
        </is>
      </c>
      <c r="D23" t="inlineStr">
        <is>
          <t>linkedin</t>
        </is>
      </c>
      <c r="E23" t="inlineStr"/>
      <c r="F23" t="inlineStr"/>
      <c r="G23" t="inlineStr">
        <is>
          <t>Murfreesboro, TN</t>
        </is>
      </c>
      <c r="H23" t="inlineStr"/>
      <c r="I23"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24">
      <c r="A24" t="inlineStr">
        <is>
          <t>li-4363799478</t>
        </is>
      </c>
      <c r="B24" t="inlineStr">
        <is>
          <t>Junior Software Engineer</t>
        </is>
      </c>
      <c r="C24" t="inlineStr">
        <is>
          <t>Hyra</t>
        </is>
      </c>
      <c r="D24" t="inlineStr">
        <is>
          <t>linkedin</t>
        </is>
      </c>
      <c r="E24" t="inlineStr"/>
      <c r="F24" t="inlineStr"/>
      <c r="G24" t="inlineStr">
        <is>
          <t>Colorado, United States</t>
        </is>
      </c>
      <c r="H24" t="inlineStr"/>
      <c r="I24" t="inlineStr">
        <is>
          <t>Junior Software Engineer (Java) \| Salary: £80,000 \- £128,000 annual
 Hyra is working on behalf of Peraton to hire for the position of Junior Software Engineer (Java). This role supports a next\-generation Space Domain Awareness program focused on resident space object tracking and data distribution. You will work within a high\-performing team to develop service and distributed computing technologies for satellite situational awareness.
 What you'll be doing
 • Develop Java software modules using event\-driven and state\-driven programming techniques.
 • Perform software analysis, architecture, and engineering at the unit and system levels.
 • Implement system requirements following modern software development best practices.
 • Adhere to open standards and industry methodologies for software integration.
 • Generate technical reports and documentation to record software engineering activities.
 What we're looking for
 • Bachelor's degree with 2\+ years of experience or equivalent professional history.
 • Proficiency in Java software development and exception handling.
 • Experience with distributed computing or satellite situational awareness data.
 • Ability to work in a hybrid environment in Colorado.
 • Must be eligible to obtain and maintain the required security clearance for this role.
 What Peraton offers
 • Competitive annual salary and performance\-based incentives.
 • Opportunities to work on critical national security and space programs.
 • Collaborative environment with emerging service technologies.
 • Comprehensive benefits package and professional development support.
 Apply via Hyra to be considered for this opportunity.</t>
        </is>
      </c>
    </row>
    <row r="25">
      <c r="A25" t="inlineStr">
        <is>
          <t>li-4363799199</t>
        </is>
      </c>
      <c r="B25" t="inlineStr">
        <is>
          <t>Software Developer</t>
        </is>
      </c>
      <c r="C25" t="inlineStr">
        <is>
          <t>Best Job Tool</t>
        </is>
      </c>
      <c r="D25" t="inlineStr">
        <is>
          <t>linkedin</t>
        </is>
      </c>
      <c r="E25" t="inlineStr"/>
      <c r="F25" t="inlineStr"/>
      <c r="G25" t="inlineStr"/>
      <c r="H25" t="inlineStr"/>
      <c r="I25" t="inlineStr">
        <is>
          <t>**About The Company**
 Building Materials Manufacturer is a leading organization dedicated to producing high\-quality construction materials that meet the evolving needs of the industry. With a strong commitment to innovation, sustainability, and excellence, we have established a reputation for delivering reliable products to clients across various sectors, including residential, commercial, and infrastructure projects. Our company values integrity, teamwork, and continuous improvement, fostering a dynamic work environment where employees can grow and contribute to meaningful projects that shape the built environment.
**About The Role**
 We are seeking a highly motivated and detail\-oriented professional to join our team as a Production Supervisor. In this role, you will oversee daily manufacturing operations, ensuring that production processes run smoothly, efficiently, and safely. You will be responsible for coordinating with various departments, managing staff, and maintaining quality standards to meet our company’s objectives. This position offers an excellent opportunity for individuals who are passionate about manufacturing excellence and looking to advance their career within a reputable organization committed to innovation and sustainability.
**Qualifications**
 The ideal candidate will possess a relevant technical diploma or degree in manufacturing, engineering, or a related field. Prior experience of at least 3\-5 years in a supervisory role within a manufacturing environment is preferred. Strong leadership skills, excellent communication abilities, and a solid understanding of production processes and safety regulations are essential. Proficiency in using manufacturing software and tools, along with problem\-solving skills and attention to detail, will contribute to success in this role. A proactive attitude and the ability to work under pressure are also highly valued.
**Responsibilities**
* Supervise daily production activities to ensure adherence to schedules, quality standards, and safety protocols.
* Coordinate with procurement, quality control, maintenance, and other departments to optimize production workflows.
* Manage and motivate production staff, providing guidance, training, and performance evaluations.
* Implement and monitor safety procedures, ensuring compliance with health and safety regulations to maintain a safe working environment.
* Identify and resolve production issues promptly to minimize downtime and maintain operational efficiency.
* Maintain accurate production records, reports, and documentation for management review and continuous improvement initiatives.
* Participate in the development and implementation of process improvements to enhance productivity and product quality.
* Ensure that all products meet company and industry quality standards before release.
* Assist in inventory management and coordinate with logistics to ensure timely delivery of finished goods.
**Benefits**
 We offer a comprehensive benefits package that includes competitive salary packages, health insurance, and retirement plans. Employees will have access to ongoing training and development programs to support their professional growth. Our company promotes a healthy work\-life balance through flexible working hours and paid time off. Additionally, employees benefit from a collaborative work environment that encourages innovation, recognition, and career advancement opportunities within the organization.
 Equal Opportunity
 Building Materials Manufacturer is an equal opportunity employer. We are committed to fostering an inclusive workplace where diversity is valued and all employees are treated with respect and fairness. We do not discriminate based on race, color, religion, gender, age, national origin, disability, or any other protected characteristic. Our hiring practices are designed to ensure equal access to employment opportunities for all qualified candidates.</t>
        </is>
      </c>
    </row>
    <row r="26">
      <c r="A26" t="inlineStr">
        <is>
          <t>li-3986117170</t>
        </is>
      </c>
      <c r="B26" t="inlineStr">
        <is>
          <t>Software Engineer</t>
        </is>
      </c>
      <c r="C26" t="inlineStr">
        <is>
          <t>Epic</t>
        </is>
      </c>
      <c r="D26" t="inlineStr">
        <is>
          <t>linkedin</t>
        </is>
      </c>
      <c r="E26" t="inlineStr"/>
      <c r="F26" t="inlineStr"/>
      <c r="G26" t="inlineStr">
        <is>
          <t>Salinas, CA</t>
        </is>
      </c>
      <c r="H26" t="inlineStr"/>
      <c r="I26"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27">
      <c r="A27" t="inlineStr">
        <is>
          <t>li-4308223997</t>
        </is>
      </c>
      <c r="B27" t="inlineStr">
        <is>
          <t>Senior Software Engineer, User Profile</t>
        </is>
      </c>
      <c r="C27" t="inlineStr">
        <is>
          <t>StackAdapt</t>
        </is>
      </c>
      <c r="D27" t="inlineStr">
        <is>
          <t>linkedin</t>
        </is>
      </c>
      <c r="E27" t="inlineStr"/>
      <c r="F27" t="inlineStr"/>
      <c r="G27" t="inlineStr"/>
      <c r="H27" t="inlineStr"/>
      <c r="I27" t="inlineStr">
        <is>
          <t>StackAdapt is the leading technology company that empowers marketers to reach, engage, and convert audiences with precision. With 465 billion automated optimizations per second, the AI\-powered StackAdapt Marketing Platform seamlessly connects brand and performance marketing to drive measurable results across the entire customer journey. The most forward\-thinking marketers choose StackAdapt to orchestrate high\-impact campaigns across programmatic advertising and marketing channels.
 StackAdapt is the no. 1 performing programmatic advertising platform helping brands accelerate customer engagement and acquisition. This state\-of\-the\-art platform is where some of the most progressive work in machine learning meets cutting\-edge user experience.
 Ranking the highest in performance by G2 Crowd for the fourth time, we're one of the fastest growing companies in Canada and ranks 6th in Deloitte's Technology Fast 50 ranking and 23rd in Fast 500 in North America.
**About The Team**
 The User Profile team manages all aspects of user profiles, from bidding requests to building audiences and applying complex business rules. We interact with several downstream services and stakeholders, including Bidding, Data Science, and other teams. We also own the non\-programmatic workflow engine and user segment builder.
 Our systems are built in Golang and handle millions of requests per second with an SLA of 100ms. We leverage AWS, Kubernetes, Kafka, ScyllaDB, and other modern tools and databases. It’s important to note that we are a software services team, not a data engineering team.
 Watch our talk at Amazon Tech Talks: https://www.youtube.com/watch?v\=lRqu\-a4gPuU
 StackAdapt is a Remote First company, we are open to candidates located anywhere in Canada or the United States for this position.
**What You'll Be Doing**
* Building highly scalable, distributed real\-time micro\-services primarily written in Go
* Working with large data sets and various databases including Aerospike, Elasticsearch, Redis, ScyllaDB, Redshift, TiDB, MariaDB
* Build software that utilize messaging queues such as Kafka, SQS, and Kinesis
* Write performance efficient and memory optimized code
**What You'll Bring To The Table**
* 5\+ years of experience as a Backend Software Engineer
* Extensive hands\-on experience with at least one widely used backend programming language (Go preferred but not required)
* Strong problem solving skills in data structures, algorithms, and optimization
* Experience working with relational databases and/or key\-value stores
* Experience building scalable micro\-services and distributed systems
* Bonus: Experience in Adtech/Martech, understanding of user/profile management, familiarity with real\-time data streaming and large scale data storage, and basic knowledge of Machine Learning concepts
**StackAdapter's Enjoy**
* Highly competitive salary
* Retirement/ 401K/ Pension Savings globally
* Competitive Paid time off packages including birthday's off!
* Access to a comprehensive mental health care program
* Health benefits from day one of employment
* Work from home reimbursements
* Optional global WeWork membership for those who want a change from their home office and hubs in London and Toronto
* Robust training and onboarding program
* Coverage and support of personal development initiatives (conferences, courses, books etc)
* Access to StackAdapt programmatic courses and certifications to support continuous learning
* An awesome parental leave program
* A friendly, welcoming, and supportive culture
* Our social and team events!
*StackAdapt is a diverse and inclusive team of collaborative, hardworking individuals trying to make a dent in the universe. No matter who you are, where you are from, who you love, follow in faith, disability (or superpower) status, ethnicity, or the gender you identify with (if you’re comfortable, let us know your pronouns), you are welcome at StackAdapt. If you have any requests or requirements to support you throughout any part of the interview process, please let our Talent team know.*
*We use artificial intelligence (AI) to streamline the resume reviews of candidates and assess their fit based on the criteria outlined in the job posting. We do not use AI to make any final hiring or interview decisions.*
**About StackAdapt**
 We've been recognized for our diverse and supportive workplace, high performing campaigns, award\-winning customer service, and innovation. We've been awarded:
 Ad Age Best Places to Work 2024
 G2 Top Software and Top Marketing and Advertising Product for 2024
 Campaign’s Best Places to Work 2023 for the UK
 2024 Best Workplaces for Women and in Canada by Great Place to Work®
 \#1 DSP on G2 and leader in a number of categories including Cross\-Channel Advertising
 To learn more about our privacy practices, please see our Privacy Policy.</t>
        </is>
      </c>
    </row>
    <row r="28">
      <c r="A28" t="inlineStr">
        <is>
          <t>li-4363739696</t>
        </is>
      </c>
      <c r="B28" t="inlineStr">
        <is>
          <t>Software Engineer (C++, API)</t>
        </is>
      </c>
      <c r="C28" t="inlineStr">
        <is>
          <t>Cohere</t>
        </is>
      </c>
      <c r="D28" t="inlineStr">
        <is>
          <t>linkedin</t>
        </is>
      </c>
      <c r="E28" t="inlineStr"/>
      <c r="F28" t="inlineStr"/>
      <c r="G28" t="inlineStr"/>
      <c r="H28" t="inlineStr"/>
      <c r="I28" t="inlineStr">
        <is>
          <t>**About The Company** 
 Cohere's is to scale intelligence to serve humanity. We’re training and deploying frontier models for developers and enterprises who are building AI systems to power magical experiences like content generation, semantic search, RAG, and agents. We believe that our work is instrumental to the widespread adoption of AI.
 We obsess over what we build. Each one of us is responsible for contributing to increasing the capabilities of our models and the value they drive for our customers. We like to work hard and move fast to do what’s best for our customers.
 Cohere is a team of researchers, engineers, designers, and more, who are passionate about their craft. Each person is one of the best in the world at what they do. We believe that a diverse range of perspectives is a requirement for building great products.
 Join us on our mission and shape the future!
**About The Role** 
 Are you energized by building high\-performance, scalable, and reliable machine learning systems? Do you want to help define and build the next generation of AI platforms powering advanced NLP applications? We are seeking Members of Technical Staff to join our Model Serving team at Cohere. This team is responsible for developing, deploying, and operating the AI platform that delivers Cohere's large language models via easy\-to\-use API endpoints.
 In this role, you will collaborate closely with multiple teams to deploy optimized NLP models into production environments characterized by low latency, high throughput, and high availability. You will have the opportunity to interface directly with customers, creating customized deployments tailored to their specific needs. Your work will be critical in ensuring the robustness, efficiency, and scalability of our AI infrastructure, contributing directly to the success of our products and services.
 The ideal candidate will have a strong background in building and maintaining large\-scale distributed systems, with a focus on machine learning infrastructure. You will play a key role in troubleshooting, optimizing, and scaling our platform to meet the demands of enterprise clients and internal stakeholders alike. Your expertise will help shape the future of AI deployment at Cohere, ensuring our models perform reliably and efficiently across diverse operational scenarios.
**Qualifications** 
* 5\+ years of engineering experience managing production infrastructure at a large scale
* Proven experience designing large, highly available distributed systems using Kubernetes
* Hands\-on experience with GPU workloads and supporting GPU clusters in production environments
* Proficiency with Kubernetes development, deployment, and support in production settings
* Experience working with cloud providers such as GCP, Azure, AWS, OCI, and multi\-cloud or hybrid environments
* Strong background in Linux\-based computing environments, including deployment, support, and troubleshooting
* Knowledge of compute, storage, network resource management, and cost optimization
* Excellent collaboration and troubleshooting skills for mission\-critical system operations
* Ability to adapt and solve complex technical challenges in evolving environments
* Familiarity with accelerators like GPUs, TPUs, or custom hardware, and their impact on latency and throughput
* Understanding of distributed systems principles and practices
* Proficiency in programming languages such as Golang, C\+\+, or other high\-performance server languages
**Responsibilities** 
* Design, develop, and maintain scalable, reliable, and high\-performance machine learning infrastructure
* Deploy and optimize NLP models for production environments with low latency and high throughput
* Collaborate with cross\-functional teams including research, engineering, and product to ensure seamless deployment pipelines
* Support and troubleshoot complex distributed systems, ensuring high availability and operational stability
* Implement and support multi\-cloud and hybrid deployment strategies
* Monitor system performance and optimize resource utilization to manage costs effectively
* Interface with customers to understand deployment needs and create customized solutions
* Contribute to the continuous improvement of our AI platform and infrastructure tools
* Stay updated on emerging technologies and incorporate best practices into our systems
* Participate in code reviews, documentation, and knowledge sharing within the team
**Benefits** 
* An open and inclusive culture and work environment
* Opportunity to work closely with a team at the forefront of AI research and development
* Weekly lunch stipend, in\-office lunches, and snacks
* Comprehensive health and dental benefits, including a dedicated mental health budget
* 100% parental leave top\-up for up to 6 months
* Personal enrichment benefits supporting arts, culture, fitness, well\-being, and workspace improvements
* Remote\-flexible work arrangements with offices in Toronto, New York, San Francisco, London, and Paris, plus a co\-working stipend
* Six weeks of vacation (30 working days) to promote work\-life balance
 Equal Opportunity
 Cohere value and celebrate diversity and strive to create an inclusive work environment for all. We welcome applicants from all backgrounds and are committed to providing equal opportunities. If you require any accommodations during the recruitment process, please submit an Accommodations Request Form, and we will work with you to meet your needs.</t>
        </is>
      </c>
    </row>
    <row r="29">
      <c r="A29" t="inlineStr">
        <is>
          <t>li-4364029410</t>
        </is>
      </c>
      <c r="B29" t="inlineStr">
        <is>
          <t>Software Engineer (Node.js, Python)</t>
        </is>
      </c>
      <c r="C29" t="inlineStr">
        <is>
          <t>Versant Media</t>
        </is>
      </c>
      <c r="D29" t="inlineStr">
        <is>
          <t>linkedin</t>
        </is>
      </c>
      <c r="E29" t="inlineStr"/>
      <c r="F29" t="inlineStr"/>
      <c r="G29" t="inlineStr"/>
      <c r="H29" t="inlineStr"/>
      <c r="I29" t="inlineStr">
        <is>
          <t>**About The Company** 
 Versant is an innovative technology company dedicated to developing next\-generation platforms that empower businesses through scalable and secure applications. Our mission is to deliver high\-impact solutions by leveraging cutting\-edge SaaS, low\-code, and no\-code platforms, enabling rapid deployment and value realization for our clients. With a focus on fostering a collaborative and forward\-thinking environment, Versant values innovation, speed, and purpose\-driven engineering. We are committed to creating an inclusive workplace that promotes diversity and equal opportunity, ensuring our team members thrive both professionally and personally.
**About The Role** 
 We are seeking a talented Software Engineer to join our expanding engineering team. In this role, you will be instrumental in designing and developing scalable, reliable, and user\-centric applications that support Versant’s innovative platforms. The ideal candidate is someone who excels in dynamic startup\-like environments, has a passion for learning new technologies, and is enthusiastic about utilizing SaaS and low\-code/no\-code solutions to accelerate development cycles. Your contributions will directly impact our product offerings and help shape the future of our technology landscape.
**Qualifications** 
* 3–5 years of professional experience in software development.
* Proficiency in backend development using languages such as Java, Node.js, Python, or Go.
* Strong skills in modern JavaScript/TypeScript, HTML, CSS, and frameworks like React, Vue, or Angular.
* Experience in designing scalable microservices architecture and RESTful APIs.
* Familiarity with cloud platforms including AWS and Azure.
* Hands\-on experience with version control systems like Git and CI/CD pipelines such as GitHub Actions or Jenkins.
* Ability to troubleshoot and debug complex distributed systems.
* Strong problem\-solving skills and effective collaboration within cross\-functional teams.
 Preferred qualifications include exposure to GenAI tools, SaaS platforms, low\-code/no\-code tools, serverless architectures, infrastructure\-as\-code (Terraform, CloudFormation), monitoring solutions (Datadog, Prometheus, ELK), and experience in modernizing legacy systems. A background in media or entertainment domains is a plus.
**Responsibilities** 
* Collaborate with cross\-functional teams to deliver comprehensive full\-stack solutions addressing real business needs.
* Implement scalable, fault\-tolerant microservices and modern front\-end applications that enhance user experience.
* Leverage SaaS and low\-code/no\-code platforms where appropriate to expedite development and deployment processes.
* Participate actively in code reviews, pair programming, and knowledge\-sharing sessions to maintain high\-quality code standards.
* Write secure, high\-performance, and maintainable code adhering to best practices.
* Work closely with product managers and architecture teams to ensure alignment with technical and business objectives.
* Stay updated with emerging technologies and incorporate innovative solutions into existing systems.
* Assist in troubleshooting complex issues within distributed environments, ensuring system reliability and performance.
**Benefits** 
* Competitive salary range of $105,000 \- $140,000\.
* Fully remote work environment, providing flexibility and work\-life balance.
* Company\-sponsored health benefits including medical, dental, and vision insurance.
* Retirement plans such as 401(k) with company matching.
* Paid leave and tuition reimbursement programs.
* Access to various discounts and perks designed to support your well\-being and professional growth.
* Opportunity to work on high\-impact projects with visibility to senior leadership and influence on product direction.
* Inclusive and innovative company culture that values diversity, collaboration, and continuous learning.
 Equal Opportunity \&amp; Accessibility
 Versant is an equal opportunity employer committed to fostering an inclusive environment for all employees and applicants. We do not discriminate based on race, color, religion, gender, gender identity or expression, age, national origin, disability, sexual orientation, marital status, pregnancy, veteran status, membership in the uniformed services, genetic information, or any other protected characteristic under applicable law.</t>
        </is>
      </c>
    </row>
    <row r="30">
      <c r="A30" t="inlineStr">
        <is>
          <t>li-3986114489</t>
        </is>
      </c>
      <c r="B30" t="inlineStr">
        <is>
          <t>Software Engineer</t>
        </is>
      </c>
      <c r="C30" t="inlineStr">
        <is>
          <t>Epic</t>
        </is>
      </c>
      <c r="D30" t="inlineStr">
        <is>
          <t>linkedin</t>
        </is>
      </c>
      <c r="E30" t="inlineStr"/>
      <c r="F30" t="inlineStr"/>
      <c r="G30" t="inlineStr">
        <is>
          <t>Pembroke Pines, FL</t>
        </is>
      </c>
      <c r="H30" t="inlineStr"/>
      <c r="I30"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31">
      <c r="A31" t="inlineStr">
        <is>
          <t>li-4342316369</t>
        </is>
      </c>
      <c r="B31" t="inlineStr">
        <is>
          <t>Software Engineer II</t>
        </is>
      </c>
      <c r="C31" t="inlineStr">
        <is>
          <t>Microsoft</t>
        </is>
      </c>
      <c r="D31" t="inlineStr">
        <is>
          <t>linkedin</t>
        </is>
      </c>
      <c r="E31" t="inlineStr"/>
      <c r="F31" t="inlineStr"/>
      <c r="G31" t="inlineStr">
        <is>
          <t>Redmond, WA</t>
        </is>
      </c>
      <c r="H31" t="inlineStr"/>
      <c r="I31" t="inlineStr">
        <is>
          <t>**Overview**
 The Linux Systems Group (LSG) within Core OS delivers high\-quality Linux platforms that power services and devices across cloud, edge, and client environments. We are seeking a Software Engineer with a passion for Linux and a focus on tools and automation to improve system reliability, performance, and diagnostics in System\-on\-Chip (SoC) environments.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We are looking for a
 **Software Engineer** 
 II to join the team.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implement tools and frameworks for build systems, testing pipelines, and automation of SoC OS updates.
* Develop and maintain validation workflows to ensure reliability and stability of Linux\-based SoC platforms.
* Build monitoring solutions and integrate AI\-based diagnostics to quickly detect and resolve system issues.
* Collaborate with hardware and platform teams to push the boundaries of next\-generation SoC and large\-scale deployments.
* Support live service operations on a rotational, on\-call basis to address urgent issues.
* Embody and promote our culture and values in all aspects of work.
*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 1 year experience working on Linux systems.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Bachelor's Degree in Computer Science or related technical field AND 4\+ years technical engineering experience with coding in languages including, but not limited to, C, C\+\+, C\#, Java, JavaScript, or Python
* OR Master's Degree in Computer Science or related technical field AND 2\+ years technical engineering experience with coding in languages including, but not limited to, C, C\+\+, C\#, Java, JavaScript, or Python
* OR equivalent experience.
* Proficient understanding of Linux systems and internals.
* Experience with build systems, CI/CD pipelines, and test automation.
* Familiarity with System\-on\-Chip (SoC) development and validation.
* Knowledge of cloud technologies and large\-scale service operations.
* Experience with monitoring, observability, and diagnostics frameworks (AI\-based preferred).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2">
      <c r="A32" t="inlineStr">
        <is>
          <t>li-4360073872</t>
        </is>
      </c>
      <c r="B32" t="inlineStr">
        <is>
          <t>Full Stack Engineer (GTM)</t>
        </is>
      </c>
      <c r="C32" t="inlineStr">
        <is>
          <t>GetWhys</t>
        </is>
      </c>
      <c r="D32" t="inlineStr">
        <is>
          <t>linkedin</t>
        </is>
      </c>
      <c r="E32" t="inlineStr"/>
      <c r="F32" t="inlineStr"/>
      <c r="G32" t="inlineStr">
        <is>
          <t>Boise, ID</t>
        </is>
      </c>
      <c r="H32" t="inlineStr"/>
      <c r="I32" t="inlineStr">
        <is>
          <t>**About GetWhys** 
 GetWhys is a VC\-backed SaaS company building AI\-powered customer research and messaging tools for product marketers. Our products help companies like Docker, Docusign, and Commvault understand their customers and craft better messaging. We're a small team that’s growing quickly—our ARR grew over 10x in 2025—by shipping a strongly differentiated SaaS product.
**The Role** 
 We're looking for our first GTM engineer to build tooling and systems that support our lead generation motion. 
 For context: 
* We’ve built a rich, ever\-compounding dataset of information that is interesting to our target audience (typically, insights about their target market or competition).
* Over the past year, we have used that information to scale lead generation through a predominantly manual process.
* Our “Insight\-Led BDR” team uses the product we’ve built for customers to craft high\-engagement content for our target audience.
* You will create software that turns target customers into pilots, and pilots into customers.
* This may be by building net\-new applications, deeper integrations with our existing systems, and/or analysis that helps us optimize our insight\-led growth efforts.
 You’ll transform Insight\-Led Growth from an art to a science. 
 This is a high\-impact, high\-visibility role. You’ll report to our cofounder \&amp; CTO, but work closely with our CEO.
**What You'll Own** 
**Insight\-Led Growth Applications** 
* You’ll design and build the products and tools to accelerate GetWhys’ go\-to\-market efforts.
* Replace manual, repetitive sales process with fast, reliable and transparent workflows.
* Identify the highest\-impact friction points in GTM execution and deliver solutions and track improvements in accuracy, reliability and efficiency.
* Build the automation that enables scalable execution across our GTM teams.
**What We're Looking For** 
* 2\+ years of experience as a software/automation/GTM engineer working on user\-facing systems.
* Previous experience supporting Sales, Customer Success and Partners teams is a plus.
* Fluent in Javascript and comfortable with building full\-stack applications.
* Early engineer at a startup who built a product from scratch is a plus.
* Have built or prototyped LLM powered workflows using major foundation models such as OpenAI, Gemini, Anthropic, DeepSeek.
* Someone who can connect systems confidently. You design around APIs, webhooks, and integrate systems.
**Benefits** 
* Healthcare, Dental, and Vision insurance (90% of your deductible, 75% of your dependents’)
* 401(k) with 3% company match
* Unlimited PTO
* 12 weeks paid parental leave
* 18 company holidays, with unlimited PTO. Our suggested minimum is at least 10 business days of PTO per year.
* We’re a historically remote company; Boise is one of our first hubs.
* We’ll always be remote friendly (e.g., no “X days in office”).
* Regular team\- and company\-wide in person gatherings.
* Ground\-floor opportunity to build and lead a critical function at a growing startup</t>
        </is>
      </c>
    </row>
    <row r="33">
      <c r="A33" t="inlineStr">
        <is>
          <t>li-4290252512</t>
        </is>
      </c>
      <c r="B33" t="inlineStr">
        <is>
          <t>Senior Software Engineer, Distributed Systems Engineer - DGX Cloud</t>
        </is>
      </c>
      <c r="C33" t="inlineStr">
        <is>
          <t>NVIDIA</t>
        </is>
      </c>
      <c r="D33" t="inlineStr">
        <is>
          <t>linkedin</t>
        </is>
      </c>
      <c r="E33" t="inlineStr"/>
      <c r="F33" t="inlineStr"/>
      <c r="G33" t="inlineStr">
        <is>
          <t>Massachusetts, United States</t>
        </is>
      </c>
      <c r="H33" t="inlineStr"/>
      <c r="I33" t="inlineStr">
        <is>
          <t>NVIDIA is hiring experienced software engineers with kubernetes experience to help scale up its AI Infrastructure. We expect you to have significant software engineering experience with kubernetes including cluster operations, operator development, node health monitoring and working with GPU resource scheduling. We welcome out\-of\-the\-box thinkers who can provide new ideas with strong execution bias. Expect to be constantly challenged, improving, and evolving for the better. You will help advance NVIDIA's capacity to build and deploy leading infrastructure solutions for a broad range of AI\-based applications. If you're creative, passionate about kubernetes and GPUs, and love having fun, please apply today!
 For two decades, we have pioneered visual computing, the art and science of computer graphics. With the invention of the GPU \- the engine of modern visual computing \- the field has expanded to encompass video games, movie production, product design, medical diagnosis and scientific research. Today, we stand at the beginning of the next era, the AI computing era, ignited by a new computing model, GPU deep learning.
**What You Will Be Doing**
* You will be part of an DGX Cloud team responsible for production systems that enable large scalable GPU clusters to be used for a variety of AI workloads. This includes working on custom software related to scheduling GPU resources on kubernetes.
* Implementing monitoring and health management capabilities that enable industry leading reliability, availability, and scalability of GPU assets. You will be harnessing multiple data streams, ranging from GPU hardware diagnostics to cluster and network telemetry.
* Working with teams across NVIDIA to ensure production AI clusters run reliability and consistently with maximum performance. Evaluating system failures and improving services based on a well\-defined incident management process.
**What We Need To See**
* Direct experience in a software engineering role within a highly technical organization with demonstrable impact from your work. Software development experience with kubernetes APIs and frameworks not just operating a cluster.
* Highly motivated with strong communication skills, you can work successfully with multi\-functional teams, principles, and architects and coordinate effectively across organizational boundaries and geographies.
* 5\+ years in similar role and experience on large\-scale production systems. Experience with common software engineering principles, tools and techniques.
* You possess a BS in Computer Science, Engineering, Physics, Mathematics or a comparable Degree or equivalent experience.
* Technical knowledge, including a systems programming language (Go, Python) and a solid understanding of data structures and algorithms.
**Ways To Stand Out From The Crowd**
* Technical competency in managing and automating large\-scale distributed systems independent of cloud providers. Advanced hands\-on experience and deep understanding of cluster management systems (Kubernetes, Slurm, Bright Cluster Manager)
* Proven operational excellence in maintaining reliable and performant AI infrastructure.
 NVIDIA is widely considered to be one of the technology world’s most desirable employers. We have some of the most forward\-thinking and hardworking people on the planet working for us. If you are creative and autonomous, we want to hear from you!
 Your base salary will be determined based on your location, experience, and the pay of employees in similar positions. The base salary range is 176,000 USD \- 276,000 USD for Level 4, and 208,000 USD \- 333,500 USD for Level 5\.
 You will also be eligible for equity and benefits .
 Applications for this job will be accepted at least until January 20,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JR1999506</t>
        </is>
      </c>
    </row>
    <row r="34">
      <c r="A34" t="inlineStr">
        <is>
          <t>li-4336205737</t>
        </is>
      </c>
      <c r="B34" t="inlineStr">
        <is>
          <t>Senior Software Engineer, Data Operations Platform</t>
        </is>
      </c>
      <c r="C34" t="inlineStr">
        <is>
          <t>Block</t>
        </is>
      </c>
      <c r="D34" t="inlineStr">
        <is>
          <t>linkedin</t>
        </is>
      </c>
      <c r="E34" t="inlineStr"/>
      <c r="F34" t="inlineStr"/>
      <c r="G34" t="inlineStr"/>
      <c r="H34" t="inlineStr"/>
      <c r="I34"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**The Role**
 The Data Operations Platform team is part of Block's AI, Data \&amp; Analytics organization and is responsible for developing and managing the company's Lakehouse platform, powered by Databricks and Snowflake. The team provides the foundational data infrastructure that powers analytics, machine learning, and AI initiatives across Block. The team also focuses on building and operating the core Lakehouse infrastructure, developing frameworks for scalable data ingestion, and ensuring data quality, governance, and reliability across the company's data ecosystem. We oversee critical ingestion pipelines supporting key business and AI use cases, and serve as subject matter experts in data ingestion, query optimization, and Lakehouse architecture at the company.
 As a Senior Software Engineer on the team, you will be responsible for designing and building scalable, reliable, and efficient data platform components that extend the capabilities of Block's Lakehouse. You will improve the team's internal frameworks and tooling to enhance developer experience, drive standardization, and ensure best practices across data workflows. In this role, you will have a direct impact on accelerating data\-driven innovation, enabling AI and analytics capabilities, and enhancing the performance and reliability of Block's data ecosystem.
 Work from anywhere: This role can be performed from any location in US or Canada.
**You Will**
* Design, build, and enhance the core components and frameworks that power Block's Lakehouse platform.
* Develop and maintain standardized data ingestion frameworks that enable internal teams to build robust, efficient, and governed data pipelines.
* Collaborate closely with product, data engineering, machine learning, and AI teams to understand their data needs, design scalable solutions, and ensure seamless integration with the Lakehouse platform.
* Establish and promote best practices for Lakehouse architecture, data governance, cost optimization, and query performance.
* Contribute to the long\-term technical vision for Block's data platform by identifying opportunities for innovation and shaping the future of data operations infrastructure.
**You Have**
* 8\+ years of industry experience in software engineering or data platform development, with a focus on building scalable data systems or distributed infrastructure
* Strong programming proficiency in languages such as Python, Java or Go, with experience developing data frameworks, libraries, or services.
* Hands\-on experience with modern data platforms and distributed data processing systems such as Apache Spark.
* Solid understanding of data modeling, ETL/ELT processes, and data lake or Lakehouse architectures.
* Experience with cloud\-based data ecosystems (AWS, GCP, or Azure).
**Technologies We Use and Teach**
* Data Platform: Databricks, Snowflake
* Data Processing \&amp; Storage: Apache Spark, Delta Lake, Apache Iceberg
* Cloud \&amp; Infrastructure: AWS, Terraform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If a location of interest is not listed, please speak with a recruiter for additional information.
**Zone A**
 $217,800—$326,800 USD
**Zone B**
 $207,000—$310,400 USD
**Zone C**
 $196,100—$294,100 USD
**Zone D**
 $185,200—$277,800 USD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35">
      <c r="A35" t="inlineStr">
        <is>
          <t>li-4363809552</t>
        </is>
      </c>
      <c r="B35" t="inlineStr">
        <is>
          <t>Software Engineer, AI</t>
        </is>
      </c>
      <c r="C35" t="inlineStr">
        <is>
          <t>Webflow</t>
        </is>
      </c>
      <c r="D35" t="inlineStr">
        <is>
          <t>linkedin</t>
        </is>
      </c>
      <c r="E35" t="inlineStr"/>
      <c r="F35" t="inlineStr"/>
      <c r="G35" t="inlineStr"/>
      <c r="H35" t="inlineStr"/>
      <c r="I35" t="inlineStr">
        <is>
          <t>**About The Company**
 Webflow is a leading innovator in the digital experience platform space, dedicated to empowering teams to build, manage, and optimize websites with ease and efficiency. As the pioneer of the Website Experience Platform (WXP), Webflow combines visual development tools, content management systems, AI\-driven personalization, seamless hosting, and comprehensive analytics into a single, unified platform.
 Our mission is to democratize development, enabling individuals and organizations—from independent designers and creative agencies to large enterprises—to turn ideas into impactful web experiences without heavy reliance on traditional engineering resources. With a focus on innovation, Webflow continuously integrates cutting\-edge technologies, including artificial intelligence, to accelerate digital transformation and enhance user engagement across the globe.
**About The Role**
 We are seeking a highly skilled Staff Software Engineer specializing in Developer Productivity to join our dynamic, remote\-first team. This role is pivotal in establishing best\-in\-class AI tools and frameworks that enhance our ability to build large language model (LLM)\-powered applications efficiently and at scale. As a key contributor, you will shape the future of Webflow’s platform by integrating advanced AI technologies, defining development best practices, and fostering a culture of continuous improvement.
 The position offers an exciting opportunity to lead technical initiatives, collaborate across teams, and influence the strategic direction of AI integration within our platform. Located remotely within the United States or Canada, this full\-time, permanent role reports directly to the Engineering Manager and provides competitive compensation aligned with geographic market standards.
**Qualifications**
* 7\+ years of experience in Developer Tooling, with at least 2\+ years focused on AI and AI platform teams
* 2\+ years of experience leading platform teams on engineering build and delivery challenges
* Deep understanding of AI/ML concepts, including LLMs, vector databases, RAG, MCP, and prompt engineering
* Proficiency in measuring and enhancing the quality of LLM outputs through prompt engineering and fine\-tuning techniques
* Strong coding skills in modern stacks such as Node.js, MongoDB, AWS, primarily in TypeScript
* Experience evaluating third\-party AI tools, open\-source solutions, and custom models for security, compliance, and scalability
* Excellent communication skills for stakeholder engagement and technical documentation
* Proven ability to mentor team members and foster collaborative, cross\-functional environments
* Curiosity and eagerness to stay updated with emerging AI/ML technologies and industry trends
**Responsibilities**
* Lead the development and enhancement of AI tools, frameworks, and best practices to support the creation of LLM\-powered applications
* Improve developer workflows by creating training resources, prompt guides, and quality assessment protocols
* Identify, evaluate, and operationalize third\-party AI solutions, ensuring they meet security, compliance, and scalability standards
* Leverage data\-driven insights using quantitative and qualitative metrics to optimize engineering processes and eliminate bottlenecks
* Collaborate with stakeholders across product, engineering, and design teams to align AI initiatives with company goals
* Participate in all phases of software development, including design, implementation, testing, deployment, and incident response
* Mentor and guide engineering team members, fostering a culture of innovation and continuous learning
* Contribute to strategic planning around AI integration, scalability, and future\-proofing of the platform
**Benefits**
* Equity ownership (RSUs) in a privately\-held, growing company
* 100% employer\-paid healthcare, vision, and dental insurance coverage for full\-time employees and their dependents
* Paid parental leave: 12 weeks for all caregivers, with additional pregnancy disability leave where applicable
* Flexible paid time off (PTO) and sabbatical programs to support work\-life balance
* Access to mental health resources, coaching, therapy, and Employee Assistance Programs
* Monthly stipends for work\-related expenses and wellness initiatives
* Retirement plans such as 401(k) or pension schemes, along with financial wellness benefits
* Remote work flexibility and a supportive, inclusive company culture
 Equal Opportunity
 Webflow is an Equal Opportunity Employer committed to fostering an inclusive environment for all employees. We do not discriminate based on race, color, religion, sex, sexual orientation, gender identity, national origin, disability, veteran status, or any other protected class. We believe that diversity enriches our community and drives innovation.</t>
        </is>
      </c>
    </row>
    <row r="36">
      <c r="A36" t="inlineStr">
        <is>
          <t>li-4342395952</t>
        </is>
      </c>
      <c r="B36" t="inlineStr">
        <is>
          <t>Software Engineer II</t>
        </is>
      </c>
      <c r="C36" t="inlineStr">
        <is>
          <t>Microsoft</t>
        </is>
      </c>
      <c r="D36" t="inlineStr">
        <is>
          <t>linkedin</t>
        </is>
      </c>
      <c r="E36" t="inlineStr"/>
      <c r="F36" t="inlineStr"/>
      <c r="G36" t="inlineStr">
        <is>
          <t>Redmond, WA</t>
        </is>
      </c>
      <c r="H36" t="inlineStr"/>
      <c r="I36" t="inlineStr">
        <is>
          <t>**Overview**
 Microsoft is a company where passionate innovators come to collaborate, envision what can be and take their careers to levels they cannot achieve anywhere else. This is a world of more possibilities, more innovation, more openness in a cloud\-enabled world.
 We are looking to hire an experienced Software Engineer to join the Support Experience Group (SxG) team. We are building the next generation of our applications running on Azure that pull together Dynamics 365, Office 365, and several other Microsoft cloud services to deliver high value, complete, and predictive AI Native application scenarios across all devices and form factors. We innovate quickly and collaborate closely with our partners and customers in a very agile environment.
 This is an opportunity for you to make a broad positive impact, whether you like building exciting user experiences, enjoy solving complex problems, or have a real passion for enabling intricate business processes. Learn together with us, how to maintain live site availability for active usage by thousands of customers across the world while rapidly delivering new business scenarios.    As a Software Engineer, you will help deliver Support Insights/AI Native experiences to our partners across the company. In addition to this, you will provide architectural expertise to the team, deliver high\-quality, well\-tested, secure, and maintainable code and work closely with our partners. You will primarily work on building Data Agents , Knowledge Agents and data products that are both real\-time and batch systems, helping build platforms that other teams can build on to create insights using analytics and machine learning.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Designing and developing highly usable and scalable new application capabilities and enhancing existing capabilities to meet the needs of our customers.
* Developing and debugging product/test code using Common Data Services (CDS) , Dynamics 365 and Power Platform and/or a micro\-services architecture
* Uses debugging tools, tests, logs, telemetry, and other methods to proactively verify assumptions while developing code before issues occur for products in production.
* Collaborate across diverse engineering teams to solve challenging problems for large\-scale business SaaS applications
* Leads discussions for and owns the architecture of a products/solutions and creates proposals for architecture by testing design hypotheses and develop complex design specifications.
* Acts as a designated responsible individual (DRI) and guides other engineers by developing and following the playbook, working on\-call to monitor a system/product/service for degradation, downtime, or interruptions.
* Applies best practices to build code based on well\-established methods and secure design principles while also applying best practices for new code development and formal validation of security invariants.
* Leverages their subject\-matter expertise to partner with appropriate stakeholders (e.g., technical program managers) to drive a workgroup's project plans, release plans, and work items.
**Qualifications**
 Required Qualifications
* Bachelor's Degree in Computer Science or related technical field AND 4\+ years technical engineering experience with coding in languages including, but not limited to, C, C\+\+, C\#, Java, JavaScript, or Python OR equivalent experience.
* Ability to meet Microsoft, customer and/or government security screening requirements are required for this role. These requirements include, but are not limited to the following specialized security screenings: Microsoft Cloud Background Check:
* 
+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Bachelor's Degree in Computer Science or related technical field AND 8\+ years technical engineering experience with coding in languages including, but not limited to, C, C\+\+, C\#, Java, JavaScript, or Python OR equivalent experience.
* Passion for improving software quality and engineering excellence.
* Experience in developing, debugging, and supporting code in object\-oriented languages and database query languages.
* Background on services and cloud computing a plus.
* Prior experience building business\-centric web applications and latest web development technologies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7">
      <c r="A37" t="inlineStr">
        <is>
          <t>li-4364059461</t>
        </is>
      </c>
      <c r="B37" t="inlineStr">
        <is>
          <t>Software Engineer</t>
        </is>
      </c>
      <c r="C37" t="inlineStr">
        <is>
          <t>Hyra</t>
        </is>
      </c>
      <c r="D37" t="inlineStr">
        <is>
          <t>linkedin</t>
        </is>
      </c>
      <c r="E37" t="inlineStr"/>
      <c r="F37" t="inlineStr"/>
      <c r="G37" t="inlineStr">
        <is>
          <t>Washington, United States</t>
        </is>
      </c>
      <c r="H37" t="inlineStr"/>
      <c r="I37" t="inlineStr">
        <is>
          <t>Senior Software Developer \| Salary: £104,000 \- £166,000 annual
 Hyra is working on behalf of Peraton to hire for the position of Senior Software Developer. This role supports the Federal Aviation Administration's BNATCS contract to modernize the National Airspace System. The developer will focus on technical design, system architecture, and the delivery of high\-quality software solutions for mission\-critical aviation infrastructure.
 What you'll be doing
 • Support technical design and architecture for complex software systems
 • Conduct design and code reviews to ensure adherence to performance standards
 • Translate business and technical requirements into scalable and secure solutions
 • Write clean, efficient, and well\-documented code using modern frameworks
 • Collaborate with cross\-functional teams to ensure alignment on project deliverables
 What we're looking for
 • Proven experience in senior\-level software development and system architecture
 • Proficiency in modern programming languages and software development lifecycles
 • Ability to identify opportunities for performance optimization and technical debt reduction
 • Strong communication skills for conducting technical reviews and team collaboration
 • Must be legally authorized to work in the United States and eligible to obtain required security clearances
 What Peraton offers
 • Competitive annual salary and performance\-based incentives
 • Comprehensive health, dental, and vision insurance plans
 • Retirement savings programs with company contribution
 • Opportunities for professional development and career advancement
 Apply via Hyra to be considered for this opportunity.</t>
        </is>
      </c>
    </row>
    <row r="38">
      <c r="A38" t="inlineStr">
        <is>
          <t>li-4364049489</t>
        </is>
      </c>
      <c r="B38" t="inlineStr">
        <is>
          <t>Software Engineer - Integrated Vehicle Health Monitoring</t>
        </is>
      </c>
      <c r="C38" t="inlineStr">
        <is>
          <t>Real Time Consulting LLC (RTC)</t>
        </is>
      </c>
      <c r="D38" t="inlineStr">
        <is>
          <t>linkedin</t>
        </is>
      </c>
      <c r="E38" t="inlineStr"/>
      <c r="F38" t="inlineStr"/>
      <c r="G38" t="inlineStr"/>
      <c r="H38" t="inlineStr"/>
      <c r="I38" t="inlineStr">
        <is>
          <t>**REAL TIME CONSULTING (An RTCo Company)—POSITION DESCRIPTION**
**JOB TITLE: Software Engineer – Integrated Vehicle Health Monitoring**
**REMOTE WORK OPTIONS AVAILABLE!**
**About The Job**
 We are seeking multiple software engineers to provide software development and verification support for an Integrated Vehicle Health Monitoring (IVHM) system for a cutting\-edge helicopter product.
**Required Skills**
* Bachelor’s degree in Computer Science or Electrical/Computer/Aerospace Engineering
* 5\+ years Embedded Software Development for Avionics products experience
* DO\-178B/C Full Lifecycle Software Development process familiarity
* Embedded Software Requirements Development and Management experience
* Experience translating Software Requirements to C\+\+ and/or C Coding Languages
* Experience with Software Unit Test Development
* Experience translating Software Requirements to Software Verification Test Cases
* Experience with IBM Rational Test Realtime
* Experience with Software Verification and Analysis
* Experience with Software\-level Test Case Development
* Experience with Software\-level Test Script Development
* Experience developing Automated Software Verification Test Procedures
* Familiar with Software Change Request (SCR) processes and tools
* Familiar with Software Configuration Management processes and tools
* Experience using DOORS for requirements and test case documentation
* Effective written and verbal communication skills
* Accountable and takes ownership of assigned tasks
* Self\-motivated and takes initiative to get things done
* Team\-driven mentality
* Experience working with remote team members
**Preferred Skills**
* A615 Data Loader experience
* ACARS Datalink experience
* Linux Experience
* Experience porting Ada to C\-language
* Onboard Maintenance System (OMS) experience
* Health and Usage Monitoring System (HUMS) experience
* Experience using Git for software configuration management
* Experience with Eclipse test development environment
**About The Company**
 Real Time Consulting (RTC) exists to partner outstanding engineering talent to support our clients’ success. Unsurpassed service is delivered to our clients by upholding responsibility, teamwork and quality. Our primary commitment is to help our clients. Since 1997, RTC has been protecting and enhancing lives with safe, reliable, innovative solutions, providing full life\-cycle design, development and testing of EMBEDDED ENGINEERING SYSTEMS and SOFTWARE SOLUTIONS with Program Management and Consulting Services. Our employees average 20\+ years of versatile and accomplished expertise to our clients, driving continuous innovation forward. Employee’s innovative and analytical ideas are cultivated while maintaining the big picture vision in a fast\-paced, changing environment. Our corporate values are to Uphold Responsibility, Support People, Promote Teamwork and Deliver Quality!
*This position may require exposure to software, source code or technology that is subject to US export control laws and regulations (i.e., International Traffic in Arms Regulations or the Export Administration Regulations). To comply with these requirements, you must be a U.S. citizen, lawful permanent resident of the U.S., protected individual as defined by 8 U.S.C. 1324b(a)(3\), or eligible to obtain the required authorizations from the U.S. Departments of State or Commerce, as applicable.*
*RTCo is an Equal Opportunity Employer; employment with RTCo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*To qualify for all positions with Real Time Companies, applicants must be legally authorized to work in the United States and should not require now, or in the future, sponsorship for employment visa status. Please be aware that Real Time Companies does not sponsor employment\-based visas. Additionally, certain positions with Real Time Companies that involve work with government entities may have more restrictive employment status requirements, such as U.S. citizenship, based on security clearance requirements or other governmental requirements. Real Time Companies is an Equal Opportunity Employer M/F/D/V.*</t>
        </is>
      </c>
    </row>
    <row r="39">
      <c r="A39" t="inlineStr">
        <is>
          <t>li-4360222250</t>
        </is>
      </c>
      <c r="B39" t="inlineStr">
        <is>
          <t>Software Engineer – Core Platform Test</t>
        </is>
      </c>
      <c r="C39" t="inlineStr">
        <is>
          <t>Qualcomm</t>
        </is>
      </c>
      <c r="D39" t="inlineStr">
        <is>
          <t>linkedin</t>
        </is>
      </c>
      <c r="E39" t="inlineStr"/>
      <c r="F39" t="inlineStr"/>
      <c r="G39" t="inlineStr">
        <is>
          <t>San Diego, CA</t>
        </is>
      </c>
      <c r="H39" t="inlineStr"/>
      <c r="I39" t="inlineStr">
        <is>
          <t>**Company**
 Qualcomm Technologies, Inc.
**Job Area**
 Engineering Group, Engineering Group \&gt; Software Engineering
**General Summary**
**Join Our Innovative Team**
 Be part of the Core Platform Test team driving quality and reliability for Snapdragon SoC\-based products. You’ll work on test content development, automation, and validation of essential platform components like Hypervisor, USB, PMIC, PCIe, Boot, and Storage. This is an opportunity to learn cutting\-edge technologies and grow in a collaborative environment.
**Minimum Qualifications**
* Bachelor's degree in Engineering, Information Systems, Computer Science, or related field.
**Skills And Requirements**
* Proficiency in C/C\+\+ and Python
* Basic understanding of system software and firmware validation
* Familiarity with ARM architecture, Linux, and RTOS concepts
* Exposure to test automation frameworks and scripting
* Strong problem\-solving and debugging skills
* Good communication and teamwork abilities
**Opportunities And Responsibilities**
 As an Engineer, you will:
* Execute test plans and validate platform components
* Develop and maintain automated test scripts
* Collaborate with senior engineers to troubleshoot and resolve issues
* Learn and apply best practices in test methodology and software quality
* Contribute to continuous improvement of test processes
* Deliver high\-quality output on assigned tasks with some supervision
* Use verbal and written communication skills to convey routine information to knowledgeable colleagues
* Exercise creativity in troubleshooting technical challenges and navigating novel circumstances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$94,200\.00 \- $141,200\.00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40">
      <c r="A40" t="inlineStr">
        <is>
          <t>li-3986113610</t>
        </is>
      </c>
      <c r="B40" t="inlineStr">
        <is>
          <t>Software Engineer</t>
        </is>
      </c>
      <c r="C40" t="inlineStr">
        <is>
          <t>Epic</t>
        </is>
      </c>
      <c r="D40" t="inlineStr">
        <is>
          <t>linkedin</t>
        </is>
      </c>
      <c r="E40" t="inlineStr"/>
      <c r="F40" t="inlineStr"/>
      <c r="G40" t="inlineStr">
        <is>
          <t>Santa Ana, CA</t>
        </is>
      </c>
      <c r="H40" t="inlineStr"/>
      <c r="I40"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41">
      <c r="A41" t="inlineStr">
        <is>
          <t>li-3986114482</t>
        </is>
      </c>
      <c r="B41" t="inlineStr">
        <is>
          <t>Software Engineer</t>
        </is>
      </c>
      <c r="C41" t="inlineStr">
        <is>
          <t>Epic</t>
        </is>
      </c>
      <c r="D41" t="inlineStr">
        <is>
          <t>linkedin</t>
        </is>
      </c>
      <c r="E41" t="inlineStr"/>
      <c r="F41" t="inlineStr"/>
      <c r="G41" t="inlineStr">
        <is>
          <t>Houston, TX</t>
        </is>
      </c>
      <c r="H41" t="inlineStr"/>
      <c r="I41"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42">
      <c r="A42" t="inlineStr">
        <is>
          <t>li-4348730956</t>
        </is>
      </c>
      <c r="B42" t="inlineStr">
        <is>
          <t>Senior .Net Software Engineer</t>
        </is>
      </c>
      <c r="C42" t="inlineStr">
        <is>
          <t>Akkodis</t>
        </is>
      </c>
      <c r="D42" t="inlineStr">
        <is>
          <t>linkedin</t>
        </is>
      </c>
      <c r="E42" t="inlineStr"/>
      <c r="F42" t="inlineStr"/>
      <c r="G42" t="inlineStr"/>
      <c r="H42" t="inlineStr"/>
      <c r="I42" t="inlineStr">
        <is>
          <t>**Akkodis** 
 is searching for a Senior .NET Software Engineer who has a strong background building cloud\-first, API driven platform. This Software Engineer will have experience working with monolithic and microservice architectures and be well versed in Azure infrastructure and cloud solutions. Find out more below!
**Pay/Salary Range:** 
 $105,000 to $130,000 Annually; The rate may be negotiable based on experience, education, geographic location, and other factors.
**What You’ll Do:** 
* 7\-10 years of experience as a software developer, primarily using C\#
* Enterprise level system architecture experience, designing and delivering RESTful APIs, integrations, and complex business processes
* Experience with the implementation and configuration of cloud services including serverless, data storage, messaging, logging, etc., preferably with Azure
* Experience with design and implementation of both monolithic and microservice architectures
* Experience implementing reliable and performant data storage solutions and schemas utilizing cloud technologies including SQL DBs, Document DBs, and unstructured data
* Experience with creating CI/CD pipelines supporting Infrastructure as Code (IAC)
 If you are interested in this position, then please click APPLY NOW. For other opportunities available at Akkodis go to www.akkodis.com.
*Equal Opportunity Employer/Veterans/Disabled* 
 Benefit offerings available for our associates include medical, dental, vision, life insurance, short\-term disability, additional voluntary benefits, an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*Disclaimer: These benefit offerings do not apply to client\-recruited jobs and jobs that are direct hires to a client.* 
*To read our Candidate Privacy Information Statement, which explains how we will use your information, please visit https://www.akkodis.com/en/privacy\-policy.*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t>
        </is>
      </c>
    </row>
    <row r="43">
      <c r="A43" t="inlineStr">
        <is>
          <t>li-3986114525</t>
        </is>
      </c>
      <c r="B43" t="inlineStr">
        <is>
          <t>Software Engineer</t>
        </is>
      </c>
      <c r="C43" t="inlineStr">
        <is>
          <t>Epic</t>
        </is>
      </c>
      <c r="D43" t="inlineStr">
        <is>
          <t>linkedin</t>
        </is>
      </c>
      <c r="E43" t="inlineStr"/>
      <c r="F43" t="inlineStr"/>
      <c r="G43" t="inlineStr">
        <is>
          <t>Oxnard, CA</t>
        </is>
      </c>
      <c r="H43" t="inlineStr"/>
      <c r="I43"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44">
      <c r="A44" t="inlineStr">
        <is>
          <t>li-3986111772</t>
        </is>
      </c>
      <c r="B44" t="inlineStr">
        <is>
          <t>Software Engineer</t>
        </is>
      </c>
      <c r="C44" t="inlineStr">
        <is>
          <t>Epic</t>
        </is>
      </c>
      <c r="D44" t="inlineStr">
        <is>
          <t>linkedin</t>
        </is>
      </c>
      <c r="E44" t="inlineStr"/>
      <c r="F44" t="inlineStr"/>
      <c r="G44" t="inlineStr">
        <is>
          <t>Dallas, TX</t>
        </is>
      </c>
      <c r="H44" t="inlineStr"/>
      <c r="I44"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45">
      <c r="A45" t="inlineStr">
        <is>
          <t>li-4188530534</t>
        </is>
      </c>
      <c r="B45" t="inlineStr">
        <is>
          <t>Senior Fullstack Engineer (Backend Leaning)</t>
        </is>
      </c>
      <c r="C45" t="inlineStr">
        <is>
          <t>Coinbase</t>
        </is>
      </c>
      <c r="D45" t="inlineStr">
        <is>
          <t>linkedin</t>
        </is>
      </c>
      <c r="E45" t="inlineStr"/>
      <c r="F45" t="inlineStr"/>
      <c r="G45" t="inlineStr">
        <is>
          <t>San Francisco, CA</t>
        </is>
      </c>
      <c r="H45" t="inlineStr"/>
      <c r="I45" t="inlineStr">
        <is>
          <t>Base is planning to bring a million developers and a billion users onchain. We need your help to make that happen.
 We believe that the onchain platform is the most important builder platform since the internet ("online"). We believe that the onchain platform should be open source, free to use, and globally available. And we believe that in order to make it really work, we need all hands on deck, working together to scale in a secure, decentralized, easy\-to\-use way.
 At Base, we live by our Stay Based values: we do the right thing, work hard, stay optimistic, prioritize the team, and push creative boundaries—all while building the future of onchain. We value a Zone 3\+ work ethic, where our team rises to the challenge, embraces hard weeks, and makes small to significant personal tradeoffs when necessary to drive impact and innovation.
 Base is incubated within Coinbase and plans to progressively decentralize in the years ahead. We believe that decentralization is critical to creating an open, global crypto economy that is accessible to everyone.
 Base is built on Optimism's open\-source OP Stack. We're joining as the second Core Dev team working on the OP Stack to ensure it's a public good available to everyone; and contributing a portion of sequencer revenue to funding public goods.
 We are looking for a strong
 **Senior Fullstack Engineer (Backend leaning)** 
 to join the Base team with emphasis in backend onchain engineering, to enable and accelerate the success of Base.
**What you'll be doing:**
* Building and maintaining backend Golang systems that power Base
* Working with Kubernetes and Cloud services to automate and maintain critical blockchain infrastructure
* Engaging in research and prototyping of groundbreaking ideas to improve efficiency and scalability of blockchain clients
**What we look for in you:**
* You have at least 5 years of experience in software engineering or systems engineering
* You've developed and shipped features of core backend systems at massive scale
* You're familiar with current trends and best practices in infrastructure and systems design
* You write high quality, well tested and maintainable code
**Nice to haves:**
* You're comfortable with Golang, Geth, Foundry, Solidity, or other crypto tools
* You have contributed to open source crypto projects, for example OP Stack contributions or Base contributions
* You've familiar with Kubernetes or cloud providers such as AWS or GCP
 Job \#: GBBE05US
* Answers to crypto\-related questions may be used to evaluate your onchain experience
**Pay Transparency Notice** 
 : Depending on your work location, the target annual
 **base** 
 salary for this position can range as detailed below. Full time offers from Coinbase also include bonus eligibility \+ equity eligibility \+ benefits (including medical, dental, vision and 401(k)).
 Base salary range shown. Total compensation also includes equity and bonus eligibility and benefits:
 $186,065—$218,900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46">
      <c r="A46" t="inlineStr">
        <is>
          <t>li-3986118129</t>
        </is>
      </c>
      <c r="B46" t="inlineStr">
        <is>
          <t>Software Engineer</t>
        </is>
      </c>
      <c r="C46" t="inlineStr">
        <is>
          <t>Epic</t>
        </is>
      </c>
      <c r="D46" t="inlineStr">
        <is>
          <t>linkedin</t>
        </is>
      </c>
      <c r="E46" t="inlineStr"/>
      <c r="F46" t="inlineStr"/>
      <c r="G46" t="inlineStr">
        <is>
          <t>Cheyenne, WY</t>
        </is>
      </c>
      <c r="H46" t="inlineStr"/>
      <c r="I46"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47">
      <c r="A47" t="inlineStr">
        <is>
          <t>li-4319075711</t>
        </is>
      </c>
      <c r="B47" t="inlineStr">
        <is>
          <t>Software Engineer (.NET)</t>
        </is>
      </c>
      <c r="C47" t="inlineStr">
        <is>
          <t>DMA - DuCharme, McMillen &amp; Associates, Inc.</t>
        </is>
      </c>
      <c r="D47" t="inlineStr">
        <is>
          <t>linkedin</t>
        </is>
      </c>
      <c r="E47" t="inlineStr"/>
      <c r="F47" t="inlineStr"/>
      <c r="G47" t="inlineStr">
        <is>
          <t>Indianapolis, IN</t>
        </is>
      </c>
      <c r="H47" t="inlineStr"/>
      <c r="I47" t="inlineStr">
        <is>
          <t>As an employee\-owned company, DMA prioritizes employees. Low turnover rates and tenured teams are living proof:
* 2025 Great Places to Work Certified
* Employee stock ownership program eligibility begins on day one of employment (ESOP contribution is targeted at 6% of your annual compensation)
* Company paid parental leave
* Generous time off package
* Multiple benefit plans, eligibility begins on day one of employment
* Culturally focused on work/life balance, mental health, and the overall wellness of our employees
 This is a hybrid position with an expectation to be in our Indianapolis, IN office a minimum of two days per week. This position does not qualify for relocation assistance or employment\-based sponsorship. Must be authorized to work in the U.S. without the need for employment\-based visa sponsorship now or in the future.
**Position Summary**
 The Software Engineer will be part of a development team that designs, develops, and maintains .NET\-based applications. Your responsibilities will primarily involve .NET development on Web based applications using C\# and JavaScript. You will be responsible for maintaining and enhancing existing software solutions. Additionally, you'll contribute to optimizing and streamlining our processes for increased efficiency.
**Essential Duties And Responsibilities**
* Participate in requirements gathering meetings.
* Design, develop, and maintain .NET/C\# applications and components.
* Write clean, efficient, and maintainable code following our established best practices and coding standards.
* Participate in code reviews and release \&amp; sprint planning sessions.
* Write clean, efficient, and maintainable code following our established best practices and coding standards.
* Debug and resolve software defects and issues in a timely manner.
* Work on both server\-side and client\-side development tasks, including JavaScript, and ReactJS
* Participate in technical discussions and contribute to architectural decisions.
* Stay up to date with industry trends and emerging technologies to continuously improve your skills and knowledge.
* Diagnose and triage issues with software; determine and document root cause
**Non\-Essential Duties And Responsibilities**
* Perform other duties as assigned
**Education And Qualifications**
* Bachelor's degree in Computer Science, Computer Technology, or related field
* 1\-3 years of professional programming experience required
* Experience using .NET Framework and C\# programming language.
* Experience with JavaScript and front\-end development (HTML, CSS, and JavaScript frameworks like React or Angular).
* Familiarity with web services, RESTful APIs, and JSON.
* Proficiency in database development using SQL Server or other relational databases.
* Excellent problem\-solving and debugging skills.
* Strong communication and teamwork skills.
* Ability to work independently and take ownership of assigned tasks.
* Agile/Scrum development experience is a plus.
 The Company is an equal employment opportunity employer and is committed to providing equal employment opportunities to its applicants and employees. The Company does not discriminate in employment opportunities or practices on the basis of race, color, religion, gender, national origin, citizenship, age, disability, veteran status, genetic information, or any other category covered by applicable federal, state, or local law. This equal employment opportunity policy applies to all employment policies, procedures, and practices, including but not limited to hiring, promotion, compensation, training, benefits, work assignments, discipline, termination, and all other terms and conditions of employment.
 It is DMA's policy to make reasonable accommodations for qualified individuals with disabilities. If you have a disability and either need assistance applying online or need to request an accommodation during any part of the application process, please contact our Human Resources team at HRDepartment@dmainc.com or 800\-309\-2110 and choosing selection 6\.</t>
        </is>
      </c>
    </row>
    <row r="48">
      <c r="A48" t="inlineStr">
        <is>
          <t>li-3986117197</t>
        </is>
      </c>
      <c r="B48" t="inlineStr">
        <is>
          <t>Software Engineer</t>
        </is>
      </c>
      <c r="C48" t="inlineStr">
        <is>
          <t>Epic</t>
        </is>
      </c>
      <c r="D48" t="inlineStr">
        <is>
          <t>linkedin</t>
        </is>
      </c>
      <c r="E48" t="inlineStr"/>
      <c r="F48" t="inlineStr"/>
      <c r="G48" t="inlineStr">
        <is>
          <t>Ontario, CA</t>
        </is>
      </c>
      <c r="H48" t="inlineStr"/>
      <c r="I48"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49">
      <c r="A49" t="inlineStr">
        <is>
          <t>li-3986118115</t>
        </is>
      </c>
      <c r="B49" t="inlineStr">
        <is>
          <t>Software Engineer</t>
        </is>
      </c>
      <c r="C49" t="inlineStr">
        <is>
          <t>Epic</t>
        </is>
      </c>
      <c r="D49" t="inlineStr">
        <is>
          <t>linkedin</t>
        </is>
      </c>
      <c r="E49" t="inlineStr"/>
      <c r="F49" t="inlineStr"/>
      <c r="G49" t="inlineStr">
        <is>
          <t>Lowell, MA</t>
        </is>
      </c>
      <c r="H49" t="inlineStr"/>
      <c r="I49"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50">
      <c r="A50" t="inlineStr">
        <is>
          <t>li-4360192483</t>
        </is>
      </c>
      <c r="B50" t="inlineStr">
        <is>
          <t>Frontend Engineer</t>
        </is>
      </c>
      <c r="C50" t="inlineStr">
        <is>
          <t>RemoteHunter</t>
        </is>
      </c>
      <c r="D50" t="inlineStr">
        <is>
          <t>linkedin</t>
        </is>
      </c>
      <c r="E50" t="inlineStr"/>
      <c r="F50" t="inlineStr"/>
      <c r="G50" t="inlineStr"/>
      <c r="H50" t="inlineStr"/>
      <c r="I50" t="inlineStr">
        <is>
          <t>About the Opportunity:
 This team focuses on improving the user experience of the internet by building tools that prevent broken pixels from being shipped. The frontend engineer role involves contributing to a web application used by thousands of developers and stakeholders to interact with UI Tests, UI Review workflows, and other features that ensure frontends remain regression\-free. The application is built with React (Next.js), GraphQL, Emotion, and TypeScript.
 Responsibilities:
 • Build and maintain scalable, reliable frontend systems powering the product.
 • Own projects from conception to completion, breaking down features into discrete units of work and maintaining momentum.
 • Collaborate cross\-functionally to ensure feature continuity between related products and deliver developer\-friendly solutions.
 • Continuously improve existing systems through optimization, refactoring, and modernization.
 • Participate in the team''s support rotation during business hours.
 • Stay informed on emerging frontend architecture and developer tooling trends to enhance the platform.
 Requirements:
 • 5\+ years of hands\-on frontend engineering experience with React, Next.js, and TypeScript, emphasizing test\-driven and accessibility\-first development.
 • Self\-directed problem solver able to scope work, communicate progress, flag blockers, and make technical and product trade\-offs independently while aligned with stakeholders.
 • Willingness to challenge ideas constructively, handle critique without defensiveness, and demonstrate a growth mindset.
 • Clear written and verbal communication skills suitable for a distributed, asynchronous work environment.
 • Strong focus on execution, accountability, and consistent progress despite challenges.
 • Deep investment in developer experience, either through shipping tools or understanding frontend team challenges.
 Bonus Qualifications:
 • Recent transition into a senior role or readiness to advance career level.
 • Experience with Storybook or the mentioned UI testing platform.
 • Experience working with GraphQL.
 • Proven effectiveness in distributed, remote\-first teams.
 • Non\-traditional background offering unique insights beyond engineering.
 Compensation:
 • Salary Range: US$145K \- US$184K plus equity.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1">
      <c r="A51" t="inlineStr">
        <is>
          <t>li-4342386062</t>
        </is>
      </c>
      <c r="B51" t="inlineStr">
        <is>
          <t>Senior Software Engineer</t>
        </is>
      </c>
      <c r="C51" t="inlineStr">
        <is>
          <t>Microsoft</t>
        </is>
      </c>
      <c r="D51" t="inlineStr">
        <is>
          <t>linkedin</t>
        </is>
      </c>
      <c r="E51" t="inlineStr"/>
      <c r="F51" t="inlineStr"/>
      <c r="G51" t="inlineStr">
        <is>
          <t>Redmond, WA</t>
        </is>
      </c>
      <c r="H51" t="inlineStr"/>
      <c r="I51" t="inlineStr">
        <is>
          <t>**Overview**
 The Cloud \&amp; AI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is one of the largest enterprise service companies in the world.
 Security represents the most critical priorities for our customers in a world awash in digital threats, regulatory scrutiny, and estate complexity. Microsoft Security aspires to make the world a safer place for all and is seeking a Senior Software Engineer. We want to reshape security and empower every user, customer, and developer with a security cloud that protects them with end\-to\-end, simplified solutions with a particular focus on access management.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IAM Protect Team (Identity and Access Management) builds and manages the products and services and Infrastructure on which Microsoft systems run. We boldly pursue big ideas that power transformational advances within Microsoft, while helping Microsoft teams work more securely and seamlessly every day. The role is for the access management within Microsoft focusing on various aspects including access evaluation, hardening and governance. IAM protect employees have deep technical and business expertise, customer insights, and a clear point of view that comes from first\-hand, large\-scale experience with Microsoft and industry solutions. We are engineers, technology leaders and experts, digital transformation change agents, and customer advocates.
 We have exciting opportunities for you to innovate, influence, transform, inspire and grow within our organization and we encourage you to apply to learn more!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Design and implement full stack systems working with the team.
* Adhere to modern engineering practices, effective coding, writing unit test cases, debugging, code reviewing and creating CI/CD pipelines.
* Work with customers and collaborate with other teams to own end to end solutions and delivery.
* Translate business requirements into technical specifications and help implement them.
* Debug bugs, production issues and address them in a timely manner.
* Review work of peer members.
**Qualifications**
 Required/minimum qualifications:
* Bachelor's Degree in Computer Science or related technical field AND 4\+ years technical engineering experience with coding in languages including, but not limited to, C, C\+\+, C\#, Java, JavaScript, or Python
+ OR equivalent experience.
**Other Requirements**
* Ability to meet Microsoft, customer and / 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 / 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3\+ years of experience working in cloud services doing full stack back\-end development
* Experience in Identity management principles.
* Demonstrate passion and ability in collaborating with external teams, partners and customers.
* Experience with one or more general purpose programming languages including, but not limited to: C\#, ReactJS, JavaScript, PowerShell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2">
      <c r="A52" t="inlineStr">
        <is>
          <t>li-3986118117</t>
        </is>
      </c>
      <c r="B52" t="inlineStr">
        <is>
          <t>Software Engineer</t>
        </is>
      </c>
      <c r="C52" t="inlineStr">
        <is>
          <t>Epic</t>
        </is>
      </c>
      <c r="D52" t="inlineStr">
        <is>
          <t>linkedin</t>
        </is>
      </c>
      <c r="E52" t="inlineStr"/>
      <c r="F52" t="inlineStr"/>
      <c r="G52" t="inlineStr">
        <is>
          <t>Cleveland, OH</t>
        </is>
      </c>
      <c r="H52" t="inlineStr"/>
      <c r="I52"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53">
      <c r="A53" t="inlineStr">
        <is>
          <t>li-4309876227</t>
        </is>
      </c>
      <c r="B53" t="inlineStr">
        <is>
          <t>Senior Software Engineer - AI Research Clusters</t>
        </is>
      </c>
      <c r="C53" t="inlineStr">
        <is>
          <t>NVIDIA</t>
        </is>
      </c>
      <c r="D53" t="inlineStr">
        <is>
          <t>linkedin</t>
        </is>
      </c>
      <c r="E53" t="inlineStr"/>
      <c r="F53" t="inlineStr"/>
      <c r="G53" t="inlineStr">
        <is>
          <t>Hillsboro, OR</t>
        </is>
      </c>
      <c r="H53" t="inlineStr"/>
      <c r="I53" t="inlineStr">
        <is>
          <t>NVIDIA is at the forefront of innovations in Artificial Intelligence, High\-Performance Computing, and Visualization. Our invention—the GPU—functions as the visual cortex of modern computing and is central to groundbreaking applications from generative AI to autonomous vehicles. We are now looking for a Senior Software Engineer to help accelerate the next era of machine learning innovation.
 In this role, you will propose and implement engineering solutions to ensure delivery of functional, reliable, secure, and performance\-optimal GPU clusters to internal researchers, enable them to focus on training and development by reducing operational disruption and overhead, empower them for self\-service continuous improvement on reliability, operational excellence \&amp; performance. Your work will empower scientists and engineers to train, fine\-tune, and deploy the most advanced ML models on some of the world’s most powerful GPU systems.
**What You'll Be Doing**
* In this position, you will work with coworkers across the AI Platform organization to understand the pain points of validating, monitoring and operating GPU clusters at scale. Then you will d esign, develop and maintain engineering solutions to solve those pain points systematically.
* You will also research in traditional AIOps and the emerging Agentic AI, and leverage it to further reduce the operation toil.
* You will participate in on\-call support for systems, platforms built and owned by the team.
**What We Need To See**
* BS/MS in Computer Science, Engineering, or equivalent experience.
* 8\+ years in software/platform engineering, including 3\+ years in ML infrastructure or distributed systems.
* Experience in software development lifecycle on Linux\-based platforms.
* Strong coding skills in languages such as Python, C\+\+ or Rust.
* Experience with Docker, Kubernetes, GitLab CI, automated deployments.
* Experience with AIOps or Agentic AI and apply it successfully in production environment.
**Ways To Stand Out From The Crowd**
* Proficiency with full\-stack development: Relational Data Modeling, DB optimization, REST API Semantics, Javascript, CSS, providing API as a service.
* Passion for building developer\-centric platforms with great UX and strong operational reliability.
* Experience running Slurm or custom scheduling frameworks in production ML environments.
* Familiarity with GPU computing, Linux systems internals, and performance tuning at scale.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January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JR2005397</t>
        </is>
      </c>
    </row>
    <row r="54">
      <c r="A54" t="inlineStr">
        <is>
          <t>li-3986116423</t>
        </is>
      </c>
      <c r="B54" t="inlineStr">
        <is>
          <t>Software Engineer</t>
        </is>
      </c>
      <c r="C54" t="inlineStr">
        <is>
          <t>Epic</t>
        </is>
      </c>
      <c r="D54" t="inlineStr">
        <is>
          <t>linkedin</t>
        </is>
      </c>
      <c r="E54" t="inlineStr"/>
      <c r="F54" t="inlineStr"/>
      <c r="G54" t="inlineStr">
        <is>
          <t>Colchester, VT</t>
        </is>
      </c>
      <c r="H54" t="inlineStr"/>
      <c r="I54"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55">
      <c r="A55" t="inlineStr">
        <is>
          <t>li-4278016873</t>
        </is>
      </c>
      <c r="B55" t="inlineStr">
        <is>
          <t>Senior Software Engineer, Cloud-Native Stack – CSP Engagements</t>
        </is>
      </c>
      <c r="C55" t="inlineStr">
        <is>
          <t>NVIDIA</t>
        </is>
      </c>
      <c r="D55" t="inlineStr">
        <is>
          <t>linkedin</t>
        </is>
      </c>
      <c r="E55" t="inlineStr"/>
      <c r="F55" t="inlineStr"/>
      <c r="G55" t="inlineStr">
        <is>
          <t>Seattle, WA</t>
        </is>
      </c>
      <c r="H55" t="inlineStr"/>
      <c r="I55" t="inlineStr">
        <is>
          <t>We are developing advanced multi\-rack, multi\-tenant AI/ML datacenters with NVIDIA GB200, and upcoming GB300 GPUs. NVIDIA seeks a Senior Software Engineer for our CSP (Cloud Service Provider) Engagements team to focus on the cloud\-native stack for datacenter products like GB200\. In this role, You will define customer workflows, prototype stack enhancements, and debug the toughest Kubernetes \+ Slurm issues in multi\-rack, multi\-tenant AI datacenters. You'll tackle complex scheduling challenges across racks, tenants, and clouds as part of the CSP engagements team.
**What You’ll Be Doing**
* Perform deep\-dive debugging of multi\-rack, multi\-tenant clusters: scheduler behavior, container runtime issues, device\-plugin crashes, RDMA/IB fabric anomalies, etc.
* Gather customer requirements and prototype feature extensions for Kubernetes operators, Slurm plugins, and custom micro\-services that expose new GPU capabilities.
* Drive joint architecture reviews and “whiteboard” sessions with CSP and internal platform teams; convert findings into RFCs and upstream pull requests.
* Create reproducible testbeds (Helm/Ansible/Terraform) that mirror customer environments; automate validation and benchmark suites.
* Deliver technical collateral\-design docs, how\-to guides, demo scripts\-and present at customer on\-sites, KubeCon, and SlurmUG.
* Collaborate with AE, FAE, and Solution Architect teams to deliver integrated customer solutions and technical documentation.
**What We Need To See**
* Strong source\-level expertise in Kubernetes internals (scheduler, CRI/CNI/CSI, operators) and Slurm (federation, power\-save, plugins).
* Hands\-on experience integrating next\-gen GPUs (Blackwell/GB200/GB300\) or comparable accelerators into containerized clusters.
* Proven track record debugging large\-scale, cloud\-native stacks across networking (RDMA/RoCE), storage, and control planes.
* Customer\-facing engineering or solutions\-architect background: requirements gathering, PoC ownership, roadmap influence.
* Familiarity with CI/CD (GitHub Actions, Tekton), observability (Prometheus, OpenTelemetry), and infrastructure\-as\-code.
* Excellent communication\-able to switch between deep technical detail and high\-level business impact.
* 6\+ years of professional software development experience in distributed systems (Go, Rust, C/C\+\+ or Python for tooling).
* BS or MS (or equivalent experience) in Computer Engineering, Computer Science, or related field.
**Ways To Stand Out From The Crowd**
* Upstream contributions to Kubernetes, Slurm, Volcano, or similar projects.
* Experience with GPU computing (CUDA), deep learning workloads
 NVIDIA is widely considered to be one of the technology world’s most desirable employers. We have some of the most forward\-thinking and hard\-working people in the world working for us. NVIDIA is leading the way in groundbreaking developments in Artificial Intelligence, High\-Performance Computing and Visualization. The GPU, our invention, serves as the visual cortex of modern computers and is at the heart of our products and services. We have some of the most forward\-thinking and hardworking people in the world working for us. If you're creative, hardworking and self\-motivated, we want to hear from you!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January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JR2001098</t>
        </is>
      </c>
    </row>
    <row r="56">
      <c r="A56" t="inlineStr">
        <is>
          <t>li-3986116448</t>
        </is>
      </c>
      <c r="B56" t="inlineStr">
        <is>
          <t>Software Engineer</t>
        </is>
      </c>
      <c r="C56" t="inlineStr">
        <is>
          <t>Epic</t>
        </is>
      </c>
      <c r="D56" t="inlineStr">
        <is>
          <t>linkedin</t>
        </is>
      </c>
      <c r="E56" t="inlineStr"/>
      <c r="F56" t="inlineStr"/>
      <c r="G56" t="inlineStr">
        <is>
          <t>Columbus, OH</t>
        </is>
      </c>
      <c r="H56" t="inlineStr"/>
      <c r="I56"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57">
      <c r="A57" t="inlineStr">
        <is>
          <t>li-4309864841</t>
        </is>
      </c>
      <c r="B57" t="inlineStr">
        <is>
          <t>Senior Software Engineer - AI Research Clusters</t>
        </is>
      </c>
      <c r="C57" t="inlineStr">
        <is>
          <t>NVIDIA</t>
        </is>
      </c>
      <c r="D57" t="inlineStr">
        <is>
          <t>linkedin</t>
        </is>
      </c>
      <c r="E57" t="inlineStr"/>
      <c r="F57" t="inlineStr"/>
      <c r="G57" t="inlineStr">
        <is>
          <t>Austin, TX</t>
        </is>
      </c>
      <c r="H57" t="inlineStr"/>
      <c r="I57" t="inlineStr">
        <is>
          <t>NVIDIA is at the forefront of innovations in Artificial Intelligence, High\-Performance Computing, and Visualization. Our invention—the GPU—functions as the visual cortex of modern computing and is central to groundbreaking applications from generative AI to autonomous vehicles. We are now looking for a Senior Software Engineer to help accelerate the next era of machine learning innovation.
 In this role, you will propose and implement engineering solutions to ensure delivery of functional, reliable, secure, and performance\-optimal GPU clusters to internal researchers, enable them to focus on training and development by reducing operational disruption and overhead, empower them for self\-service continuous improvement on reliability, operational excellence \&amp; performance. Your work will empower scientists and engineers to train, fine\-tune, and deploy the most advanced ML models on some of the world’s most powerful GPU systems.
**What You'll Be Doing**
* In this position, you will work with coworkers across the AI Platform organization to understand the pain points of validating, monitoring and operating GPU clusters at scale. Then you will d esign, develop and maintain engineering solutions to solve those pain points systematically.
* You will also research in traditional AIOps and the emerging Agentic AI, and leverage it to further reduce the operation toil.
* You will participate in on\-call support for systems, platforms built and owned by the team.
**What We Need To See**
* BS/MS in Computer Science, Engineering, or equivalent experience.
* 8\+ years in software/platform engineering, including 3\+ years in ML infrastructure or distributed systems.
* Experience in software development lifecycle on Linux\-based platforms.
* Strong coding skills in languages such as Python, C\+\+ or Rust.
* Experience with Docker, Kubernetes, GitLab CI, automated deployments.
* Experience with AIOps or Agentic AI and apply it successfully in production environment.
**Ways To Stand Out From The Crowd**
* Proficiency with full\-stack development: Relational Data Modeling, DB optimization, REST API Semantics, Javascript, CSS, providing API as a service.
* Passion for building developer\-centric platforms with great UX and strong operational reliability.
* Experience running Slurm or custom scheduling frameworks in production ML environments.
* Familiarity with GPU computing, Linux systems internals, and performance tuning at scale.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January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JR2005397</t>
        </is>
      </c>
    </row>
    <row r="58">
      <c r="A58" t="inlineStr">
        <is>
          <t>li-4323901150</t>
        </is>
      </c>
      <c r="B58" t="inlineStr">
        <is>
          <t>Software Engineer, Test Engineering and Operations</t>
        </is>
      </c>
      <c r="C58" t="inlineStr">
        <is>
          <t>SpaceX</t>
        </is>
      </c>
      <c r="D58" t="inlineStr">
        <is>
          <t>linkedin</t>
        </is>
      </c>
      <c r="E58" t="inlineStr"/>
      <c r="F58" t="inlineStr"/>
      <c r="G58" t="inlineStr">
        <is>
          <t>Hawthorne, CA</t>
        </is>
      </c>
      <c r="H58" t="inlineStr"/>
      <c r="I58"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TEST ENGINEERING AND OPERATIONS**
 This group is dedicated to enabling engineers to focus on hardware and process development by troubleshooting, maintaining, and creating software that facilitate and support checkout operations across the company.  This means eliminating recurring engineering and operational tasks, intelligently designing and implementing automated tests with supporting infrastructure, analyzing vehicle performance versus expected behavior, and expediting engineering deliverables to our production teams.
**Responsibilities**
* Create, Maintain, Streamline, and Troubleshoot analysis tools, enterprise applications, automated tests and miscellaneous software systems that facilitate and support checkout operations across the company
* Lead the design, development, review and implementation of new software projects
* Periodically review the performance, capabilities, and complexity of existing tools and processes and implement more efficient or more reliable approaches when sensible
* Implement interdisciplinary software solutions to optimize engineering time and eliminate recurring tasks, streamline workflows, and reduce risk for hazardous operations
* Develop sustainable, scalable, and secure software systems that follow an object\-oriented paradigm
* Participate and provide meaningful feedback in architecture, design, and code reviews
**Basic Qualifications**
* Bachelor’s degree in an engineering, math, or scientific discipline OR 2\+ years of professional experience coding in an object\-oriented language in lieu of a degree (including internships, design/build/compete project teams)
* 1\+ years of experience with a programming language such as Python, JavaScript, SQL, Linux
**Preferred Skills And Experience**
* Strong competency in software development practices including testing and continuous integration
* Strong skills in debugging, performance optimization, and unit testing
* Ability to identify customer needs, gather requirements, and execute independently
* Ability to take on projects that require taking the initiative and developing new expertise
* Creative approach to problem solving and exceptional analytical skills
* Ability to work effectively in a dynamic environment that includes working with changing needs and requirements
* Familiar with Agile software development techniques, particularly Test\-Driven Development, and Continuous Integration
* Familiarity with vehicle test and flight operation processes
* Familiarity with common aerospace instrumentation (e.g. pressure transducers/RTD’s)
* Able to prioritize and execute tasks in a high\-pressure environment with ongoing drive for continuous improvement in all aspects of work
* Excellent communication skills (both written and verbal) and ability to succinctly present recommendations to stakeholders, the customer, and management
* Able to work well in an integrated collaborative team environment, including frequent interactions with technicians, other engineers, and managers
* Passion for advancing the commercial space industry and human spaceflight
**Additional Requirements**
* Ability to work extended hours and weekends as needed
* Must be willing to travel – up to 10%
**Pay Range**
**COMPENSATION AND BENEFITS:**
 Software Engineer/Level I: $120,000\.00 \- $145,000\.00/per year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59">
      <c r="A59" t="inlineStr">
        <is>
          <t>li-3986117164</t>
        </is>
      </c>
      <c r="B59" t="inlineStr">
        <is>
          <t>Software Engineer</t>
        </is>
      </c>
      <c r="C59" t="inlineStr">
        <is>
          <t>Epic</t>
        </is>
      </c>
      <c r="D59" t="inlineStr">
        <is>
          <t>linkedin</t>
        </is>
      </c>
      <c r="E59" t="inlineStr"/>
      <c r="F59" t="inlineStr"/>
      <c r="G59" t="inlineStr">
        <is>
          <t>Scottsdale, AZ</t>
        </is>
      </c>
      <c r="H59" t="inlineStr"/>
      <c r="I59"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60">
      <c r="A60" t="inlineStr">
        <is>
          <t>li-3986114481</t>
        </is>
      </c>
      <c r="B60" t="inlineStr">
        <is>
          <t>Software Engineer</t>
        </is>
      </c>
      <c r="C60" t="inlineStr">
        <is>
          <t>Epic</t>
        </is>
      </c>
      <c r="D60" t="inlineStr">
        <is>
          <t>linkedin</t>
        </is>
      </c>
      <c r="E60" t="inlineStr"/>
      <c r="F60" t="inlineStr"/>
      <c r="G60" t="inlineStr">
        <is>
          <t>Savannah, GA</t>
        </is>
      </c>
      <c r="H60" t="inlineStr"/>
      <c r="I60"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61">
      <c r="A61" t="inlineStr">
        <is>
          <t>li-4278021162</t>
        </is>
      </c>
      <c r="B61" t="inlineStr">
        <is>
          <t>Senior Software Engineer, Cloud-Native Stack – CSP Engagements</t>
        </is>
      </c>
      <c r="C61" t="inlineStr">
        <is>
          <t>NVIDIA</t>
        </is>
      </c>
      <c r="D61" t="inlineStr">
        <is>
          <t>linkedin</t>
        </is>
      </c>
      <c r="E61" t="inlineStr"/>
      <c r="F61" t="inlineStr"/>
      <c r="G61" t="inlineStr">
        <is>
          <t>Redmond, WA</t>
        </is>
      </c>
      <c r="H61" t="inlineStr"/>
      <c r="I61" t="inlineStr">
        <is>
          <t>We are developing advanced multi\-rack, multi\-tenant AI/ML datacenters with NVIDIA GB200, and upcoming GB300 GPUs. NVIDIA seeks a Senior Software Engineer for our CSP (Cloud Service Provider) Engagements team to focus on the cloud\-native stack for datacenter products like GB200\. In this role, You will define customer workflows, prototype stack enhancements, and debug the toughest Kubernetes \+ Slurm issues in multi\-rack, multi\-tenant AI datacenters. You'll tackle complex scheduling challenges across racks, tenants, and clouds as part of the CSP engagements team.
**What You’ll Be Doing**
* Perform deep\-dive debugging of multi\-rack, multi\-tenant clusters: scheduler behavior, container runtime issues, device\-plugin crashes, RDMA/IB fabric anomalies, etc.
* Gather customer requirements and prototype feature extensions for Kubernetes operators, Slurm plugins, and custom micro\-services that expose new GPU capabilities.
* Drive joint architecture reviews and “whiteboard” sessions with CSP and internal platform teams; convert findings into RFCs and upstream pull requests.
* Create reproducible testbeds (Helm/Ansible/Terraform) that mirror customer environments; automate validation and benchmark suites.
* Deliver technical collateral\-design docs, how\-to guides, demo scripts\-and present at customer on\-sites, KubeCon, and SlurmUG.
* Collaborate with AE, FAE, and Solution Architect teams to deliver integrated customer solutions and technical documentation.
**What We Need To See**
* Strong source\-level expertise in Kubernetes internals (scheduler, CRI/CNI/CSI, operators) and Slurm (federation, power\-save, plugins).
* Hands\-on experience integrating next\-gen GPUs (Blackwell/GB200/GB300\) or comparable accelerators into containerized clusters.
* Proven track record debugging large\-scale, cloud\-native stacks across networking (RDMA/RoCE), storage, and control planes.
* Customer\-facing engineering or solutions\-architect background: requirements gathering, PoC ownership, roadmap influence.
* Familiarity with CI/CD (GitHub Actions, Tekton), observability (Prometheus, OpenTelemetry), and infrastructure\-as\-code.
* Excellent communication\-able to switch between deep technical detail and high\-level business impact.
* 6\+ years of professional software development experience in distributed systems (Go, Rust, C/C\+\+ or Python for tooling).
* BS or MS (or equivalent experience) in Computer Engineering, Computer Science, or related field.
**Ways To Stand Out From The Crowd**
* Upstream contributions to Kubernetes, Slurm, Volcano, or similar projects.
* Experience with GPU computing (CUDA), deep learning workloads
 NVIDIA is widely considered to be one of the technology world’s most desirable employers. We have some of the most forward\-thinking and hard\-working people in the world working for us. NVIDIA is leading the way in groundbreaking developments in Artificial Intelligence, High\-Performance Computing and Visualization. The GPU, our invention, serves as the visual cortex of modern computers and is at the heart of our products and services. We have some of the most forward\-thinking and hardworking people in the world working for us. If you're creative, hardworking and self\-motivated, we want to hear from you!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January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JR2001098</t>
        </is>
      </c>
    </row>
    <row r="62">
      <c r="A62" t="inlineStr">
        <is>
          <t>li-3986116455</t>
        </is>
      </c>
      <c r="B62" t="inlineStr">
        <is>
          <t>Software Engineer</t>
        </is>
      </c>
      <c r="C62" t="inlineStr">
        <is>
          <t>Epic</t>
        </is>
      </c>
      <c r="D62" t="inlineStr">
        <is>
          <t>linkedin</t>
        </is>
      </c>
      <c r="E62" t="inlineStr"/>
      <c r="F62" t="inlineStr"/>
      <c r="G62" t="inlineStr">
        <is>
          <t>Idaho Falls, ID</t>
        </is>
      </c>
      <c r="H62" t="inlineStr"/>
      <c r="I62"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63">
      <c r="A63" t="inlineStr">
        <is>
          <t>li-3986118094</t>
        </is>
      </c>
      <c r="B63" t="inlineStr">
        <is>
          <t>Software Engineer</t>
        </is>
      </c>
      <c r="C63" t="inlineStr">
        <is>
          <t>Epic</t>
        </is>
      </c>
      <c r="D63" t="inlineStr">
        <is>
          <t>linkedin</t>
        </is>
      </c>
      <c r="E63" t="inlineStr"/>
      <c r="F63" t="inlineStr"/>
      <c r="G63" t="inlineStr">
        <is>
          <t>Independence, MO</t>
        </is>
      </c>
      <c r="H63" t="inlineStr"/>
      <c r="I63"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64">
      <c r="A64" t="inlineStr">
        <is>
          <t>li-3986117163</t>
        </is>
      </c>
      <c r="B64" t="inlineStr">
        <is>
          <t>Software Engineer</t>
        </is>
      </c>
      <c r="C64" t="inlineStr">
        <is>
          <t>Epic</t>
        </is>
      </c>
      <c r="D64" t="inlineStr">
        <is>
          <t>linkedin</t>
        </is>
      </c>
      <c r="E64" t="inlineStr"/>
      <c r="F64" t="inlineStr"/>
      <c r="G64" t="inlineStr">
        <is>
          <t>Sheboygan, WI</t>
        </is>
      </c>
      <c r="H64" t="inlineStr"/>
      <c r="I64"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65">
      <c r="A65" t="inlineStr">
        <is>
          <t>li-4286754514</t>
        </is>
      </c>
      <c r="B65" t="inlineStr">
        <is>
          <t>Staff Software Engineer</t>
        </is>
      </c>
      <c r="C65" t="inlineStr">
        <is>
          <t>Okta</t>
        </is>
      </c>
      <c r="D65" t="inlineStr">
        <is>
          <t>linkedin</t>
        </is>
      </c>
      <c r="E65" t="inlineStr"/>
      <c r="F65" t="inlineStr"/>
      <c r="G65" t="inlineStr">
        <is>
          <t>Bellevue, WA</t>
        </is>
      </c>
      <c r="H65" t="inlineStr"/>
      <c r="I65" t="inlineStr">
        <is>
          <t>**Get to know Okta**
 Okta is The World’s Identity Company. We free everyone to safely use any technology, anywhere, on any device or app. Our flexible and neutral products, Okta Platform and Auth0 Platform, provide secure access, authentication, and automation, placing identity at the core of business security and growth.
 At Okta, we celebrate a variety of perspectives and experiences. We are not looking for someone who checks every single box \- we’re looking for lifelong learners and people who can make us better with their unique experiences.
 Join our team! We’re building a world where Identity belongs to you.
**The Technology, Data, and Intelligence Team**
 Okta’s Technology, Data, \&amp; Intelligence organization is on a mission to simplify and secure internal operations through automation, analysis, and scale. Our Productivity Engineering team is responsible for developing internal tooling, infrastructure and services that empower Okta employees to work as effectively as possible.
 We work across engineering, data science, security, and internal business teams to deliver automation\-powered services that integrate across a wide array of SAAS apps and internally developed infrastructure to Okta. A growing focus for our team has been an investment of cycles into AI agentic platforms, workflow orchestration, and data analytic dashboarding. We’re looking for engineers who enjoy solving tough problems and building with purpose.
**The Staff Software Engineer Opportunity**
 Reporting to Mat Clinton, this role will you’ll play a key role in designing and developing platforms and services that support Okta’s internal transformation. You’ll help build the infrastructure and applications that make intelligent automation and GenAI real for our workforce — all while ensuring performance, security, and reliability at enterprise scale.This is a hands\-on IC role for someone who thrives on system design, loves to build, and wants to grow their influence across a fast\-moving engineering team.
**What You’ll Be Doing**
* Design and build production grade internal services that integrate GenAI and automation into core business workflows (e.g., virtual agents, RAG, enterprise search)
* Work closely with product, engineering, and data science teams to deliver features from prototype to production, with a focus on quality and user experience
* Contribute to platform architecture decisions, especially around LLM integration, API design, and system observability
* Write clean, maintainable code in languages like Python or Go, and build services using containerized environments (e.g., Docker, Kubernetes)
* Deploy cloud infrastructure to GCP \&amp; AWS using IAAS like Terraform, OpenTofu, or similar
* Promote engineering best practices around testing, security, CI/CD, and operational readiness
* Participate in design reviews, troubleshooting sessions, and peer mentorship to support a strong, collaborative engineering culture
**What You’ll Bring To The Role**
* 5\+ years of software engineering experience, including building and maintaining production services at scale
* Experience working with distributed systems, cloud\-native architectures, and API\-based integrations
* Exposure to AI/ML concepts, and interest in applying LLMs, NLP, or automation tools in practical use cases
* A collaborative mindset, strong communication skills, and desire to work across team boundaries
* Curiosity and a desire to learn — especially around AI technologies, enterprise platforms, and building responsibly
**Why Join Okta**
* Okta is on a mission to become the most secure company in the world, while also looking to adopt the most cutting edge technologies in AI, help us achieve both goals to accelerate our mission
* Build With Purpose: Work on meaningful problems that simplify and secure how Okta operates
* Grow in a Human\-Centered Culture: Join a supportive, humble team that values technical excellence and personal development
 P23036\_3221924
 Below is the annual base salary range for candidates located in California (excluding San Francisco Bay Area), Colorado, Illinois, New York and Washington. Your actual base salary will depend on factors such as your skills, qualifications, experience, and work location. In addition, Okta offers equity (where applicable), bonus, and benefits, including health, dental and vision insurance, 401(k), flexible spending account, and paid leave (including PTO and parental leave) in accordance with our applicable plans and policies. To learn more about our Total Rewards program please visit: https://rewards.okta.com/us.
 The annual base salary range for this position for candidates located in California (excluding San Francisco Bay Area), Colorado, Illinois, New York, and Washington is between:
 $151,000—$227,000 USD
**What you can look forward to as a Full\-Time Okta employee!**
* Amazing Benefits
* Making Social Impact
* Developing Talent and Fostering Connection \+ Community at Okta
 Okta cultivates a dynamic work environment, providing the best tools, technology and benefits to empower our employees to work productively in a setting that best and uniquely suits their needs. Each organization is unique in the degree of flexibility and mobility in which they work so that all employees are enabled to be their most creative and successful versions of themselves, regardless of where they live. Find your place at Okta today! https://www.okta.com/company/careers/.
 Some roles may require travel to one of our office locations for in\-person onboarding.
 Okta is an Equal Opportunity Employer. All qualified applicants will receive consideration for employment without regard to race, color, religion, sex, sexual orientation, gender identity, national origin, ancestry, marital status, age, physical or mental disability, or status as a protected veteran. We also consider for employment qualified applicants with arrest and convictions records, consistent with applicable laws.
 If reasonable accommodation is needed to complete any part of the job application, interview process, or onboarding please use this Form to request an accommodation.
 Okta is committed to complying with applicable data privacy and security laws and regulations. For more information, please see our Personnel and Job Candidate Privacy Notice at https://www.okta.com/legal/personnel\-policy/.</t>
        </is>
      </c>
    </row>
    <row r="66">
      <c r="A66" t="inlineStr">
        <is>
          <t>li-3986115573</t>
        </is>
      </c>
      <c r="B66" t="inlineStr">
        <is>
          <t>Software Engineer</t>
        </is>
      </c>
      <c r="C66" t="inlineStr">
        <is>
          <t>Epic</t>
        </is>
      </c>
      <c r="D66" t="inlineStr">
        <is>
          <t>linkedin</t>
        </is>
      </c>
      <c r="E66" t="inlineStr"/>
      <c r="F66" t="inlineStr"/>
      <c r="G66" t="inlineStr">
        <is>
          <t>Orem, UT</t>
        </is>
      </c>
      <c r="H66" t="inlineStr"/>
      <c r="I66"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67">
      <c r="A67" t="inlineStr">
        <is>
          <t>li-4360152757</t>
        </is>
      </c>
      <c r="B67" t="inlineStr">
        <is>
          <t>Software Engineer III, ScriptDrop (Elixir)</t>
        </is>
      </c>
      <c r="C67" t="inlineStr">
        <is>
          <t>RemoteHunter</t>
        </is>
      </c>
      <c r="D67" t="inlineStr">
        <is>
          <t>linkedin</t>
        </is>
      </c>
      <c r="E67" t="inlineStr"/>
      <c r="F67" t="inlineStr"/>
      <c r="G67" t="inlineStr"/>
      <c r="H67" t="inlineStr"/>
      <c r="I67" t="inlineStr">
        <is>
          <t>About the Opportunity:
 The organization is a leading prescription savings platform in the U.S., serving over 25 million consumers and 750,000 healthcare professionals annually. It provides access to savings and affordability options for generic and brand\-name medications at more than 70,000 pharmacies nationwide, along with comprehensive healthcare research and information. Since 2011, the organization has helped consumers save nearly $75 billion on prescriptions. The Software Engineer III, ScriptDrop will contribute to designing, developing, and maintaining software solutions using the Elixir programming language.
 Responsibilities:
 • Develop and maintain backend systems and applications using Elixir, following coding standards and best practices
 • Write clean, efficient, and maintainable code with high quality and readability
 • Collaborate with cross\-functional teams to translate requirements into technical specifications and deliver solutions
 • Contribute to architectural discussions and assist in technical decisions under senior guidance
 • Participate in code reviews, provide feedback, and learn from peers
 • Stay current with developments in the Elixir ecosystem and apply new knowledge
 • Troubleshoot and debug issues in existing systems, proposing and implementing solutions
 • Work with senior team members to address technical challenges and optimize performance and scalability
 • Identify potential risks and recommend mitigation strategies
 • Collaborate with team members, product managers, and stakeholders to ensure alignment on goals and priorities
 • Communicate project status, technical challenges, and recommendations clearly
 • Foster a collaborative and inclusive team environment with open communication and knowledge sharing
 Requirements:
 • Bachelor’s degree in Computer Science, Engineering, or related field, or equivalent experience
 • Minimum 3 years of software development experience focused on Elixir and functional programming
 • Solid understanding of Elixir fundamentals and functional programming concepts
 • Experience with database systems such as PostgreSQL or MongoDB
 • Strong problem\-solving skills and attention to detail
 • Excellent communication and interpersonal skills for effective cross\-functional collaboration
 • Eagerness to learn, grow, and tackle new challenges
 • Contributions to the Elixir community or open\-source projects are a plus
 Benefits \&amp; Perks:
 • Medical, dental, and vision insurance
 • 401(k) with company match
 • Employee stock purchase plan
 • Unlimited vacation
 • 13 paid holidays
 • 72 hours of sick leave
 • Mental wellness and financial wellness programs
 • Fertility benefits and generous parental leave
 • Pet insurance
 • Supplemental life insurance for employees and dependents
 • Company\-paid short\-term and long\-term disability coverage
 Compensation:
 • San Francisco and Seattle Offices: $143,000\.00 to $229,000\.00
 • New York Office: $131,000\.00 to $210,000\.00
 • Santa Monica Office: $119,000\.00 to $191,000\.00
 • Other Office Locations: $107,000\.00 to $172,000\.00
 • Additional compensation includes annual cash bonuses or commission and annual equity grants for most positions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8">
      <c r="A68" t="inlineStr">
        <is>
          <t>li-3986118103</t>
        </is>
      </c>
      <c r="B68" t="inlineStr">
        <is>
          <t>Software Engineer</t>
        </is>
      </c>
      <c r="C68" t="inlineStr">
        <is>
          <t>Epic</t>
        </is>
      </c>
      <c r="D68" t="inlineStr">
        <is>
          <t>linkedin</t>
        </is>
      </c>
      <c r="E68" t="inlineStr"/>
      <c r="F68" t="inlineStr"/>
      <c r="G68" t="inlineStr">
        <is>
          <t>Kenosha, WI</t>
        </is>
      </c>
      <c r="H68" t="inlineStr"/>
      <c r="I68"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69">
      <c r="A69" t="inlineStr">
        <is>
          <t>li-4342445756</t>
        </is>
      </c>
      <c r="B69" t="inlineStr">
        <is>
          <t>Principal Software Engineer - Responsible AI</t>
        </is>
      </c>
      <c r="C69" t="inlineStr">
        <is>
          <t>Microsoft</t>
        </is>
      </c>
      <c r="D69" t="inlineStr">
        <is>
          <t>linkedin</t>
        </is>
      </c>
      <c r="E69" t="inlineStr"/>
      <c r="F69" t="inlineStr"/>
      <c r="G69" t="inlineStr">
        <is>
          <t>Mountain View, CA</t>
        </is>
      </c>
      <c r="H69" t="inlineStr"/>
      <c r="I69" t="inlineStr">
        <is>
          <t>**Overview**
 Microsoft is a company where passionate innovators come to collaborate, envision what can be, and take their careers further. This is a world of more possibilities, more innovation, more openness, and the sky is the limit thinking in a cloud\-enabled world.
 The
 **CoreAI organization** 
 at Microsoft builds the end\-to\-end AI stack and is core to Azure AI innovation and differentiation, as well as all of Microsoft’s flagship products, from GitHub, to Office, Teams, and Xbox. We are the team building Responsible AI, Azure OpenAI, Model as a Service, Azure ML, Cognitive Services, and the global Azure AI infrastructure for running the largest AI workloads on the planet.
 We do not just value differences or different perspectives. We seek them out and invite them in so we can tap into the collective power of everyone in the company. As a result, our customers are better served. Within CoreAI, the Foundry team empowers builders around the world of all skill level to easily create AI apps.
 The Responsible AI group focuses on identifying, measuring, mitigating, and monitoring Responsible AI risks in AI\-generated and human\-generated content spanning text, image, audio, video, and multimodal content. We are looking for a
 **Principal Software Engineer \- Responsible AI** 
 who is passionate about building customer\-facing AI services with scalable and sustainable architecture and implementation and with high performance, low latency, and high availability.
 In this role, you will work with a unique group of talented engineers, scientists, and product managers to build the industry's best Responsible AI services. You will own the design of new AI services and integration with existing services such as Azure AI Content Safety, Azure OpenAI Service, Azure AI Studio, and more.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Design, and develop large\-scale distributed cloud services and solutions with a focus on high availability, scalability, robustness, and observability.
* Lead project development across the organization and work with subject matter experts and stakeholders to drive development and release plans.
* Evaluate alternative architectures and technologies that best fit the business requirements and service KPIs.
* Take end\-to\-end responsibility for the development lifecycle and production readiness of the services you build and drive the team’s DevOps culture.
* Drive and uphold the best practices of modern software engineering through code and design reviews and take effective service decisions based on data and telemetry.
* Understand Microsoft businesses and collaborate with stakeholders towards cohesive, end\-to\-end experiences for Microsoft customers.
* Embrace a growth mindset and stay up to date with the current and state\-of\-the\-art technologies to improve customer experience and better serve the product’s business needs.
**Qualifications**
**Required/Minimum Qualifications:** 
* Bachelor's Degree in Computer Science or related technical field AND 6\+ years technical engineering experience with coding in languages including, but not limited to, C, C\+\+, C\#, Java, JavaScript, Go,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**Preferred/Additional Qualifications**
* 6\+ years of technical engineering experience designing and delivering highly available, large\-scale cloud services and distributed systems.
* 4\+ years of technical engineering experience with machine learning model development, release, and operations.
* Ability to navigate the company and influence and inspire peers in engineering and broad product development.
* Demonstrate depth of knowledge and understanding of software architecture, design tradeoffs, and practices of mature DevOps culture.
* Track record of pursuing and delivering innovative insights that translate to value generation.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70">
      <c r="A70" t="inlineStr">
        <is>
          <t>li-3986117173</t>
        </is>
      </c>
      <c r="B70" t="inlineStr">
        <is>
          <t>Software Engineer</t>
        </is>
      </c>
      <c r="C70" t="inlineStr">
        <is>
          <t>Epic</t>
        </is>
      </c>
      <c r="D70" t="inlineStr">
        <is>
          <t>linkedin</t>
        </is>
      </c>
      <c r="E70" t="inlineStr"/>
      <c r="F70" t="inlineStr"/>
      <c r="G70" t="inlineStr">
        <is>
          <t>Mount Pleasant, MI</t>
        </is>
      </c>
      <c r="H70" t="inlineStr"/>
      <c r="I70"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71">
      <c r="A71" t="inlineStr">
        <is>
          <t>li-4322704549</t>
        </is>
      </c>
      <c r="B71" t="inlineStr">
        <is>
          <t>Senior Software Developer</t>
        </is>
      </c>
      <c r="C71" t="inlineStr">
        <is>
          <t>World Wide Technology</t>
        </is>
      </c>
      <c r="D71" t="inlineStr">
        <is>
          <t>linkedin</t>
        </is>
      </c>
      <c r="E71" t="inlineStr"/>
      <c r="F71" t="inlineStr"/>
      <c r="G71" t="inlineStr">
        <is>
          <t>Chantilly, VA</t>
        </is>
      </c>
      <c r="H71" t="inlineStr"/>
      <c r="I71" t="inlineStr">
        <is>
          <t>**Why WWT?** 
 At World Wide Technology, we work together to make a new world happen. Our important work benefits our clients and partners as much as it does our people and communities across the globe. WWT is dedicated to achieving its mission of creating a profitable growth company that is also a Great Place to Work for All. We achieve this through our world\-class culture, generous benefits, and by delivering cutting\-edge technology solutions for our clients.
 Founded in 1990, WWT is a global technology solutions provider leading the AI and Digital Revolution. WWT combines the power of strategy, execution, and partnership to accelerate digital transformational outcomes for organizations around the globe. Through its Advanced Technology Center, a collaborative ecosystem of the world's most advanced hardware and software solutions, WWT helps clients and partners conceptualize, test, and validate innovative technology solutions for the best business outcomes and then deploys them at scale through its global warehousing, distribution, and integration capabilities.
 With over 12,000 employees across WWT and Softchoice and more than 60 locations around the world, WWT's culture, built on a set of core values and established leadership philosophies, has been recognized 14 years in a row by Fortune and Great Place to Work® for its unique blend of determination, innovation and creating a great place to work for all.
 Want to work with highly motivated individuals who come together to form high\-performance teams?
 Come join WWT today! We are looking for a
 **Senior Software Developer** 
 to support our Managed Service Provider (MSP) contract within the Public Sector.
**Why should you join the Public Sector team?** 
 wwt.com/public\-sector
 Our team provides cleared resources with a global reach to federal civilian, Department of Defense (DoD), and intelligence community markets. We excel at delivering innovative, operationally ready, and cost\-effective IT solutions that accelerate the interoperability and resiliency of mission\-critical systems.
**Place of Performance:** 
 Chantilly, VA
**What will you be doing?** 
 Software developer for a classified Intelligence Community Managed Service Provider (MSP) environments supporting the government industry partners. You will work in a dynamic and challenging environment with a team that provides diverse solutions to our customers industry partners. The Operations team uses a broad range of functional and technical skills to support the standup of our ServiceNow platform, including integrations to various boundary applications.
**RESPONSIBILITIES:** 
* Participate and consult in architecture, design, development, implementation of integrations, and configuration of our ServiceNow and SharePoint platforms.
* Collaborate with various teams and business stakeholders to understand business requirements and propose technical solutions.
* Participate in strategic project planning that improves operational efficiency across the MSP.
* Test end\-to\-end solutions, including unit, functional, and regression testing, to ensure complete satisfaction of internal and external users.
* Mentor and collaborate with the team members, perform code reviews, and promote best practices and direction.
* Support the development of technical solutions and provide ongoing assistance and consultation to resolve problems, ensuring the solutions meet the end user’s requirements.
* Provide guidance and direction on Production Issues.
* Create and update existing technical/configuration documentation.
* Perform platform upgrades.
**QUALIFICATIONS:** 
* Active TOP SECRET SCI security clearance with CI Poly.
* Security\+ CE, CASP, CISSP or equivalent certification to meet DoD 8570 IAT Level II requirements.
* Bachelor’s degree in computer information systems, software development, or a related technical discipline or relevant experience.
* 10\+ years of experience in software development to include ServiceNow and SharePoint or 14\+ years without a technical degree.
* Experience with the following ServiceNow Products: ITSM, CMDB, PPM, FSM, CSM and integrating ServiceNow with external systems and 3rd party software.
* Experience with ServiceNow Automated Test Framework (ATF) to automate and verify applications, customizations, or configurations.
* Ability to configure workflows plus create and maintain Portal experience.
* Experience with ServiceNow Patch and Major Version Upgrade deployments.
* Experience with Microsoft SharePoint development with the ability to script and automate a plus.
* Ability to thrive in an agile environment with evolving requirements.
* Prior experience working with federal government agencies or contracts is highly preferred.
* Excellent communication skills (written, verbal, and presentation) for both a technical and non\-technical audience.
 Certain states and localities require employers to post a reasonable estimate of salary range. A reasonable estimate of the current base pay range for this position is $175,000 to $225,000 annually. Actual salary will be based on a variety of factors, including shift, location, experience, skill set, performance, licensure and certification, and business needs. The range for this position in other geographic locations may differ. Certain positions may also be eligible for variable incentive compensation, such as bonuses or commissions, that is not included in the base pay.
 The well\-being of WWT employees is essential. So, when it comes to our benefits package, WWT has one of the best. We offer the following benefits to all full\-time employees:
* Health and Wellbeing: Health, Dental, and Vision Care, Onsite Health Centers, Employee Assistance Program, Wellness program
* Financial Benefits: Competitive pay, Profit Sharing, 401k Plan with Company Matching, Life and Disability Insurance, Tuition Reimbursement
* Paid Time Off: PTO and Sick Leave (starting at 20 days per year) \&amp; Holidays (10 per year), Parental Leave, Military Leave, Bereavement
* Additional Perks: Nursing Mothers Benefits, Voluntary Legal, Pet Insurance, Employee Discount Program
 We strive to create an environment where all employees are empowered to succeed based on their skills, performance, and dedication. Our goal is to cultivate a culture of belonging that encourages innovation, collaboration, and respect for all team members, ensuring that WWT remains a great place to work for All!
*If you have any questions or concerns about this posting, please email taposting@wwt.com.*</t>
        </is>
      </c>
    </row>
    <row r="72">
      <c r="A72" t="inlineStr">
        <is>
          <t>li-4299481492</t>
        </is>
      </c>
      <c r="B72" t="inlineStr">
        <is>
          <t>Staff Software Engineer, Level 6</t>
        </is>
      </c>
      <c r="C72" t="inlineStr">
        <is>
          <t>Snap Inc.</t>
        </is>
      </c>
      <c r="D72" t="inlineStr">
        <is>
          <t>linkedin</t>
        </is>
      </c>
      <c r="E72" t="inlineStr"/>
      <c r="F72" t="inlineStr"/>
      <c r="G72" t="inlineStr">
        <is>
          <t>Bellevue, WA</t>
        </is>
      </c>
      <c r="H72" t="inlineStr"/>
      <c r="I72"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Software Engineer to join Snap Inc on our Core Infrastructure team!
 What you’ll do:
* Design, build, and optimize large\-scale caching systems (Redis/KeyDB/Valkey, custom proxy layers or custom client lib).
* Develop and maintain high\-performance caching proxies or client side libraries for request routing, connection coalescing, and slot\-aware load balancing.
* Implement robust failover, replication, and cluster topology management and optimize cpu performance, memory usage, persistence, and eviction strategies for low\-latency workloads.
* Enhance observability: metrics, tracing, and debugging tools for cache infra.
* Drive benchmarking, tuning, and capacity planning for 125M\+ QPS scale.
* Evaluate the technical tradeoffs of major decisions and be a strong technical mentor
* Collaborate with infra, storage, and application teams to integrate caching into critical paths.
* Contribute to code quality via reviews, documentation, and deep dives into caching internals.
 Knowledge, Skills \&amp; Abilities:
* Hands\-on knowledge of large\-scale caching systems like Redis/KeyDB/Valkey.
* Background with building high availability and mission critical distributed systems
* Experience with Java, Go, C\+\+, and/or Python
* Ability leading and executing large, complex technical initiatives
* Ability to proactively learn new concepts and apply them at work
 Minimum Qualifications:
* Bachelor’s degree in a technical field such as computer science or equivalent experience
* 9\+ years industry software engineering experience
* Experience with large scale distributed systems, and Cloud Computing
 Preferred Qualifications:
* Experience with Service Oriented architectures and Service Mesh
* Experience promoting operational excellence, leading incident management, and post mortems
* Experience with building and maintaining mission\-critical and highly\-available global distributed systems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$229,000\-$343,000 annually.
 Zone B:
 The base salary range for this position is $218,000\-$326,000 annually.
 Zone C:
 The base salary range for this position is $195,000\-$292,000 annually.
 This position is eligible for equity in the form of RSUs.</t>
        </is>
      </c>
    </row>
    <row r="73">
      <c r="A73" t="inlineStr">
        <is>
          <t>li-4360115227</t>
        </is>
      </c>
      <c r="B73" t="inlineStr">
        <is>
          <t>2026 Emerging Talent Software Engineers - Full time â United States (April 2026 Start)</t>
        </is>
      </c>
      <c r="C73" t="inlineStr">
        <is>
          <t>hackajob</t>
        </is>
      </c>
      <c r="D73" t="inlineStr">
        <is>
          <t>linkedin</t>
        </is>
      </c>
      <c r="E73" t="inlineStr"/>
      <c r="F73" t="inlineStr"/>
      <c r="G73" t="inlineStr">
        <is>
          <t>Columbus, OH</t>
        </is>
      </c>
      <c r="H73" t="inlineStr"/>
      <c r="I73" t="inlineStr">
        <is>
          <t>***hackajob** 
 is collaborating with
 **J.P. Morgan** 
 to connect them with exceptional tech professionals for this role.*
**Job Description**
 Join our 2026 Emerging Talent Software Engineer program and propel your career to new heights with a team of innovative technologists. Engage in diverse projects, gain new skills, and create positive change for the communities we serve. We value your unique skills and innovative ideas within our supportive and diverse technology organization. Ready to tackle big challenges with a global technology team? We're eager to meet you.
**About The Program**
 As a Software Engineer in the Emerging Talent Software Engineer, you will embark on a global two\-year career development journey. This program is designed to equip you with essential technical and professional skills, enabling you to build strong networks and establish a successful career with us. You will have opportunities for job growth, accelerated career advancement, and career mobility. Our program begins with an in\-depth induction that introduces you to our businesses, enhances your understanding of development methodologies, and sharpens your professional skills. You will dive head\-first into creating innovative solutions that make a difference for our customers, clients, and employees.
 We will be filling our classes on a rolling basis. We strongly encourage you to submit your application as early as possible before job postings close.
**Job Responsibilities**
* Execute basic software solution, design, development, and technical troubleshooting
* Write secure and high\-quality code using the syntax of at least one programming language with peer guidance
* Interpret architecture and design representations as well as nonfunctional requirements to develop secure, stable software against a defined architecture
* Apply automation to reduce manual toil in the Software Development Life Cycle
* Gather, analyze, and synthesize basic data sets to troubleshoot technical issues and generate insights for continuous improvements.
* Breaks down routine technical tasks to troubleshoot and solve issues
* Work and share ideas, information and innovation with our team of technologists from all over the world.
* Participate in our Force for Good program to build real\-world sustainable technology solutions for social good organizations.
 Required qualifications, capabilities, and skills
* You should have graduated and be available to start full time employment in July 2026
* A well\-rounded academic background
* Baseline knowledge of software, applications and technical processes within a given technical discipline (e.g., cloud, artificial intelligence, machine learning, mobile, etc.)
* Ability to work effectively in large, collaborative teams to achieve organizational goals, with a commitment to fostering an inclusive and innovative culture.
* Foundational knowledge of programming languages (e.g., Python, JavaScript, Java, C\+\+, C\#), databases, data structures and algorithms
* Understanding of software skills including business analysis, development, maintenance, and software improvement.
* Proficiency in developmental toolsets
* Basic knowledge of industry\-wide technology trends and best practices
* Exposure to agile methodologies, including CI/CD, Application Resiliency, and Security.
**Preferred Qualifications, Capabilities, And Skills**
* Obtained your foundational technology background in non\-traditional ways including, but not limited to, technology bootcamps, workforce development programs and community colleges
* Strong interpersonal and communication skills
* Ability to thrive in a fast\-paced, collaborative environment
* Exceptional problem\-solving ability
* Exposure to cloud technologies
* Experience with relational databases
**Locations you may join:**
* Columbus, OH
* Jersey City, NJ
* New York Metro, NY
* Plano, TX
* Tampa, FL
**About Us**
 When you work at JPMorgan Chase, you're part of a global financial institution and a leading tech company. Our team of over 63,000 technologists across global technology centers, is dedicated to designing, building, deploying, and managing a wide range of solutions, including enterprise technology initiatives, big data, mobile solutions, electronic payments, cybersecurity, machine learning, and cloud development. We collaborate with FinTech and Silicon Valley tech firms to deliver innovative solutions to our clients and customers. With a $17 billion annual investment in technology, we are committed to hiring talented individuals to create transformative solutions that will revolutionize the financial services industry and make a global impact.
**About You**
 If you're ready to put your passion for technology to work in a way that makes a real difference, you’ll find your place in our Emerging Software Engineer program.
 This opportunity is not available to individuals currently enrolled in a full\-time college or university program. If you are a current student, please visit jpmorganchase.com/careers to explore internships and other full\-time opportunities.
*To be eligible for this program, you must be authorized to work in the U.S. We do not offer any type of employment\-based immigration sponsorship for this program. Likewise, JPMorgan Chase, will not provide any assistance or sign any documentation in support of any other form of immigration sponsorship or benefit including optional practical training (OPT) or curricular practical training (CPT.)*
**What’s Next?**
 Help us learn about you by submitting a complete and thoughtful application, which includes your resume. Your application and resume is a way for us to initially get to know you, so it’s important to complete all relevant application questions so we have as much information about you as possible.
 After you confirm your application, we will review it to determine whether you meet certain required qualifications.  If you are advanced to the next step of the process, you’ll receive an email invitation to complete a coding challenge powered by HackerRank.
 HackerRank is required, and your application will not be considered for further review until you have completed this step. We strongly encourage that you apply and complete these required elements as soon as possible, since programs will close as positions are filled.
 If you progress further, you'll get an email invitation for a video interview powered by HireVue.
 This is your opportunity to further bring your resume to life and showcase your experience for our recruiting team and hiring managers.
 JPMorganChase is committed to creating an inclusive work environment that respects all people for their unique skills, backgrounds and professional experiences. We will provide reasonable accommodations for applicants with disabilities.
 Visit jpmorganchase.com/careers for upcoming events, career advice, our locations and more.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t>
        </is>
      </c>
    </row>
    <row r="74">
      <c r="A74" t="inlineStr">
        <is>
          <t>li-4299475710</t>
        </is>
      </c>
      <c r="B74" t="inlineStr">
        <is>
          <t>Staff Software Engineer, Level 6</t>
        </is>
      </c>
      <c r="C74" t="inlineStr">
        <is>
          <t>Snap Inc.</t>
        </is>
      </c>
      <c r="D74" t="inlineStr">
        <is>
          <t>linkedin</t>
        </is>
      </c>
      <c r="E74" t="inlineStr"/>
      <c r="F74" t="inlineStr"/>
      <c r="G74" t="inlineStr">
        <is>
          <t>Seattle, WA</t>
        </is>
      </c>
      <c r="H74" t="inlineStr"/>
      <c r="I74"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Software Engineer to join Snap Inc on our Core Infrastructure team!
 What you’ll do:
* Design, build, and optimize large\-scale caching systems (Redis/KeyDB/Valkey, custom proxy layers or custom client lib).
* Develop and maintain high\-performance caching proxies or client side libraries for request routing, connection coalescing, and slot\-aware load balancing.
* Implement robust failover, replication, and cluster topology management and optimize cpu performance, memory usage, persistence, and eviction strategies for low\-latency workloads.
* Enhance observability: metrics, tracing, and debugging tools for cache infra.
* Drive benchmarking, tuning, and capacity planning for 125M\+ QPS scale.
* Evaluate the technical tradeoffs of major decisions and be a strong technical mentor
* Collaborate with infra, storage, and application teams to integrate caching into critical paths.
* Contribute to code quality via reviews, documentation, and deep dives into caching internals.
 Knowledge, Skills \&amp; Abilities:
* Hands\-on knowledge of large\-scale caching systems like Redis/KeyDB/Valkey.
* Background with building high availability and mission critical distributed systems
* Experience with Java, Go, C\+\+, and/or Python
* Ability leading and executing large, complex technical initiatives
* Ability to proactively learn new concepts and apply them at work
 Minimum Qualifications:
* Bachelor’s degree in a technical field such as computer science or equivalent experience
* 9\+ years industry software engineering experience
* Experience with large scale distributed systems, and Cloud Computing
 Preferred Qualifications:
* Experience with Service Oriented architectures and Service Mesh
* Experience promoting operational excellence, leading incident management, and post mortems
* Experience with building and maintaining mission\-critical and highly\-available global distributed systems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$229,000\-$343,000 annually.
 Zone B:
 The base salary range for this position is $218,000\-$326,000 annually.
 Zone C:
 The base salary range for this position is $195,000\-$292,000 annually.
 This position is eligible for equity in the form of RSUs.</t>
        </is>
      </c>
    </row>
    <row r="75">
      <c r="A75" t="inlineStr">
        <is>
          <t>li-4297464037</t>
        </is>
      </c>
      <c r="B75" t="inlineStr">
        <is>
          <t>Sr. Software Engineer, Application Development and Maintenance</t>
        </is>
      </c>
      <c r="C75" t="inlineStr">
        <is>
          <t>Cardinal Health</t>
        </is>
      </c>
      <c r="D75" t="inlineStr">
        <is>
          <t>linkedin</t>
        </is>
      </c>
      <c r="E75" t="inlineStr"/>
      <c r="F75" t="inlineStr"/>
      <c r="G75" t="inlineStr">
        <is>
          <t>Ohio, United States</t>
        </is>
      </c>
      <c r="H75" t="inlineStr"/>
      <c r="I75" t="inlineStr">
        <is>
          <t>We are seeking an experienced Tech Lead to join our high\-caliber Product Serialization IT Support team supporting the Enterprise DSCSA Program. In this role, you'll be responsible for guiding a large team of Production Support Engineers and Analysts to develop, execute, and support innovative solutions supporting the DSCSA program. In this role, you will build relationships across business and IT leadership teams, enterprise architecture, and key stakeholders.
 DSCSA (Drug Supply Chain Security Act), enacted by Congress on November 27, 2013, outlines steps to achieve interoperable, electronic tracing of products at the package level to identify and trace certain prescription drugs as they are distributed in the United States. Aimed to enhance FDA’s ability to help protect consumers from exposure to drugs that may be counterfeit, stolen, contaminated, or otherwise harmful. These requirements will also improve detection and removal of potentially dangerous drugs from the drug supply chain to protect U.S. consumers. Additionally, the DSCSA directs FDA to establish national licensure standards for wholesale distributors and third\-party logistics providers, and requires these entities report licensure and other information to FDA. As one of the largest nationwide wholesalers we have a significant obligation and commitment to this regulatory statue are requirements.
**What Application Development \&amp; Maintenance Contributes To Cardinal Health**
 Information Technology oversees the effective development, delivery, and operation of computing and information services. This function anticipates, plans, and delivers Information Technology solutions and strategies that enable operations and drive business value.
 Application Development \&amp; Maintenance performs configuration or coding to develop, enhance and sustain the organization's software systems in a cross\-functional team environment through adherence to established design control processes and good engineering practices. This job family programs and configures end user applications, systems, databases and websites to achieve the organization's internal needs and externally\-facing business needs. Application Development \&amp; Maintenance partners with business leaders, investigates user needs and conducts regular assessments, maintenance and enhancements of existing applications.
**Responsibilities**
* Provide run support of applications by working with Cardinal Health infrastructure, cloud, database, network, security, other shared services teams
* Work closely with other senior tech leads, software engineers, functional \&amp; validation leads, SaaS solution providers, and managed services partners
* Monitor system health and review alerts
* Guide team to analyze production issues through the full tech stack, including firewall/networking, database, application, and middleware layers using tools like Splunk and Dynatrace. Zero in on the scope and scale of an issue, clarify business and technical impacts, get to root cause, identify permanent corrective actions, mitigate production issues, develop workarounds, clean up issues and communicate effectively with business and IT partners about the issues.
* Lead analysis on SRTs to restore services after a production outage
* Identify, document, and implement best practices for the team
* Design, develop, and deploy software code and solutions that comply with all applicable standards and regulations
* Manage technical documentation
* Understand business requirements and work to achieve the scalable solutions
* Develop and implement software solutions by either using out of the box configuration, process extensions, custom code/ scripts
* Design, write, and debug Java code and Python scripts
* Partner with business to prepare, review, and execute data updates
* Perform manual data extracts
* Write and analyze SQL queries and troubleshoot data issues
* Perform design and code peer reviews
* Provide technical guidance on Production incidents, defects, enhancements, and build projects
* Assist with development of our technology multi\-year roadmap
* Coach and mentor more junior colleagues on the team
**Qualifications**
* 5\-8 years of experience including IT Production Support work, preferred
* Bachelor's degree in related field, or equivalent work experience, preferred
* Excellent oral and written communication skills, including the ability to clearly and effectively translate technical topics into business\-friendly messaging
* Strong critical thinking, analytical, troubleshooting, and problem\-resolution skills
* Experience working with Java and J2EE web services
* Working with Tanzu/PCF and Kubernetes services
* Experience working with and maintaining GCP cloud assets
* Solid experience using Splunk and Dynatrace for troubleshooting and analysis. Experience building dashboards is a plus.
* Experience writing and performance\-tuning SQL queries is desired. Postgres DB experience is a plus, but not required
* Experience writing, maintaining, and troubleshooting Python scripts
* Other tools/technologies desired: Apigee, Kafka, Boomi, ServiceNow, Github, JIRA
* Agile methodology experience
* Familiarity with ITSM best practices.
* Strong change management skills and experience
* Strong curiosity and desire to learn new technologies
***What is expected of you and others at this level***
* Applies comprehensive knowledge and a thorough understanding of concepts, principles, and technical capabilities to perform varied tasks and projects
* May contribute to the development of policies and procedures
* Works on complex projects of large scope
* Develops technical solutions to a wide range of difficult problems
* Solutions are innovative and consistent with organization objectives
* Completes work; independently receives general guidance on new projects
* Work reviewed for purpose of meeting objectives
* May act as a mentor to less experienced colleagues
**Anticipated salary range:** 
 $123,400 \- $176,300
**Bonus eligible:** 
 Yes
**Benefits:** 
 Cardinal Health offers a wide variety of benefits and programs to support health and well\-being.
* Medical, dental and vision coverage
* Paid time off plan
* Health savings account (HSA)
* 401k savings plan
* Access to wages before pay day with myFlexPay
* Flexible spending accounts (FSAs)
* Short\- and long\-term disability coverage
* Work\-Life resources
* Paid parental leave
* Healthy lifestyle programs
**Application window anticipated to close:** 
 11/09/2025 \*if interested in opportunity, please submit application as soon as possible.
 The salary range listed is an estimate. Pay at Cardinal Health is determined by multiple factors including, but not limited to, a candidate’s geographical location, relevant education, experience and skills and an evaluation of internal pay equity.
*Candidates who are back\-to\-work, people with disabilities, without a college degree, and Veterans are encouraged to apply.*
*Cardinal Health supports an inclusive workplace that values diversity of thought, experience and background. We celebrate the power of our differences to create better solutions for our customers by ensuring employees can be their authentic selves each day. Cardinal Health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t>
        </is>
      </c>
    </row>
    <row r="76">
      <c r="A76" t="inlineStr">
        <is>
          <t>li-4236276390</t>
        </is>
      </c>
      <c r="B76" t="inlineStr">
        <is>
          <t>Engineering &amp; Quality - Software Engineer, Associate Director</t>
        </is>
      </c>
      <c r="C76" t="inlineStr">
        <is>
          <t>Fitch Group, Inc.</t>
        </is>
      </c>
      <c r="D76" t="inlineStr">
        <is>
          <t>linkedin</t>
        </is>
      </c>
      <c r="E76" t="inlineStr"/>
      <c r="F76" t="inlineStr"/>
      <c r="G76" t="inlineStr">
        <is>
          <t>Chicago, IL</t>
        </is>
      </c>
      <c r="H76" t="inlineStr"/>
      <c r="I76" t="inlineStr">
        <is>
          <t>**Fitch Tec hnology is currently seeking a QA Engineer, Associate Director based out of our Chicago office.**
**About Fitch Group:** 
 As a leading, global financial information services provider, Fitch Group delivers vital credit and risk insights, robust data, and dynamic tools to champion more efficient, transparent financial markets. With over 100 years of experience and colleagues in over 30 countries, Fitch Group’s culture of credibility, independence, and transparency is embedded throughout its structure, which includes Fitch Ratings, one of the world’s top three credit ratings agencies, and Fitch Solutions, a leading provider of insights, data and analytics. With dual headquarters in London and New York, Fitch Group is owned by Hearst.
**About The Team**
 We are in search of an Engineer to elevate the quality assurance processes for our Fitch Ratings Workflow Analytical applications. This role entails close collaboration with the systems supporting the Fitch Ratings operations and analytical communities. The position offers a unique opportunity to gain a profound understanding of the business domain and to ensure the highest standards of system and data quality for Fitch Ratings.
**How You’ll Make An Impact**
* Serve as a Testing Engineer on an agile squad, Mentor other engineers
* Contribute to and develop sophisticated automation frameworks that are efficient, flexible, and reusable in Selenium
* Integrate test case execution and reporting within the CI/CD pipeline to align with the DevOps strategy, criteria, requirements, and user stories
* Work with cross\-functional teams including business analysts, developers, and users to build and refine test strategies for your team as well as to ensure integrity of dependent systems
* Influence the team to design and build for testability
* Implement BDD practices and frameworks to enhance test automation and acceptance criteria
* Work in the SDET capacity to automate early in conjunction with other engineer’s efforts to build systems.
**You May Be a Good Fit If**
* 8\+ years of experience with automation testing, recent experience with Selenium and translating requirements into test cases using Selenium Java
* 4\+ years integrating automated testing with DevOps tools (Bamboo/Jenkins, Git/Bitbucket) and working in Scrum\-based Agile teams
* 4\+ years of visual/UI testing and Rest Assured / Open API testing
* Hands\-on building reusable test components to validate AI\-generated outputs against business logic, factual accuracy, and explainability standards is a plus.
* Experience in leveraging code assistants like Amazon Q or Microsoft Copilot to accelerate test case creation, code suggestions and documentation to improve efficiency and accuracy
* Experience testing event\-driven services, message queues, and event brokers (Kafka)
* Proficient in performance testing tools (JMeter, K6, Neoload, LoadRunner)
* Skilled in writing SQL/NoSQL queries for data verification
* In\-depth knowledge of Selenium WebDriver and DB testing with SQL
* Solid understanding of BDD concepts, acceptance criteria and testing
* Excellent analytical, problem\-solving, and communication skills
* Ability to deliver high quality results in a complex environment by driving initiatives forward.
**What Would Make You Stand Out**
* Python code for testing and use of Python frameworks (Pandas, Numpy, Requests)
* Experience in UFT automation tool
* Exposure to Code quality metrics, and shift\-left principles
* Experience testing container resiliency (Docker/Kubernetes)
* Experience designing large end to end performance scenarios
* Experience adding performance validation to CI pipelines
* Exposure to the financial industry domain and data platforms (data warehouses, data lakes)
**Why Choose Fitch**
* Hybrid Work Environment: 2 to 3 days a week in office required based on your line of business and location
* A Culture of Learning \&amp; Mobility: Dedicated trainings, leadership development and mentorship programs designed to ensure that your time at Fitch will be a continuous learning opportunity
* Investing in Your Future: Retirement planning and tuition reimbursement programs that empower you to achieve your short and long\-term goals
* Promoting Health \&amp; Wellbeing: Comprehensive healthcare offerings that enable physical, mental, financial, social, and occupational wellbeing
* Supportive Parenting Policies: Family\-friendly policies, including a generous global parental leave plan, designed to help you balance career and family life effectively
* Inclusive Work Environment: A collaborative workplace where all voices are valued, with Employee Resource Groups that unite and empower our colleagues around the globe
* Dedication to Giving Back: Paid volunteer days, matched funding for donations and ample opportunities to volunteer in your community
 Fitch is committed to providing global securities markets with objective, timely, independent and forward\-looking credit opinions. To protect Fitch’s credibility and reputation, our employees must take every precaution to avoid conflicts of interest or any appearance of a conflict of interest. Should you be successful in the recruitment process at Fitch Ratings you will be asked to declare any securities holdings and other potential conflicts prior to commencing employment. If you, or your immediate family, have any holdings that may conflict with your work responsibilities, you may be asked to divest yourself of them before beginning work.
 Fitch is proud to be an Equal Opportunity and Affirmative Action Employer. We evaluatequalified applicants without regard to race, color, national origin, religion, sex, sexual orientation, gender identity, disability, protected veteran status, and other statuses protected by law.
**FOR CHICAGO ROLES ONLY:** 
 Expected base pay rates for the role will be between $140,000 and $150,000 per year. Actual salaries will be determined on an individualized basis and may vary based on factors including but not limited to education, training, experience, past performance, and other job\-related factors. Base pay is one part of Fitch’s total compensation package, which, depending on the position, may also include commission earnings, discretionary bonuses, long\-term incentives, and other benefits sponsored by Fitch.</t>
        </is>
      </c>
    </row>
    <row r="77">
      <c r="A77" t="inlineStr">
        <is>
          <t>li-4331367075</t>
        </is>
      </c>
      <c r="B77" t="inlineStr">
        <is>
          <t>Senior Frontend Engineer</t>
        </is>
      </c>
      <c r="C77" t="inlineStr">
        <is>
          <t>Underdog</t>
        </is>
      </c>
      <c r="D77" t="inlineStr">
        <is>
          <t>linkedin</t>
        </is>
      </c>
      <c r="E77" t="inlineStr"/>
      <c r="F77" t="inlineStr"/>
      <c r="G77" t="inlineStr"/>
      <c r="H77" t="inlineStr"/>
      <c r="I77" t="inlineStr">
        <is>
          <t>At Underdog, we make sports more fun.
 Our thesis is simple: build the best products and we’ll build the biggest company in the space, because there’s so much more to be built for sports fans. We’re just over five years in, and we’re one of the fastest\-growing sports companies ever, most recently valued at $1\.3B. And it’s still the early days.
 We’ve built and scaled multiple games and products across fantasy sports, sports betting, and prediction markets, all united in one seamless, simple, easy to use, intuitive and fun app.
 Underdog isn’t for everyone. One of our core values is give a sh\*t. The people who win here are the ones who care, push, and perform. If that’s you, come join us.
 Winning as an Underdog is more fun.
**About The Role And Why It's Unique**
* Work on cutting\-edge projects that gamify and enhance the user experience across our products
* Design and build clean, reusable, and performant front\-end features that will be used by millions of sports fans
* Collaborate closely with product managers, designers, and backend engineers to deliver elegant and responsive web experiences
* Contribute to the upkeep and ongoing development of our design system and components
* Write well\-tested, high\-quality code while participating in code reviews and ensuring engineering best practices
* Work in a high\-agency environment where your voice matters in technical discussions and product direction
* Learn from talented engineers and leaders in the fantasy and sports betting space while contributing your own unique perspective and expertise
**Who you are**
* Product\-minded engineer with 6\+ years of professional experience building modern web applications
* Excellent understanding of React and its ecosystem (React Hooks, Context API, functional components, etc.)
* Strong grasp of JavaScript (ES6\+), TypeScript, and state management libraries such as Redux
* Experience working with RESTful APIs
* Comfortable collaborating cross\-functionally with designers, product managers, and backend engineers
* Strong attention to detail and commitment to delivering high\-quality, user\-focused experiences
* Familiarity with testing frameworks (Jest, React Testing Library, etc)
* Experience using GitHub and modern build tools (Webpack, Vite, or similar)
* Excellent communication skills and a collaborative, product forward mindset
**Even better if you have**
* Experience with tools like Amplitude, DataDog and Storybook
*Our target starting base salary range for this position is between $160,000 and $240,000, plus target equity. The starting base salary will depend on a number of factors including the candidate’s skills and experience, among other things.*
**What we can offer you:**
* Unlimited PTO for full\-time employees (we're extremely flexible with the exception of the first few weeks before \&amp; into the NFL season)
* 16 weeks of fully paid parental leave
* Home office stipend
* A connected virtual\-first culture with a highly engaged distributed workforce
* 5% 401k match, FSA, company paid health, dental, vision plan options for employees and dependents
 We're a remote\-first company and value in\-person connection. That said, we expect everyone to gather 2\-3 times per year for team and company offsites, trainings, and more.
***T***
***his position may require sports betting licensure based on certain state regulations.***
*Underdog is an equal opportunity employer and doesn't discriminate on the basis of creed, race, sexual orientation, gender, age, disability status, or any other defining characteristic.*
**California Applicants** 
 : Review our CPRA Privacy Notice here.</t>
        </is>
      </c>
    </row>
    <row r="78">
      <c r="A78" t="inlineStr">
        <is>
          <t>li-4340663827</t>
        </is>
      </c>
      <c r="B78" t="inlineStr">
        <is>
          <t>Staff Software Engineer</t>
        </is>
      </c>
      <c r="C78" t="inlineStr">
        <is>
          <t>Alarm.com</t>
        </is>
      </c>
      <c r="D78" t="inlineStr">
        <is>
          <t>linkedin</t>
        </is>
      </c>
      <c r="E78" t="inlineStr"/>
      <c r="F78" t="inlineStr"/>
      <c r="G78" t="inlineStr">
        <is>
          <t>Greenville, SC</t>
        </is>
      </c>
      <c r="H78" t="inlineStr"/>
      <c r="I78" t="inlineStr">
        <is>
          <t>Do you love tinkering with devices? Have you automated your own home? Do you love to mentor and collaborate with other engineers?
 If the above holds true for you, then we would love to talk to you! Alarm.com is looking for a versatile
 **Staff Software Engineer** 
 to join our team. We’re doing work in smart home technology, video analytics, large scale data processing, and much more. You’ll have the opportunity to work across a variety of technology domains and own projects from design to deployment.
 We have a growing engineering department, and we’re looking for people that are excited to mentor and collaborate with more junior engineers. You will own projects and potentially teams, and you must be able to communicate effectively and blend multiple business needs in your work.
 Very few small companies innovate and develop across such a broad range of technologies as Alarm.com. This position is ideal for the candidate who seeks a friendly company culture where one can work closely with smart and highly productive people. Getting to work with cutting edge software and hardware to develop outstanding consumer products is the icing on the cake.
**WHAT’S IN IT FOR YOU?**
* Collaborate with outstanding people: We hire only the best. Our standards are high and our employees enjoy working alongside other high achievers. You will be able to learn something new and impart your knowledge across the team.
* Make an immediate impact: You can expect to be given real responsibility for bringing new technologies to the marketplace. You will be empowered to perform as soon as you join the team!
* Work with real stuff: You will write code that interacts with the physical world. You’ll be able to see your work in action with the numerous IoT devices we work with every day.
* Gain well rounded experience: Alarm.com offers a diverse and dynamic environment where you will get the chance to work directly with executives and develop expertise across multiple areas of the business.
* Be Empowered: We don’t want to micro\-manage you. We barely want to tell you what to do. We want you to own stuff and bring your experience to make those products best in class.
* Work with the latest technologies: You’ll gain exposure to a broad spectrum of IoT and SaaS technology. Our tech stack includes C\#, .NET, SQL Server, Kafka, Ember.js, as well as native iOS and Android applications.
* Focus on fun: Alarm.com places high value on our team culture. We even have a committee dedicated to hosting a stand\-out holiday party, happy hours, and other fun corporate events.
* Alarm.com values working together and collaborating in person. Our employees work from the office 4 days a week.
**WHAT CAN YOU DO FOR ALARM.COM?**
* Be a mentor to our growing engineering department.
* Develop full stack software for a wide variety of platforms and technologies.
* Engage in the research, evaluation, and application of new technologies and methodologies to solve challenging problems.
* Take part in the entire project life cycle, from requirements development to deployment.
* Work hard and be flexible: we have quick development cycles, evolving requirements, and lots of cross\-team collaboration.
* Exercise good judgment. Know when to work quickly, and when to build a robust solution. Your work will be used by multiple business units, so you will need to consider many use cases when developing.
* Bring your ideas! We want our engineers to collaborate on product development, not blindly build to a spec.
* Other duties as assigned.
**WHAT DO YOU NEED?**
* Bachelor’s in Computer Science, Computer Engineering, a related field or equivalent work experience
* 8\+ years of professional software development experience
* Experience leading and/or mentoring other engineers
* Expert object\-oriented programming skills; C\# and .NET a plus
* Significant database design and development experience
* Knowledge of networking concepts, principles, and technologies
* Experience working with hardware and device development a major plus
 Please note that sponsorship of new applicants for employment authorization, or any other immigration\-related support, is not available for this position at this time.
**WHY WORK FOR ALARM.COM?**
* Collaborate with outstanding people: We hire only the best. Our standards are high and our employees enjoy working alongside other high achievers.
* Make an immediate impact: New employees can expect to be given real responsibility for bringing new technologies to the marketplace. You are empowered to perform as soon as you join the Alarm.com team!
* Gain well rounded experience: Alarm.com offers a diverse and dynamic environment where you will get the chance to work directly with executives and develop expertise across multiple areas of the business.
* Focus on fun: Alarm.com places high value on our team culture. We even have a committee dedicated to hosting a stand\-out holiday party, happy hours, and other fun corporate events.
* Alarm.com values working together and collaborating in person. Our employees work from the office 4 days a week.
**Company Info**
 Alarm.com is the leading cloud\-based platform for smart security and the Internet of Things. More than 7\.6 million home and business owners depend on our solutions every day to make their properties safer, smarter, and more efficient. And every day, we’re innovating new technologies in rapidly evolving spaces including AI, video analytics, facial recognition, machine learning, energy analytics, and more. We’re seeking those who are passionate about creating change through technology and who want to make a lasting impact on the world around them.
 For more information, please visit
 **www.alarm.com** 
 .
**Company Benefits**
 Alarm.com offers competitive pay and benefits inclusive of subsidized medical plan options, an HSA with generous company contribution, a 401(k) with employer match, and paid holidays, wellness time, and vacation increasing with tenure. Paid maternity and bonding leave, company\-paid disability and life insurance, FSAs, well\-being resources and activities, and a casual dress work environment are also part of our outstanding total rewards package!
**Alarm.com is an Equal Opportunity Employer**
 In connection with your application, we collect information that identifies, reasonably relates to or describes you (“Personal Information”). The categories of Personal Information that we may collect include your name, government\-issued identification number(s), email address, mailing address, other contact information, emergency contact information, employment history, educational history, criminal record, and demographic information. We collect and use those categories of Personal Information about you for human resources and other business management purposes, including identifying and evaluating you as a candidate for potential or future employment or future positions, recordkeeping in relation to recruiting and hiring, conducting criminal background checks as permitted by law, conducting analytics, and ensuring compliance with applicable legal requirements and Company policies. By submitting your application, you acknowledge that we may retain some of the personal data that you provide in your application for our internal operations such as managing our recruitment system and ensuring that we comply with labor laws and regulations even after we have made our employment decision.
**Notice To Third Party Agencies:**
 Alarm.com understands the value of professional recruiting services. However, we are not accepting resumes from recruiters or employment agencies for this position. In the event we receive a resume or candidate referral for this position from a third\-party recruiter or agency without a previously signed agreement, we reserve the right to pursue and hire those candidate(s) without any financial obligation to you.
 **If you are interested in working with** 
**Alarm.com** 
**, please email your company information and standard agreement to** 
 RecruitingPartnerships@Alarm.com
 **.**</t>
        </is>
      </c>
    </row>
    <row r="79">
      <c r="A79" t="inlineStr">
        <is>
          <t>li-4299476684</t>
        </is>
      </c>
      <c r="B79" t="inlineStr">
        <is>
          <t>Staff Software Engineer, Level 6</t>
        </is>
      </c>
      <c r="C79" t="inlineStr">
        <is>
          <t>Snap Inc.</t>
        </is>
      </c>
      <c r="D79" t="inlineStr">
        <is>
          <t>linkedin</t>
        </is>
      </c>
      <c r="E79" t="inlineStr"/>
      <c r="F79" t="inlineStr"/>
      <c r="G79" t="inlineStr">
        <is>
          <t>Santa Monica, CA</t>
        </is>
      </c>
      <c r="H79" t="inlineStr"/>
      <c r="I79"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Software Engineer to join Snap Inc on our Core Infrastructure team!
 What you’ll do:
* Design, build, and optimize large\-scale caching systems (Redis/KeyDB/Valkey, custom proxy layers or custom client lib).
* Develop and maintain high\-performance caching proxies or client side libraries for request routing, connection coalescing, and slot\-aware load balancing.
* Implement robust failover, replication, and cluster topology management and optimize cpu performance, memory usage, persistence, and eviction strategies for low\-latency workloads.
* Enhance observability: metrics, tracing, and debugging tools for cache infra.
* Drive benchmarking, tuning, and capacity planning for 125M\+ QPS scale.
* Evaluate the technical tradeoffs of major decisions and be a strong technical mentor
* Collaborate with infra, storage, and application teams to integrate caching into critical paths.
* Contribute to code quality via reviews, documentation, and deep dives into caching internals.
 Knowledge, Skills \&amp; Abilities:
* Hands\-on knowledge of large\-scale caching systems like Redis/KeyDB/Valkey.
* Background with building high availability and mission critical distributed systems
* Experience with Java, Go, C\+\+, and/or Python
* Ability leading and executing large, complex technical initiatives
* Ability to proactively learn new concepts and apply them at work
 Minimum Qualifications:
* Bachelor’s degree in a technical field such as computer science or equivalent experience
* 9\+ years industry software engineering experience
* Experience with large scale distributed systems, and Cloud Computing
 Preferred Qualifications:
* Experience with Service Oriented architectures and Service Mesh
* Experience promoting operational excellence, leading incident management, and post mortems
* Experience with building and maintaining mission\-critical and highly\-available global distributed systems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$229,000\-$343,000 annually.
 Zone B:
 The base salary range for this position is $218,000\-$326,000 annually.
 Zone C:
 The base salary range for this position is $195,000\-$292,000 annually.
 This position is eligible for equity in the form of RSUs.</t>
        </is>
      </c>
    </row>
    <row r="80">
      <c r="A80" t="inlineStr">
        <is>
          <t>li-4364090607</t>
        </is>
      </c>
      <c r="B80" t="inlineStr">
        <is>
          <t>Software Engineer IV</t>
        </is>
      </c>
      <c r="C80" t="inlineStr">
        <is>
          <t>Lensa</t>
        </is>
      </c>
      <c r="D80" t="inlineStr">
        <is>
          <t>linkedin</t>
        </is>
      </c>
      <c r="E80">
        <f>HYPERLINK("https://www.linkedin.com/jobs/view/4364090607", "https://www.linkedin.com/jobs/view/4364090607")</f>
        <v/>
      </c>
      <c r="F80" t="inlineStr"/>
      <c r="G80" t="inlineStr">
        <is>
          <t>Atlanta, GA</t>
        </is>
      </c>
      <c r="H80" t="inlineStr"/>
      <c r="I8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Truist Inc. Clicking "Apply Now" or "Read more" on Lensa redirects you to the job board/employer site. Any information collected there is subject to their terms and privacy notice.
 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(https://pp\-cdn.phenompeople.com/CareerConnectResources/prod/TBJTBFUS/documents/Career\_site\_FAQ\-1758133253710\.pdf)
*If you have a disability and need assistance with the application, you can request a reasonable accommodation. Send an email to* 
 Accessibility (careers@truist.com?subject\=Accommodation%20request)
*(accommodation requests only; other inquiries won't receive a response).*
**Regular Or Temporary**
 Regular
**Language Fluency:** 
 English (Required)
**Work Shift**
 1st shift (United States of America)
**Please Review The Following Job Description**
 Deliver highly complex solutions with significant system linkages, dependencies, associated risk. Lead and perform development efforts such as analysis, design, coding/creating, and testing.
**Essential Duties And Responsibilities**
 Following is a summary of the essential functions for this job. Other duties may be performed, both major and minor, which are not mentioned below. Specific activities may change from time to time.
* Participate in testing, implementation, maintenance, and escalated support of Truist's most complex solutions.
* Development includes but is not limited to customized coding, software integration, analysis, configuring solutions, or use tools pertinent to the area, project, or system to configure or generate a solution.
* Ensure adherence to company and industry standards. Provides technical consultation on extremely challenging or unusual situations.
* Write and run unit tests.
* Devise or modify procedures to solve complex problems considering computer equipment capacity and limitations, operating time, and form of desired results.
* Interpret internal/external business challenges and recommends best practices. 7\. Use sophisticated analytical thought to exercise judgment and identify innovative solutions.
* Mentor less experienced teammates to build technical expertise.
* Does not have management responsibilities. This position serves as the technical expert on the team and is often the strongest engineer, answering and solving the most complex, unusual issues, but does not have the skills nor the interest in management. Therefore, in the technical industry and many companies, this position is often aligned at the same level as an entry level manager. This creates a career path for an individual contributor to remain as an individual contributor and does not have to seek a management role for promotion/pay.
* In an Agile environment: Act as an Agile champion. Responsible for delivering high quality working software and automating manual/reusable tasks working directly, and consulting with, the business from the beginning of the design work. Leverage continuous engineering practices to deliver business value regarding effectiveness of the design. Actively participate in refining user stories. Responsible for development and developing unit testing, and supporting integration and functional testing. Responsible for providing warranty support and providing knowledge transfer to production support.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 Bachelor's degree and eight to twelve years of experience as a developer or equivalent education and related training or experience
* Deep specialized and/or broad functional knowledge
* Sound understanding of business and organizational strategies and processes 4\. Ability to interpret internal and external business challenges and recommend best practices
* Ability to lead complex projects
* Sophisticated analytical skills and the ability to solve complex technical and business problems
* Ability to influence others at senior levels to adopt a new perspective
**Preferred Qualifications**
* Master's degree and ten years of experience or an equivalent combination of education and work experience
* Banking or financial services experience
* Deep knowledge and experience with two or more of the following: Solid foundation in data structures, algorithms, and software design with strong analytical and debugging skills
* Professional experience building apps or services from the ground up and scaling at an enterprise level
* Experience with Open Source tools and frameworks
* Strong understanding of SOA methodologies and service architectures
* Experience using web servers, application containers, caching technologies
* Solid knowledge of relational database design and development (SQL, stored procedures, data modeling)
* Experience with messaging systems (i.e., MQ and JMS)
* Experience with build tools, such as Git, Maven, and Jenkins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(https://benefits.truist.com/)
*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(https://www.eeoc.gov/sites/default/files/2022\-10/EEOC\_KnowYourRights\_screen\_reader\_10\_20\.pdf)
 E\-Verify (https://pp\-cdn.phenompeople.com/CareerConnectResources/prod/TBJTBFUS/documents/E\-Verify\_Participation\_Poster\-1757074518541\.pdf)
 IER Right to Work (https://pp\-cdn.phenompeople.com/CareerConnectResources/prod/TBJTBFUS/documents/IER\_RightToWorkPoster\-1757074222028\.pdf)
 If you have questions about this posting, please contact support@lensa.com</t>
        </is>
      </c>
    </row>
    <row r="81">
      <c r="A81" t="inlineStr">
        <is>
          <t>li-4364090104</t>
        </is>
      </c>
      <c r="B81" t="inlineStr">
        <is>
          <t>Software Engineer</t>
        </is>
      </c>
      <c r="C81" t="inlineStr">
        <is>
          <t>Goliath Partners</t>
        </is>
      </c>
      <c r="D81" t="inlineStr">
        <is>
          <t>linkedin</t>
        </is>
      </c>
      <c r="E81">
        <f>HYPERLINK("https://www.linkedin.com/jobs/view/4364090104", "https://www.linkedin.com/jobs/view/4364090104")</f>
        <v/>
      </c>
      <c r="F81" t="inlineStr"/>
      <c r="G81" t="inlineStr"/>
      <c r="H81" t="inlineStr"/>
      <c r="I81" t="inlineStr">
        <is>
          <t>We're working with a client who is making legal data more accurate, machine\-readable, and programmatically accessible than anything that exists today.
 We’re looking for a senior software/data engineer who enjoys working at the intersection of data engineering, applied ML, and real\-world reasoning systems.
 What you’ll work on:
 You’ll help design and improve the systems that structure, enrich, and surface legal data, including:
 Building intelligent data pipelines that automatically annotate legal documents with relationships (e.g., which cases overrule others, which are appeals, remands, or consolidations). Today, much of this work is done manually by expensive human experts — you’ll help automate it.
 Improving core extraction and resolution tools
 Designing and running evaluations, both human\-in\-the\-loop and synthetic, to measure data quality and system performance
 We expect you to be:
 A technical generalist with strong backend skills (full\-stack is a plus, but not required)
 A data\-minded engineer, comfortable thinking statistically and working with messy, real\-world datasets
 Comfortable moving between software engineering, data engineering, and applied ML
 Able to own projects end\-to\-end: from design → implementation → testing → deployment
 Skills \&amp; experience (nice to have)
 Strong Python \+ SQL (core stack)
 Experience with JS/TS is a bonus
 Experience working with both big data and small data
 Familiarity with ML/AI, data science, or statistics
 Comfort standing up your own infrastructure; production\-grade DevOps/MLOps is a plus but not required
 Any deep domain expertise (e.g., physics, medicine, radiology, economics, law, etc.) is a bonus
 Up to 240k base \+ significant equity</t>
        </is>
      </c>
    </row>
    <row r="82">
      <c r="A82" t="inlineStr">
        <is>
          <t>li-4360890375</t>
        </is>
      </c>
      <c r="B82" t="inlineStr">
        <is>
          <t>Senior Data Platform Software Engineer</t>
        </is>
      </c>
      <c r="C82" t="inlineStr">
        <is>
          <t>Jobs via Dice</t>
        </is>
      </c>
      <c r="D82" t="inlineStr">
        <is>
          <t>linkedin</t>
        </is>
      </c>
      <c r="E82">
        <f>HYPERLINK("https://www.linkedin.com/jobs/view/4360890375", "https://www.linkedin.com/jobs/view/4360890375")</f>
        <v/>
      </c>
      <c r="F82" t="inlineStr"/>
      <c r="G82" t="inlineStr">
        <is>
          <t>San Diego, CA</t>
        </is>
      </c>
      <c r="H82" t="inlineStr"/>
      <c r="I82"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**About the Team**
 The engineering organization is a dynamic group of builders, thinkers, and problem\-solvers dedicated to delivering scalable, AI\-powered software products that elevate how organizations work. We value clean architecture, intuitive user experiences, and a culture of continuous improvement. Every engineer here plays a key role in shaping the quality and reliability of our products.
**About the Role:**
 As a Staff Data Platform Engineer, you will be a key technical contributor within the Trino Engine team in the Platform Persistence group. Our largest customers are always pushing the limits of the backend storage in terms of size of the data, speed of IO, as well as number of concurrent transactions. Performance, reliability, and scalability is always at the core of our work. You will focus on developing and optimizing critical components of our Trino engine and its containerized deployment infrastructure.
 What you get to do in this role:
* Design and develop scalable, maintainable, and reusable software components with a strong emphasis on performance and reliability. Design and implement critical components of the Trino engine
* Collaborate with product managers to translate requirements into well\-architected solutions, owning features from design through delivery
* Build intuitive and extensible user experiences using modern UI frameworks, ensuring flexibility for customer\-specific needs.
* Contribute to the design and implementation of new products and features while enhancing existing product capabilities. Contribute to technical design decisions and architectural improvements.
* Integrate automated testing into development workflows to ensure consistent quality across releases.
* Participate in design and code reviews ensuring best practices in performance, maintainability, and testability.
* Develop comprehensive test strategies covering functional, regression, integration and performance aspects
* Foster a culture of continuous learning and improvement by sharing best practices in engineering and quality
* Promote a culture of engineering craftsmanship, knowledge\-sharing, and thoughtful quality practices across the team. Collaborate with team members to solve complex distributed systems challenges.
* Develop and optimize query processing and execution systems. Implement performance optimizations and scalability improvements. Build containerized deployment solutions for Trino in production environments
**Qualifications**
 To be successful in this role you have:
* Experience in leveraging or critically thinking about how to integrate AI into work processes, decision\-making, or problem\-solving. This may include using AI\-powered tools, automating workflows, analyzing AI\-driven insights, or exploring AI's potential impact on the function or industry.
* Experience In using AI Productivity tools such as Windsurf, Cursor, etc is a plus or nice to have.
* Typically requires a minimum of 5 years of related experience with a Bachelor's degree; or 3 years and a Master's degree; or a PhD without experience; or equivalent work experience.
* Proficiency in Java/JVM ecosystem and performance tuning
* Experience with modern front\-end frameworks such as Angular, React, or Vue.
* Strong knowledge of data structures, algorithms, object\-oriented design, design patterns, and performance optimization
* Familiarity with automated testing frameworks (e.g., JUnit, Selenium, TestNG) and integrating tests into CI/CD pipelines
* Understanding software quality principles including reliability, observability, and production readiness.
* Ability to troubleshoot complex systems and optimize performance across the stack.
* Experience with AI\-powered tools or workflows, including validation of datasets, model predictions, and inference consistency.
* Comfort with development tools such as IDEs, debuggers, profilers, source control, and Unix\-based systems
* Strong expertise in Trino engine development or similar distributed query engines
* Solid experience with container orchestration platforms (Kubernetes, Docker)
* Strong understanding of distributed query processing and optimization
* Experience in performance tuning and troubleshooting distributed systems
* Strong background in SQL and distributed database systems
**Nice to Have:**
* Hands\-on experience with distributed query engines (Trino, Spark, or similar)
* Contributions to open\-source projects
* Experience with cloud\-native architectures
* Knowledge of data governance and security practices
* Background in performance optimization of big data systems
* Knowledge of data lake architectures and technologies
* Experience with cloud platforms (AWS/Google Cloud Platform/Azure)
**Additional Skills:**
* Strong problem\-solving and analytical abilities
* Good communication skills to collaborate effectively with team members
* Ability to write clear technical documentation
* Track record of delivering complex technical projects
* Experience working in a customer\-focused environment
**Why Join Us**
* Build and deliver high\-impact software that powers digital experiences for millions of users.
* Collaborate in a culture that values craftsmanship, quality, and innovation.
* Work symbiotically with AI and automation tools that enhance engineering excellence and drive product reliability.
* Be part of a culture that encourages innovation, continuous learning, and shared success.
 For positions in this location, we offer a base pay of $145,200 \- $246,800,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83">
      <c r="A83" t="inlineStr">
        <is>
          <t>li-4364029924</t>
        </is>
      </c>
      <c r="B83" t="inlineStr">
        <is>
          <t>Software Engineer</t>
        </is>
      </c>
      <c r="C83" t="inlineStr">
        <is>
          <t>Hyra</t>
        </is>
      </c>
      <c r="D83" t="inlineStr">
        <is>
          <t>linkedin</t>
        </is>
      </c>
      <c r="E83">
        <f>HYPERLINK("https://www.linkedin.com/jobs/view/4364029924", "https://www.linkedin.com/jobs/view/4364029924")</f>
        <v/>
      </c>
      <c r="F83">
        <f>HYPERLINK("https://joinhyra.com/jobs/41e7362d-78b5-4630-b613-3514f6c71f1b?src=linkedin&amp;urlHash=_4J9", "https://joinhyra.com/jobs/41e7362d-78b5-4630-b613-3514f6c71f1b?src=linkedin&amp;urlHash=_4J9")</f>
        <v/>
      </c>
      <c r="G83" t="inlineStr"/>
      <c r="H83" t="inlineStr"/>
      <c r="I83" t="inlineStr">
        <is>
          <t>AI/ML Engineer \| Type: Remote \| Salary: $150,000 \- $300,000 annual
 Hyra is working on behalf of micro1 to hire for the position of AI/ML Engineer. This role focuses on architecting and deploying advanced machine learning systems within a production environment. You will collaborate with a technical team to integrate large language models and retrieval systems into core product offerings.
 What you'll be doing
 • Architecting and deploying production\-grade AI solutions
 • Developing systems utilizing Retrieval\-Augmented Generation (RAG)
 • Implementing machine learning models using Python and AWS
 • Scaling AI infrastructure to support high\-performance applications
 • Monitoring and optimizing model performance in live environments
 What we're looking for
 • Professional experience in machine learning and software engineering
 • Technical proficiency with Python and AWS cloud services
 • Proven expertise working with Large Language Models (LLMs)
 • Practical experience implementing RAG architectures
 • Ability to deliver reliable code within a technical environment
 What micro1 offers
 • Competitive annual compensation package
 • Opportunity to work on cutting\-edge AI technologies
 • Professional growth within a technical team
 • Modern infrastructure and work flexibility
 Apply via Hyra to be considered for this opportunity.</t>
        </is>
      </c>
    </row>
    <row r="84">
      <c r="A84" t="inlineStr">
        <is>
          <t>li-4360460418</t>
        </is>
      </c>
      <c r="B84" t="inlineStr">
        <is>
          <t>Senior Robotics Software Engineer</t>
        </is>
      </c>
      <c r="C84" t="inlineStr">
        <is>
          <t>Sorting Robotics</t>
        </is>
      </c>
      <c r="D84" t="inlineStr">
        <is>
          <t>linkedin</t>
        </is>
      </c>
      <c r="E84">
        <f>HYPERLINK("https://www.linkedin.com/jobs/view/4360460418", "https://www.linkedin.com/jobs/view/4360460418")</f>
        <v/>
      </c>
      <c r="F84">
        <f>HYPERLINK("https://www.ycombinator.com/companies/sorting-robotics/jobs/7RRveqW-senior-robotics-software-engineer?utm_source=syn_li&amp;urlHash=Ke2_", "https://www.ycombinator.com/companies/sorting-robotics/jobs/7RRveqW-senior-robotics-software-engineer?utm_source=syn_li&amp;urlHash=Ke2_")</f>
        <v/>
      </c>
      <c r="G84" t="inlineStr">
        <is>
          <t>Los Angeles, CA</t>
        </is>
      </c>
      <c r="H84" t="inlineStr"/>
      <c r="I84" t="inlineStr">
        <is>
          <t>**Overview**
 Sorting Robotics is a fast\-growing company that specializes in automating the cannabis industry.
 We have a talented and self\-motivated team of mechanical, electrical, and software developers focused on creating the best machines possible.
 Sometimes, nothing will work, and you'll need to conduct experiments until the problem's root cause (hardware or software\-related) is fully understood.
 Before writing any code, you must deeply understand complex topics and communicate proposed solutions to a highly technical team. Ideally, you write the minimum number of lines that solve the problem ("spin lock? Why not? It solves this problem" \- "I'll just use a JSON file for now as a database so anyone can easily modify it").
 Your work will be focused more on clear communication and business impact than on lines of code you can write or cool tech you can use \- although there is space to experiment with cool new tech if you can justify it \-
 We seek an experienced Software Developer to join our team and help us take our technology to the next level!
**Preferred Qualifications**
* Familiarity with Python
* Familiarity with Git
* Familiarity with CI/CD pipelines, AWS services
* Familiarity with web standards, RESTful APIs, OAuth
* Familiarity with Visual Language Action (VLA) models
 You will work on different parts of the stack at various times. We expect you to understand where everything goes and why, and we expect you to add to the stack to make the development process more robust.
**Requirements**
* Degree in Computer Science, Computer Engineering, or related fields.
* Experience with Linux (systemd, journalctl, network manager, permissions).
* Experience working with Hardware.
* Experience with Robotic Foundation Models and/or Visual Language Action models.
* Strong analytical and problem\-solving skills.
* Strong communication and collaboration skills.
* 10 years work experience
**Responsibilities**
* Work on the development of a foundational robotics policy for our new VLA powered system.
* Build teleoperation interfaces for real\-time robot control during testing.
* Work closely with mechanical and electrical engineers and guide design decisions based on what software can effectively accomplish.
* Work closely with customer success and sales staff to translate customer and company needs into software solutions.
* Travel to client locations as needed for on\-site system\-level debugging, ensuring the restoration and maintenance of optimal system functionality
* This is an on\-site position. You're expected to work on\-site with the other team members five days a week. We are based in Los Angeles.
**Benefits**
* 140k \- 180k/year base salary.
* 0\.15% \- 0\.3% Stock Options.
* Comprehensive health, vision, and dental insurance plans.
* Lunch provided daily.
* Work with NASA\-JPL level engineers.
**Sorting Robotics does not offer H1\-B visa sponsorship for this position.**
 This position is open to candidates authorized to work in the US for any employer (candidates with more than 1\.5 years left on the OPT may be considered)</t>
        </is>
      </c>
    </row>
    <row r="85">
      <c r="A85" t="inlineStr">
        <is>
          <t>li-4364360146</t>
        </is>
      </c>
      <c r="B85" t="inlineStr">
        <is>
          <t>Full Stack Engineer: Platform</t>
        </is>
      </c>
      <c r="C85" t="inlineStr">
        <is>
          <t>SoGal Ventures</t>
        </is>
      </c>
      <c r="D85" t="inlineStr">
        <is>
          <t>linkedin</t>
        </is>
      </c>
      <c r="E85">
        <f>HYPERLINK("https://www.linkedin.com/jobs/view/4364360146", "https://www.linkedin.com/jobs/view/4364360146")</f>
        <v/>
      </c>
      <c r="F85" t="inlineStr"/>
      <c r="G85" t="inlineStr">
        <is>
          <t>Stanford, CA</t>
        </is>
      </c>
      <c r="H85" t="inlineStr"/>
      <c r="I85" t="inlineStr">
        <is>
          <t>Location
 Ireland
 Employment Type
 Full time
 Location Type
 Remote
 Department
 EngineeringPlatform Engineering
**About Us**
 At Pareto.AI, we’re on a mission to enable top talent around the world to participate in the development of cutting\-edge AI models.
 In coming years, AI models will transform how we work and create thousands of new AI training jobs for skilled talent around the world. We’ve joined forces with top AI and crowd researchers at Anthropic, Character.AI, Imbue, Stanford, and University of Pennsylvania to build a fair and ethical platform for AI developers to collaborate with domain experts to train bespoke AI models.
**About This Role**
 We’re seeking a Full Stack Engineer to join our platform engineering team. You’ll play a pivotal part in developing the next\-generation human data collection infrastructure for AI/ML development, driving product strategy, and directly impacting our startup trajectory.
**You'd Be a Great Fit At Pareto If**
* You value dedicated teamwork, respect, and curiosity, as well as navigating communication in cross\-functional, culturally diverse environments.
* Engineering excellence is your pursuit, demonstrated by your solid understanding of modern front\-end technologies (React) and back\-end libraries (Django).
* You are not content with the status quo and consistently seek innovative solutions to existing problems, with a commitment to personal and collective growth.
**Key Responsibilities**
* Full\-stack development from architecture and specifications to live deployments.
* Ability to understand translate, breakdown and estimate the product roadmap into features.
* Lead user testing sessions with stakeholders on some of the features you implement.
* An understanding of optimization, security and an eye for code cleanliness.
* Contribute to maintaining a best\-in\-class quality pipeline, encompassing Linting, CI/CD, and usability tests.
**What You’ll Need**
* Ambition to be consistently testing and optimizing code and queries.
* 2\+ years of professional experience with enterprise architecture and a deep understanding of REST/GraphQL API patterns.
* Proficiency in React or a recent JavaScript Framework, as well as knowledge of Storybook and CSS preprocessors.
* Professional experience with Django
* Experience with Webpack bundler and optimizing builds, or the ambition to jump in and learn.
* Knowledge of different database systems (RDBMS) — we use Postgres
* Understanding of securing API endpoints and microservice architecture challenges.
* Familiarity with product and design lifecycles, collaborating with designers and product managers.
* Proven ability to write high\-quality, well\-tested, and maintainable code.
* Familiarity with current trends and best practices.
* Excellent communication skills and ability to work in a fast\-paced environment.
**Nice To Have**
* Familiarity with GraphQL — such as usage of Apollo, Relay or Graphene.
* Familiarity with Celery, Redis, Webpack.
* Dev ops experience — we have automated pipelines that build AWS clusters.
* Familiarity with or an interest in improving developer tooling — we’re currently running a one\-command setup for a full\-blown local dev environment that mimics prod!
* Exposure to data science or data engineering.
**Our Stack** 
* Backend:
* Django 5
+ Python 3\.12
+ Celery
+ Redis
* Frontend:
* React 18\.2
* Infra (AWS):
* Fargate
+ ECS
+ RDS</t>
        </is>
      </c>
    </row>
    <row r="86">
      <c r="A86" t="inlineStr">
        <is>
          <t>li-4363729718</t>
        </is>
      </c>
      <c r="B86" t="inlineStr">
        <is>
          <t>Senior Backend Software Engineer</t>
        </is>
      </c>
      <c r="C86" t="inlineStr">
        <is>
          <t>HyperFi</t>
        </is>
      </c>
      <c r="D86" t="inlineStr">
        <is>
          <t>linkedin</t>
        </is>
      </c>
      <c r="E86">
        <f>HYPERLINK("https://www.linkedin.com/jobs/view/4363729718", "https://www.linkedin.com/jobs/view/4363729718")</f>
        <v/>
      </c>
      <c r="F86" t="inlineStr"/>
      <c r="G86" t="inlineStr">
        <is>
          <t>San Francisco, CA</t>
        </is>
      </c>
      <c r="H86" t="inlineStr"/>
      <c r="I86" t="inlineStr">
        <is>
          <t>**About HyperFi**
 We're building the kind of platform we always wanted to use: fast, flexible, and built for making sense of real\-world complexity. Behind the scenes is a robust, event\-driven architecture that connects systems, abstracts messy workflows, and leaves room for smart automation. The surface is clean and simple. The interactions are seamless and intuitive. The machinery underneath is anything but. That’s where you come in.
 We’re a well\-networked founding team with strong execution roots and a clear roadmap. We’re backed, focused, and delivering fast.
 We're looking for a
 ****Senior Backend Software Engineer****
 to join early. Someone who thrives in fast\-moving environments, knows how to balance velocity with sound engineering, and wants to build foundational systems that scale. You’ll work closely with the Tech Lead and CTO, contributing directly to architecture, implementation, and internal tooling — and have real influence over how this thing takes shape.
 💥 What You’ll Do
* Build and extend core backend services in Python — everything from APIs and MCPs, to event handlers
* Shape and implement key pieces of our domain model and service boundaries
* Own integrations between internal systems and external platforms via gRPC and REST
* Contribute to system architecture alongside the Tech Lead and CTO
* Work with Postgres and event\-driven pipelines, designing schemas and migrations as code
* Help lay the groundwork for developer tooling, observability, and automated testing
* Write code that’s clean, testable, and built for humans — not just machines
 🧰 Tech Stack (So Far)
* Python (async\-first, service\-oriented)
* SQL (Postgres), DB\-as\-code
* gRPC \+ REST APIs
* Message queues (event\-driven architecture)
* Terraform, GitHub Actions, GCP
* MCP (Model Control Plane) layer for cross\-system orchestration
 You'll help evolve this stack — we care about getting it right, not being dogmatic.
 💻 How We Build
* Engineers come first: your time, focus, and judgment are respected
* Deep work \&gt; chaos: fixed cycles \&amp; cooldowns protect focus and keep context switching low
* Autonomy is the default: trusted builders who own outcomes, no babysitters
* Ship daily, safely: merge early, integrate vertically, ship often, use feature flags, and keep momentum
* Outcomes over optics: solve real problems, not ticket soup
* Voice matters: from week one, contribute, improve something, and shape how we build
* Senior peers, no ego: collaborate in a high\-trust, async\-friendly environment
* Bold problems, cool tech: work on complex challenges that actually move the needle
* Fun is part of it: we move fast, but we also celebrate wins and laugh together
 ✅ What We’re Looking For
* 6–8 years of professional experience building production backend systems
* Strong Python fundamentals, with real\-world async or service\-layer experience
* Solid understanding of relational data models, schema design, and SQL optimization
* Experience designing and consuming APIs — especially gRPC or service mesh patterns
* Familiarity with software architecture principles, even if you're not “the architect”
* Comfort navigating ambiguity, collaborating with other senior engineers, and shipping code that matters
* Confident English skills to collaborate clearly and effectively with teammates
**🔥 Bonus If You**
* Have worked in an event\-driven or event\-sourced architecture
* Are familiar with infrastructure as code (Terraform preferred)
* Have experience with MCPs, or other orchestration/coordination frameworks
* Know how to build and evolve a local dev/test environment
* Can show us something you’ve built that reflects how you think
 📍 Location \&amp; Compensation
* Must be based in San Francisco, Las Vegas, or Tel Aviv
* Full\-time role with competitive comp
* Flexible hours, async\-friendly culture, engineering\-led environment</t>
        </is>
      </c>
    </row>
    <row r="87">
      <c r="A87" t="inlineStr">
        <is>
          <t>li-4364080265</t>
        </is>
      </c>
      <c r="B87" t="inlineStr">
        <is>
          <t>Senior/Staff Backend Engineer</t>
        </is>
      </c>
      <c r="C87" t="inlineStr">
        <is>
          <t>Fora Travel</t>
        </is>
      </c>
      <c r="D87" t="inlineStr">
        <is>
          <t>linkedin</t>
        </is>
      </c>
      <c r="E87">
        <f>HYPERLINK("https://www.linkedin.com/jobs/view/4364080265", "https://www.linkedin.com/jobs/view/4364080265")</f>
        <v/>
      </c>
      <c r="F87" t="inlineStr"/>
      <c r="G87" t="inlineStr">
        <is>
          <t>New York, NY</t>
        </is>
      </c>
      <c r="H87" t="inlineStr"/>
      <c r="I87" t="inlineStr">
        <is>
          <t>**About Fora**
**Fora** 
 is the modern travel agency, redefining what it means to be a travel advisor in today's world. We're a next\-generation platform that provides a comprehensive,
 **business\-in\-a\-box solution** 
 —combining
 **cutting\-edge technology** 
 ,
 **personalized training** 
 ,
 **a vibrant community** 
 , and exclusive
 **industry partnerships** 
 —all designed to empower anyone with a passion for travel to turn that passion into a thriving business. Whether you're a travel enthusiast or an experienced professional, Fora equips you with everything needed to
 **launch and scale a successful travel advisory business** 
 , making it the ultimate way to align work with your lifestyle.
 At the heart of Fora is our mission: to
 **power the next generation of travel entrepreneurs** 
 to transform their love for travel into a fulfilling full\-time or part\-time career, offering unparalleled flexibility, autonomy, and support. We believe that everyone, from seasoned travel professionals to first\-time entrepreneurs, can build a career that's both profitable and aligned with their passions.
 Our platform combines innovative technology with the human touch, offering:
* **Best\-in\-class training** 
 programs to help agents develop expert knowledge, no matter their starting point.
* A powerful suite of tools for booking, client management, and marketing, ensuring agents can focus on delivering exceptional travel experiences.
* Access to an engaged community of fellow advisors, fostering collaboration, support, and shared learning.
* **Exclusive partnerships** 
 with top travel brands, providing access to competitive rates, perks, and experiences that elevate advisors' offerings.
 Since our founding in
 **2021** 
 by experienced travel entrepreneurs
 **Henley Vazquez** 
 ,
 **Jake Peters** 
 , and
 **Evan Frank** 
 , Fora has experienced rapid growth, expanding to a team of
 **180** 
**\+ full\-time employees** 
 based in downtown
 **New York City** 
 .
 **Earlier this year,** 
 we announced our
 **$60 million Series B and C investment rounds** 
 , led by
 **Thrive Capital** 
 and
 **Insight Partners** 
 , with participation by previous investors including
 **Forerunner** 
 and
 **Heartcore Capital.** 
 This funding represents a vote of confidence in the enduring power of entrepreneurship, and secures our ability to build a category\-defining travel brand. We have a vision for the future that leverages the best of humans and the best of technology to create the first truly unified platform for all travel needs \- from staycation to the safari.
 We're proud of the recognition we've received, including:
* LinkedIn's Top Startups List 2024
* Fast Company's Most Innovative Companies 2025 and 2023
* Built In 2025 Best Places to Work
* And several "top agency" awards from our fantastic partners including Virtuoso, IHG, Four Seasons, and more
**Fora is a mission\-driven company** 
 that believes in the power of entrepreneurship, community, and passion. As we continue to grow, we are looking for more talented and like\-minded individuals to join our team \- people who are excited about transforming the travel space and helping us scale our vision globally.
**About The Role**
 We're looking for a seasoned Senior/Staff Backend Engineer to join us as we continue to build Fora's products and infrastructure. Our ideal candidate is someone who understands our mission \&amp; brand, is excited about what we're creating, and is passionate about building high quality software! The work for this role will touch all aspects of our advisor portal, external\-facing website, content and supplier systems, internal admin tools, and external integrations.
 This person will report directly to our VP of Engineering.
**Key Responsibilities**
* Partner with Product Managers and Designers to define and prioritize the roadmap
* Alongside your fellow engineers, build the travel advisors application that is responsible for new advisors on boarding, searching and booking travel, and manages the advisor's itineraries and interactions with their clients
* Focus on performance, architecture, clean design and clean code principles of development
* Collaborate with other engineers in order to define end to end engineering solutions
* Own epics and be responsible for the entire solution \- design, implementation and delivery
**Requirements**
* Bachelor's Degree in Computer Science
* 6\+ years experience in backend web development
* 3\+ years experience with Python, using Django / Flask / Alternative
* High API and distributed systems design skills
* Experience with relational database ORMs
* AWS experience, a plus
* Kubernetes experience, a plus
* Ability to be a team player, with strong communication and collaboration skills
* An entrepreneurial mindset
**Compensation**
 Compensation for this role varies based on experience, with an indicative range of $155K–$225K \+ equity. Final compensation will depend on the level at which the candidate is hired, as we're considering multiple levels for this role.
* Unlimited vacation
* Health Insurance (including an option completely covered by Fora HQ)
* Dental \&amp; Vision Insurance
* Wellhub Memberships
* 401k plan with company match
* Commuter Benefits
* Supplemental Life Insurance
* Stock Options
 This role is based in New York City with a hybrid WFH \&amp; office schedule (Monday, Tuesday and Thursday are our Tribeca in\-office days, with flexibility for Wednesday and Friday at your preference).
**Our Values**
**We're forging our own path**
 Fora has always been about driving change within the industry. We're not interested in maintaining the status quo.
**We're stronger together**
 Community is our cornerstone and collective power is our strength. We believe we can all go further when we operate together, using our combined leverage to unlock better opportunities and outcomes for our advisors, partners, and travelers.
**We believe in technology**
 We believe technology is an answer to some of the most fundamental challenges the travel industry faces. We believe advancements in AI, bold investments in our platforms, and a world\-class data infrastructure will transform the work of our advisors and our partners, while creating better travel experiences for travelers.
**We're here to serve**
 We operate in service of our community and believe that when they're empowered to focus on what they do best, we all win. It's why we relentlessly advocate for our advisors and prioritize their best interest every step of the way.
**We mean business**
 Fora is equal parts fun, meaningful work and serious travel business. We're unlocking opportunities for thousands of travel entrepreneurs, delivering a stream of high\-quality guests at scale for our partners, and providing a superior travel experience for our travelers. It's a better equation for the future of our industry.
- 
**WORK AUTHORIZATION**
 You must have authorization to work in the United States. Fora is unable to assist applicants with obtaining work authorization.
**EQUAL OPPORTUNITY**
 Fora is committed to an equitable hiring process and an inclusive work environment. BIPOC and traditionally underrepresented candidates are strongly encouraged to apply. We will not discriminate and will take action to ensure against discrimination in employment, recruitment, advertisements for employment, compensation, termination, upgrading, promotions, and other conditions of employment against any employee or job applicant on the bases of race, color, gender, national origin, age, religion, creed, disability, veteran's status, sexual orientation, gender identity, gender expression or any other characteristic protected by law.</t>
        </is>
      </c>
    </row>
    <row r="88">
      <c r="A88" t="inlineStr">
        <is>
          <t>li-4364280229</t>
        </is>
      </c>
      <c r="B88" t="inlineStr">
        <is>
          <t>Full Stack Engineer: Platform</t>
        </is>
      </c>
      <c r="C88" t="inlineStr">
        <is>
          <t>SoGal Ventures</t>
        </is>
      </c>
      <c r="D88" t="inlineStr">
        <is>
          <t>linkedin</t>
        </is>
      </c>
      <c r="E88">
        <f>HYPERLINK("https://www.linkedin.com/jobs/view/4364280229", "https://www.linkedin.com/jobs/view/4364280229")</f>
        <v/>
      </c>
      <c r="F88">
        <f>HYPERLINK("https://jobs.sogalventures.com/companies/pareto/jobs/64661854-full-stack-engineer-platform&amp;urlHash=6ac8", "https://jobs.sogalventures.com/companies/pareto/jobs/64661854-full-stack-engineer-platform&amp;urlHash=6ac8")</f>
        <v/>
      </c>
      <c r="G88" t="inlineStr">
        <is>
          <t>Stanford, CA</t>
        </is>
      </c>
      <c r="H88" t="inlineStr"/>
      <c r="I88" t="inlineStr">
        <is>
          <t>Location
 EU
 Employment Type
 Full time
 Location Type
 Remote
 Department
 EngineeringPlatform Engineering
**About Us**
 At Pareto.AI, we’re on a mission to enable top talent around the world to participate in the development of cutting\-edge AI models.
 In coming years, AI models will transform how we work and create thousands of new AI training jobs for skilled talent around the world. We’ve joined forces with top AI and crowd researchers at Anthropic, Character.AI, Imbue, Stanford, and University of Pennsylvania to build a fair and ethical platform for AI developers to collaborate with domain experts to train bespoke AI models.
**About This Role**
 We’re seeking a Full Stack Engineer to join our platform engineering team. You’ll play a pivotal part in developing the next\-generation human data collection infrastructure for AI/ML development, driving product strategy, and directly impacting our startup trajectory.
**You'd Be a Great Fit At Pareto If**
* You value dedicated teamwork, respect, and curiosity, as well as navigating communication in cross\-functional, culturally diverse environments.
* Engineering excellence is your pursuit, demonstrated by your solid understanding of modern front\-end technologies (React) and back\-end libraries (Django).
* You are not content with the status quo and consistently seek innovative solutions to existing problems, with a commitment to personal and collective growth.
**Key Responsibilities**
* Full\-stack development from architecture and specifications to live deployments.
* Ability to understand translate, breakdown and estimate the product roadmap into features.
* Lead user testing sessions with stakeholders on some of the features you implement.
* An understanding of optimization, security and an eye for code cleanliness.
* Contribute to maintaining a best\-in\-class quality pipeline, encompassing Linting, CI/CD, and usability tests.
**What You’ll Need**
* Ambition to be consistently testing and optimizing code and queries.
* 2\+ years of professional experience with enterprise architecture and a deep understanding of REST/GraphQL API patterns.
* Proficiency in React or a recent JavaScript Framework, as well as knowledge of Storybook and CSS preprocessors.
* Professional experience with Django
* Experience with Webpack bundler and optimizing builds, or the ambition to jump in and learn.
* Knowledge of different database systems (RDBMS) — we use Postgres
* Understanding of securing API endpoints and microservice architecture challenges.
* Familiarity with product and design lifecycles, collaborating with designers and product managers.
* Proven ability to write high\-quality, well\-tested, and maintainable code.
* Familiarity with current trends and best practices.
* Excellent communication skills and ability to work in a fast\-paced environment.
**Nice To Have**
* Familiarity with GraphQL — such as usage of Apollo, Relay or Graphene.
* Familiarity with Celery, Redis, Webpack.
* Dev ops experience — we have automated pipelines that build AWS clusters.
* Familiarity with or an interest in improving developer tooling — we’re currently running a one\-command setup for a full\-blown local dev environment that mimics prod!
* Exposure to data science or data engineering.
**Our Stack** 
* Backend:
* Django 5
+ Python 3\.12
+ Celery
+ Redis
* Frontend:
* React 18\.2
* Infra (AWS):
* Fargate
+ ECS
+ RDS</t>
        </is>
      </c>
    </row>
    <row r="89">
      <c r="A89" t="inlineStr">
        <is>
          <t>li-4363809551</t>
        </is>
      </c>
      <c r="B89" t="inlineStr">
        <is>
          <t>Full Stack Engineer</t>
        </is>
      </c>
      <c r="C89" t="inlineStr">
        <is>
          <t>Cloudera</t>
        </is>
      </c>
      <c r="D89" t="inlineStr">
        <is>
          <t>linkedin</t>
        </is>
      </c>
      <c r="E89">
        <f>HYPERLINK("https://www.linkedin.com/jobs/view/4363809551", "https://www.linkedin.com/jobs/view/4363809551")</f>
        <v/>
      </c>
      <c r="F89">
        <f>HYPERLINK("https://www.wiraa.com/job-description/usEFBB86FAB155C41587D4BCBFAF031045?source=Linkedin&amp;urlHash=_tAP", "https://www.wiraa.com/job-description/usEFBB86FAB155C41587D4BCBFAF031045?source=Linkedin&amp;urlHash=_tAP")</f>
        <v/>
      </c>
      <c r="G89" t="inlineStr"/>
      <c r="H89" t="inlineStr"/>
      <c r="I89" t="inlineStr">
        <is>
          <t>**About The Company**
 Cloudera is a leading provider of enterprise data management and analytics solutions, empowering organizations worldwide to transform complex data into clear, actionable insights. With a strong foundation rooted in open\-source innovation, Cloudera supports digital transformation initiatives for some of the world’s largest and most influential enterprises across various industries. The company manages vast amounts of data, comparable to hyperscalers, and is recognized as a trusted data partner for its ability to deliver scalable, secure, and reliable data platforms. Cloudera’s commitment to continuous innovation and open\-source collaboration enables it to stay at the forefront of the data technology landscape, providing cutting\-edge solutions that meet the evolving needs of its clients.
**About The Role**
 We are seeking a highly skilled and motivated Staff Full Stack Engineer to join our Product Security team on a remote basis. This contract position focuses on developing and enhancing Heimdall, our internal vulnerability metrics and dashboard platform designed to provide critical security insights. The ideal candidate will possess extensive experience in full lifecycle software development, with a strong emphasis on security and vulnerability management. You will be responsible for translating complex requirements, UI mockups, and technical specifications into robust, scalable solutions that bolster our internal security posture. This role offers an exciting opportunity to work at the intersection of software engineering and cybersecurity, contributing directly to the security and integrity of Cloudera’s products and services.
**Qualifications**
* Bachelor’s or Master’s degree in Computer Science, Software Engineering, or a related field
* 5\-7 years of professional experience as a Software Engineer, with a focus on security and vulnerability remediation preferred
* Proficiency in at least two programming languages such as Python, Go, TypeScript, or React JS
* Experience with vulnerability management tools including Aquasec, CVE triaging, and JIRA ticketing system
* Hands\-on experience with containerization and CI/CD tools like Docker, Maven, SonarQube, Harness, Jenkins, and GitHub Actions
* Familiarity with relational databases such as Postgres or RDS
* Understanding of cloud technologies, particularly Kubernetes and AWS
* Experience contributing to open\-source projects is a plus
* Excellent problem\-solving skills and the ability to diagnose and resolve complex security issues in large\-scale systems
* Strong communication and collaboration skills to work effectively across cross\-functional teams
* Experience with large\-scale software development, testing, and deployment processes
**Responsibilities**
* Gain comprehensive understanding of Cloudera’s product ecosystem and development lifecycle, identifying areas for security improvements
* Design and develop tooling, frameworks, and proof\-of\-concept solutions to improve vulnerability detection, remediation, and developer productivity
* Identify opportunities to leverage AI/ML tools to expedite CVE remediation efforts
* Collaborate with the product security team to evaluate and enhance existing security tools such as SCA, SAST, DAST, and integrate these into CI/CD pipelines
* Develop proactive dependency management strategies to reduce vulnerability exposure
* Define and enforce SLAs for CVE management, ensuring accountability and timely resolution
* Work closely with cross\-functional teams including engineering, quality engineering, release engineering, and customer support to implement security best practices
* Participate in regular reporting on CVE debt reduction, SLA adherence, and key security metrics
* Contribute to continuous improvement initiatives within the security and engineering teams
**Benefits**
* Competitive compensation package
* Flexible remote working arrangements
* Opportunities for professional growth and development within a leading technology company
* Engagement in innovative projects at the forefront of data security and management
* Collaborative and inclusive work environment
* Access to cutting\-edge tools and technologies
 Equal Opportunity
 Cloudera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 We are dedicated to fostering a workplace culture that values differences and promotes equal opportunity for everyone.</t>
        </is>
      </c>
    </row>
    <row r="90">
      <c r="A90" t="inlineStr">
        <is>
          <t>li-4364070313</t>
        </is>
      </c>
      <c r="B90" t="inlineStr">
        <is>
          <t>Senior/Staff Full Stack Engineer</t>
        </is>
      </c>
      <c r="C90" t="inlineStr">
        <is>
          <t>Fora Travel</t>
        </is>
      </c>
      <c r="D90" t="inlineStr">
        <is>
          <t>linkedin</t>
        </is>
      </c>
      <c r="E90">
        <f>HYPERLINK("https://www.linkedin.com/jobs/view/4364070313", "https://www.linkedin.com/jobs/view/4364070313")</f>
        <v/>
      </c>
      <c r="F90" t="inlineStr"/>
      <c r="G90" t="inlineStr">
        <is>
          <t>New York, NY</t>
        </is>
      </c>
      <c r="H90" t="inlineStr"/>
      <c r="I90" t="inlineStr">
        <is>
          <t>**About Fora**
**Fora** 
 is the modern travel agency, redefining what it means to be a travel advisor in today's world. We're a next\-generation platform that provides a comprehensive,
 **business\-in\-a\-box solution** 
 —combining
 **cutting\-edge technology** 
 ,
 **personalized training** 
 ,
 **a vibrant community** 
 , and exclusive
 **industry partnerships** 
 —all designed to empower anyone with a passion for travel to turn that passion into a thriving business. Whether you're a travel enthusiast or an experienced professional, Fora equips you with everything needed to
 **launch and scale a successful travel advisory business** 
 , making it the ultimate way to align work with your lifestyle.
 At the heart of Fora is our mission: to
 **power the next generation of travel entrepreneurs** 
 to transform their love for travel into a fulfilling full\-time or part\-time career, offering unparalleled flexibility, autonomy, and support. We believe that everyone, from seasoned travel professionals to first\-time entrepreneurs, can build a career that's both profitable and aligned with their passions.
 Our platform combines innovative technology with the human touch, offering:
* **Best\-in\-class training** 
 programs to help agents develop expert knowledge, no matter their starting point.
* A powerful suite of tools for booking, client management, and marketing, ensuring agents can focus on delivering exceptional travel experiences.
* Access to an engaged community of fellow advisors, fostering collaboration, support, and shared learning.
* **Exclusive partnerships** 
 with top travel brands, providing access to competitive rates, perks, and experiences that elevate advisors' offerings.
 Since our founding in
 **2021** 
 by experienced travel entrepreneurs
 **Henley Vazquez** 
 ,
 **Jake Peters** 
 , and
 **Evan Frank** 
 , Fora has experienced rapid growth, expanding to a team of
 **180** 
**\+ full\-time employees** 
 based in downtown
 **New York City** 
 .
 **Earlier this year,** 
 we announced our
 **$60 million Series B and C investment rounds** 
 , led by
 **Thrive Capital** 
 and
 **Insight Partners** 
 , with participation by previous investors including
 **Forerunner** 
 and
 **Heartcore Capital.** 
 This funding represents a vote of confidence in the enduring power of entrepreneurship, and secures our ability to build a category\-defining travel brand. We have a vision for the future that leverages the best of humans and the best of technology to create the first truly unified platform for all travel needs \- from staycation to the safari.
 We're proud of the recognition we've received, including:
* LinkedIn's Top Startups List 2024
* Fast Company's Most Innovative Companies 2025 and 2023
* Built In 2025 Best Places to Work
* And several "top agency" awards from our fantastic partners including Virtuoso, IHG, Four Seasons, and more
**Fora is a mission\-driven company** 
 that believes in the power of entrepreneurship, community, and passion. As we continue to grow, we are looking for more talented and like\-minded individuals to join our team \- people who are excited about transforming the travel space and helping us scale our vision globally.
**About The Role**
 We're looking for a seasoned Senior/Staff Full Stack Engineer to join us as we continue to build Fora's products and infrastructure. In this role, you will be instrumental in building out the Consumer Experience, the heart of the Fora Platform. In collaboration with Product and Design, this Sr. Full Stack Engineer will work on our externally facing website, content and supplier systems and external integrations. Our ideal candidate is someone who understands our mission \&amp; brand, is excited about what we're creating, and is passionate about building high\-quality software.
**Key Responsibilities**
* Partner cross\-functionally with Product Managers and Designers to define and prioritize the roadmap
* Alongside your fellow engineers, build the travel advisors application that is responsible for new advisors onboarding, searching, and booking travel, and manages the advisor's itineraries and interactions with their clients
* Focus on web development, and collaborate with backend engineers in order to define end\-to\-end engineering solutions
* Own projects and be responsible for the solution, implementation, and deliver
**Requirements**
* Bachelor's Degree in Computer Science
* 5\+ years experience in frontend web development
* 3\+ years experience using React / Vue.js / Angular.io
* Experience building stateful and event\-driven web applications
* Experience testing web applications
* 3\+ years experience in backend web development
* Experience with relational database ORMs
* Ability to be a team player, with solid communication and collaboration skills
* An entrepreneurial mindset
**Compensation**
 Compensation for this role varies based on experience, with an indicative range of $155K–$225K \+ equity. Final compensation will depend on the level at which the candidate is hired, as we're considering multiple levels for this role.
 Other benefits include:
* Unlimited vacation
* Health Insurance (including an option completely covered by Fora HQ)
* Dental \&amp; Vision Insurance
* Wellhub Memberships
* 401k plan with company match
* Commuter Benefits
* Supplemental Life Insurance
* Stock Options
 This role is based in New York City with a hybrid WFH \&amp; office schedule (Monday, Tuesday and Thursday are our Tribeca in\-office days, with flexibility for Wednesday and Friday at your preference).
**Our Values**
**We're forging our own path**
 Fora has always been about driving change within the industry. We're not interested in maintaining the status quo.
**We're stronger together**
 Community is our cornerstone and collective power is our strength. We believe we can all go further when we operate together, using our combined leverage to unlock better opportunities and outcomes for our advisors, partners, and travelers.
**We believe in technology**
 We believe technology is an answer to some of the most fundamental challenges the travel industry faces. We believe advancements in AI, bold investments in our platforms, and a world\-class data infrastructure will transform the work of our advisors and our partners, while creating better travel experiences for travelers.
**We're here to serve**
 We operate in service of our community and believe that when they're empowered to focus on what they do best, we all win. It's why we relentlessly advocate for our advisors and prioritize their best interest every step of the way.
**We mean business**
 Fora is equal parts fun, meaningful work and serious travel business. We're unlocking opportunities for thousands of travel entrepreneurs, delivering a stream of high\-quality guests at scale for our partners, and providing a superior travel experience for our travelers. It's a better equation for the future of our industry.
- 
**WORK AUTHORIZATION**
 You must have authorization to work in the United States. Fora is unable to assist applicants with obtaining work authorization.
**EQUAL OPPORTUNITY**
 Fora is committed to an equitable hiring process and an inclusive work environment. BIPOC and traditionally underrepresented candidates are strongly encouraged to apply. We will not discriminate and will take action to ensure against discrimination in employment, recruitment, advertisements for employment, compensation, termination, upgrading, promotions, and other conditions of employment against any employee or job applicant on the bases of race, color, gender, national origin, age, religion, creed, disability, veteran's status, sexual orientation, gender identity, gender expression or any other characteristic protected by law.</t>
        </is>
      </c>
    </row>
    <row r="91">
      <c r="A91" t="inlineStr">
        <is>
          <t>li-4363759614</t>
        </is>
      </c>
      <c r="B91" t="inlineStr">
        <is>
          <t>Senior Backend Software Engineer</t>
        </is>
      </c>
      <c r="C91" t="inlineStr">
        <is>
          <t>HyperFi</t>
        </is>
      </c>
      <c r="D91" t="inlineStr">
        <is>
          <t>linkedin</t>
        </is>
      </c>
      <c r="E91">
        <f>HYPERLINK("https://www.linkedin.com/jobs/view/4363759614", "https://www.linkedin.com/jobs/view/4363759614")</f>
        <v/>
      </c>
      <c r="F91" t="inlineStr"/>
      <c r="G91" t="inlineStr">
        <is>
          <t>San Francisco, CA</t>
        </is>
      </c>
      <c r="H91" t="inlineStr"/>
      <c r="I91" t="inlineStr">
        <is>
          <t>**About HyperFi**
 We're building the kind of platform we always wanted to use: fast, flexible, and built for making sense of real\-world complexity. Behind the scenes is a robust, event\-driven architecture that connects systems, abstracts messy workflows, and leaves room for smart automation. The surface is clean and simple. The interactions are seamless and intuitive. The machinery underneath is anything but. That’s where you come in.
 We’re a well\-networked founding team with strong execution roots and a clear roadmap. We’re backed, focused, and delivering fast.
 We're looking for a
 ****Senior Backend Software Engineer****
 to join early. Someone who thrives in fast\-moving environments, knows how to balance velocity with sound engineering, and wants to build foundational systems that scale. You’ll work closely with the Tech Lead and CTO, contributing directly to architecture, implementation, and internal tooling — and have real influence over how this thing takes shape.
 💥 What You’ll Do
* Build and extend core backend services in Python — everything from APIs and MCPs, to event handlers
* Shape and implement key pieces of our domain model and service boundaries
* Own integrations between internal systems and external platforms via gRPC and REST
* Contribute to system architecture alongside the Tech Lead and CTO
* Work with Postgres and event\-driven pipelines, designing schemas and migrations as code
* Help lay the groundwork for developer tooling, observability, and automated testing
* Write code that’s clean, testable, and built for humans — not just machines
 🧰 Tech Stack (So Far)
* Python (async\-first, service\-oriented)
* SQL (Postgres), DB\-as\-code
* gRPC \+ REST APIs
* Message queues (event\-driven architecture)
* Terraform, GitHub Actions, GCP
* MCP (Model Control Plane) layer for cross\-system orchestration
 You'll help evolve this stack — we care about getting it right, not being dogmatic.
 💻 How We Build
* Engineers come first: your time, focus, and judgment are respected
* Deep work \&gt; chaos: fixed cycles \&amp; cooldowns protect focus and keep context switching low
* Autonomy is the default: trusted builders who own outcomes, no babysitters
* Ship daily, safely: merge early, integrate vertically, ship often, use feature flags, and keep momentum
* Outcomes over optics: solve real problems, not ticket soup
* Voice matters: from week one, contribute, improve something, and shape how we build
* Senior peers, no ego: collaborate in a high\-trust, async\-friendly environment
* Bold problems, cool tech: work on complex challenges that actually move the needle
* Fun is part of it: we move fast, but we also celebrate wins and laugh together
 ✅ What We’re Looking For
* 6–8 years of professional experience building production backend systems
* Strong Python fundamentals, with real\-world async or service\-layer experience
* Solid understanding of relational data models, schema design, and SQL optimization
* Experience designing and consuming APIs — especially gRPC or service mesh patterns
* Familiarity with software architecture principles, even if you're not “the architect”
* Comfort navigating ambiguity, collaborating with other senior engineers, and shipping code that matters
* Confident English skills to collaborate clearly and effectively with teammates
**🔥 Bonus If You**
* Have worked in an event\-driven or event\-sourced architecture
* Are familiar with infrastructure as code (Terraform preferred)
* Have experience with MCPs, or other orchestration/coordination frameworks
* Know how to build and evolve a local dev/test environment
* Can show us something you’ve built that reflects how you think
 📍 Location \&amp; Compensation
* Must be based in San Francisco, Las Vegas, or Tel Aviv
* Full\-time role with competitive comp
* Flexible hours, async\-friendly culture, engineering\-led environment</t>
        </is>
      </c>
    </row>
    <row r="92">
      <c r="A92" t="inlineStr">
        <is>
          <t>li-4363769470</t>
        </is>
      </c>
      <c r="B92" t="inlineStr">
        <is>
          <t>Software Engineer (Full Stack)</t>
        </is>
      </c>
      <c r="C92" t="inlineStr">
        <is>
          <t>Rad AI</t>
        </is>
      </c>
      <c r="D92" t="inlineStr">
        <is>
          <t>linkedin</t>
        </is>
      </c>
      <c r="E92">
        <f>HYPERLINK("https://www.linkedin.com/jobs/view/4363769470", "https://www.linkedin.com/jobs/view/4363769470")</f>
        <v/>
      </c>
      <c r="F92">
        <f>HYPERLINK("https://www.wiraa.com/job-description/us7965E1021885DAC56D0E770071F79A50?source=Linkedin&amp;urlHash=s9_l", "https://www.wiraa.com/job-description/us7965E1021885DAC56D0E770071F79A50?source=Linkedin&amp;urlHash=s9_l")</f>
        <v/>
      </c>
      <c r="G92" t="inlineStr"/>
      <c r="H92" t="inlineStr"/>
      <c r="I92" t="inlineStr">
        <is>
          <t>**About Rad AI** 
 Rad AI is at the forefront of transforming healthcare through innovative artificial intelligence solutions. Founded by a radiologist, the company leverages one of the largest proprietary datasets of radiology reports worldwide to develop AI tools that significantly enhance diagnostic accuracy, reduce errors, and alleviate radiologist burnout. Rad AI's mission is to empower medical professionals with cutting\-edge AI technology, ultimately improving patient outcomes and streamlining healthcare workflows. With substantial funding exceeding $140 million, including a recent oversubscribed Series C round, Rad AI's valuation has reached over $528 million. The company's investor portfolio features prominent names such as Khosla Ventures, Gradient Ventures, and World Innovation Lab, all committed to advancing healthcare innovation. Rad AI’s generative AI solutions are utilized daily by thousands of radiologists across major healthcare systems, supporting a substantial portion of medical imaging in the United States. Recognized as one of the most promising healthcare AI companies by CB Insights and AuntMinnie, and ranked among the fastest\-growing companies in North America by Deloitte, Rad AI continues to lead the industry with its innovative approach. The company’s recent inclusion in CNBC’s Disruptor 50 list underscores its rapid growth and transformative impact on healthcare. Rad AI is dedicated to building a diverse, inclusive environment where talented professionals can thrive and contribute to meaningful healthcare advancements.
**About The Role** 
 Rad AI is seeking a skilled Staff Software Engineer to join our platform team, focusing on building and maintaining our healthcare data platform. This pivotal role involves developing scalable, secure, and reliable backend systems that power our core products, including our reporting applications. The ideal candidate will have extensive experience in backend development, particularly with Python and TypeScript, and a strong understanding of web architecture, data storage, and healthcare data standards such as HL7 and FHIR. You will collaborate closely with cross\-functional teams—including Product Management, UX, and Customer Success—to design and implement new features that support our growing customer base. Your contributions will directly impact how healthcare data flows within our systems, ensuring seamless integration and high performance in a HIPAA\-compliant environment. This role offers a unique opportunity to work at the intersection of healthcare and technology, shaping the future of medical data management and AI\-driven healthcare solutions.
**Qualifications** 
* 8\+ years of professional full\-stack engineering experience in multi\-tenant environments
* Proficiency in JavaScript, TypeScript, Python, and FastAPI or equivalent frameworks
* Experience with relational databases such as PostgreSQL and document\-based storage systems
* Strong understanding of modern web architecture, security, and best practices
* Solid knowledge of HTML, CSS, responsive design, and web APIs like WebSockets and IndexedDB
* Experience with unit and integration testing methodologies
* Proficiency with version control systems, especially Git, within distributed teams
* Ability to diagnose and optimize performance issues at scale
* Experience working in HIPAA\-compliant environments and familiarity with healthcare data standards like HL7 and FHIR
**Responsibilities** 
* Develop and maintain large\-scale web applications, including single\-page applications with React/TypeScript
* Build robust backend services using Python and FastAPI, including REST APIs and machine learning pipelines
* Implement new features and enhancements to support an expanding customer base
* Ensure code quality, security, and maintainability by adhering to internal standards and best practices
* Collaborate with cross\-functional teams to gather requirements, iterate on features, and resolve defects
* Participate in architectural decisions to improve system scalability and performance
* Diagnose and troubleshoot performance bottlenecks and system issues
* Contribute to documentation and knowledge sharing within the team
**Benefits** 
* Comprehensive Medical, Dental, Vision \&amp; Life Insurance
* Health Savings Account (HSA) with employer match, Flexible Spending Account (FSA), and Dependent Care FSA (DCFSA)
* 401(k) retirement plan
* 11 paid company holidays annually
* Flexible PTO policy to support work\-life balance
* Location flexibility with a remote\-first work environment
* Annual company\-wide offsite events and periodic team gatherings
* Annual equipment stipend to support remote work setup
 Equal Opportunity
 Rad AI is committed to fostering an inclusive and diverse workplace. We are proud to be an equal opportunity employer and do not discriminate based on race, color, religion, national origin, gender, sexual orientation, age, marital status, veteran status, disability, or any other protected characteristic. We consider all qualified applicants, including those with criminal histories, in accordance with applicable laws such as the San Francisco Fair Chance Ordinance.</t>
        </is>
      </c>
    </row>
    <row r="93">
      <c r="A93" t="inlineStr">
        <is>
          <t>li-4363849934</t>
        </is>
      </c>
      <c r="B93" t="inlineStr">
        <is>
          <t>Software Engineer</t>
        </is>
      </c>
      <c r="C93" t="inlineStr">
        <is>
          <t>Goliath Partners</t>
        </is>
      </c>
      <c r="D93" t="inlineStr">
        <is>
          <t>linkedin</t>
        </is>
      </c>
      <c r="E93">
        <f>HYPERLINK("https://www.linkedin.com/jobs/view/4363849934", "https://www.linkedin.com/jobs/view/4363849934")</f>
        <v/>
      </c>
      <c r="F93" t="inlineStr"/>
      <c r="G93" t="inlineStr"/>
      <c r="H93" t="inlineStr"/>
      <c r="I93" t="inlineStr">
        <is>
          <t>We are working with a high\-performance, global trading and technology firm seeking a Software Engineer to join their engineering team in New York.
**Key Responsibilities** 
* Design \&amp; deploy software that supports trading activities and business functions
* Collaborate with business stakeholders to define priorities and deliver custom technology solutions
* Analyze complex business and technical problems, and take proactive, self\-directed action to solve them
* Provide timely systems support for live trading/production environments
**Required Skills \&amp; Experience** 
* Deep proficiency in Python and a strong passion for software development
* Professional exposure to distributed systems
* Good knowledge of software development life\-cycle (SDLC) methodologies
* Excellent communication and interpersonal skill
* Minimum Bachelor’s degree in Computer Science or a related field
**Preferred / Bonus Qualifications** 
* Experience with trading systems
* Familiarity with machine learning/statistical methods
* Experience with C\+\+, SQL, kdb or similar technologies
 Total comp: base up to 250k, tc into the 7 figures</t>
        </is>
      </c>
    </row>
    <row r="94">
      <c r="A94" t="inlineStr">
        <is>
          <t>li-4363739918</t>
        </is>
      </c>
      <c r="B94" t="inlineStr">
        <is>
          <t>Software Engineer</t>
        </is>
      </c>
      <c r="C94" t="inlineStr">
        <is>
          <t>Fusion Technology LLC</t>
        </is>
      </c>
      <c r="D94" t="inlineStr">
        <is>
          <t>linkedin</t>
        </is>
      </c>
      <c r="E94">
        <f>HYPERLINK("https://www.linkedin.com/jobs/view/4363739918", "https://www.linkedin.com/jobs/view/4363739918")</f>
        <v/>
      </c>
      <c r="F94">
        <f>HYPERLINK("https://www.adzuna.com/details/5549957557?v=4BC5202A9A9AF165C10D62AE68EE7181D52702F2&amp;r=21086177&amp;ccd=6f6e5af4f9fb90204b991c9b8d7bf23c&amp;frd=5c0b16d83334bf57245cc13b78951cee&amp;utm_source=linkedin7&amp;utm_medium=organic&amp;chnlid=1931&amp;title=Software%20Engineer&amp;a=e&amp;urlHash=nrxY", "https://www.adzuna.com/details/5549957557?v=4BC5202A9A9AF165C10D62AE68EE7181D52702F2&amp;r=21086177&amp;ccd=6f6e5af4f9fb90204b991c9b8d7bf23c&amp;frd=5c0b16d83334bf57245cc13b78951cee&amp;utm_source=linkedin7&amp;utm_medium=organic&amp;chnlid=1931&amp;title=Software%20Engineer&amp;a=e&amp;urlHash=nrxY")</f>
        <v/>
      </c>
      <c r="G94" t="inlineStr">
        <is>
          <t>Chantilly, VA</t>
        </is>
      </c>
      <c r="H94" t="inlineStr"/>
      <c r="I94" t="inlineStr">
        <is>
          <t>**Who is Fusion Technology?**
 Fusion Technology is a performance\-driven HUBZone Small Business concern residing in the heart of the beautiful mountainsides of West Virginia, steps away from the Federal Bureau of Investigation's Criminal Justice Information Services Division's Headquarters. Founded in 2007 by an Engineer\-by\-trade, Fusion Technology dedicates our valuable resources to providing comprehensive IT services and solutions to mission\-critical US Government programs and the Intel Community.
**Position Location:** 
 Chantilly, VA
**Who are you?**
**Security\-cleared Professional:** 
 You have made it through the process of receiving a United States government security clearance \- congratulations! We know you are a trustworthy intel professional because you have a Top Secret Clearance with SCI Eligibility (TS/SCI). May be asked to undergo polygraph.
**Education and Experience:** 
 You have a Bachelor's Degree in Computer Science, Software Engineering, or related field with 5\+ years of experience in software engineering. Additionally, requirements include:
* Experience with Python programming
* Software architecture principles and patterns
* Object\-oriented design and development
* Relational Databases and SQL (MySQL, PostgreSQL, Microsoft SQL)
* REST API development and integration
* Git and other source control management systems
* Software development lifecycle (SDLC) methodologies
* Unit testing and test\-driven development
* Experience with Agile methodologies
* Understanding of forensic and investigative system requirements
**What You'll Be Doing**
 As a Software Engineer, you will be responsible for the design, development, testing, and management of application development projects in support of the IT infrastructure. You will develop and implement technical efforts to design, build, and deploy applications at the direction of lead architects, including large\-scale data processing, computationally intensive statistical modeling, and advanced analytics to support a forensic and investigative ecosystem.
**Key Responsibilities**
* Design, develop, test, and manage application development projects in support of IT infrastructure.
* Integrate third\-party components and introduce new custom capabilities.
* Modify existing code and recommend process improvements.
* Automate operations and maintenance tasks.
* Develop and implement technical efforts for large\-scale data processing and advanced analytics.
* Participate in all aspects of the software development life cycle.
* Contribute to planning, requirements, development, testing, and quality assurance.
* Participate in technical project milestone reviews and code architecture sessions.
* Provide resource estimation and development best practices knowledge transfer.
* Participate in Program Increments (PIs) and Agile Release Train (ART) activities.
* Collaborate with cross\-functional teams to ensure seamless integration.
**What Matters To You Matters To Us.**
 Fusion Technology values its employees and works hard to ensure proper care for them and their families. We desire to compensate employees in a competitive, motivational, fair, and equitable way with other employers in the marketplace. Salary is only one component of employee compensation but an integral part of recruiting and retaining qualified employees. However, at Fusion Technology, we take a comprehensive approach and consider each employee's needs to tailor a compensation plan that provides financial security and peace of mind. Our competitive package includes a best\-in\-class matching 401K program, a comprehensive healthcare plan through Cigna, a competitive employer contribution to a health savings account, vision and dental plans, life insurance, short\- and long\-term disability, and personal leave, in addition to paid certifications and training.
*Fusion Technology LLC is an Equal Opportunity Employer. We respect and seek to empower each individual and support the diverse cultures, perspectives, skills, and experiences within our workforce.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t>
        </is>
      </c>
    </row>
    <row r="95">
      <c r="A95" t="inlineStr">
        <is>
          <t>li-4364270580</t>
        </is>
      </c>
      <c r="B95" t="inlineStr">
        <is>
          <t>Software Developer 1</t>
        </is>
      </c>
      <c r="C95" t="inlineStr">
        <is>
          <t>Lensa</t>
        </is>
      </c>
      <c r="D95" t="inlineStr">
        <is>
          <t>linkedin</t>
        </is>
      </c>
      <c r="E95">
        <f>HYPERLINK("https://www.linkedin.com/jobs/view/4364270580", "https://www.linkedin.com/jobs/view/4364270580")</f>
        <v/>
      </c>
      <c r="F95" t="inlineStr"/>
      <c r="G95" t="inlineStr">
        <is>
          <t>Stanford, CA</t>
        </is>
      </c>
      <c r="H95" t="inlineStr"/>
      <c r="I9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Stanford University. Clicking "Apply Now" or "Read more" on Lensa redirects you to the job board/employer site. Any information collected there is subject to their terms and privacy notice.
 Software Developer 1
**School of Medicine, Stanford, California, United States**
 Information Technology Services
 Post Date Sep 03, 2025
 Requisition \# 107107
 The Department of Genetics in the Stanford University School of Medicine is a world\-renowned hub for innovation in genomics, computational biology, and translational research. Our lab focuses on developing next\-generation computational frameworks and automatic data analyses systems to analyze single\-cell and spatial omics data, enabling new discoveries in developmental biology and disease modeling.
 We are seeking up to two Software Developer 1 to join our interdisciplinary team and support the development of a modular automatic data analyses system for automating single\-cell and spatial data analysis. The ideal candidate will contribute to the design, implementation, and scaling of cloud\-based applications that power predictive models of organogenesis and disease progression.
 This is an excellent opportunity to work at the forefront of biomedical data science, collaborating with world\-class researchers, engineers, and entrepreneurs in a fast\-paced academic and translational research environment.
**Duties Include**
* Assess user needs and requirements.
* Design and develop applications that may involve sophisticated data manipulation.
* Maintain and update existing programs.
* Troubleshoot and solve technical problems.
* Create programs to meet reporting and analysis needs.
* Design and implement user and operations training programs.
* Document changes in software for end users.
* Follow team software development methodology.
* Serve as technical resource with respect to applications.
* Support research translation, licensing, and commercialization strategy, including coordination with venture capital firms and Stanford’s innovation ecosystem.
* Assist with scientific writing, data visualization, and manuscript preparation.
* 
+ Other duties may also be assigned.
**Desired Qualifications**
* Bachelor’s degree or higher in Computer Science, Bioinformatics, Biomedical Engineering, Management Science \&amp; Engineering, or a related field.
* Strong background in data science, or computational biology, especially in handling single\-cell, spatial transcriptomics, or imaging data.
* Strong background in automatic data analyses tool development and deployment, distributed systems and others
* Proficiency in Python, R, or other scientific programming languages, with experience in software development and data pipeline automation.
* Experience with cloud computing platforms (e.g., AWS, GCP) and collaborative development tools (e.g., GitHub, Docker).
* Familiarity with scientific publication processes, manuscript preparation, and figures.
* Demonstrated ability to assess user needs, troubleshoot complex technical issues, and design user\-friendly, scalable applications.
* Knowledge of research translation and commercialization strategy, including startup planning and engagement with venture capital firms.
* Experience preparing research presentations, grant proposals, or supporting industry/academic collaborations.
* Ability to work independently and collaboratively across interdisciplinary teams in a fast\-paced academic or startup\-like environment.
* Excellent communication and organizational skills, with attention to detail and strong documentation practices.
**Education \&amp; Experience (required)**
 Bachelor's degree and three years of relevant experience or a combination of education and relevant experience.
**Knowledge, Skills And Abilities (required)**
* Working knowledge of latest software and design standards.
* Ability to define and solve logical problems for technical applications.
* Knowledge of and ability to select, adapt, and effectively use a variety of programming methods.
* Ability to recognize and recommend needed changes in user and/or operations procedures.
* Basic knowledge of software engineering principles.
* Strong knowledge of at least one programming language.
**Certifications \&amp; Licenses**
 None.
 PHYSICAL REQUIREMENTS\*:
* Constantly perform desk\-based computer tasks.
* Frequently sit, grasp lightly/fine manipulation.
* Occasionally stand/walk, writing by hand.
* Rarely use a telephone, lift/carry/push/pull objects that weigh up to 10 pounds
* \- Consistent with its obligations under the law, the University will provide reasonable accommodation to any employee with a disability who requires accommodation to perform the essential functions of his or her job.
**Working Conditions**
 May work extended hours, evening and weekends.
**WORK STANDARDS (from JDL)**
* Interpersonal Skills: Demonstrates the ability to work well with Stanford colleagues and clients and with external organizations.
* Promote Culture of Safety: Demonstrates commitment to personal responsibility and value for safety; communicates safety concerns; uses and promotes safe behaviors based on training and lessons learned.
* Subject to and expected to comply with all applicable University policies and procedures, including but not limited to the personnel policies and other policies found in the University's Administrative Guide, http://adminguide.stanford.edu.
 The expected pay range for this position is $107,423 to $133,600 per annum. Stanford University provides pay ranges representing its good faith estimate of what the university reasonably expects to pay for a position.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
 At Stanford University, base pay represents only one aspect of the comprehensive rewards package. The Cardinal at Work website (https://cardinalatwork.stanford.edu/benefits\-rewards) provides detailed information on Stanford’s extensive range of benefits and rewards offered to employees. Specifics about the rewards package for this position may be discussed during the hiring process.
 The job duties listed are typical examples of work performed by positions in this job classification and are not designed to contain or be interpreted as a comprehensive inventory of all duties, tasks, and responsibilities. Specific duties and responsibilities may vary depending on department or program needs without changing the general nature and scope of the job or level of responsibility. Employees may also perform other duties as assigned.
 Consistent with its obligations under the law, the University will provide reasonable accommodations to applicants and employees with disabilities. Applicants requiring a reasonable accommodation for any part of the application or hiring process should contact Stanford University Human Resources atstanfordelr@stanford.edu. For all other inquiries, please submit acontact form.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Additional Information
* Schedule: Full\-time
* Job Code: 4821
* Employee Status: Regular
* Grade: I
* Requisition ID: 107107
* Work Arrangement : On Site
 If you have questions about this posting, please contact support@lensa.com</t>
        </is>
      </c>
    </row>
    <row r="96">
      <c r="A96" t="inlineStr">
        <is>
          <t>li-4363759394</t>
        </is>
      </c>
      <c r="B96" t="inlineStr">
        <is>
          <t>Software Engineer II</t>
        </is>
      </c>
      <c r="C96" t="inlineStr">
        <is>
          <t>Samsara</t>
        </is>
      </c>
      <c r="D96" t="inlineStr">
        <is>
          <t>linkedin</t>
        </is>
      </c>
      <c r="E96">
        <f>HYPERLINK("https://www.linkedin.com/jobs/view/4363759394", "https://www.linkedin.com/jobs/view/4363759394")</f>
        <v/>
      </c>
      <c r="F96" t="inlineStr"/>
      <c r="G96" t="inlineStr"/>
      <c r="H96" t="inlineStr"/>
      <c r="I96" t="inlineStr">
        <is>
          <t>**About The Company** 
 Samsara (NYSE: IOT) is at the forefront of the Internet of Things (IoT) revolution, pioneering the Connected Operations Cloud platform. Our mission is to enable organizations that rely on physical operations to harness IoT data, transforming their processes into safer, more efficient, and sustainable operations. Serving industries that constitute over 40% of the global GDP, such as agriculture, construction, field services, transportation, and manufacturing, we are committed to digital transformation at scale. Our innovative solutions help improve safety standards, optimize operational efficiency, and promote environmental sustainability across these vital sectors.
 As a dynamic and rapidly growing company, Samsara offers an environment where employees can make a tangible impact on the physical world. Our product suite includes Video\-Based Safety, Vehicle Telematics, Driver Workflows, Equipment Monitoring, and Site Visibility, all designed to reshape how industries operate. Working at Samsara means being part of a team that is shaping the future of physical operations, with the autonomy and support to innovate and grow in a collaborative setting. Being a recently public company, we provide our team members with opportunities for professional development, meaningful work, and long\-term career growth.
**About The Role** 
 The Full\-Stack Software Engineer role within the Platform team is pivotal to the development and maintenance of Samsara’s core infrastructure and customer\-facing features. The platform acts as the central hub connecting various product spokes—such as safety, route planning, maintenance, and fuel efficiency—allowing seamless user interaction and data management. Unlike traditional platforms that operate behind the scenes, Samsara’s platform is highly integrated with the customer experience, providing dashboards, reports, settings, and alerts that are essential for operational decision\-making.
 In this role, you will take full ownership of the systems and features you develop, ensuring they are scalable, reliable, and impactful. You will collaborate closely with cross\-functional teams—including product managers, designers, firmware, and infrastructure engineers—to design, build, test, and deploy end\-to\-end solutions. Your work will directly influence the safety and emissions performance of fleets worldwide, contributing to real\-world outcomes such as reducing carbon footprints and enhancing worker safety. This position is remote and open to candidates residing in the United States, offering flexibility to work from anywhere while contributing to a meaningful mission.
**Qualifications** 
* 2\+ years of professional experience building customer\-facing applications
* Strong programming fundamentals in Java, Python, Golang, or TypeScript
* Experience designing and architecting large\-scale, high\-performance systems
* Ability to estimate, communicate, and deliver project milestones effectively
* Bachelor’s degree or higher in Computer Science or a related discipline
**Additional Preferred Qualifications Include** 
* Experience with cloud platforms such as AWS
* Familiarity with multi\-tier architectures, including React frontends and microservices
* Proven track record of delivering significant value to customers
* Curiosity about customer needs and eagerness to improve user experience
* Passion for shipping features that are immediately utilized by customers
* Interest in iterating and improving products based on customer feedback
**Responsibilities** 
* Collaborate with product managers, designers, firmware, and infrastructure engineers to architect, develop, test, and deploy full\-stack features across front\-end, back\-end, and mobile platforms
* Maintain and support production systems owned by your team, ensuring high availability and performance
* Implement customer\-facing features that enhance user experience and operational insights
* Participate in code reviews, testing, and documentation to uphold quality standards
* Partner with cross\-functional teams to gather requirements, prioritize tasks, and evangelize platform capabilities
* Contribute to building a collaborative, inclusive, and innovative team culture
* Embed Samsara’s core cultural principles—Customer Success, Long\-term Building, Growth Mindset, Inclusivity, and Teamwork—into daily work practices
**Benefits** 
* Competitive total compensation package
* Flexible remote and hybrid work arrangements
* Health, dental, and vision insurance plans
* Paid time off and holidays
* Professional development opportunities and continuous learning
* Inclusive and diverse work environment
* Employee\-led wellness programs and initiatives
* Support for accommodations and accessibility needs
 Equal Opportunity
 Samsara is committed to creating a diverse and inclusive workplace. We provide equal employment opportunities to all qualified applicants without regard to race, color, religion, national origin, sex, gender identity, sexual orientation, protected veteran status, disability, age, or any other characteristic protected by law.</t>
        </is>
      </c>
    </row>
    <row r="97">
      <c r="A97" t="inlineStr">
        <is>
          <t>li-4363819655</t>
        </is>
      </c>
      <c r="B97" t="inlineStr">
        <is>
          <t>Software Engineer (API, Data)</t>
        </is>
      </c>
      <c r="C97" t="inlineStr">
        <is>
          <t>Gusto</t>
        </is>
      </c>
      <c r="D97" t="inlineStr">
        <is>
          <t>linkedin</t>
        </is>
      </c>
      <c r="E97">
        <f>HYPERLINK("https://www.linkedin.com/jobs/view/4363819655", "https://www.linkedin.com/jobs/view/4363819655")</f>
        <v/>
      </c>
      <c r="F97" t="inlineStr"/>
      <c r="G97" t="inlineStr"/>
      <c r="H97" t="inlineStr"/>
      <c r="I97" t="inlineStr">
        <is>
          <t>**About The Company** 
 Gusto is a leading provider of comprehensive payroll, benefits, and HR management solutions dedicated to empowering small businesses. With a mission to grow the small business economy, Gusto simplifies complex administrative tasks, allowing business owners to focus on their core operations and customer relationships. The company boasts a diverse team located in Denver, San Francisco, and New York, supporting over 400,000 small businesses nationwide. Gusto prides itself on fostering an inclusive workplace culture that reflects and celebrates the diversity of its customers. Its innovative approach to employee benefits and commitment to total rewards make it a prominent player in the HR technology space.
**About The Role** 
 We are seeking a highly skilled Staff Software Engineer to join Gusto’s Payroll Platform team. This pivotal role involves designing, developing, and maintaining backend infrastructure that powers Gusto’s payroll experiences. As a fully backend\-focused position, you will be responsible for creating and evolving internal APIs and services used by various product teams to ensure payroll processes are accurate, compliant, and scalable. The ideal candidate will own complex technical problems from conception to implementation, collaborate closely with cross\-functional teams, and contribute to raising the technical standards of payroll capabilities across the organization. This role offers an exciting opportunity to influence the foundational systems that support millions of payroll transactions for small businesses across the country.
**Qualifications** 
* 8\+ years of professional software engineering experience, with a strong emphasis on backend development
* Proven experience in building and scaling internal platforms, shared services, or foundational APIs supporting multiple product teams
* Strong system design skills, including performance optimization, scalability, and reliability in production environments
* Experience working independently on ambiguous problems, from understanding business needs to delivery and iteration
* Proficiency in one or more backend programming languages; experience with Ruby is strongly preferred
* Experience with AI\-assisted development tools such as LLMs, Claude Code, or Cursor, and familiarity with their adoption in engineering workflows
* Excellent collaboration skills, with a history of acting as a technical partner across teams
* Experience in highly regulated domains, ensuring compliance and security standards are met
**Responsibilities** 
* Design, develop, and maintain backend services and APIs supporting core payroll workflows used by multiple Gusto engineering teams
* Own a primary domain within the Payroll Platform, overseeing system health, correctness, scalability, and long\-term evolution
* Collaborate with cross\-functional teams including Product, Design, Data, Compliance, and Operations to deliver compliant and impactful solutions
* Drive architecture and design documentation, guiding technical direction while balancing immediate delivery needs with long\-term platform goals
* Enhance system performance, reliability, and observability to support payroll processing for hundreds of thousands of businesses
* Partner with other engineering teams to understand their requirements, promote platform adoption, and co\-design scalable solutions
* Leverage AI\-assisted development tools to accelerate development cycles, improve code quality, and facilitate documentation
* Participate in code reviews, technical discussions, and continuous improvement initiatives to uphold engineering excellence
**Benefits** 
* Competitive salary range, with targeted compensation based on experience and location
* Stock options and equity participation
* Comprehensive health, dental, and vision insurance plans
* Flexible work arrangements, including hybrid work models in designated office locations
* Generous paid time off and holidays
* Professional development opportunities and continuous learning support
* Inclusive and diverse workplace culture that values innovation and collaboration
* Employee wellness programs and resources to support work\-life balance
 Equal Opportunity
 Gusto is an equal opportunity employer. We celebrate diversity and are committed to creating an inclusive environment for all employees. We do not discriminate based on race, color, religion, national origin, age, sex (including pregnancy, childbirth, or related medical conditions), marital status, ancestry, physical or mental disability, genetic information, veteran status, gender identity or expression, sexual orientation, or any other legally protected characteristic.</t>
        </is>
      </c>
    </row>
    <row r="98">
      <c r="A98" t="inlineStr">
        <is>
          <t>li-4364009605</t>
        </is>
      </c>
      <c r="B98" t="inlineStr">
        <is>
          <t>Backend Software Developer</t>
        </is>
      </c>
      <c r="C98" t="inlineStr">
        <is>
          <t>Sketchy</t>
        </is>
      </c>
      <c r="D98" t="inlineStr">
        <is>
          <t>linkedin</t>
        </is>
      </c>
      <c r="E98">
        <f>HYPERLINK("https://www.linkedin.com/jobs/view/4364009605", "https://www.linkedin.com/jobs/view/4364009605")</f>
        <v/>
      </c>
      <c r="F98" t="inlineStr"/>
      <c r="G98" t="inlineStr"/>
      <c r="H98" t="inlineStr"/>
      <c r="I98" t="inlineStr">
        <is>
          <t>**About The Company**
 Sketchy is at the forefront of transforming clinical education through innovative storytelling, scalable platforms, and applied artificial intelligence. Dedicated to expanding access to high\-quality medical training, Sketchy partners with institutions, health systems, and learners worldwide to prepare clinicians for the future of healthcare. Our mission emphasizes building clinicians' readiness and agility to deliver better decisions, foster stronger patient connections, and provide higher\-quality care in a rapidly evolving medical landscape shaped by AI and precision medicine. We are committed to reimagining core competencies such as clinical reasoning and communication, empowering every learner to adapt, grow, and lead in the healthcare industry of tomorrow.
**About The Role**
 As a Principal Software Developer, Backend at Sketchy, you will play a pivotal role in shaping the technical direction of our most critical backend systems and AI\-enabled services. You will be responsible for guiding architecture decisions that balance speed, reliability, and long\-term maintainability, ensuring the delivery of scalable and robust solutions. This role requires a strategic thinker who can translate ambiguous product goals into clear technical plans, collaborating closely with Product, Design, Data, and Frontend Engineering teams.
 You will serve as a technical leader, mentoring team members, conducting architecture reviews, and establishing engineering best practices. Your expertise will help us build and operate AI\-driven workflows, retrieval systems, and monitoring frameworks that directly impact how clinicians learn and practice medicine. This is an exciting opportunity for an experienced backend engineer passionate about applied AI, high\-ownership environments, and making a tangible difference in healthcare education.
**Qualifications**
* 10\+ years of experience building and operating production backend systems in consumer and/or B2B SaaS environments, including experience with scaling and distributed systems
* Deep expertise in AWS cloud\-native architectures (EC2, Fargate, Lambda, queues) and Infrastructure as Code (Terraform)
* Proficiency with Node.js, TypeScript, and modern backend frameworks such as NestJS or equivalent
* Experience working with Redis, Postgres, SQL, and data\-intensive backend systems
* Proven ability to design scalable architectures and lead complex technical decisions related to APIs, data models, async workflows, caching, and migrations
* Strong knowledge of Docker, CI/CD pipelines, and production deployment patterns
* Expertise in observability, reliability, and cost optimization using metrics, logging, and tracing tools (e.g., Datadog)
* Excellent communication skills with a track record of ownership and delivery in fast\-paced startup environments
* Hands\-on experience with applied AI and Generative AI, including shipping AI\-enabled features, LLM\-backed workflows, retrieval patterns (RAG, embeddings, vector databases), evaluation, guardrails, and monitoring for quality, latency, and model drift
**Responsibilities**
* Own architecture and establish technical direction for major backend systems and initiatives, ensuring a balance between product velocity, reliability, scalability, and maintainability
* Lead cross\-functional teams by translating ambiguous product requirements into clear technical plans, milestones, and measurable outcomes
* Design, build, and operate applied AI systems in production, including LLM\-backed workflows, retrieval patterns, embeddings, and vector stores
* Develop evaluation frameworks, guardrails, and quality measurement tools to monitor AI system performance and safety
* Implement monitoring solutions for latency, cost, failures, and model drift to ensure operational excellence
* Establish and uphold engineering best practices across the backend organization, including code quality, testing strategies, documentation, and incident response
* Mentor team members through technical guidance, architecture reviews, and raising engineering standards
* Drive operational excellence by improving observability, system reliability, performance tuning, and cost efficiency
* Participate in on\-call rotations, supporting production systems and leading investigations during incidents
* Break down complex product requirements into well\-scoped workstreams to enable predictable delivery and high\-quality output
**Benefits**
* Competitive salary range of $195,000 to $215,000 annually, complemented by performance\-based bonuses and stock options
* Equity stake from day one, aligning your success with the company's growth
* 401(k) plan with up to 5% matching to support your financial future
* Annual company retreats in desirable locations for team building and relaxation
* Flexible time off policy to promote work\-life balance
* Annual work anniversary stipend to celebrate milestones
* Monthly reimbursement for Wi\-Fi and phone expenses
* Short\-term and long\-term disability coverage for added security
 Equal Opportunity
 Sketchy Group LLC is an Equal Opportunity Employer. We are committed to creating an inclusive environment where all applicants are considered without discrimination based on race, religion, color, sex, age, sexual orientation, marital status, national origin, disability, or any other protected characteristic by applicable law. We welcome diverse perspectives and are dedicated to fostering a workplace that reflects the communities we serve.</t>
        </is>
      </c>
    </row>
    <row r="99">
      <c r="A99" t="inlineStr">
        <is>
          <t>li-4363849970</t>
        </is>
      </c>
      <c r="B99" t="inlineStr">
        <is>
          <t>SOFTWARE ENGINEER 1</t>
        </is>
      </c>
      <c r="C99" t="inlineStr">
        <is>
          <t>HII</t>
        </is>
      </c>
      <c r="D99" t="inlineStr">
        <is>
          <t>linkedin</t>
        </is>
      </c>
      <c r="E99">
        <f>HYPERLINK("https://www.linkedin.com/jobs/view/4363849970", "https://www.linkedin.com/jobs/view/4363849970")</f>
        <v/>
      </c>
      <c r="F99" t="inlineStr"/>
      <c r="G99" t="inlineStr">
        <is>
          <t>Newport News, VA</t>
        </is>
      </c>
      <c r="H99" t="inlineStr"/>
      <c r="I99" t="inlineStr">
        <is>
          <t>Location
 Newport News, Virginia, United States
 Date: Jan 15, 2026
 Req ID: 43986
 Team: T53 DIGITAL TRANSFORMATION
 Entity: Newport News Shipbuilding
 US Citizenship Required for this Position: Yes
 Full\-Time
 Shift: 1st
 Relocation: No relocation assistance available
 Virtual/Telework Opportunity: Yes \- Telework available up to 100%
 Travel Requirements: No
 Clearance Required: No \- Clearance Not Required to Start
* Salary Range: $67,366\.00 to $84,214\.00
 Meet HII's Newport News Shipbuilding
 With more than 25,000 employees \- including third\-, fourth\- and even fifth\-generation shipbuilders \- HII's Newport News Shipbuilding (NNS) division is the largest industrial employer in Virginia. We're the sole designer, builder and refueler of U.S. Navy nuclear aircraft carriers and one of two providers of U.S. Navy nuclear submarines. Our diverse and innovative team of professionals ranges from skilled trades to project managers, engineers and software developers to solution architects, technical subject matter experts, and system users. Anchored in our rich, 135\-year history, we collaborate together at the forefront of technology, manufacturing, and integration of the most powerful and survivable naval ships in the world. Want to be part of the team? Apply today! We look forward to meeting you.
**The Role**
 Design, develop, and test operating systems\-level software, compilers, and network distribution software. Set operational specifications, and formulate and analyze software requirements. May design embedded systems software.
 We are looking for an entry level Software Engineer who is interested in designing and building information systems to support construction of some of the largest and most complex products in the world. We are the sole designer and builder of U.S. Navy Aircraft Carriers and one of two providers of U.S. Navy Submarines. We are an extremely diverse organization with a talented and dedicated team of programmers, engineers, architects and administrators working together to support our ever changing technical landscape.
 As a Software Engineer you will build and maintain systems that process information across multiple disciplines: Materials Management, Planning and Provisioning, Human Resources, Finance, etc. You will interface with the most powerful systems in the world: SAP, Team Center, SharePoint, JDA Component Supplier Management System, Hyperion, etc. and work with the most advanced data base engines in the world: SQL Server and ORACLE. You will support engineering organizations of all disciplines (Mechanical, Metallurgical, Electrical, Radiological, Civil, etc.), craftsmen of all types (Electricians, Welders, Fitters, Fabricators, Machinists, etc.) and critical support organizations (Communications, Payroll, Clinic, Quality, Security, Supply Chain, etc.). The depth and breadth of Newport News Shipbuilding is vast and the opportunities for technical growth immense \- join our team and jumpstart your career. If you envision yourself participating in grooming sessions where you are developing software in partnership with our business partners and vendors; leveraging your creativity to architect and design innovative solutions; and working collaboratively with a diverse group of project managers, systems engineers, software developers, solution architects, technical subject matter experts, and system users to deliver solutions and business value; then join our team and be at the technological forefront of our nation's defense.
**Must Have**
 Bachelor's Degree and 0 years of relevant exempt experience.
 One of the following may be used as an equivalent to Bachelor's Degree for Information Technology Related Positions Only:
* NNS Apprentice School graduate
* Navy Nuclear Power School (NNPS) graduate
* Associate's Degree or other formal 2 year program and 2 years of relevant exempt experience or 4 years of relevant non\-exempt experience
* Military Paygrade E\-5 or above military experience
* High School/GED and 4 years combined of Manufacturing, Shipbuilding, Trades, Military experience or other relevant exempt experience
* High School/GED and 8 years combined of Manufacturing, Shipbuilding, Trades, Military experience or other relevant non\-exempt experience
* A relevant professional certification can be substituted for a Bachelor's Degree.
**Nice to Have**
 Candidate should have basic understanding of the following;
* Microsoft Visual Studio
* Programming Languages: C/C\+\+, C\#, .NET, Java, Python
* Knowledge of product development utilizing PLM systems
* IT systems architecture / design experience and knowledge and use of each stage of the Software Development Life Cycle
* How to perform under conflicting/changing direction/priorities
* Written/oral communication and teaming skills
* DevOps methodologies and tools, such as Continuous Integration/Delivery (CI/CD) preferably with Git and Azure DevOps
* Experience with Test Driven Development (TDD) using Design Patterns such as Dependency Injection and Adapters, and MSTest and NSubstitute
**Why HII**
 We build the world's most powerful, survivable naval ships and defense technology solutions that safeguard our seas, sky, land, space and cyber. HII's diverse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Working at HII is more than a job \- it's an opportunity to build a future. We offer comprehensive benefits including: medical, prescription drug, dental and vision plan choices, on\-site health centers, tele\-medicine, wellness resources, employee assistance programs, savings plan options (401K), financial education and planning tools, life insurance, tuition reimbursement, employee discounts, early childhood and post\-secondary education scholarships, and more. Some benefits may vary depending on your specific division or work location.
**Together we are working to ensure a future where everyone can be free and thrive.**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U.S. Citizenship may be required for certain positions.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\#2 for Newport News Shipbuilding.</t>
        </is>
      </c>
    </row>
    <row r="100">
      <c r="A100" t="inlineStr">
        <is>
          <t>li-4364290466</t>
        </is>
      </c>
      <c r="B100" t="inlineStr">
        <is>
          <t>Software Developer - Junior</t>
        </is>
      </c>
      <c r="C100" t="inlineStr">
        <is>
          <t>Lensa</t>
        </is>
      </c>
      <c r="D100" t="inlineStr">
        <is>
          <t>linkedin</t>
        </is>
      </c>
      <c r="E100">
        <f>HYPERLINK("https://www.linkedin.com/jobs/view/4364290466", "https://www.linkedin.com/jobs/view/4364290466")</f>
        <v/>
      </c>
      <c r="F100" t="inlineStr"/>
      <c r="G100" t="inlineStr">
        <is>
          <t>Chantilly, VA</t>
        </is>
      </c>
      <c r="H100" t="inlineStr"/>
      <c r="I10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Parsons Corporation. Clicking "Apply Now" or "Read more" on Lensa redirects you to the job board/employer site. Any information collected there is subject to their terms and privacy notice.
 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Corporation is currently searching for a full\-time
 **Software Developer Junior** 
 position at our Chantilly, VA location. This will lead teams in the design, development, and maintenance of complex systems. We meet customer and mission needs by leveraging cutting\-edge research and technology, using small teams to rapidly get capabilities into the hands of the warfighter. Our technical efforts focus on signal processing, image processing, full\-motion video, mission planning, and data analytics.
 As a leading member of our team, you would work on one or more efforts at a time, assisting and managing multiple parts of the development process, from understanding customer requirements, to design, development, testing and deployment. Senior members at BRE also directly assist with winning new work, writing proposals, and interacting with the customer. Since we deal with specific customer needs, it will be necessary to understand the problem, to utilize methods from a potentially wide variety of domains, produce functional solutions, and see the efforts through to completion. Opportunities to cross\-cut technical areas and hone adjacent skills abound.
**What You'll Be Doing**
* Work closely with engineers, analysts, and other developers to brainstorm and implement creative solutions for customer needs.
* Share expertise in software development, signal processing, and data analytics to guide the team toward achieving program objectives.
* Take a leadership role in defining the technical direction of projects, ensuring that the team's efforts align with customer requirements and mission goals.
* Mentor junior team members, providing guidance on best practices, coding standards, and problem\-solving approaches.
* Contribute to the development of high\-quality software solutions, leveraging programming languages like Python and C/C\+\+ in a Linux environment.
* Collaborate with team members to test and refine code, ensuring reliability, scalability, and performance.
* Work with tools and frameworks such as AWS, Docker, Kubernetes, and machine learning libraries (e.g., PyTorch, TensorFlow) to enhance the team's capabilities.
* Explore and implement advanced techniques in digital signal processing, geolocation, and high\-performance computing.
* Participate in brainstorming sessions to identify innovative approaches and refine technical designs.
* Provide regular updates to team members and stakeholders, fostering transparency and collaboration.
* Help the team stay ahead of the curve by researching and integrating emerging technologies and methodologies.
* Ensure that the team's work directly supports the warfighter by delivering functional, reliable, and impactful solutions.
* Take pride in seeing projects through from conception to deployment, knowing that your contributions make a tangible difference.
**What Required Skills You'll Bring**
* Bachelor's or advanced degree in Electrical Engineering, Computer Science, Computer Engineering, or related discipline
* Minimum of 2 years of experience in software design/development, data structures, and algorithms
* TS/SCI is required
* Minimum of 1 years of experience in a Linux environment and software development
* Minimum of 1 years of Programming Languages: Python, C/C\+\+ Code management with Git or other common tools
**What Desired Skills You'll Bring**
* Tools \&amp; Frameworks: X\-Midas, Git, OpenCV, Amazon Web Services (AWS), Keras, Qt/PyQt, Android
* Digital Signal Processing (DSP) experience
* T/FDOA or other externals geolocation experience
* Machine learning framework experience (PyTorch, Tensorflow)
* Docker/containerization experience
* Experience with Kubernetes
* Gitlab CI/CD experience
* High Performance Computing: CUDA/GPU, Grid Systems, Parallel Processing, Threading
* An active TS/SCI w/polygraph is preferred
**Security Clearance Requirement**
 An active Top Secret SCI security clearance is required for this position.?
 This position is part of our Federal Solutions team.
 The Federal Solutions segment delivers resources to our US government customers that ensure the success of missions around the globe. Our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$86,700\.00 \- $151,700\.00
 Parsons is an equal opportunity employer, and all qualified applicants will receive consideration for employment without regard to race, color, religion, sex, national origin, disability, veteran status or any other protected status.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 .
**About Us**
 Parsons is a digitally enabled solutions provider focused on the defense, security, and infrastructure markets. With nearly 75 years of experience, Parsons is uniquely qualified to deliver cyber/converged security, technology\-based intellectual property, and other innovative services to federal, regional, and local government agencies, as well as to private industrial customers worldwide.
 Parsons is an equal opportunity, drug\-free employer committed to diversity in the workplace. Minority/Female/Disabled/Protected Veteran/LGBTQ\+.
 For more about Parsons, visit parsons.com and follow us on Facebook, Twitter, LinkedIn, and YouTube.
 If you have questions about this posting, please contact support@lensa.com</t>
        </is>
      </c>
    </row>
    <row r="101">
      <c r="A101" t="inlineStr">
        <is>
          <t>li-4364260556</t>
        </is>
      </c>
      <c r="B101" t="inlineStr">
        <is>
          <t>Software Developer 1</t>
        </is>
      </c>
      <c r="C101" t="inlineStr">
        <is>
          <t>Lensa</t>
        </is>
      </c>
      <c r="D101" t="inlineStr">
        <is>
          <t>linkedin</t>
        </is>
      </c>
      <c r="E101">
        <f>HYPERLINK("https://www.linkedin.com/jobs/view/4364260556", "https://www.linkedin.com/jobs/view/4364260556")</f>
        <v/>
      </c>
      <c r="F101" t="inlineStr"/>
      <c r="G101" t="inlineStr">
        <is>
          <t>Denver, CO</t>
        </is>
      </c>
      <c r="H101" t="inlineStr"/>
      <c r="I10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**Job Description**
 Design, develop, troubleshoot and debug software programs for databases, applications, tools, networks etc.
**Responsibilities**
 As a member of the software engineering division, you will use basic knowledge of software architecture to perform tasks associated with developing, debugging or designing software applications or operating systems according to provided design specifications. Build enhancements within an existing software architecture.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$61,200 to $141,200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IC1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102">
      <c r="A102" t="inlineStr">
        <is>
          <t>li-4364310529</t>
        </is>
      </c>
      <c r="B102" t="inlineStr">
        <is>
          <t>Software Engineer 0</t>
        </is>
      </c>
      <c r="C102" t="inlineStr">
        <is>
          <t>Lensa</t>
        </is>
      </c>
      <c r="D102" t="inlineStr">
        <is>
          <t>linkedin</t>
        </is>
      </c>
      <c r="E102">
        <f>HYPERLINK("https://www.linkedin.com/jobs/view/4364310529", "https://www.linkedin.com/jobs/view/4364310529")</f>
        <v/>
      </c>
      <c r="F102" t="inlineStr"/>
      <c r="G102" t="inlineStr">
        <is>
          <t>Fort Meade, MD</t>
        </is>
      </c>
      <c r="H102" t="inlineStr"/>
      <c r="I10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Orion Consortium. Clicking "Apply Now" or "Read more" on Lensa redirects you to the job board/employer site. Any information collected there is subject to their terms and privacy notice.
* Position requires TS/SCI with a Full Scope polygraph
* Must have updated poly within the last 7 years
**Position Description**
 The Software Engineer 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**Desired Skills**
* DevOps, Automated testing and CI/CD pipelines in Git
* Container and Container Management i.e. Ansible, Docker, Kubernetes and Rancher
* Modern software languages such as Go/Golang and micro\-service architecture development
* C\+\+20 or newer based on Boost
* Java
* Front End Development with Javascript and/or React or other frameworks
* Python
* Linux Development Environment
* Circuit Switched and Mobile Telephony
* Reactor pattern architecture systems
* Developing event stream processing systems
* SQL (MySQL, MariaDB) and Elasticsearch
* Dataflow tools and message queues
* AI experience with regards to Human\-Language Translation tools and techniques
* RF algorithm development
**Qualifications**
 No demonstrated experience is required. Bachelor’s degree in Computer Science or related discipline from an accredited college or university is required Four (4\) years of SWE experience on projects with similar software processes may be substituted for a bachelor’s degree.
**Clearance Required**
 TS/SCI FS poly
 Powered by JazzHR
 If you have questions about this posting, please contact support@lensa.com</t>
        </is>
      </c>
    </row>
    <row r="103">
      <c r="A103" t="inlineStr">
        <is>
          <t>li-4363759693</t>
        </is>
      </c>
      <c r="B103" t="inlineStr">
        <is>
          <t>Software Developer, Mid</t>
        </is>
      </c>
      <c r="C103" t="inlineStr">
        <is>
          <t>Trilogy Innovations</t>
        </is>
      </c>
      <c r="D103" t="inlineStr">
        <is>
          <t>linkedin</t>
        </is>
      </c>
      <c r="E103">
        <f>HYPERLINK("https://www.linkedin.com/jobs/view/4363759693", "https://www.linkedin.com/jobs/view/4363759693")</f>
        <v/>
      </c>
      <c r="F103">
        <f>HYPERLINK("https://www.adzuna.com/details/5590421850?v=99E0F2228E4F2497AD73C09E4B61B8F4794AEF34&amp;frd=6f8263ed441ac3933b590d11aaf9b930&amp;ccd=41346df2c465080f672f08acd0e22b64&amp;r=21086177&amp;utm_source=linkedin7&amp;utm_medium=organic&amp;chnlid=1931&amp;title=Software%20Developer%2C%20Mid&amp;a=e&amp;urlHash=UV5F", "https://www.adzuna.com/details/5590421850?v=99E0F2228E4F2497AD73C09E4B61B8F4794AEF34&amp;frd=6f8263ed441ac3933b590d11aaf9b930&amp;ccd=41346df2c465080f672f08acd0e22b64&amp;r=21086177&amp;utm_source=linkedin7&amp;utm_medium=organic&amp;chnlid=1931&amp;title=Software%20Developer%2C%20Mid&amp;a=e&amp;urlHash=UV5F")</f>
        <v/>
      </c>
      <c r="G103" t="inlineStr">
        <is>
          <t>Bridgeport, WV</t>
        </is>
      </c>
      <c r="H103" t="inlineStr"/>
      <c r="I103" t="inlineStr">
        <is>
          <t>Trilogy Innovations is seeking Software Developer, Mids to remotely support our federal customer. This is an exciting opportunity to join our growing team, while taking part in a multi\-year initiative to modernize our federal customer's large\-scale IT systems.
 This role
 **requires** 
 at least a Secret Security Clearance, and primary work location is remote.
**Responsibilities**
* Develops, creates, and modifies general computer applications software or specialized utility programs.
* Design, build, and maintain microservices in a cloud native architecture.
* Operate and support an enterprise scale production system; identify, troubleshoot, and resolve complex system issues.
* Analyze user needs to develop robust software solutions aligned with business and mission goals.
* Analyze, design, and optimize relational and NoSQL databases within application ecosystems.
* Participate in code reviews, pair programming, and mentoring of junior developers to promote engineering excellence.
* Collaborate with cross functional teams including DevOps, QA, Security, Product, and Architecture.
**High\-level objectives include, but are not limited to the following:**
* Migrate all current\-system functionality from the mainframes and operate within a cloud\-based environment (AWS GovCloud)
* Transition investigative search capabilities to Elasticsearch or similar technologies to improve speed and analytical capabilities for law enforcement users.
* Build new microservices using OpenShift based container platforms following scalable, cloud native patterns.
* Implement full stack components where applicable, supporting UI integration layers using modern JavaScript frameworks.
* Support integration with event driven architectures and high throughput data processing systems.
**Requirements**
* Bachelor’s Degree with a minimum of 5 years of work experience or Associate’s Degree with a minimum of 7 years of experience.
* Active Tier 3 Secret clearance (or higher).
* Strong proficiency in Java and Object Oriented Programming.
* Experience developing microservices, REST APIs, and cloud native applications.
* Hands on experience with Kubernetes, containerization, and automated deployments.
* Experience designing, developing, and operating solutions in AWS or other cloud platforms.
* Experience with event driven architectures and two or more of the following:
+ Apache Kafka
+ Pub/Sub patterns
+ Streaming
+ Event sourcing
* Experience operating within GitOps practices (GitLab, GitHub, Bitbucket, ArgoCD, etc.).
* Experience working within Agile frameworks, including participation in Scrum/SAFe ceremonies.
* Familiarity with Atlassian tools (Jira, Confluence, Bitbucket).
**Additional Preferred Qualifications**
* Demonstrate a positive, collaborative attitude and a commitment to team success
* Take pride in delivering high\-quality, reliable software that supports a mission\-critical system
* Demonstrate accountability for assigned work and shared team outcomes
* Engage constructively in Agile ceremonies and technical discussions
* Maintain a strong work ethic, professionalism, and respect for teammates, stakeholders, and mission priorities
* Adapts to change and approaches challenges with a solution\-oriented mindset.
**Why work for Trilogy Innovations?**
* Professional Development Programs for all employees
* Referral Bonus Programs (Employees \&amp; Business Development)
* 401(k) with company match
* Comprehensive medical, vision and dental insurance; life/disability insurance coverage
* Health Spending Account (HSA)
 Trilogy Innovations, Inc. is a minority\-owned (8a) certified systems and software engineering company that delivers superior technical solutions across private and public sectors. Since 2010, our talented personnel have successfully provided Innovative IT solutions across government agencies such as the FBI, U.S. Air Force, NASA, Department of Education, Department of Energy, U.S. Coast Guard, SOCOM, and private industries in Oil \&amp; Gas, and Land Management Services.
*Trilogy Innovations,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104">
      <c r="A104" t="inlineStr">
        <is>
          <t>li-4363739696</t>
        </is>
      </c>
      <c r="B104" t="inlineStr">
        <is>
          <t>Software Engineer (C++, API)</t>
        </is>
      </c>
      <c r="C104" t="inlineStr">
        <is>
          <t>Cohere</t>
        </is>
      </c>
      <c r="D104" t="inlineStr">
        <is>
          <t>linkedin</t>
        </is>
      </c>
      <c r="E104">
        <f>HYPERLINK("https://www.linkedin.com/jobs/view/4363739696", "https://www.linkedin.com/jobs/view/4363739696")</f>
        <v/>
      </c>
      <c r="F104">
        <f>HYPERLINK("https://www.wiraa.com/job-description/usE378E3732AAEABEA007439363095C148?source=Linkedin&amp;urlHash=XtO0", "https://www.wiraa.com/job-description/usE378E3732AAEABEA007439363095C148?source=Linkedin&amp;urlHash=XtO0")</f>
        <v/>
      </c>
      <c r="G104" t="inlineStr"/>
      <c r="H104" t="inlineStr"/>
      <c r="I104" t="inlineStr">
        <is>
          <t>**About The Company** 
 Cohere's is to scale intelligence to serve humanity. We’re training and deploying frontier models for developers and enterprises who are building AI systems to power magical experiences like content generation, semantic search, RAG, and agents. We believe that our work is instrumental to the widespread adoption of AI.
 We obsess over what we build. Each one of us is responsible for contributing to increasing the capabilities of our models and the value they drive for our customers. We like to work hard and move fast to do what’s best for our customers.
 Cohere is a team of researchers, engineers, designers, and more, who are passionate about their craft. Each person is one of the best in the world at what they do. We believe that a diverse range of perspectives is a requirement for building great products.
 Join us on our mission and shape the future!
**About The Role** 
 Are you energized by building high\-performance, scalable, and reliable machine learning systems? Do you want to help define and build the next generation of AI platforms powering advanced NLP applications? We are seeking Members of Technical Staff to join our Model Serving team at Cohere. This team is responsible for developing, deploying, and operating the AI platform that delivers Cohere's large language models via easy\-to\-use API endpoints.
 In this role, you will collaborate closely with multiple teams to deploy optimized NLP models into production environments characterized by low latency, high throughput, and high availability. You will have the opportunity to interface directly with customers, creating customized deployments tailored to their specific needs. Your work will be critical in ensuring the robustness, efficiency, and scalability of our AI infrastructure, contributing directly to the success of our products and services.
 The ideal candidate will have a strong background in building and maintaining large\-scale distributed systems, with a focus on machine learning infrastructure. You will play a key role in troubleshooting, optimizing, and scaling our platform to meet the demands of enterprise clients and internal stakeholders alike. Your expertise will help shape the future of AI deployment at Cohere, ensuring our models perform reliably and efficiently across diverse operational scenarios.
**Qualifications** 
* 5\+ years of engineering experience managing production infrastructure at a large scale
* Proven experience designing large, highly available distributed systems using Kubernetes
* Hands\-on experience with GPU workloads and supporting GPU clusters in production environments
* Proficiency with Kubernetes development, deployment, and support in production settings
* Experience working with cloud providers such as GCP, Azure, AWS, OCI, and multi\-cloud or hybrid environments
* Strong background in Linux\-based computing environments, including deployment, support, and troubleshooting
* Knowledge of compute, storage, network resource management, and cost optimization
* Excellent collaboration and troubleshooting skills for mission\-critical system operations
* Ability to adapt and solve complex technical challenges in evolving environments
* Familiarity with accelerators like GPUs, TPUs, or custom hardware, and their impact on latency and throughput
* Understanding of distributed systems principles and practices
* Proficiency in programming languages such as Golang, C\+\+, or other high\-performance server languages
**Responsibilities** 
* Design, develop, and maintain scalable, reliable, and high\-performance machine learning infrastructure
* Deploy and optimize NLP models for production environments with low latency and high throughput
* Collaborate with cross\-functional teams including research, engineering, and product to ensure seamless deployment pipelines
* Support and troubleshoot complex distributed systems, ensuring high availability and operational stability
* Implement and support multi\-cloud and hybrid deployment strategies
* Monitor system performance and optimize resource utilization to manage costs effectively
* Interface with customers to understand deployment needs and create customized solutions
* Contribute to the continuous improvement of our AI platform and infrastructure tools
* Stay updated on emerging technologies and incorporate best practices into our systems
* Participate in code reviews, documentation, and knowledge sharing within the team
**Benefits** 
* An open and inclusive culture and work environment
* Opportunity to work closely with a team at the forefront of AI research and development
* Weekly lunch stipend, in\-office lunches, and snacks
* Comprehensive health and dental benefits, including a dedicated mental health budget
* 100% parental leave top\-up for up to 6 months
* Personal enrichment benefits supporting arts, culture, fitness, well\-being, and workspace improvements
* Remote\-flexible work arrangements with offices in Toronto, New York, San Francisco, London, and Paris, plus a co\-working stipend
* Six weeks of vacation (30 working days) to promote work\-life balance
 Equal Opportunity
 Cohere value and celebrate diversity and strive to create an inclusive work environment for all. We welcome applicants from all backgrounds and are committed to providing equal opportunities. If you require any accommodations during the recruitment process, please submit an Accommodations Request Form, and we will work with you to meet your needs.</t>
        </is>
      </c>
    </row>
    <row r="105">
      <c r="A105" t="inlineStr">
        <is>
          <t>li-4364230520</t>
        </is>
      </c>
      <c r="B105" t="inlineStr">
        <is>
          <t>Software Developer 1</t>
        </is>
      </c>
      <c r="C105" t="inlineStr">
        <is>
          <t>Lensa</t>
        </is>
      </c>
      <c r="D105" t="inlineStr">
        <is>
          <t>linkedin</t>
        </is>
      </c>
      <c r="E105">
        <f>HYPERLINK("https://www.linkedin.com/jobs/view/4364230520", "https://www.linkedin.com/jobs/view/4364230520")</f>
        <v/>
      </c>
      <c r="F105">
        <f>HYPERLINK("https://lensa.com/cgw/73fc36e25e4148b1b92c6589562ec20ftjo1?jpsi=directemployers_no_redirect&amp;publisher_preference=easier_apply&amp;utm_campaign=Computer%20Occupations&amp;utm_medium=slot&amp;utm_source=linkedin&amp;utm_term=jse&amp;urlHash=yj9L", "https://lensa.com/cgw/73fc36e25e4148b1b92c6589562ec20ftjo1?jpsi=directemployers_no_redirect&amp;publisher_preference=easier_apply&amp;utm_campaign=Computer%20Occupations&amp;utm_medium=slot&amp;utm_source=linkedin&amp;utm_term=jse&amp;urlHash=yj9L")</f>
        <v/>
      </c>
      <c r="G105" t="inlineStr">
        <is>
          <t>St Paul, MN</t>
        </is>
      </c>
      <c r="H105" t="inlineStr"/>
      <c r="I10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**Job Description**
 Design, develop, troubleshoot and debug software programs for databases, applications, tools, networks etc.
**Responsibilities**
 As a member of the software engineering division, you will use basic knowledge of software architecture to perform tasks associated with developing, debugging or designing software applications or operating systems according to provided design specifications. Build enhancements within an existing software architecture.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$61,200 to $141,200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IC1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106">
      <c r="A106" t="inlineStr">
        <is>
          <t>li-4364350484</t>
        </is>
      </c>
      <c r="B106" t="inlineStr">
        <is>
          <t>Associate, Full Stack Engineer</t>
        </is>
      </c>
      <c r="C106" t="inlineStr">
        <is>
          <t>Lensa</t>
        </is>
      </c>
      <c r="D106" t="inlineStr">
        <is>
          <t>linkedin</t>
        </is>
      </c>
      <c r="E106">
        <f>HYPERLINK("https://www.linkedin.com/jobs/view/4364350484", "https://www.linkedin.com/jobs/view/4364350484")</f>
        <v/>
      </c>
      <c r="F106" t="inlineStr"/>
      <c r="G106" t="inlineStr">
        <is>
          <t>San Francisco, CA</t>
        </is>
      </c>
      <c r="H106" t="inlineStr"/>
      <c r="I10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BlackRock Services. Clicking "Apply Now" or "Read more" on Lensa redirects you to the job board/employer site. Any information collected there is subject to their terms and privacy notice.
**About This Role**
**Team Overview**
 BlackRock SMA Solutions helps clients customize portfolios for unique tax, values\-alignment, or investment exposures across direct indexing, fixed income, active equity, and multi\-asset. We deliver world\-class service to all of our clients, from wealth advisors to family offices to endowments and foundations.
**About This Role**
 At BlackRock SMA Solutions we are obsessed with our clients: we put them front and central to everything we do. The focus of this role is to contribute to the BlackRock codebase, collaborate with users to identify their needs, and help them to be more efficient. Our platform is called Arya and is based on a microservices architecture with our web application as the interface with users. The web application is built using React and our microservices are written in Python. Therefore, you can expect a lot of Python and Typescript programming. We practice agile software development and work in two\-week sprints. This role will work closely with all other members of our technology team as well as members of our project management team and end users. The role is perfectly suited for an aspiring true full stack developer that enjoys working on all parts of the tech stack.
**Key Responsibilities**
* Fully own feature development, from adding features to the front end of our web application to adding capabilities in microservices to adding structures in the relational database
* Design and develop elements of the microservices ecosystem that provide functionality for equity portfolio construction tools for direct indexing
* Support building and releasing software components and deploying them to a k8s cluster
* Troubleshoot problems in a live environment and provide real\-time help with critical issues
* Provide continuous improvements to our enterprise fintech platform through modernization of current components and choice of contemporary technologies and enterprise third party components
* Write code that is easily understood and maintainable by other team members
* Keep up to date with developments in the technologies we use
**Qualifications**
* Solid knowledge of programming fundamentals—algorithms, data structures, design patterns, and paradigms
* Web development experience, with strong understanding of front\-end and back\-end ecosystems
* At least three to four years of experience in a similar role
* Experience with modern object\-oriented languages (Python, Java, C\#, Kotlin, Swift, etc.)
* Experience in an Amazon Web Services (AWS) ecosystem
* Familiarity with relational databases and SQL
* Strong written and verbal communication skills
* Ability to communicate and work effectively, supporting various business departments
* Ability to work in fast\-paced interdisciplinary environment
 For SF4\-San Francisco \- 400 Howard Street Only the salary range for this position is USD$132,500\.00 \- USD$162,000\.00 .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For additional information on BlackRock, please visit @blackrock (http://careers.blackrock.com/) \| Twitter: @blackrock (https://twitter.com/blackrock) \| LinkedIn: www.linkedin.com/company/blackrock
 BlackRock is proud to be an equal opportunity workplace. We are committed to equal employment opportunity to all applicants and existing employees, and we evaluate qualified applicants without regard to race, creed, color, national origin, sex (including pregnancy and gender identity/expression), sexual orientation, age, ancestry, physical or mental disability, marital status, political affiliation, religion, citizenship status, genetic information, veteran status, or any other basis protected under applicable federal, state, or local law.
 **View the** 
**EEOC’s Know Your Rights poster and its supplement (https://www.dol.gov/sites/dolgov/files/OFCCP/regs/compliance/posters/pdf/22\-088\_EEOC\_KnowYourRights.pdf)** 
**and the** 
**pay transparency statement (https://www.dol.gov/sites/dolgov/files/OFCCP/pdf/pay\-transp\_%20English\_formattedESQA508c.pdf)** 
**.**
 BlackRock is committed to full inclusion of all qualified individuals and to providing reasonable accommodations or job modifications for individuals with disabilities. If reasonable accommodation/adjustments are needed throughout the employment process, please email Disability.Assistance@blackrock.com . All requests are treated in line with our privacy policy (http://www.blackrock.com/corporate/compliance/privacy\-policy\#recruitment\-privacy\-notice) .
 We recruit, hire, train, promote, pay, and administer all personnel actions without regard to race, color, religion, sex (including pregnancy, childbirth, and medical conditions related to pregnancy, childbirth, or breastfeeding), sex stereotyping (including assumptions about a person’s appearance or behavior, gender roles, gender expression, or gender identity), gender, gender identity, gender expression, national origin, age, mental or physical disability, ancestry, medical condition, marital status, military or veteran status, citizenship status, sexual orientation, genetic information, or any other status protected by applicable law. We interpret these protected statuses broadly to include both the actual status and also any perceptions and assumptions made regarding these statuses.BlackRock will consider for employment qualified applicants with arrest or conviction records in a manner consistent with the requirements of the law, including any applicable fair chance law.
 If you have questions about this posting, please contact support@lensa.com</t>
        </is>
      </c>
    </row>
    <row r="107">
      <c r="A107" t="inlineStr">
        <is>
          <t>li-4364280542</t>
        </is>
      </c>
      <c r="B107" t="inlineStr">
        <is>
          <t>Software Engineer, Backend - Financial Hub</t>
        </is>
      </c>
      <c r="C107" t="inlineStr">
        <is>
          <t>Lensa</t>
        </is>
      </c>
      <c r="D107" t="inlineStr">
        <is>
          <t>linkedin</t>
        </is>
      </c>
      <c r="E107">
        <f>HYPERLINK("https://www.linkedin.com/jobs/view/4364280542", "https://www.linkedin.com/jobs/view/4364280542")</f>
        <v/>
      </c>
      <c r="F107" t="inlineStr"/>
      <c r="G107" t="inlineStr">
        <is>
          <t>Nashville, TN</t>
        </is>
      </c>
      <c r="H107" t="inlineStr"/>
      <c r="I10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Coinbase. Clicking "Apply Now" or "Read more" on Lensa redirects you to the job board/employer site. Any information collected there is subject to their terms and privacy notice.
 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FinHub is at the core of Coinbase, processing and recording fund movements for our clients and our business. We are responsible for processing transactions across crypto, fiat and internal wallet, and managing the assets for our users including providing portfolio performance, user tax optimizations etc. With rapid growth of the industry and the company, our scale and complexity of operations quickly surpassed the original design of typical ledgering systems. Currently, we are taking on a challenge to unlock the next level of evolution for fund movements architecture. This is a unique opportunity to redesign foundational systems that will set Coinbase up for success in the next decade.
**What You’ll Be Doing (ie. Job Duties)**
* Building, testing, and releasing product\-facing features with stringent correctness and scalability requirements; these features could be related to market data, trading, accounting, authentication, or security.
* Designing a solution with other engineers and the ops team to fix a scalability problem and then implement it
**What We Look For In You**
* 2\+ years of software engineering experience
* Solid understanding of relational databases and transactions
* Good intuition for REST API design
 Job \#: GPBE04US
* Answers to crypto\-related questions may be used to evaluate your onchain experience.
 For select roles, Coinbase is piloting an AI tool based on machine learning technologies to conduct initial screening interviews to qualified applicants. The tool simulates realistic interview scenarios and engages in dynamic conversation. Your interview responses, in the form of a voice recording and/or transcript will be assessed in terms of the job qualifications and characteristics listed in the position description above by a human recruiter.
 For other select roles, Coinbase is piloting BrightHire, an AI interview intelligence platform, to transcribe and summarize interview notes, allowing our interviewers to fully focus on you as the candidate.
 Depending on your role and stage in the application process, you will be informed of more specifics regarding which tool(s) will be used as part of the interview process.
 These interview tools enable us to give a greater number of candidates an initial interview who meet our mandatory hiring criteria. The above pilots are for testing purposes and Coinbase will not use AI to make an employment decision. To request a reasonable accommodation due to disability, please contact accommodations@coinbase.com.
*Pay Transparency Notice:* 
 Depending on your work location, the target annual salary for this position can range as detailed below. Full time offers from Coinbase also include bonus eligibility \+ equity eligibility\*\*\+ benefits (including medical, dental, vision and 401(k)).
**Pay Range**
 $147,900—$174,000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
 If you have questions about this posting, please contact support@lensa.com</t>
        </is>
      </c>
    </row>
    <row r="108">
      <c r="A108" t="inlineStr">
        <is>
          <t>li-4364230576</t>
        </is>
      </c>
      <c r="B108" t="inlineStr">
        <is>
          <t>Software Developer 1</t>
        </is>
      </c>
      <c r="C108" t="inlineStr">
        <is>
          <t>Lensa</t>
        </is>
      </c>
      <c r="D108" t="inlineStr">
        <is>
          <t>linkedin</t>
        </is>
      </c>
      <c r="E108">
        <f>HYPERLINK("https://www.linkedin.com/jobs/view/4364230576", "https://www.linkedin.com/jobs/view/4364230576")</f>
        <v/>
      </c>
      <c r="F108">
        <f>HYPERLINK("https://lensa.com/cgw/546e24bb50634b8188a5a90cac65bbeftjo1?jpsi=directemployers_no_redirect&amp;publisher_preference=easier_apply&amp;utm_campaign=Computer%20Occupations&amp;utm_medium=slot&amp;utm_source=linkedin&amp;utm_term=jse&amp;urlHash=aBd_", "https://lensa.com/cgw/546e24bb50634b8188a5a90cac65bbeftjo1?jpsi=directemployers_no_redirect&amp;publisher_preference=easier_apply&amp;utm_campaign=Computer%20Occupations&amp;utm_medium=slot&amp;utm_source=linkedin&amp;utm_term=jse&amp;urlHash=aBd_")</f>
        <v/>
      </c>
      <c r="G108" t="inlineStr">
        <is>
          <t>Trenton, NJ</t>
        </is>
      </c>
      <c r="H108" t="inlineStr"/>
      <c r="I10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**Job Description**
 Design, develop, troubleshoot and debug software programs for databases, applications, tools, networks etc.
**Responsibilities**
 As a member of the software engineering division, you will use basic knowledge of software architecture to perform tasks associated with developing, debugging or designing software applications or operating systems according to provided design specifications. Build enhancements within an existing software architecture.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$61,200 to $141,200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IC1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109">
      <c r="A109" t="inlineStr">
        <is>
          <t>li-4353803387</t>
        </is>
      </c>
      <c r="B109" t="inlineStr">
        <is>
          <t>Senior Software Engineer</t>
        </is>
      </c>
      <c r="C109" t="inlineStr">
        <is>
          <t>Durlston Partners</t>
        </is>
      </c>
      <c r="D109" t="inlineStr">
        <is>
          <t>linkedin</t>
        </is>
      </c>
      <c r="E109">
        <f>HYPERLINK("https://www.linkedin.com/jobs/view/4353803387", "https://www.linkedin.com/jobs/view/4353803387")</f>
        <v/>
      </c>
      <c r="F109" t="inlineStr"/>
      <c r="G109" t="inlineStr"/>
      <c r="H109" t="inlineStr"/>
      <c r="I109" t="inlineStr">
        <is>
          <t>**About the Role** 
 We are looking for a Software Engineer to join a fast\-scaling, venture\-backed technology company building intelligent, AI\-driven systems that transform how physical and digital environments operate. This is not a maintenance role. You will help design, build, and scale core platform capabilities from the ground up.
 You will operate with significant ownership, lead initiatives end\-to\-end, and work on a small, elite engineering team where execution speed and technical rigor matter equally. The environment resembles a startup within a startup: high autonomy, minimal process overhead, and direct impact on real customers.
 If you are motivated by hard problems, rapid iteration, and seeing your work in production immediately, this role will stretch and accelerate your career.
**What You’ll Do** 
* Build and scale distributed systems that enable autonomous, intelligent operation across complex environments
* Own features from initial design through deployment and ongoing iteration
* Work directly with customers and internal stakeholders to translate real\-world problems into production\-ready solutions
* Improve the scalability, reliability, and performance of core infrastructure
* Propose and implement architectural and design improvements
* Partner closely with product and design to deliver AI\-powered user\-facing experiences
* Ship continuously in a high\-velocity environment with frequent production deployments
* Apply best practices in testing, observability, and CI/CD
* Balance speed and quality while iterating quickly on live systems
 This team moves fast, builds ambitiously, and expects engineers to think like owners.
**What We’re Looking For** 
* Strong ownership mindset with urgency and pragmatism
* Ability to solve complex technical problems independently
* Bias for action — you move from idea to implementation quickly
* Solid understanding of system design and scalable architectures
* 1\+ years of professional experience with
 **programming languages.**
* Willingness to work in person 4–5 days per week
**Nice to Have** 
* Experience with microservices and event\-driven distributed systems
* Exposure to machine learning systems or data\-intensive applications
* Experience building on AWS or other cloud platforms
**Why This Role** 
 This is a demanding, high\-impact engineering role for people who want responsibility, challenge, and accelerated growth. The expectations are high, the pace is intense, and the learning curve is steep—but the upside is meaningful ownership, real\-world impact, and a career\-defining experience.</t>
        </is>
      </c>
    </row>
    <row r="110">
      <c r="A110" t="inlineStr">
        <is>
          <t>li-4363729996</t>
        </is>
      </c>
      <c r="B110" t="inlineStr">
        <is>
          <t>Software Engineer</t>
        </is>
      </c>
      <c r="C110" t="inlineStr">
        <is>
          <t>Hyra</t>
        </is>
      </c>
      <c r="D110" t="inlineStr">
        <is>
          <t>linkedin</t>
        </is>
      </c>
      <c r="E110">
        <f>HYPERLINK("https://www.linkedin.com/jobs/view/4363729996", "https://www.linkedin.com/jobs/view/4363729996")</f>
        <v/>
      </c>
      <c r="F110">
        <f>HYPERLINK("https://joinhyra.com/jobs/13468a10-1596-42eb-acea-36eab5ef23be?src=linkedin&amp;urlHash=aHxo", "https://joinhyra.com/jobs/13468a10-1596-42eb-acea-36eab5ef23be?src=linkedin&amp;urlHash=aHxo")</f>
        <v/>
      </c>
      <c r="G110" t="inlineStr"/>
      <c r="H110" t="inlineStr"/>
      <c r="I110" t="inlineStr">
        <is>
          <t>Software Engineer, Level 2 \| Type: Remote
 Hyra is working on behalf of Lockheed Martin to hire for the position of Software Engineer, Level 2 \- Top Secret Clearance Required. This role supports the Victor Portfolio of Space Security, focusing on the development of critical web applications to protect space assets. You will work within an Agile team to develop front and back\-end services using open architecture infrastructure.
 What you'll be doing
 • Develop front and back\-end services for web applications using Agile methodologies
 • Leverage open\-source solutions including GitLab, Kubernetes, and Docker
 • Maintain Kubernetes clusters and automate container deployment using Helm
 • Support development pipelines, scripts, and environments for software teams
 • Participate in daily scrums, sprint planning, and software demonstrations
 What we're looking for
 • Minimum of 2 years of professional software engineering experience
 • Experience with containerization tools such as Kubernetes, Docker, or Helm
 • Proficiency in developing web applications and managing software pipelines
 • Ability to collaborate effectively with contractors, customers, and subject matter experts
 • Must be eligible to obtain and maintain the required security clearance for this role
 What Lockheed Martin offers
 • Competitive healthcare and wellness benefits
 • Retirement savings and 401k matching programs
 • Professional development and mentorship opportunities
 • Flexible work schedules and remote work options
 Apply via Hyra to be considered for this opportunity.</t>
        </is>
      </c>
    </row>
    <row r="111">
      <c r="A111" t="inlineStr">
        <is>
          <t>li-4360410571</t>
        </is>
      </c>
      <c r="B111" t="inlineStr">
        <is>
          <t>Software Engineer, ML System Scheduling</t>
        </is>
      </c>
      <c r="C111" t="inlineStr">
        <is>
          <t>ByteDance</t>
        </is>
      </c>
      <c r="D111" t="inlineStr">
        <is>
          <t>linkedin</t>
        </is>
      </c>
      <c r="E111">
        <f>HYPERLINK("https://www.linkedin.com/jobs/view/4360410571", "https://www.linkedin.com/jobs/view/4360410571")</f>
        <v/>
      </c>
      <c r="F111" t="inlineStr"/>
      <c r="G111" t="inlineStr">
        <is>
          <t>San Jose, CA</t>
        </is>
      </c>
      <c r="H111" t="inlineStr"/>
      <c r="I111" t="inlineStr">
        <is>
          <t>**Responsibilities**
 The Machine Learning (ML) System sub\-team combines system engineering and the art of machine learning to develop and maintain massively distributed ML training and Inference system/services around the world, providing high\-performance, highly reliable, scalable systems for LLM/AIGC/AGI. In our team, you'll have the opportunity to build the large\-scale heterogeneous system integrating with GPU/NPU/RDMA/Storage and keep it running stable and reliable, enrich your expertise in coding, performance analysis and distributed system, and be involved in the decision\-making process. You'll also be part of a global team with members from the United States, China and Singapore working collaboratively towards unified project direction.
 Responsibilities:
 1\. Responsible for the design and development of resource scheduling, including model training, model evaluation and model inference in various scenarios (LLM/AIGC/NLP/CV/Speech, etc.)
 2\. Responsible for the optimal orchestration of various computing resources (GPU, CPU, other heterogeneous hardware), realizing the rational use of stable resources, tidal resources, mixed resources, and multi\-cloud resources
 3\. Responsible for the optimal combination of computing resources, RDMA high\-speed network resources, and storage resources, and giving full play to the power of large\-scale distributed clusters
 4\. Responsible for offline and online workload scheduling in global data centers integrating multi\-cloud scenarios to achieve rational distributions
**Qualifications**
 Minimum Qualifications
 1\. Be proficient in 1 to 2 programming languages such as Go/Python/Shell in Linux environment
 2\. Be familiar with Kubernetes architecture and container technology such as Docker/Containerd/Kata/Podman, and have rich experience in Machine Learning system practice and development
 3\. Understand the principles of distributed systems and have experience in the design, development and maintenance of large\-scale distributed systems
 4\. Have an excellent logical analysis ability, able to reasonably abstract and split business logic
 5\. Have a strong sense of responsibility, good learning ability, communication skills and self\-drive, able to respond and act quickly
 Preferred Qualifications
 1\. Familiar with at least one major Machine Learning framework (TensorFlow/PyTorch)
 2\. Experience in one of the following fields: AI Infrastructure, HW/SW Co\-Design, High Performance Computing, ML Hardware Architecture (GPU, Accelerators, Networking)
**About Doubao (Seed)**
 Founded in 2023, the ByteDance Doubao (Seed) Team, is dedicated to pioneering advanced AI foundation models. Our goal is to lead in cutting\-edge research and drive technological and societal advancements.​
 With a strong commitment to AI, our research areas span deep learning, reinforcement learning, Language, Vision, Audio, AI Infra and AI Safety. Our team has labs and research positions across China, Singapore, and the US.​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**Reasonable Accommodation**
 ByteDance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$177688 \- $341734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12">
      <c r="A112" t="inlineStr">
        <is>
          <t>li-4363779979</t>
        </is>
      </c>
      <c r="B112" t="inlineStr">
        <is>
          <t>Enterprise - Software Engineer - Python, Docker, AWS</t>
        </is>
      </c>
      <c r="C112" t="inlineStr">
        <is>
          <t>Erias Ventures</t>
        </is>
      </c>
      <c r="D112" t="inlineStr">
        <is>
          <t>linkedin</t>
        </is>
      </c>
      <c r="E112">
        <f>HYPERLINK("https://www.linkedin.com/jobs/view/4363779979", "https://www.linkedin.com/jobs/view/4363779979")</f>
        <v/>
      </c>
      <c r="F112">
        <f>HYPERLINK("https://www.adzuna.com/details/5589360319?v=9E2DEB4C39598303F0463F3F9F2CED6285439BF2&amp;r=21086177&amp;ccd=7156c34d26de4626f6e6eaf33c07e038&amp;frd=36d20d21ebbebdef0b42f35e43e913b8&amp;utm_source=linkedin7&amp;utm_medium=organic&amp;chnlid=1931&amp;title=Enterprise%20-%20Software%20Engineer%20-%20Python%2C%20Docker%2C%20AWS&amp;a=e&amp;urlHash=9x_E", "https://www.adzuna.com/details/5589360319?v=9E2DEB4C39598303F0463F3F9F2CED6285439BF2&amp;r=21086177&amp;ccd=7156c34d26de4626f6e6eaf33c07e038&amp;frd=36d20d21ebbebdef0b42f35e43e913b8&amp;utm_source=linkedin7&amp;utm_medium=organic&amp;chnlid=1931&amp;title=Enterprise%20-%20Software%20Engineer%20-%20Python%2C%20Docker%2C%20AWS&amp;a=e&amp;urlHash=9x_E")</f>
        <v/>
      </c>
      <c r="G112" t="inlineStr">
        <is>
          <t>Annapolis Junction, MD</t>
        </is>
      </c>
      <c r="H112" t="inlineStr"/>
      <c r="I112" t="inlineStr">
        <is>
          <t>Erias Ventures was founded to serve its customers with an entrepreneurial mindset. We value
 **creative problem\-solving** 
 ,
 **open communication** 
 , and
 **empowering our employees** 
 to make decisions and put forth new ideas.
 Our staff includes technical experts working across multiple disciplines, bringing diverse perspectives to every project. We are seeking engineers who wish to grow their careers and want to become part of a
 **technically strong** 
 and
 **growth\-oriented** 
 company focused on bringing
 **innovative solutions** 
 to the difficult mission problems facing our customers.
**Description**
 We are seeking a Software Engineer that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**Clearance**
 A current Top\-Secret/SCI with polygraph security clearance within seven (7\) years is required. Candidates cannot be sponsored or nominated for a government security clearance under this position.
**Experience** 
 The candidate must have at least fourteen (14\) years of general experience in software development or a similar field. A bachelor's degree in computer science, engineering, mathematics or a related discipline may be substituted for four (4\) years of general experience.
**Required Skills**
* Experience with Python
* Experience with Docker
* Experience with AWS (app development, S3, opensearch, terraform)
**Desired Skills**
* Experience with Kotlin
**Benefits**
 Erias Ventures provides a complete package of wealth, health, and happiness benefits. The expected salary range for this position, depending on education and years of experience is $225,000 \- $250,000\.
**Wealth Benefits**
* Above Market Hourly Pay
* 11% Roth or Traditional 401k with Immediate Vesting and Deposit
* Spot Bonuses for Assisting with Business Development and Company Growth
* Professional Development Bonuses for Certificates and Degrees
**Health Benefits:**
* Company subsidized Medical Coverage
* 100% Company Paid Vision and Dental Coverage
* 100% Company Paid Long Term Disability, Short Term Disability, and Group Life Insurance
* Monthly Wellness Reimbursement
**Happiness Benefits:**
* Paid Time Off with Flexible Work Schedules and Birthday Off
* Amazon Prime Membership and Monthly Internet Reimbursement
* Technology and Productivity Allowance for Equipment and Supplies
* Morale Building and Company Events to Celebrate our Successes and Build our Community
* Onboarding and Annual Swag
* Company Paid Professional Development and Training
 At Erias Ventures, we are dedicated to fostering a diverse and inclusive workplace. As an equal opportunity employer, we ensure that all qualified applicants are considered for employment based on merit, without discrimination. We welcome individuals regardless of race, color, religion, gender, gender identity or expression, sexual orientation, national origin, genetics, disability, age, or veteran status.
**Referrals \&amp; Inquiries**
 Do you know a cleared professional seeking to advance their career? Interested in earning some extra cash? If so, refer them to us with their name and contact details, and you could be eligible for a referral bonus of up to
 **$10,000** 
 for each successful hire.
 Not seeing the right position right now? Reach out to us, and we’ll notify you as new contracts and opportunities become available!
**Please Send Referrals And Inquiries To**
**jobs@eriasventures.com**
**To learn more about our company visit our webpage or LinkedIn.**</t>
        </is>
      </c>
    </row>
    <row r="113">
      <c r="A113" t="inlineStr">
        <is>
          <t>li-4360850067</t>
        </is>
      </c>
      <c r="B113" t="inlineStr">
        <is>
          <t>Software Engineer, Ads Core Technology – Commercial Platform (CommercePack)</t>
        </is>
      </c>
      <c r="C113" t="inlineStr">
        <is>
          <t>TikTok</t>
        </is>
      </c>
      <c r="D113" t="inlineStr">
        <is>
          <t>linkedin</t>
        </is>
      </c>
      <c r="E113">
        <f>HYPERLINK("https://www.linkedin.com/jobs/view/4360850067", "https://www.linkedin.com/jobs/view/4360850067")</f>
        <v/>
      </c>
      <c r="F113" t="inlineStr"/>
      <c r="G113" t="inlineStr">
        <is>
          <t>San Jose, CA</t>
        </is>
      </c>
      <c r="H113" t="inlineStr"/>
      <c r="I113" t="inlineStr">
        <is>
          <t>**Responsibilities**
 Join one of the most innovative and fast\-paced teams at TikTok, where your work directly impacts the core of our global monetization business. The Ads Delivery team handles billions of ad requests daily, building the high\-performance systems that power one of the most sophisticated advertising platforms in the world. If you're passionate about cutting\-edge backend development and thrive in solving large\-scale system challenges, this is the team for you.
 Why Join Us?
 By joining our team, you will:
 1\. Shape the Backbone of Global Advertising
 Work in an industry\-leading environment that processes a massive volume of ad requests daily. You’ll be optimizing backend services to ensure seamless, scalable, and efficient ad delivery.
 2\. Drive Technical Innovation in Ad Formats
 Collaborate on the design and launch of innovative ad products across various formats and domains, helping the platform support increasingly complex and creative advertising experiences.
 3\. Solve High\-Concurrency, High\-Performance Challenges
 Engineer backend systems capable of millisecond\-level responses in a high\-traffic, real\-time environment. You’ll architect scalable systems that remain stable under extreme loads.
 4\. Build at Scale
 Participate in the design and evolution of globally distributed systems that manage immense data flows and handle advanced business logic across regions and products.
 5\. Own Creativity and Impact
 Go beyond engineering by contributing to product ideation and execution. You’ll have the opportunity to turn ideas into real features, driving user experience and business value together with a cross\-functional team.
 Responsibilities
 1\. Design and develop backend systems supporting ad delivery for ByteDance's global products.
 2\. Implement and optimize high\-concurrency, high\-availability services for real\-time advertising scenarios.
 3\. Continuously improve existing services and proactively identify system bottlenecks and vulnerabilities.
 4\. Tackle complex technical challenges with high\-quality coding and scalable architecture design.
 5\. Define and help maintain development best practices and coding standards.
 6\. Collaborate closely with product managers and cross\-functional teams to turn requirements into reliable, high\-performing solutions.
**Qualifications**
 Minimum Qualifications
 1\. Strong programming skills and solid understanding of software design principles.
 2\. Proficient in at least one backend language (e.g., Go, Java, Python, C\+\+).
 3\. Familiarity with core infrastructure components such as MySQL, Redis, Message Queues, Nginx, etc.
 4\. Ability to quickly learn and adapt to new technologies and complex systems.
 5\. Effective communication skills and ability to collaborate in a global team setting.
 Preferred Qualifications
 1\. In\-depth experience with Go (Golang) and building large\-scale distributed systems.
 2\. Hands\-on experience in designing and maintaining systems handling high traffic and concurrency.
 3\. Deep understanding of backend system optimization, fault tolerance, and performance tuning.
 4\. Prior involvement in 0\-to\-1 system or feature development.
 5\. Demonstrated curiosity for emerging technologies and a willingness to share knowledge.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$136800 \- $259200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14">
      <c r="A114" t="inlineStr">
        <is>
          <t>li-4360410551</t>
        </is>
      </c>
      <c r="B114" t="inlineStr">
        <is>
          <t>Software Engineer, Machine Learning Platform</t>
        </is>
      </c>
      <c r="C114" t="inlineStr">
        <is>
          <t>ByteDance</t>
        </is>
      </c>
      <c r="D114" t="inlineStr">
        <is>
          <t>linkedin</t>
        </is>
      </c>
      <c r="E114">
        <f>HYPERLINK("https://www.linkedin.com/jobs/view/4360410551", "https://www.linkedin.com/jobs/view/4360410551")</f>
        <v/>
      </c>
      <c r="F114" t="inlineStr"/>
      <c r="G114" t="inlineStr">
        <is>
          <t>Seattle, WA</t>
        </is>
      </c>
      <c r="H114" t="inlineStr"/>
      <c r="I114" t="inlineStr">
        <is>
          <t>**Responsibilities**
 Team Intro
 The ByteDance Seed Large Model Machine Learning Platform team was established in 2023, aiming to develop industry\-leading large model technology and become a world\-class platform engineering team that contributes to technological and societal advancement.
 The Seed Large Model Machine Learning Platform team has a long\-term vision and commitment in the Large Model field, dedicated to building a first\-class infrastructure for large model platforms. The team has R\&amp;D groups in China, Singapore, the United States. The platform offers functions such as data management, model training, model evaluation, model inference, and model management. The platform's R\&amp;D team closely collaborates with business teams, supporting the development of large models for various business scenarios within the company, including Seed, commercialization, and advertising.
 Responsibilities
 1\. Responsible for developing ByteDance's machine learning platform to support algorithm production and efficient iteration for related company businesses;
 2\. Design and implement machine learning infrastructure, frameworks, toolchains, etc., and drive their integration into business applications;
 3\. Explore cutting\-edge machine learning technologies to continuously enhance platform capabilities and reduce algorithm usage costs.
**Qualifications**
 Minimum Qualifications:
 1\. Basic understanding and familiarity with large language models, multimodal models, intelligent agent technologies, and the deployment processes associated with large models;
 2\. Proficiency in Python and/or Go programming, with strong coding practices and effective code management skills;
 3\. Familiar with foundational server\-side technologies, including but not limited to HDFS, Ray, and message queues, along with the ability to efficiently develop and maintain backend services.;
 4\. Strong communication skills, with the ability to effectively collaborate with business teams, understand business requirements, and translate them into technical solutions.
 Preferred Qualifications:
 1\. Experience in developing and optimizing automated evaluation techniques for large models to enhance usability and performance;
 2\. Solid knowledge of and ability to use common deep learning frameworks like PyTorch and vLLM for model inference and deployment;
 3\. Experience in open\-source projects within communities such as GitHub.
**About Doubao (Seed)**
 Founded in 2023, the ByteDance Doubao (Seed) Team, is dedicated to pioneering advanced AI foundation models. Our goal is to lead in cutting\-edge research and drive technological and societal advancements.​
 With a strong commitment to AI, our research areas span deep learning, reinforcement learning, Language, Vision, Audio, AI Infra and AI Safety. Our team has labs and research positions across China, Singapore, and the US.​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**Reasonable Accommodation**
 ByteDance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$177688 \- $341734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15">
      <c r="A115" t="inlineStr">
        <is>
          <t>li-4364350075</t>
        </is>
      </c>
      <c r="B115" t="inlineStr">
        <is>
          <t>Artificial Intelligence Software Developer</t>
        </is>
      </c>
      <c r="C115" t="inlineStr">
        <is>
          <t>MaintainX</t>
        </is>
      </c>
      <c r="D115" t="inlineStr">
        <is>
          <t>linkedin</t>
        </is>
      </c>
      <c r="E115">
        <f>HYPERLINK("https://www.linkedin.com/jobs/view/4364350075", "https://www.linkedin.com/jobs/view/4364350075")</f>
        <v/>
      </c>
      <c r="F115" t="inlineStr"/>
      <c r="G115" t="inlineStr"/>
      <c r="H115" t="inlineStr"/>
      <c r="I115" t="inlineStr">
        <is>
          <t>MaintainX is the world's leading Asset and Work Intelligence platform for industrial and frontline environments. We are a modern IoT\-enabled cloud\-based tool for reliability, safety, and operations on physical equipment and facilities. MaintainX powers operational excellence for 12,000\+ businesses including Duracell, Univar Solutions Inc., Titan America, McDonald's, Brenntag, Cintas, Xylem, and Shell.
 We recently completed a $150 million Series D round, bringing our total funding to $254 million and valuing the company at $2\.5 billion.
**We're looking for a Software Engineer with experience building AI\-powered applications leveraging LLMs.** 
 You’ll design and deploy intelligent features that integrate with web apps and backend systems. You’ll work closely with product and engineering teams to build scalable, production\-ready solutions. This role blends hands\-on full\-stack development with cutting\-edge AI capabilities.
**What You’ll Do**
* Design, develop, and deploy AI\-powered applications utilizing LLMs and other models to solve complex business problems.
* Ensure seamless integration of AI models with web applications and backend services.
* Implement and optimize algorithms for performance and scalability, ensuring efficient end\-to\-end solutions.
* Collaborate with product managers, designers, and engineers to define product requirements and integrate AI capabilities into customer\-facing applications.
* Contribute to engineering best practices, including code quality, security, and deployment processes.
* Participate in on\-call duties.
**About You**
* Proven experience implementing LLM\-powered applications, including prompt engineering, retrieval mechanisms, agentic workflows and integrating external knowledge sources.
* 3\+ years of professional experience in full\-stack software development, including 1\+ year of experience working with LLMs.
* Strong programming skills in Python and/or JavaScript/TypeScript, with experience using LLM frameworks such as LlamaIndex, LangChain and LangGraph.
* Experience with cloud providers (AWS/Azure/GCP) and deploying AI services at scale.
* Knowledge of modern web development frameworks (React, Node.js) and API design.
* Strong problem\-solving skills, with the ability to design scalable AI\-powered solutions.
* Excellent communication skills to explain complex AI concepts to non\-technical stakeholders.
* Actively keeps up with recent advancements in LLMs and AI, including new models, tools, and industry trends.
**Bonus Skills**
* Built multi\-modal applications.
* Implemented guardrails and evaluation pipelines for LLM\-driven applications.
* Skilled in training, fine\-tuning, optimizing, and deploying language models.
**What’s In It For You**
* Competitive salary and meaningful equity opportunities.
* Healthcare, dental, and vision coverage.
* 401(k) / RRSP enrollment program.
* Take what you need PTO.
* A Work Culture where:
+ You’ll work alongside folks across the globe that reflect the MaintainX values: Smart Humble Optimists.
+ We believe in meritocracy, where ideas and effort are publicly celebrated.
**About Us**
 Our mission is to deliver one platform for maintenance, repair \&amp; operations teams to keep the physical world running. We believe the greatest asset in any organization is the people. That’s why we built an intuitive, mobile\-first solution to help boost productivity and collaboration across teams and locations.
 MaintainX is committed to creating a diverse environment. All qualified applicants will receive consideration for employment without regard to race, color, religion, gender, gender identity or expression, sexual orientation, national origin, genetics, disability, age, or veteran status.</t>
        </is>
      </c>
    </row>
    <row r="116">
      <c r="A116" t="inlineStr">
        <is>
          <t>li-4363779978</t>
        </is>
      </c>
      <c r="B116" t="inlineStr">
        <is>
          <t>Senior Software Developer</t>
        </is>
      </c>
      <c r="C116" t="inlineStr">
        <is>
          <t>Fusion Technology LLC</t>
        </is>
      </c>
      <c r="D116" t="inlineStr">
        <is>
          <t>linkedin</t>
        </is>
      </c>
      <c r="E116">
        <f>HYPERLINK("https://www.linkedin.com/jobs/view/4363779978", "https://www.linkedin.com/jobs/view/4363779978")</f>
        <v/>
      </c>
      <c r="F116">
        <f>HYPERLINK("https://www.adzuna.com/details/5548655287?v=2002CF3C68D4FAC19D76AD0CDCE25FC18A0D77A4&amp;ccd=4a01bc15298f11a905ed93c759b4db5b&amp;r=21086177&amp;frd=20a0379d6008c9fbb20f21865df311ad&amp;utm_source=linkedin7&amp;utm_medium=organic&amp;chnlid=1931&amp;title=Senior%20Software%20Developer&amp;a=e&amp;urlHash=bxNo", "https://www.adzuna.com/details/5548655287?v=2002CF3C68D4FAC19D76AD0CDCE25FC18A0D77A4&amp;ccd=4a01bc15298f11a905ed93c759b4db5b&amp;r=21086177&amp;frd=20a0379d6008c9fbb20f21865df311ad&amp;utm_source=linkedin7&amp;utm_medium=organic&amp;chnlid=1931&amp;title=Senior%20Software%20Developer&amp;a=e&amp;urlHash=bxNo")</f>
        <v/>
      </c>
      <c r="G116" t="inlineStr">
        <is>
          <t>Chantilly, VA</t>
        </is>
      </c>
      <c r="H116" t="inlineStr"/>
      <c r="I116" t="inlineStr">
        <is>
          <t>**Who is Fusion Technology?**
 Fusion Technology is a performance\-driven HUBZone Small Business concern residing in the heart of the beautiful mountainsides of West Virginia, steps away from the Federal Bureau of Investigation's Criminal Justice Information Services Division's Headquarters. Founded in 2007 by an Engineer\-by\-trade, Fusion Technology dedicates our valuable resources to providing comprehensive IT services and solutions to mission\-critical US Government programs and the Intel Community.
**Position Location:** 
 Chantilly, VA
**Who are you?**
**Security\-cleared Professional:** 
 You have made it through the process of receiving a United States government security clearance \- congratulations! We know you are a trustworthy intel professional because you have a Top Secret Clearance with SCI Eligibility (TS/SCI). May be asked to undergo polygraph.
**Education and Experience:** 
 You have a Bachelor's Degree in Computer Science, Software Engineering, or related field with 8\+ years of experience in systems engineering or a related field. Additionally, requirements include:
* Has proficiency in Python programming
* Experience with Django
* Message brokers such as RabbitMQ, Kafka, and Redis
* Lucene\-based search/indexing platforms: Elasticsearch and Apache Solr
* Data streaming and integration technologies such as Apache Nifi
* Containerization and orchestration technologies (Docker, Kubernetes)
* Cloud platforms (AWS GovCloud, SC2S, C2S)
* API design, versioning, and integration best practices
* DevSecOps practices and tools
* Infrastructure as Code (Terraform)
* Data processing, automation and ETL workflow orchestration
* GraphQL
* Server side technologies (Apache Tomcat)
* Log analytics and observability platforms, particularly Splunk
* SAFe Agile methodologies
* Working in classified environments
**What You'll Be Doing**
 As a Software Developer, you will be responsible for developing code, tests, and debugging new software or enhancements to existing software. You will have a good understanding of business applications as well as user, performance, quality, interface, and security requirements to support a forensic and investigative ecosystem across multiple enterprise applications in a multi\-enclave environment.
**Key Responsibilities**
* Develop, test, and debug new software solutions and enhancements to existing applications
* Work with technical staff to understand problems with software and resolve them
* Resolve customer complaints with software and respond to suggestions for improvements and enhancements
* Implement desktop design, testing, security lockdown, and integration with standard software packages
* Integrate with automated patching and deployment technologies
* Assist in development of software user manuals
* Document applications, services, and environments for future maintenance
* Automate application and configuration deployments and updates
* Participate in Program Increments (PIs) and Agile Release Train (ART) activities
* Support the multi\-enclave environment (Unclassified, Secret, and Top Secret)
* Collaborate with cross\-functional teams to ensure seamless integration
**What Matters To You Matters To Us.**
 Fusion Technology values its employees and works hard to ensure proper care for them and their families. We desire to compensate employees in a competitive, motivational, fair, and equitable way with other employers in the marketplace. Salary is only one component of employee compensation but an integral part of recruiting and retaining qualified employees. However, at Fusion Technology, we take a comprehensive approach and consider each employee's needs to tailor a compensation plan that provides financial security and peace of mind. Our competitive package includes a best\-in\-class matching 401K program, a comprehensive healthcare plan through Cigna, a competitive employer contribution to a health savings account, vision and dental plans, life insurance, short\- and long\-term disability, and personal leave, in addition to paid certifications and training.
*Fusion Technology LLC is an Equal Opportunity Employer. We respect and seek to empower each individual and support the diverse cultures, perspectives, skills, and experiences within our workforce.*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t>
        </is>
      </c>
    </row>
    <row r="117">
      <c r="A117" t="inlineStr">
        <is>
          <t>li-4364090005</t>
        </is>
      </c>
      <c r="B117" t="inlineStr">
        <is>
          <t>Senior Software Engineer</t>
        </is>
      </c>
      <c r="C117" t="inlineStr">
        <is>
          <t>Fusion Technology LLC</t>
        </is>
      </c>
      <c r="D117" t="inlineStr">
        <is>
          <t>linkedin</t>
        </is>
      </c>
      <c r="E117">
        <f>HYPERLINK("https://www.linkedin.com/jobs/view/4364090005", "https://www.linkedin.com/jobs/view/4364090005")</f>
        <v/>
      </c>
      <c r="F117">
        <f>HYPERLINK("https://www.adzuna.com/details/5589669437?v=277C8946D7F683EAAA15CF50C49D44073E3F104B&amp;ccd=0227707e0da48224e62de384794dcf0e&amp;frd=a95db0ce63d100661017c29158eadb32&amp;r=21086177&amp;utm_source=linkedin7&amp;utm_medium=organic&amp;chnlid=1931&amp;title=Senior%20Software%20Engineer&amp;a=e&amp;urlHash=qiIj", "https://www.adzuna.com/details/5589669437?v=277C8946D7F683EAAA15CF50C49D44073E3F104B&amp;ccd=0227707e0da48224e62de384794dcf0e&amp;frd=a95db0ce63d100661017c29158eadb32&amp;r=21086177&amp;utm_source=linkedin7&amp;utm_medium=organic&amp;chnlid=1931&amp;title=Senior%20Software%20Engineer&amp;a=e&amp;urlHash=qiIj")</f>
        <v/>
      </c>
      <c r="G117" t="inlineStr">
        <is>
          <t>Chantilly, VA</t>
        </is>
      </c>
      <c r="H117" t="inlineStr"/>
      <c r="I117" t="inlineStr">
        <is>
          <t>**Who is Fusion Technology?**
 Fusion Technology is a performance\-driven HUBZone Small Business concern residing in the heart of the beautiful mountainsides of West Virginia, steps away from the Federal Bureau of Investigation's Criminal Justice Information Services Division's Headquarters. Founded in 2007 by an Engineer\-by\-trade, Fusion Technology dedicates our valuable resources to providing comprehensive IT services and solutions to mission\-critical US Government programs and the Intel Community.
**Position Location:** 
 Chantilly, VA
**Who are you?**
**Security\-cleared Professional:** 
 You have made it through the process of receiving a United States government security clearance \- congratulations! We know you are a trustworthy intel professional because you have a Top Secret Clearance with SCI Eligibility (TS/SCI). May be asked to undergo polygraph.
**Education and Experience:** 
 You have a Bachelor's Degree in Computer Science, Software Engineering, or related field with 8\+ years of experience in software engineering. Additionally, requirements include:
* Experience with Python programming
* Complex system architecture design
* Message brokers such as RabbitMQ, Kafka, and Redis
* Elasticsearch, Splunk, and other data platforms
* Containerization and orchestration technologies (Docker, Kubernetes)
* Cloud platforms (AWS GovCloud, SC2S, C2S)
* DevSecOps practices and tools
* Performance optimization and scalability design
* Security engineering principles
* Frontend frameworks (Angular, React, Svelte)
* Data streaming and integration technologies such as Apache Nifi
* Infrastructure as Code (Terraform)
* GraphQL
* Microservices architecture
* SAFe Agile methodologies
* Working in classified environments
* Strong understanding of forensic and investigative system requirements
* Demonstrated experience designing and implementing complex software solutions in secure government environments
**What You'll Be Doing**
 As a Software Engineer, you will be responsible for the design, development, testing, and management of application development projects in support of the IT infrastructure. You will develop and implement technical efforts to design, build, and deploy applications at the direction of lead architects, including large\-scale data processing, computationally intensive statistical modeling, and advanced analytics to support a forensic and investigative ecosystem.
**Key Responsibilities**
* Design, develop, test, and manage application development projects in support of IT infrastructure.
* Integrate third\-party components and introduce new custom capabilities.
* Modify existing code and recommend process improvements.
* Automate operations and maintenance tasks.
* Develop and implement technical efforts for large\-scale data processing and advanced analytics.
* Participate in all aspects of the software development life cycle.
* Contribute to planning, requirements, development, testing, and quality assurance.
* Participate in technical project milestone reviews and code architecture sessions.
* Provide resource estimation and development best practices knowledge transfer.
* Participate in Program Increments (PIs) and Agile Release Train (ART) activities.
* Collaborate with cross\-functional teams to ensure seamless integration.
**What Matters To You Matters To Us.**
 Fusion Technology values its employees and works hard to ensure proper care for them and their families. We desire to compensate employees in a competitive, motivational, fair, and equitable way with other employers in the marketplace. Salary is only one component of employee compensation but an integral part of recruiting and retaining qualified employees. However, at Fusion Technology, we take a comprehensive approach and consider each employee's needs to tailor a compensation plan that provides financial security and peace of mind. Our competitive package includes a best\-in\-class matching 401K program, a comprehensive healthcare plan through Cigna, a competitive employer contribution to a health savings account, vision and dental plans, life insurance, short\- and long\-term disability, and personal leave, in addition to paid certifications and training.
*Fusion Technology LLC is an Equal Opportunity Employer. We respect and seek to empower each individual and support the diverse cultures, perspectives, skills, and experiences within our workforce.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t>
        </is>
      </c>
    </row>
    <row r="118">
      <c r="A118" t="inlineStr">
        <is>
          <t>li-4360800190</t>
        </is>
      </c>
      <c r="B118" t="inlineStr">
        <is>
          <t>Senior Software Engineer – iOS</t>
        </is>
      </c>
      <c r="C118" t="inlineStr">
        <is>
          <t>Qcells North America</t>
        </is>
      </c>
      <c r="D118" t="inlineStr">
        <is>
          <t>linkedin</t>
        </is>
      </c>
      <c r="E118">
        <f>HYPERLINK("https://www.linkedin.com/jobs/view/4360800190", "https://www.linkedin.com/jobs/view/4360800190")</f>
        <v/>
      </c>
      <c r="F118" t="inlineStr"/>
      <c r="G118" t="inlineStr">
        <is>
          <t>Santa Clara, CA</t>
        </is>
      </c>
      <c r="H118" t="inlineStr"/>
      <c r="I118" t="inlineStr">
        <is>
          <t>**Description**
**POSITION DESCRIPTION:**
 Qcells is seeking a Senior iOS Engineer to join our Mobile Residential Applications team. You will play a key role in building the next\-generation mobile experience for solar homeowners and installers. This includes developing native iOS features for on\-site solar system commissioning, real\-time telemetry, and homeowner engagement.
 You’ll collaborate with other mobile engineers, backend teams, product managers, designers, and hardware engineers to deliver a seamless, scalable, and intuitive mobile experience.
**Responsibilities**
* Build and launch intuitive and reliable mobile apps for Qcells’ core partners and customers
* Learn the domain concepts in the solar software ecosystem to influence important design decisions and to contribute to make tomorrow greener!
* Lead architecture design discussions, drive decisions,
* Promote and develop best practices to keep the quality and performance bar high
* Collaborate with like\-minded engineers across time zones and cultures
**Required Qualifications**
* Bachelor's or Master's degree in Computer Science, Electrical Engineering, or related field.
* 8\+ years of software development experience, with 5\+ years in native iOS development using modern programming languages such as Swift
* Deep understanding of mobile architecture, offline strategy, design systems, and data visualization
* Strong leadership in driving cross\-team communications and collaboration
* Experience in working across remote teams
**Preferred Qualifications**
* Solar Industry experience (Renewable)
* Direct experience in connected devices or field services
 Hanwha Q CELLS Technologies, Inc. a subsidiary of Hanwha Q CELLS, one of the world´s largest and most recognized photovoltaic manufacturers for its high\-performance, high\-quality solar cells and modules. It is headquartered in Seoul, South Korea (Global Executive HQ) Talheim, Germany (Technology \&amp; Innovation HQ) and Santa Clara, CA, USA (HW and SW Product Development HQ). Through its growing global business network spanning Europe, North America, Asia, South America, Africa, and the Middle East, the company provides excellent services and long\-term partnerships to its customers in the utility, commercial, government, and residential markets. Hanwha Q CELLS is a flagship company of Hanwha Group, a FORTUNE Global 500 firm and a Top 7 business enterprise in South Korea.
**Physical, Mental \&amp; Environmental Demands**
 To comply with the Rehabilitation Act of 1973 the essential physical, mental and environmental requirements for this job are listed below. These are requirements
 *normally expected* 
 to perform
 *regular* 
 job duties. Incumbent must be able to successfully perform all of the functions of the job with or without reasonable accommodation.
**Mobility**
 Standing
 20% of time
 Sitting
 70% of time
 Walking
 10% of time
**Strength**
 Pulling
 up to 10 Pounds
 Pushing
 up to 10 Pounds
 Carrying
 up to 10 Pounds
 Lifting
 up to 10 Pounds
**Dexterity** 
**(F \= Frequently, O \= Occasionally, N \= Never)**
 Typing
 F
 Handling
 F
 Reaching
 F
**Agility** 
**(F \= Frequently, O \= Occasionally, N \= Never)**
 Turning
 F
 Twisting
 F
 Bending
 O
 Crouching
 O
 Balancing
 N
 Climbing
 N
 Crawling
 N
 Kneeling
 N
 The salary range is required by the California Pay Transparency Act and may differ depending on the location of those candidates hired nationwide. Actual compensation is influenced by a wide array of factors including but not limited to, skill set, education, licenses and certifications, essential job duties and requirements, and the necessary experience relative to the job’s minimum qualifications.
* This target salary range is for CA positions only and should not be interpreted as an offer of compensation.
 You may view your privacy rights by reviewing Qcells' Privacy Policy or by contacting our HR team for a copy.</t>
        </is>
      </c>
    </row>
    <row r="119">
      <c r="A119" t="inlineStr">
        <is>
          <t>li-4360380009</t>
        </is>
      </c>
      <c r="B119" t="inlineStr">
        <is>
          <t>Hybrid Software Engineer - Java (Mid/Lead Level)</t>
        </is>
      </c>
      <c r="C119" t="inlineStr">
        <is>
          <t>State Farm</t>
        </is>
      </c>
      <c r="D119" t="inlineStr">
        <is>
          <t>linkedin</t>
        </is>
      </c>
      <c r="E119">
        <f>HYPERLINK("https://www.linkedin.com/jobs/view/4360380009", "https://www.linkedin.com/jobs/view/4360380009")</f>
        <v/>
      </c>
      <c r="F119" t="inlineStr"/>
      <c r="G119" t="inlineStr">
        <is>
          <t>Richardson, TX</t>
        </is>
      </c>
      <c r="H119" t="inlineStr"/>
      <c r="I119" t="inlineStr">
        <is>
          <t>**Overview**
 Being good neighbors \- helping people, investing in our communities, and making the world a better place \- is who we are at State Farm. It is at the core of how we operate and the reason for our success. Come join a \#1 team and do some good!
**HYBRID** 
 Qualified candidates must live within a
 **180\-mile radius** 
 of a hub location listed below and should plan to spend time working from home and some time working in the office as part of our hybrid work environment
 **.
 HUB LOCATIONS: Bloomington, IL; Dunwoody, GA; Richardson, TX; or Tempe, AZ**
**SPONSORSHIP:** 
 Applicants for this position are required to be eligible to lawfully work in the U.S. immediately; employer will not sponsor applicants for U.S. work authorization (e.g. H\-1B visa) for this opportunity.
**Responsibilities**
**Grow Your Skills, Grow Your Potential**
 We are seeking
 **LEAD SOFTWARE ENGINEERS** 
 who have 5\+ years working experience with Java and OO Design Principles to join our State Farm team! State Farm is focused on modernization efforts within the Property \&amp; Casualty systems. You will be joining a team in which collaborative self\-directed individuals thrive. This engineer will be responsible for implementing complex solutions—including functional requirements, coding, support and agile team principles and leadership. This opportunity requires application development skills, writing and collaboration, and strong communication skills.
**Qualifications**
 We are looking for candidates with:
* Advanced knowledge, understanding and experience to design and develop Full Stack applications (Java/J2EE, Python, JavaScript, React, Node.js, SQL, SOAP/REST, Spring Framework, Splunk, etc.)
* Advanced experience building and using CI/CD pipelines, leveraging tools like GitLab CI/CD, Jenkins and Docker
* Advanced experience with test automation and various products (Karate, Cucumber, Codecept, etc.)
* Experience designing, developing and deploying solutions on AWS Cloud technologies
* Experience with version control tools such as Git
 Additional Skills:
* Knowledge of agile methodologies
* Ability to diagnose and resolve complex problems/issues and provide technical consultation and direction to business and product team members
* Enthusiasm for innovation, diversity of thought, and new ideas
* Ability to collaborate and build relationships locally \&amp; across locations
* Clear communication skills, both verbal \&amp; written
* Strong aptitude and demonstrated ability to learn new languages and frameworks
* Possess technical curiosity and enthusiasm to learn new technologies and follow industry best\-practices and trends
* Eagerness to provide mentorship and guidance to team members
* Experience with navigation and influencing others
* Qualified candidates may be considered for other positions.
**Our Benefits**
 Because work\-life balance is a priority at State Farm, compensation is based on our standard 38:45\-hour work week!
* Potential starting salary range: $93,500 \- $135,000
+ Starting salary will be based on skills, background, and experience
+ High end of the range limited to applicants with significant relevant experience
* Potential yearly incentive pay up to 10% of base salary
**At State Farm, we offer more than just a paycheck. Check out our suite of benefits designed to give you the flexibility you need to take care of you and your family!**
* Get Paid! On top of our competitive pay, you are eligible for an annual raise and bonus.
* Stay Well! Focus on you and your family’s health with our robust health and wellbeing programs. State Farm pays most of your healthcare premium, and we offer multiple healthcare plan options, including a high deductible plan. All medical plans provide 100% coverage for in\-network preventative care, AND you and your family have access to vision, dental, telemedicine, 24/7 mental health professionals, and much more!
* Develop and Grow! Take advantage of educational benefits like industry leading training programs, top\-notch tuition assistance programs, employee resource groups, and mentoring.
* Plan Ahead! Plan for those big moments in life with benefits like fertility/IVF/adoption assistance, college coaching, national discount programs, interactive monthly financial workshops, free financial coaching, and more. You can also start a savings account or consider financing through our State Farm Federal Credit Union!
* Take a Little “You” Time! You will have access to our generous time off policies designed so you can plan around holidays, family events, volunteering, or just to take a relaxing day off. With the opportunity to initially earn up to 20 days annually plus parental leave, paid holidays, celebration day, life leave (40 hours/year), bereavement leave, and community service/education support days, there will be plenty of time for you!
* Give Back! We offer several ways to give back through our Matching Gift Program, Good Neighbor Grant Program, and the Employee Assistance Fund.
* Finish Strong! Plan for retirement using free financial advisors and a 401(k) plan with company contributions of up to 7% of your salary.
**Visit our** 
**State Farm Careers** 
**page for more information on our** 
**benefits** 
**,** 
**locations** 
**, and the** 
**hiring process** 
**of joining the State Farm team!**</t>
        </is>
      </c>
    </row>
    <row r="120">
      <c r="A120" t="inlineStr">
        <is>
          <t>li-4360850068</t>
        </is>
      </c>
      <c r="B120" t="inlineStr">
        <is>
          <t>Senior Software Engineer, Ads Core Technology – Commercial Platform (CommercePack)</t>
        </is>
      </c>
      <c r="C120" t="inlineStr">
        <is>
          <t>TikTok</t>
        </is>
      </c>
      <c r="D120" t="inlineStr">
        <is>
          <t>linkedin</t>
        </is>
      </c>
      <c r="E120">
        <f>HYPERLINK("https://www.linkedin.com/jobs/view/4360850068", "https://www.linkedin.com/jobs/view/4360850068")</f>
        <v/>
      </c>
      <c r="F120" t="inlineStr"/>
      <c r="G120" t="inlineStr">
        <is>
          <t>San Jose, CA</t>
        </is>
      </c>
      <c r="H120" t="inlineStr"/>
      <c r="I120" t="inlineStr">
        <is>
          <t>**Responsibilities**
 Join TikTok Ads Core — the powerhouse behind one of the world’s largest advertising ecosystems. As a Senior Backend Engineer, you’ll play a critical role in designing and scaling the high\-performance systems that serve billions of ad requests daily. This is a high\-impact role suited for engineers who thrive in solving complex system challenges and want to contribute at the intersection of technology, product innovation, and global scale.
 Why Join Us?
 As a senior engineer on our team, you will:
 1\. Drive Technical Excellence in a Global, Mission\-Critical System
 Take ownership of backend infrastructure powering real\-time ad delivery at global scale. You’ll lead efforts to optimize system architecture, improve response times, and ensure reliability under extreme concurrency.
 2\. Lead Innovation Across Ad Products and Formats
 Collaborate closely with product, engineering, and design teams to launch cutting\-edge ad formats. You’ll help shape technical direction across diverse content domains, enabling the platform to meet evolving business and user needs.
 3\. Solve Deep Technical Challenges at Scale
 Architect and implement resilient, distributed systems capable of handling massive throughput with millisecond\-level latency. You’ll address complex problems around data consistency, system fault tolerance, service degradation, and observability.
 4\. Mentor and Influence
 Set the bar for engineering best practices. Mentor junior engineers, contribute to internal knowledge sharing, and lead discussions on performance tuning, system design, and long\-term technical strategy.
 5\. Be a Strategic Partner
 As a senior contributor, you’ll be involved early in product and technical planning. Your insights will help prioritize features, identify risks, and drive key architectural decisions aligned with long\-term growth and scalability.
 Key Responsibilities
 1\. Lead the design, development, and optimization of high\-concurrency backend services for global ad delivery.
 2\. Identify and solve complex technical challenges in distributed systems, with a focus on scalability, performance, and fault tolerance.
 3\. Collaborate across product, infrastructure, and data teams to deliver robust solutions that support new ad formats and business growth.
 4\. Drive continuous improvements through code quality, architectural reviews, and technical mentorship.
 5\. Contribute to the evolution of coding standards, operational practices, and internal technical tooling.
**Qualifications**
 Minimum Qualifications
 1\. Strong computer science fundamentals and proven ability to deliver production\-grade backend systems at scale.
 2\. Proficiency in at least one backend programming language (Go, Java, Python, or C\+\+).
 3\. Solid understanding of core infrastructure components such as MySQL, Redis, message queues, and Nginx, including experience in tuning for high\-load environments.
 4\. Experience designing and maintaining large\-scale, distributed, high\-availability services.
 5\. Excellent communication and collaboration skills; able to lead initiatives and work cross\-functionally in a global setting.
 Preferred Qualifications
 1\. Deep expertise in Golang and system\-level optimization.
 2\. Prior experience in building and scaling ad delivery systems, recommendation engines, or other real\-time systems with extreme concurrency.
 3\. Experience with observability and troubleshooting tools for large\-scale backend systems.
 4\. Track record of driving large cross\-team engineering initiatives.
 5\. Passion for mentoring, setting technical direction, and driving team\-wide improvements.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$187040 \- $359720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21">
      <c r="A121" t="inlineStr">
        <is>
          <t>li-4360242670</t>
        </is>
      </c>
      <c r="B121" t="inlineStr">
        <is>
          <t>Hybrid Software Engineer - Java (Mid/Lead Level)</t>
        </is>
      </c>
      <c r="C121" t="inlineStr">
        <is>
          <t>State Farm</t>
        </is>
      </c>
      <c r="D121" t="inlineStr">
        <is>
          <t>linkedin</t>
        </is>
      </c>
      <c r="E121">
        <f>HYPERLINK("https://www.linkedin.com/jobs/view/4360242670", "https://www.linkedin.com/jobs/view/4360242670")</f>
        <v/>
      </c>
      <c r="F121">
        <f>HYPERLINK("https://jobs.statefarm.com/jobs/43199?lang=en-us&amp;iis=LinkedIn&amp;iisn=LinkedIn&amp;urlHash=hyeD", "https://jobs.statefarm.com/jobs/43199?lang=en-us&amp;iis=LinkedIn&amp;iisn=LinkedIn&amp;urlHash=hyeD")</f>
        <v/>
      </c>
      <c r="G121" t="inlineStr">
        <is>
          <t>Atlanta, GA</t>
        </is>
      </c>
      <c r="H121" t="inlineStr"/>
      <c r="I121" t="inlineStr">
        <is>
          <t>**Overview**
 Being good neighbors \- helping people, investing in our communities, and making the world a better place \- is who we are at State Farm. It is at the core of how we operate and the reason for our success. Come join a \#1 team and do some good!
**HYBRID** 
 Qualified candidates must live within a
 **180\-mile radius** 
 of a hub location listed below and should plan to spend time working from home and some time working in the office as part of our hybrid work environment
 **.
 HUB LOCATIONS: Bloomington, IL; Dunwoody, GA; Richardson, TX; or Tempe, AZ**
**SPONSORSHIP:** 
 Applicants for this position are required to be eligible to lawfully work in the U.S. immediately; employer will not sponsor applicants for U.S. work authorization (e.g. H\-1B visa) for this opportunity.
**Responsibilities**
**Grow Your Skills, Grow Your Potential**
 We are seeking
 **LEAD SOFTWARE ENGINEERS** 
 who have 5\+ years working experience with Java and OO Design Principles to join our State Farm team! State Farm is focused on modernization efforts within the Property \&amp; Casualty systems. You will be joining a team in which collaborative self\-directed individuals thrive. This engineer will be responsible for implementing complex solutions—including functional requirements, coding, support and agile team principles and leadership. This opportunity requires application development skills, writing and collaboration, and strong communication skills.
**Qualifications**
 We are looking for candidates with:
* Advanced knowledge, understanding and experience to design and develop Full Stack applications (Java/J2EE, Python, JavaScript, React, Node.js, SQL, SOAP/REST, Spring Framework, Splunk, etc.)
* Advanced experience building and using CI/CD pipelines, leveraging tools like GitLab CI/CD, Jenkins and Docker
* Advanced experience with test automation and various products (Karate, Cucumber, Codecept, etc.)
* Experience designing, developing and deploying solutions on AWS Cloud technologies
* Experience with version control tools such as Git
 Additional Skills:
* Knowledge of agile methodologies
* Ability to diagnose and resolve complex problems/issues and provide technical consultation and direction to business and product team members
* Enthusiasm for innovation, diversity of thought, and new ideas
* Ability to collaborate and build relationships locally \&amp; across locations
* Clear communication skills, both verbal \&amp; written
* Strong aptitude and demonstrated ability to learn new languages and frameworks
* Possess technical curiosity and enthusiasm to learn new technologies and follow industry best\-practices and trends
* Eagerness to provide mentorship and guidance to team members
* Experience with navigation and influencing others
* Qualified candidates may be considered for other positions.
**Our Benefits**
 Because work\-life balance is a priority at State Farm, compensation is based on our standard 38:45\-hour work week!
* Potential starting salary range: $93,500 \- $135,000
+ Starting salary will be based on skills, background, and experience
+ High end of the range limited to applicants with significant relevant experience
* Potential yearly incentive pay up to 10% of base salary
**At State Farm, we offer more than just a paycheck. Check out our suite of benefits designed to give you the flexibility you need to take care of you and your family!**
* Get Paid! On top of our competitive pay, you are eligible for an annual raise and bonus.
* Stay Well! Focus on you and your family’s health with our robust health and wellbeing programs. State Farm pays most of your healthcare premium, and we offer multiple healthcare plan options, including a high deductible plan. All medical plans provide 100% coverage for in\-network preventative care, AND you and your family have access to vision, dental, telemedicine, 24/7 mental health professionals, and much more!
* Develop and Grow! Take advantage of educational benefits like industry leading training programs, top\-notch tuition assistance programs, employee resource groups, and mentoring.
* Plan Ahead! Plan for those big moments in life with benefits like fertility/IVF/adoption assistance, college coaching, national discount programs, interactive monthly financial workshops, free financial coaching, and more. You can also start a savings account or consider financing through our State Farm Federal Credit Union!
* Take a Little “You” Time! You will have access to our generous time off policies designed so you can plan around holidays, family events, volunteering, or just to take a relaxing day off. With the opportunity to initially earn up to 20 days annually plus parental leave, paid holidays, celebration day, life leave (40 hours/year), bereavement leave, and community service/education support days, there will be plenty of time for you!
* Give Back! We offer several ways to give back through our Matching Gift Program, Good Neighbor Grant Program, and the Employee Assistance Fund.
* Finish Strong! Plan for retirement using free financial advisors and a 401(k) plan with company contributions of up to 7% of your salary.
**Visit our** 
**State Farm Careers** 
**page for more information on our** 
**benefits** 
**,** 
**locations** 
**, and the** 
**hiring process** 
**of joining the State Farm team!**</t>
        </is>
      </c>
    </row>
    <row r="122">
      <c r="A122" t="inlineStr">
        <is>
          <t>li-4364260579</t>
        </is>
      </c>
      <c r="B122" t="inlineStr">
        <is>
          <t>Software Engineer III, Digital Pathology Image Management System development C#</t>
        </is>
      </c>
      <c r="C122" t="inlineStr">
        <is>
          <t>Lensa</t>
        </is>
      </c>
      <c r="D122" t="inlineStr">
        <is>
          <t>linkedin</t>
        </is>
      </c>
      <c r="E122">
        <f>HYPERLINK("https://www.linkedin.com/jobs/view/4364260579", "https://www.linkedin.com/jobs/view/4364260579")</f>
        <v/>
      </c>
      <c r="F122" t="inlineStr"/>
      <c r="G122" t="inlineStr">
        <is>
          <t>Miami, FL</t>
        </is>
      </c>
      <c r="H122" t="inlineStr"/>
      <c r="I12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Epredia. Clicking "Apply Now" or "Read more" on Lensa redirects you to the job board/employer site. Any information collected there is subject to their terms and privacy notice.
 Be a part of a global team where what we do matters! At Epredia, we recognize that our talented employees are vital to our success. Our team is dedicated, our work is rewarding \- both personally and professionally \- because what we do matters.?
 We seek talented individuals who will contribute to and thrive in our collaborative, diverse, fast\-paced environment while demonstrating a commitment to our core values, People, Customer, Results, Continuous Learning, and Innovation.?
 People \- We win as a team.?
 Customer \- We deliver customer\-centric solutions.?
 Continuous Learning \- We learn and always aim to be better.?
 Innovation \- We innovate every day.?
 Results \- Results matter for all of us.
 We are growing our Digital Pathology Image Management System development team and are looking for passionate innovators to help shape the future of diagnostic medicine. As a Software Engineer III, Digital Pathology Image Management System Development C\# you will contribute to the evolution of our FDA\-cleared platform by integrating AI\-driven capabilities, advancing digital slide management, and enhancing diagnostic workflows. You'll work at the intersection of software, healthcare, and cloud technology, collaborating in a regulated environment to deliver solutions that support laboratories, pathologists, and ultimately improve patient outcomes.
 Location: Hybrid \- Miami
**What You Will Be Doing**
* Work in a regulated environment on integrating AI into the image management system.
* Advancing digital slide management, and enhancing diagnostic workflows.
* Collaborate with cross functional teams and other stakeholders to understand requirements, provide efficient solutions to meet their needs, and build robust shared services.
* Conduct thorough code reviews to maintain code quality.
**What Skills You Will Need**
* 5\+ years of professional software development experience.
* Bachelor's degree in a relevant scientific or engineering discipline (or equivalent experience); advanced degrees are a plus
* C\# .NET framework 4\.8 and .NET Core 2\.0 and above
* CSS, JavaScript, WPF and Winforms and MVC
* ASP.NET, REST API, PostgreSQL and SQLite
* JIRA, Bitbucket, Git
* C\+\+
* Node.js, React, API integration
* Experience with digital slide formats: DICOM, TIFF, SVS, MRXS, iSyntax and NDPI
* Experience with HL7 and SNOMED
* Experience in regulated industries, especially medical
* Knowledge of IEC 62304, ISO 14971, FDA Requirements, ISO 13485
 TO ALL RECRUITMENT AGENCIES: Epredia does not accept unsolicited third\-party resumes.
 Building an Inclusive Culture: We are a company that brings the best people together and leverages their varying backgrounds, ideas, and points of view to invent on behalf of all customers. We are committed to equal employment opportunity for all individuals, without regard to race, color, national origin, ancestry, sex, age, religion, physical or mental disability, medical condition, veteran status, marital status, pregnancy, sexual orientation, gender identity, genetic information or any other protected classes which may exist under applicable federal, state or local law.
 At Epredia, we improve lives by enabling better cancer diagnostics. We are a team of talented individuals with diverse backgrounds and expertise, working together to develop precision diagnostic solutions for our customers. We are a fast growing global company that drives innovation in diagnostics to create better outcomes for patients. Joining Epredia is much more than a job\- it is an opportunity to be part of something with a purpose. Find out how you can improve lives while advancing your career.
 If you have questions about this posting, please contact support@lensa.com</t>
        </is>
      </c>
    </row>
    <row r="123">
      <c r="A123" t="inlineStr">
        <is>
          <t>li-4364320510</t>
        </is>
      </c>
      <c r="B123" t="inlineStr">
        <is>
          <t>Staff Software Engineer, Post-Ad Click Experience, Level 6</t>
        </is>
      </c>
      <c r="C123" t="inlineStr">
        <is>
          <t>Lensa</t>
        </is>
      </c>
      <c r="D123" t="inlineStr">
        <is>
          <t>linkedin</t>
        </is>
      </c>
      <c r="E123">
        <f>HYPERLINK("https://www.linkedin.com/jobs/view/4364320510", "https://www.linkedin.com/jobs/view/4364320510")</f>
        <v/>
      </c>
      <c r="F123">
        <f>HYPERLINK("https://lensa.com/cgw/5ddd07bfad99484da4ce76f2b06b5d72tjo1?jpsi=directemployers&amp;publisher_preference=easier_apply&amp;utm_campaign=Computer%20Occupations&amp;utm_medium=slot&amp;utm_source=linkedin&amp;utm_term=jse&amp;urlHash=NdUm", "https://lensa.com/cgw/5ddd07bfad99484da4ce76f2b06b5d72tjo1?jpsi=directemployers&amp;publisher_preference=easier_apply&amp;utm_campaign=Computer%20Occupations&amp;utm_medium=slot&amp;utm_source=linkedin&amp;utm_term=jse&amp;urlHash=NdUm")</f>
        <v/>
      </c>
      <c r="G123" t="inlineStr">
        <is>
          <t>Bellevue, WA</t>
        </is>
      </c>
      <c r="H123" t="inlineStr"/>
      <c r="I12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Snap. Clicking "Apply Now" or "Read more" on Lensa redirects you to the job board/employer site. Any information collected there is subject to their terms and privacy notice.
 Snap Inc (https://www.snap.com/en\-US/)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(https://www.snapchat.com/) , a visual messaging app that enhances your relationships with friends, family, and the world; Lens Studio (https://ar.snap.com/lens\-studio) , an augmented reality platform that powers AR across Snapchat and other services; and its AR glasses, Spectacles (https://www.spectacles.com/) .
 We are seeking an exceptional Staff Software Engineer to spearhead our post\-click initiatives. In this pivotal role, you will lead the charge in defining, designing, and implementing the next generation of our post\-click platform. This provides a unique opportunity to improve the native browser, and empower web developers. You will have a profound impact on user engagement and advertiser ROI.
**What You’ll Do**
* Define the technical roadmap and vision for our post\-ad click experience, identifying key opportunities and challenges.
* Lead efforts to integrate and optimize our custom browser engine into our native mobile applications (iOS and Android).
* Drive dramatic improvements in rendering web pages and content within our in\-app browser, focusing on critical metrics like page load times, rendering efficiency, and resource utilization. You'll profile performance problems and drive optimizations across the browser engine and mobile application software stacks.
* Design, architect, and build new and innovative application experiences for the in\-app browser that are seamless, engaging, and highly performant, bridging the gap between ad clicks and desired user actions.
* Develop sophisticated algorithms to intelligently drive traffic, predict user intent, and capture nuanced user interactions for deeper analytical insights.
* Lead the design and implementation of highly scalable, reliable, and performant backend and frontend systems to support our post\-click initiatives, including building reusable browser software components for interfacing with our back\-end platforms.
* Partner closely with Product Managers, Data Scientists, UX Designers, and other engineering teams to translate business requirements into technical solutions.
* Provide technical leadership, mentorship, and guidance to junior and mid\-level engineers, fostering a culture of technical excellence and continuous improvement.
**Knowledge, Skills \&amp; Abilities**
* Excellent programming and software design skills, including debugging, performance analysis, and test design
* Proven track record of operating highly\-available systems at scale
* Ability to proactively learn new concepts and technology and apply them at work
* Skilled at solving ambiguous problems
* Strong collaboration and mentorship skills
* Ads domain expertise and a strong interest in Ads
**Minimum Qualifications**
* 9\+ years of professional software development experience, with a significant portion focused on large\-scale distributed systems, web technologies, and/or mobile application development.
* Experience with web browser development, including building and deploying new features at scale in a browser engine or browser.
* Deep expertise in performance optimization for web and/or mobile applications, particularly in areas like browser rendering, network optimization, and resource management.
* Experience developing, debugging, and shipping software products on large codebases that span platforms and tools.
* Experience with debugging performance and reliability issues on browser engines.
* Solid understanding of data structures, algorithms, and distributed systems design principles.
* Excellent communication, collaboration, and interpersonal skills, with the ability to articulate complex technical concepts to diverse audiences.
* Bachelor's or Master's degree in Computer Science, Engineering, or a related field, or equivalent years of experience.
**Preferred Qualifications**
* Experience in technical leadership/ownership and setting technical direction for engineering projects
* Demonstrated ability to develop and apply sophisticated algorithms (e.g., machine learning, optimization) to solve real\-world problems.
* Proven track record of delivering large scale projects in attribution and measurement
* Experience operating highly\-available systems at significant scale
* Familiarity with ad tech ecosystem, user acquisition, or conversion optimization.
 If you have a disability or special need that requires accommodation, please don’t be shy and provide us some information (https://docs.google.com/forms/d/e/1FAIpQLScV7t31iR3yYR9ztGDHJpbvL63svWpb6s0afkBkLEjGnDx4Kg/viewform) .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(http://careers.snap.com/benefits) :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(https://careers.snap.com/us\-payzones) :
 The base salary range for this position is $229,000\-$343,000 annually.
 Zone B (https://careers.snap.com/us\-payzones) :
 The base salary range for this position is $218,000\-$326,000 annually.
 Zone C (https://careers.snap.com/us\-payzones) :
 The base salary range for this position is $195,000\-$292,000 annually.
 This position is eligible for equity in the form of RSUs.
**A Decade of Snap (https://www.youtube.com/playlist?list\=PLdfCGl7CQeT\_N\_Gmli1oV1X6c9Ubzoozp)** 
**:** 
 Learn about our origin story, values, mission, culture of innovation, and more.
**CitizenSnap (https://citizen.snap.com/)** 
**:** 
 In our third annual CitizenSnap Report, we demonstrate progress towards our environmental, social, and governance (ESG) goals, and we lay out our plans looking forward.
**The DEI Innovation Summit (https://actreport.com/dei\-innovation\-summit\-2022/)** 
**:** 
 Watch highlights from the 2nd annual DEI Innovation Summit, which brings together thought leaders and DEI experts for a day of courageous conversations to enable bold action.
**Snap News (https://newsroom.snap.com/)** 
**:** 
 Stay up to date on the latest and greatest product and innovation news at Snap
 Applicant and Candidate Privacy Policy (https://storage.googleapis.com/hris\-assets/Applicant\_and\_Candidate\_Privacy\_Policy.pdf)
 If you have questions about this posting, please contact support@lensa.com</t>
        </is>
      </c>
    </row>
    <row r="124">
      <c r="A124" t="inlineStr">
        <is>
          <t>li-4364090134</t>
        </is>
      </c>
      <c r="B124" t="inlineStr">
        <is>
          <t>Staff Software Engineer</t>
        </is>
      </c>
      <c r="C124" t="inlineStr">
        <is>
          <t>Bruker</t>
        </is>
      </c>
      <c r="D124" t="inlineStr">
        <is>
          <t>linkedin</t>
        </is>
      </c>
      <c r="E124">
        <f>HYPERLINK("https://www.linkedin.com/jobs/view/4364090134", "https://www.linkedin.com/jobs/view/4364090134")</f>
        <v/>
      </c>
      <c r="F124" t="inlineStr"/>
      <c r="G124" t="inlineStr"/>
      <c r="H124" t="inlineStr"/>
      <c r="I124" t="inlineStr">
        <is>
          <t>**Overview**
 Bruker is enabling scientists to make breakthrough discoveries and develop new applications that improve the quality of human life. Bruker’s high\-performance scientific instruments and high\-value analytical and diagnostic solutions enable scientists to explore life and materials at molecular, cellular, and microscopic levels. In close cooperation with our customers, Bruker is enabling innovation, improved productivity and customer success in life science molecular research, in applied and pharma applications, in microscopy and nanoanalysis, and in industrial applications, as well as in cell biology, preclinical imaging, clinical phenomics and proteomics research and clinical microbiology.
 Today, worldwide more than \+11000 employees are working on this permanent challenge at over 90 locations on all continents. Bruker continues to build upon its extensive range of products and solutions, its broad base of installed systems and a strong reputation among its customers. Being one of the world's leading analytical instrumentation companies, Bruker is strongly committed to further fully meeting its customers’ needs as well as continuing to develop state\-of\-the\-art technologies and innovative solutions for today's analytical questions
 The Bruker Nano Surfaces and Metrology Division is seeking a new Staff Software Engineer. The Staff Software Engineer will be based in Santa Barbara, CA, contributing directly to the design and development of our market\-leading Atomic Force Microscope (AFM) products. Responsibilities include work on the full spectrum of software development from application design to hardware interfaces and instrument control of complex systems for precision positioning, measurement, and data analysis. This position requires strong initiative, close teamwork, technical curiosity, and frequent communication. As a staff team member, you will be responsible for working closely with scientists and engineers to interpret requirements and deliver the established product capabilities.
**Responsibilities**
 Essential Functions
* Expert knowledge and experience using C\+\+, C\#, MFC, WPF, and layered software systems using object\-oriented design to develop software for AFM applications.
* Working experience in C\#/C\+\+ interoperability with CLI.
* Thorough knowledge and experience with multi\-threaded programming for Windows and .Net.
* Experience designing and coding large Windows based systems with low\-latency real\-time/non\-real\-time software including intuitive interactive UI design and development.
* Drive software integration and deployment in collaboration with cross\-functional applications and test engineering teams throughout the product development cycle.
* Experience leading feature development and problem\-solving activities including establishing software requirements, producing designs and implementations, conducting reviews, driving troubleshooting that articulates solutions and manages risk.
 Additional Considerations
* Experience in real\-time instrumentation control of Vision, motion control, digital signal processing and data acquisition systems used in metrology, physics, chemistry, or engineering.
* Experience in DSP parallel processing, multi\-core resource optimization, or FPGAs.
* Domain knowledge of Atomic Force Microscopy, Optical Spectroscopy, Semiconductor or other manufacturing equipment software applications.
* Knowledge of mathematics, physics, digital signal processing theory and implementation, control systems, algorithm principles \&amp; design, electronics, materials \&amp; optics to create new technologies and enhancements to existing systems.
* Experience with image processing, pattern recognition, video rendering, and their libraries.
* Familiarity with Scrum or other Agile methodologies for software development.
**Qualifications**
 Education and Experience
 Position requires 8\+ years of experience in software engineering and development. Qualified candidate should possess a minimum of BS (prefer MS or PhD) in Computer Science, Engineering, Physics, or related field. Prefer at least 5 years’ experience in control systems, digital signal processing, or instrumentation software development. Requires at least 5 years and broad experience in C\+\+ and C\# programming in Windows application development environment. Knowledge or experience in metrology, physics, chemistry, or engineering considered a plus. Should be hard working, team oriented, creative, cooperative, and exceptionally good at problem solving.
 Physical and Envrionmental Requirements
* The ability to lift and move equipment up to 30 pounds.
* Typical office environment dress accommodating laboratory safety. Ability and willingness to work occasionally in Class 1000 clean room with full gowning protocol.
 At Bruker, base salary is part of our total compensation. The estimated base salary range for this full\-time position is between $104,400 and $186,000 provides an opportunity to progress as you grow and develop within a role. The base salary for the role will depend on a several job\-related factors, including, but not limited to education, training, experience, the geographic location of the successful candidate, skills, competencies, job\-related knowledge and travel requirements for this position. Full\-time employees may also be eligible for a performance\-related incentive in addition to a full range of benefits including 401(k) with company match, an employee stock purchase plan, medical and dental plans, life insurance, short\-term and long\-term disability insurance, employee assistance program and paid time off including vacation, sick time and holidays, and more.
 Bruker is an equal\-opportunity employer. We evaluate qualified applicants without regard to race, color, religion, sex, sexual orientation, gender identity, national origin, disability, veteran status, and
 other legally protected characteristics.
 Certain positions at Bruker require compliance with export control laws and as a result, all interviewed candidates for all positions will be screened pre\-interview to determine their eligibility in light of export control restrictions</t>
        </is>
      </c>
    </row>
    <row r="125">
      <c r="A125" t="inlineStr">
        <is>
          <t>li-4360860107</t>
        </is>
      </c>
      <c r="B125" t="inlineStr">
        <is>
          <t>Senior Software Engineer II, Care, Provider Pay &amp; Incentives</t>
        </is>
      </c>
      <c r="C125" t="inlineStr">
        <is>
          <t>BBG Ventures</t>
        </is>
      </c>
      <c r="D125" t="inlineStr">
        <is>
          <t>linkedin</t>
        </is>
      </c>
      <c r="E125">
        <f>HYPERLINK("https://www.linkedin.com/jobs/view/4360860107", "https://www.linkedin.com/jobs/view/4360860107")</f>
        <v/>
      </c>
      <c r="F125" t="inlineStr"/>
      <c r="G125" t="inlineStr">
        <is>
          <t>New York, NY</t>
        </is>
      </c>
      <c r="H125" t="inlineStr"/>
      <c r="I125" t="inlineStr">
        <is>
          <t>**Our mission: to eliminate every barrier to mental health.**
 At Spring Health, we’re on a mission to revolutionize mental healthcare by removing every barrier that prevents people from getting the help they need, when they need it. Our clinically validated technology,
 **Precision Mental Healthcare** 
 , empowers us to deliver the right care at the right time—whether it’s therapy, coaching, medication, or beyond—tailored to each individual’s needs.
 We proudly partner with over 450 companies, from startups to multinational Fortune 500 corporations, as a leading provider of mental health service, providing care for 10 million people. Our clients include brands you use and know like Microsoft, Target, and Delta Airlines, all of whom trust us to deliver best\-in\-class outcomes for their employees globally. With our innovative platform, we’ve been able to generate a
 **net positive ROI** 
 for employers and we are the only company in our category to earn
 **external validation** 
 of net savings for customers.
 We have raised capital from prominent investors including Generation Investment, Kinnevik, Tiger Global, Northzone, RRE Ventures, and many more. Thanks to their partnership and our latest Series E Funding, our current valuation has reached $3\.3 billion. We’re just getting started—join us on our journey to make mental healthcare accessible to everyone, everywhere.
 The Provider Pay and Incentives team, within the Care Foundations group, is responsible for creating a scalable, automated, and transparent system for paying our large network of Care Providers. As a member of this team, you will be instrumental in reducing manual work for our operational and engineering teams, enhance provider satisfaction and trust, and enable Spring Health to support a growing, global network with efficiency and precision.
 Reporting to the Senior Engineering Manager \- Care, this
 **Senior Software Engineer II** 
 will be a full\-time role critical to guiding the team. You will be a technical leader involved in shaping strategic architecture decisions, a champion of technical initiatives, and a mentor to the junior engineers. You will work closely with our Product and Engineering leadership to execute on deliverables, as a part of a collaborative team creating the products that transform mental healthcare for the better.
 Please note that this is a
 **hybrid role based in New York City** 
 , with an expectation to be in office 2\-3 days a week. Our office is located at 60 Madison Avenue.
**What You’ll Do**
* Design and build scalable backend and full\-stack services using Ruby on Rails and React
* Collaborate with cross\-functional teams to ship high\-impact features that improve the member and caregiver experience
* Expand and maintain existing web applications and infrastructure
* Debug and resolve issues quickly and efficiently
* Provide technical leadership in architectural discussions, code reviews, and system planning
* Uphold high engineering standards, including test coverage, documentation, and performance
* Participate in an on\-call rotation to support system reliability and respond to production issues
* Collaborate flexibly across time zones, as needed, to support distributed teams and stakeholders
* Mentor and guide engineers, fostering growth and best practices
* Proactively improve team velocity, tooling, and engineering process
* Drive integration of observability, performance monitoring, and resiliency features
* Represent the team in org\-wide technical and architectural discussions
**What Success Looks Like**
* Deliver high\-impact, high\-quality projects on time and with stakeholder satisfaction
* Maintain high system reliability and quality through strong testing and scalable design
* Drive cross\-functional collaboration with product, design, data, or other teams, to align on goals and delivery
* Lead by example through strong individual contributions and peer mentorship
* Deliver measurable improvements in engineering velocity, scalability, or developer experience
* Identify cross\-team opportunities and contribute to organizational\-level improvement
**What You’ll Bring**
* 6–8\+ years of experience in software development with a focus on backend development
* Expertise in at least one of the following languages: Ruby on Rails, Java, C\#, Python, or equivalent
* Proven experience leading delivery of complex technical projects or 0–1 product development
* Strong cross\-functional collaboration and mentorship abilities
* Strong problem\-solving skills and attention to detail
* Familiarity with observability and experimentation tools, such as Datadog, LaunchDarkly, Sentry, Mixpanel, Iterable
* Experience architecting complex systems or microservices
* Fluency in SQL and modern data tooling (e.g., DBT, Snowflake)
* Demonstrated ability to coach, mentor, and unblock other engineers
* Bonus: Experience with AI tooling and developing integrations
 The target base salary range for this position is
 **$179,000 \- $218,550** 
 and is part of a competitive total rewards package including stock options and benefits. Individual pay may vary from the target range and is determined by a number of factors including experience, location, internal pay equity, and other relevant business considerations. We review all employee pay and compensation programs annually using
 **Radford Global Compensation Database** 
 at minimum to ensure competitive and fair pay.
**Benefits Provided By Spring Health**
**Note** 
 : We have even more benefits than listed here and below, your recruiter will provide more in\-depth information as you continue in the interview process. Benefits are subject to individual plan requirements and eligibility criteria.
* Health, Dental, Vision benefits start on your first day at Spring. You and your dependents also receive access to One Medical accounts HSA and FSA plans are also available, with Spring contributing up to $1K for HSAs, depending on your plan type.
* Employer sponsored 401(k) match of up to 2% for retirement planning
* A yearly allotment of no cost visits to the Spring Health network of therapists, coaches, and medication management providers for you and your dependents.
* We offer competitive paid time off policies including vacation, sick leave and company holidays.
* At 6 months tenure with Spring, we offer parental leave of 18 weeks for birthing parents and 16 weeks for non\-birthing parents.
* Access to Noom, a weight management program—based in psychology, that’s tailored to your unique needs and goals.
* Access to fertility care support through Carrot, in addition to $4,000 reimbursement for related fertility expenses.
* Access to Wellhub, which connects employees to the best options for fitness, mindfulness, nutrition, and sleep in one subscription
* Access to BrightHorizons, which provides sponsored child care, back\-up care, and elder care
* Up to $1,000 Professional Development Reimbursement a year.
* $200 per year donation matching to support your favorite causes.
**Not sure if you meet every requirement?** 
 Research shows that women and people from historically underrepresented communities often hesitate to apply for roles unless they meet every qualification compared to other similarly\-qualified candidates. At Spring Health, we are committed to fostering a workplace where everyone feels valued, empowered, and supported to Thrive. If this role excites you, we encourage you to apply.
**Ready to do the most impactful work of your life? Learn more about our values, what it’s like to work here, and how hypergrowth meets impact at Spring Health:** 
**Our Values**
***Our privacy policy:***
***https://springhealth.com/privacy\-policy/***
*Spring Health is proud to be an equal opportunity employer. We do not discriminate in hiring or any employment decision based on race, color, religion, national origin, age, sex, marital status, ancestry, disability, genetic information, veteran status, gender identity or expression, sexual orientation, pregnancy, or other applicable legally protected characteristic. We also consider qualified applicants regardless of criminal histories, consistent with applicable legal requirements. Spring Health is also committed to providing reasonable accommodations for qualified individuals with disabilities and disabled veterans. If you have a disability or special need that requires accommodation, please let us know.*</t>
        </is>
      </c>
    </row>
    <row r="126">
      <c r="A126" t="inlineStr">
        <is>
          <t>li-4364230584</t>
        </is>
      </c>
      <c r="B126" t="inlineStr">
        <is>
          <t>SAP Software Engineer</t>
        </is>
      </c>
      <c r="C126" t="inlineStr">
        <is>
          <t>Lensa</t>
        </is>
      </c>
      <c r="D126" t="inlineStr">
        <is>
          <t>linkedin</t>
        </is>
      </c>
      <c r="E126">
        <f>HYPERLINK("https://www.linkedin.com/jobs/view/4364230584", "https://www.linkedin.com/jobs/view/4364230584")</f>
        <v/>
      </c>
      <c r="F126">
        <f>HYPERLINK("https://lensa.com/cgw/d7f88aa06cb84cb1a12c80cd8811fcfbtjo1?jpsi=directemployers_no_redirect&amp;publisher_preference=easier_apply&amp;utm_campaign=None&amp;utm_medium=slot&amp;utm_source=linkedin&amp;utm_term=jse&amp;urlHash=Ym0-", "https://lensa.com/cgw/d7f88aa06cb84cb1a12c80cd8811fcfbtjo1?jpsi=directemployers_no_redirect&amp;publisher_preference=easier_apply&amp;utm_campaign=None&amp;utm_medium=slot&amp;utm_source=linkedin&amp;utm_term=jse&amp;urlHash=Ym0-")</f>
        <v/>
      </c>
      <c r="G126" t="inlineStr">
        <is>
          <t>Austin, TX</t>
        </is>
      </c>
      <c r="H126" t="inlineStr"/>
      <c r="I12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Cardinal Health. Clicking "Apply Now" or "Read more" on Lensa redirects you to the job board/employer site. Any information collected there is subject to their terms and privacy notice.
**What Application Development \&amp; Maintenance Contributes To Cardinal Health**
 Information Technology oversees the effective development, delivery, and operation of computing and information services. This function anticipates, plans, and delivers Information Technology solutions and strategies that enable operations and drive business value.
 Application Development \&amp; Maintenance performs configuration or coding to develop, enhance and sustain the organization's software systems in a cross\-functional team environment through adherence to established design control processes and good engineering practices. This job family programs and configures end user applications, systems, databases and websites to achieve the organization's internal needs and externally\-facing business needs. Application Development \&amp; Maintenance partners with business leaders, investigates user needs and conducts regular assessments, maintenance and enhancements of existing applications.
 The SAP Software Engineer, will be responsible for overseeing the end\-to\-end data migration strategy for SAP implementation projects. The role requires deep technical expertise in SAP data architecture, data migration tools to ensure successful, high\-quality, and efficient data conversion process.
***What is expected of you and others at this level***
* Applies comprehensive knowledge and a thorough understanding of concepts, principles, and technical capabilities to perform varied tasks and projects
* May contribute to the development of policies and procedures
* Works on complex projects of large scope
* Develops technical solutions to a wide range of difficult problems
* Solutions are innovative and consistent with organization objectives
* Completes work; independently receives general guidance on new projects
* Work reviewed for purpose of meeting objectives
* May act as a mentor to less experienced colleagues
**Responsibilities**
* Design and define the overall data migration architecture, including the approach, tools, and best practices for converting data from various legacy systems into the new SAP target system.
* Lead the selection and configuration of SAP data migration tools such as SAP Data Services, SAP S/4HANA Migration Cockpit, and SAP Landscape Transformation (SLT).
* Create detailed technical and functional specifications for data mapping, transformation rules, and data validation.
* Establish and enforce data quality and governance standards for the entire data migration lifecycle.
* Lead and manage the entire data conversion team, including developers, business analysts, and data stewards.
* Oversee the execution of data migration cycles, including mock conversions, cutover planning, and post\-go\-live data reconciliation.
* Collaborate with key stakeholders, including business leaders and project managers, to align the data conversion strategy with overall business objectives and project timelines.
* Provide expert guidance and technical leadership to resolve complex data conversion challenges and performance issues.
* Serve as the subject matter expert on SAP data structures (e.g., master data, transactional data), data integration methods, and data governance principles.
* Ensure compliance with project standards, security policies, and regulatory requirements throughout the data conversion process.
* Partner with other technical architects (e.g., infrastructure, security) to ensure the data conversion solution is scalable, secure, and aligns with the enterprise architecture.
* Mentor and provide technical leadership to junior team members.
**Qualifications**
* Bachelor's Degree in related field preferred or equivalent work experience preferred
* 8\+ years of experience with SAP implementations and ABAP knowledge in respective business processes like Master data, OTC, PRI, SCE, RTR and PTP preferred.
* 3\-5 years of experience with SAP Data Services and Data conversions preferred.
* Experience in ALE/IDOC, LSMW, RDM/BPDM
* Demonstrates a knowledge of Master Data Management domain
* Ability to define work processes and lead team members in successful implementation and ongoing execution preferred
* Ability to develop individuals and teams preferred
* Excellent oral and written communication skills preferred
* Excellent organizational skills preferred
**Anticipated salary range:** 
 $94,900 \- $135,600
**Bonus eligible:** 
 No
**Benefits:** 
 Cardinal Health offers a wide variety of benefits and programs to support health and well\-being.
* Medical, dental and vision coverage
* Paid time off plan
* Health savings account (HSA)
* 401k savings plan
* Access to wages before pay day with myFlexPay
* Flexible spending accounts (FSAs)
* Short\- and long\-term disability coverage
* Work\-Life resources
* Paid parental leave
* Healthy lifestyle programs
**Application window anticipated to close:** 
 01/20/2026 \*if interested in opportunity, please submit application as soon as possible.
 The salary range listed is an estimate. Pay at Cardinal Health is determined by multiple factors including, but not limited to, a candidate's geographical location, relevant education, experience and skills and an evaluation of internal pay equity
*Candidates who are back\-to\-work, people with disabilities, without a college degree, and Veterans are encouraged to apply.*
*Cardinal Health supports an inclusive workplace that values diversity of thought, experience and background. We celebrate the power of our differences to create better solutions for our customers by ensuring employees can be their authentic selves each day. Cardinal Health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
*To read and review this privacy notice click* 
 here (https://www.cardinalhealth.com/content/dam/corp/email/documents/corp/cardinal\-health\-online\-application\-privacy\-policy.pdf)
 If you have questions about this posting, please contact support@lensa.com</t>
        </is>
      </c>
    </row>
    <row r="127">
      <c r="A127" t="inlineStr">
        <is>
          <t>li-4360920353</t>
        </is>
      </c>
      <c r="B127" t="inlineStr">
        <is>
          <t>Junior Software Engineer</t>
        </is>
      </c>
      <c r="C127" t="inlineStr">
        <is>
          <t>Jobs via Dice</t>
        </is>
      </c>
      <c r="D127" t="inlineStr">
        <is>
          <t>linkedin</t>
        </is>
      </c>
      <c r="E127">
        <f>HYPERLINK("https://www.linkedin.com/jobs/view/4360920353", "https://www.linkedin.com/jobs/view/4360920353")</f>
        <v/>
      </c>
      <c r="F127">
        <f>HYPERLINK("https://click.appcast.io/t/xtUXP6LYmOuYE_aeKiI-T016JclZQhm_PvyKAhD5s_8=&amp;urlHash=0zD6", "https://click.appcast.io/t/xtUXP6LYmOuYE_aeKiI-T016JclZQhm_PvyKAhD5s_8=&amp;urlHash=0zD6")</f>
        <v/>
      </c>
      <c r="G127" t="inlineStr">
        <is>
          <t>El Segundo, CA</t>
        </is>
      </c>
      <c r="H127" t="inlineStr"/>
      <c r="I127" t="inlineStr">
        <is>
          <t>Modern Technology Solutions, Inc. (MTSI) is seeking a Junior Software Engineer in El Segundo, CA. You will join a systems engineering team defining the next generation of space communication systems supporting US Space Force (USSF) satellite communications. You will support Systems Engineering \&amp; Integration (SE\&amp;I) activities in a multidisciplinary and collaborative environment. You will interface and collaborate with SE\&amp;I team members, contractors, government civilians and members of the USSF. You will lead and support several working groups responsible for leading technical discussion, resolve and identify risk, requirement gaps, developing briefings, writing, and tracking action items, and authoring meeting minutes.
 The MILSATCOM Systems Engineering, Integration, and Test (MSEIT) effort provides leading edge Systems Engineering \&amp; Integration (SE\&amp;I) for the US Space Force's Space Systems Center (SSC). We support the Space Force's acquisition of state of the art satellite communications systems, providing global secure, survivable, and protected communications for our nation's warfighters. We seek technical individuals who will thrive in a highly collaborative work environment of small teams, using the most modern tools and methodologies to tackle the challenges of integrating complex space and ground communications systems.
**Key Responsibilities:**
* Analyze and develop software prototypes and/or applications as part of a multi\-disciplinary team.
* Participate in the complete software development lifecycle: user story creation, design, development, automated testing, and operational support.
* Create intuitive user interfaces that enable efficient data management and system oversight.
* Design and develop new visualization features to meet evolving end\-user requirements.
* Work with complex algorithms to deliver optimized solutions for the end user.
* Determine software maintainability and overall adherence to user requirements on department standards.
**Work Environment:**
* Location: On\-site / Hybrid
* Travel Requirements: Minimal
* Working Hours: Standard
**Qualifications:**
**Required:**
* Security Clearance: Ability to obtain and maintain a Secret clearance is required for this position
* Experience and Education: BS degree in Computer Science or Information Systems; other degrees will be considered with relevant work experience
* 1\-3 years of software development, including architecture, object\-oriented design, coding, and testing, with strong understanding of the software development life cycle.
* Strong experience in one or more of the following: Python, Java, or Go.
* Familiarity with web applications with microservices architecture.
* Familiarity with database technologies such as PostgreSQL, MySQL, and others.
* Proficient in using GitLab or other Tools for version control, CI/CD pipelines, and collaboration.
* Excellent problem\-solving skills.
* Strong passion for conducting research, tackling complex problems, and continuously learning and adopting new technologies.
* Organization capability with ability to handle competing priorities.
* Strong interpersonal skills, communication (oral and written), and presentation skills.
**Desired:**
* Familiarity with Javascript frameworks such as Angular or React.
* Knowledge and experience in Jira and Confluence.
* Experience in implementing Agile Software Development methodologies for efficient and iterative project management.
* Experience with Docker, AWS and / or Azure, and Kubernetes for containerization, cloud services, and orchestration.
**Compensation:** 
 The pay range for this position in California is $84,000/year to $104,000/year; however, base pay offered may vary depending on established government contract ranges, job\-related knowledge, skills, and experience, and other factors. MTSI also offers a full range of medical, financial, and other benefits, dependent on the position offered. Base pay information is based on market location. Applicants should apply via MTSI's internal or external careers site.
 \#MTSI
 \#MTSIJOBS</t>
        </is>
      </c>
    </row>
    <row r="128">
      <c r="A128" t="inlineStr">
        <is>
          <t>li-4353763339</t>
        </is>
      </c>
      <c r="B128" t="inlineStr">
        <is>
          <t>Python/C++ Software Engineer 2 - [$284k/yr] TS/SCI FS-Poly with Security Clearance</t>
        </is>
      </c>
      <c r="C128" t="inlineStr">
        <is>
          <t>ClearanceJobs</t>
        </is>
      </c>
      <c r="D128" t="inlineStr">
        <is>
          <t>linkedin</t>
        </is>
      </c>
      <c r="E128">
        <f>HYPERLINK("https://www.linkedin.com/jobs/view/4353763339", "https://www.linkedin.com/jobs/view/4353763339")</f>
        <v/>
      </c>
      <c r="F128">
        <f>HYPERLINK("https://click.appcast.io/t/lubWomuDfqxO5FWZAVXNY10cxb8nmbtxfch6BHi-isHjeP\u002d\u002d6_a8a3UfFdrEcytJ&amp;urlHash=BGmf", "https://click.appcast.io/t/lubWomuDfqxO5FWZAVXNY10cxb8nmbtxfch6BHi-isHjeP\u002d\u002d6_a8a3UfFdrEcytJ&amp;urlHash=BGmf")</f>
        <v/>
      </c>
      <c r="G128" t="inlineStr">
        <is>
          <t>Annapolis Junction, MD</t>
        </is>
      </c>
      <c r="H128" t="inlineStr"/>
      <c r="I128" t="inlineStr">
        <is>
          <t>Candidates must already possess an active Top Secret/SCI w. Full Scope Polygraph to be considered for this position. Summary:  Looking for a software engineer that will be responsible for analyzing user requirements to derive software design and performance standards for one or more software development teams, ensuring quality and that work is completed in accordance with constraints of the software development process being used. Responsibilities include the design, modification, and debugging of new and existing software while integrating into new or modified systems or operating environments. Qualifications \&amp; Compensation:  SWE2 total compensation: $284,000/year (based on $151/hr × 1,880 hrs)  Experience: 14 years without a degree, or 12 years with a technical BS. Four years of additional SWE experience can be substituted for a Bachelor's degree. Job Description: Position Required Skills  Experience using C\+\+ and Python  Experience using Linux tools and developing Bash scripts to automate manual processes  Experience leading code reviews  Recent software development experience using Python  Experience with network communications and protocols: TCP, UDP, etc.  Familiarity with SQL databases and developing queries Preferred Skills:  Familiarity with implementing and testing technical standards  Experience developing software for programmable devices About SYSTOLIC: SYSTOLIC is dedicated to giving our employees the best possible company experience so that they can focus on providing outstanding support to their customer’s mission. Our company is founded on integrity, enthusiasm, and a relentless commitment to supporting the Intelligence Community. You can learn more about us and submit an application to be considered against our current and future openings at https://systolic.com. To learn about our compensation ranges, visit our Pay Transparency page at: https://systolic.com/pay\-transparency</t>
        </is>
      </c>
    </row>
    <row r="129">
      <c r="A129" t="inlineStr">
        <is>
          <t>li-4360880359</t>
        </is>
      </c>
      <c r="B129" t="inlineStr">
        <is>
          <t>Software Engineer</t>
        </is>
      </c>
      <c r="C129" t="inlineStr">
        <is>
          <t>Jobs via Dice</t>
        </is>
      </c>
      <c r="D129" t="inlineStr">
        <is>
          <t>linkedin</t>
        </is>
      </c>
      <c r="E129">
        <f>HYPERLINK("https://www.linkedin.com/jobs/view/4360880359", "https://www.linkedin.com/jobs/view/4360880359")</f>
        <v/>
      </c>
      <c r="F129" t="inlineStr"/>
      <c r="G129" t="inlineStr">
        <is>
          <t>Manassas, VA</t>
        </is>
      </c>
      <c r="H129" t="inlineStr"/>
      <c r="I129" t="inlineStr">
        <is>
          <t>**Job Description**
**Who we are**
 Lockheed Martin is a global leader in aerospace, defense, and technology solutions. Our Manassas campus is a thriving center of engineering expertise, fostering a culture that encourages creativity, excellence, and the creation of exceptional products. Our team is made up of dedicated professionals who are passionate about pushing the boundaries of what's possible.
**What We're Doing**
 At Lockheed Martin, we're at the forefront of cutting\-edge technology and innovation. Our campus in Manassas, Virginia is a hub for engineering excellence, where we tackle some of the world's most challenging engineering problems. We pride ourselves on our culture of creativity, excellence, and product innovation.
**The Work**
 Lockheed Martin Rotary \&amp; Mission Systems is seeking a full\-time Software Engineer. In this role, you will perform software development tasks supporting Navy programs. The successful candidate will have experience and knowledge of coding in C\+\+, gRPC, publish/subscribe (pub/sub) design patterns, AMQP or other broker\-based messaging protocols, and the Linux Operating System.
 This position is located at a facility that requires special access. The selected candidate will be required to hold an active government Secret security clearance.
**Why Join Us**
 Your Health, Your Wealth, Your Life
 Joining Lockheed Martin means becoming part of a team that's making a significant impact in the field of engineering. When you choose to work with us, you'll enjoy:
 An excellent working environment equipped with state\-of\-the\-art tools.
 The opportunity to work alongside industry leaders and top\-notch professionals.
 A chance to be a part of solving some of the world's most challenging engineering problems.
 A culture that encourages creativity, excellence, and the development of remarkable products.
 If you're ready to take your career to the next level, work on groundbreaking projects, and be a part of a team that thrives on innovation, we encourage you to apply and be a part of our mission.
 Our flexible schedules, competitive pay and comprehensive benefits enable you to live a healthy, fulfilling life at and outside of work.
 Learn more about Lockheed Martin's competitive and comprehensive benefits package.
 \#WeAreLM
 \#WherethebestareBuilt
 \#OneLMHotJobs
 \#RMSC6ISR
 \#rmsusw
**Basic Qualifications**
* BS in Computer Science, Software Engineering, Computer Engineering, Electrical Engineering or equivalent STEM field.
* Experience with C\+\+ multithreaded programming
* Experience with Linux Operating System
* Ability to obtain a Secret clearance
**Desired Skills**
* Experience with gRPC
* Experience with BASH scripting
* Experience with publish/subscript (pub/sub) communication design patterns
* Experience with AMQP, or other broker type messaging protocols
* Experience with containerization technologies such as Podman or Docker as well as AWS or Kubernetes.
* Desire to integrate, test and troubleshoot and refactor software systems.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$76,500 \- $134,895\.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$88,000 \- $152,490\.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130">
      <c r="A130" t="inlineStr">
        <is>
          <t>li-4360420363</t>
        </is>
      </c>
      <c r="B130" t="inlineStr">
        <is>
          <t>Software Engineer Identity Data Platform</t>
        </is>
      </c>
      <c r="C130" t="inlineStr">
        <is>
          <t>Jobs via Dice</t>
        </is>
      </c>
      <c r="D130" t="inlineStr">
        <is>
          <t>linkedin</t>
        </is>
      </c>
      <c r="E130">
        <f>HYPERLINK("https://www.linkedin.com/jobs/view/4360420363", "https://www.linkedin.com/jobs/view/4360420363")</f>
        <v/>
      </c>
      <c r="F130">
        <f>HYPERLINK("https://click.appcast.io/t/Pv4KZPSwlTI7AUQzallrwFBlibTFY3PdG_of-7RJm7k=&amp;urlHash=NicR", "https://click.appcast.io/t/Pv4KZPSwlTI7AUQzallrwFBlibTFY3PdG_of-7RJm7k=&amp;urlHash=NicR")</f>
        <v/>
      </c>
      <c r="G130" t="inlineStr">
        <is>
          <t>Redmond, WA</t>
        </is>
      </c>
      <c r="H130" t="inlineStr"/>
      <c r="I130"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Identity Data Platform is seeking a Software Engineer to help tackle some of our most complex problems. Are you ready to harness the power of data to provide intelligent product experiences for our 1B\+ customers and take on the responsibility to generate revenue for our business? Do you enjoy ambiguity and have the willpower to forge a path to a data driven culture? Are you someone who appreciates the power of data and advanced insights to create significant impact? The Intelligent Data Experiences team is looking for you! Our team is the hub for business\-critical data and analytics, for the Identity \&amp; Network Access division. We are responsible for harnessing data to provide intelligent features in our product experiences, to provide customer Reports based on data through UX and APIs, as well as to enable business\-critical data\-driven decisions.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**This role is targeting an immediate start date.**
**Responsibilities**
* Designs, troubleshoots, and contributes to simple features.
* Writes clean and readable code that is extensible and maintainable.
* Applies diagnosability, reliability, and maintainability.
* Contributes to operations of live service.
**Qualifications**
**Required Qualifications**
* Bachelor's Degree in Computer Science, or related technical discipline with proven experience coding in languages including, but not limited to, C, C\+\+, C\#, Java, JavaScript, or Python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Proven experience as a full stack engineer.
* Proven experience in distributed systems.
* Reliable C\# skills.
 \#EiP \#IC2SWE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31">
      <c r="A131" t="inlineStr">
        <is>
          <t>li-4360840147</t>
        </is>
      </c>
      <c r="B131" t="inlineStr">
        <is>
          <t>AEM Fullstack Engineer</t>
        </is>
      </c>
      <c r="C131" t="inlineStr">
        <is>
          <t>Tata Consultancy Services</t>
        </is>
      </c>
      <c r="D131" t="inlineStr">
        <is>
          <t>linkedin</t>
        </is>
      </c>
      <c r="E131">
        <f>HYPERLINK("https://www.linkedin.com/jobs/view/4360840147", "https://www.linkedin.com/jobs/view/4360840147")</f>
        <v/>
      </c>
      <c r="F131" t="inlineStr"/>
      <c r="G131" t="inlineStr">
        <is>
          <t>Irving, TX</t>
        </is>
      </c>
      <c r="H131" t="inlineStr"/>
      <c r="I131" t="inlineStr">
        <is>
          <t>**Job Description**
 Must Have Technical/Functional Skills
 AEM: Adobe Experience Manager (Full stack Developer)
 Strong AEM UI Developer (60%), backend Development (40%)
 Hands\-on experience on
* Java
* JSP
* HTML/CSS/Javascript
* CICD \&amp; Tooling– Maven, Sonarqube, Artifactory
* Experience with version 6\.x \+
* OSGi bundles, sling servlets, sling schedulers, sling handlers
* JCR
* HTL Templating
* Support of multi\-lingual sites and translations processes
* Agile Methodologies \&amp; Tools – Scrum, Confluence, JIRA
* Experience with AEM DAMs and interface customization
* DAMs asset ingestion \&amp; custom workflows
* Creation/Management of DAM Metadata
* Integration with other Adobe suite products such as:
* Adobe Creative Suite
* AEM DAM desktop agent
* InDesign Server
 Adobe Brand Portal
* Good knowledge in Angular 11\+, TypeScript, JavaScript ES6, (OOPs) .HTML5/HTML, CSS3, Bootstrap or SCSS/SASS, Responsive Web design, JSON, Nodejs.
* Understanding and experiencing with integrating API with any kind of Backend REST services using angular /Rxjs/Redux
* Familiarity and sensibilities with UX and design application and execution.
* Identify issues with front end code and rectify them to remove bugs. Ensure front end code can query APIs. Audit code to identify bottlenecks of performance and fixing. Good understanding of Javascript Design pattern and develop best practices.
* Candidate should have knowledge in WCAG 2 ADA standards.
* Design high quality deliverables adhering to business requirements with defined standards and design principles, patterns.
* Create UI code coverage for the project using jasmine or any other framework as per the standards.
 Salary Range: $90,000 to $125,000 per year
**Qualifications:** 
 BACHELOR OF COMPUTER SCIENCE</t>
        </is>
      </c>
    </row>
    <row r="132">
      <c r="A132" t="inlineStr">
        <is>
          <t>li-4360830398</t>
        </is>
      </c>
      <c r="B132" t="inlineStr">
        <is>
          <t>Principal Software Engineer</t>
        </is>
      </c>
      <c r="C132" t="inlineStr">
        <is>
          <t>Jobs via Dice</t>
        </is>
      </c>
      <c r="D132" t="inlineStr">
        <is>
          <t>linkedin</t>
        </is>
      </c>
      <c r="E132">
        <f>HYPERLINK("https://www.linkedin.com/jobs/view/4360830398", "https://www.linkedin.com/jobs/view/4360830398")</f>
        <v/>
      </c>
      <c r="F132" t="inlineStr"/>
      <c r="G132" t="inlineStr">
        <is>
          <t>Charlotte, NC</t>
        </is>
      </c>
      <c r="H132" t="inlineStr"/>
      <c r="I132" t="inlineStr">
        <is>
          <t>**Overview**
 Are you a customer\-obsessed, AI\-curious problem\-solver who thrives in an inclusive, collaborative global team? The Azure CXP team's mission is to transform Microsoft Cloud customers into fans. Through our deep engineering engagements with customers and teams across Microsoft, we analyze and amplify customer needs and drive the vision to improve Cloud quality, security, and reliability. Our culture of growth mindset and empowerment are central to who we are and how we work. We are customer\-obsessed problem\-solvers. We orchestrate deep engagements in areas like incident management, support, and enablement. We analyze and amplify those customer voices, both within our own team, and across the Cloud \+ AI team, bringing the customer connection to the Quality vision for Azure. We innovate ways to scale what we learn across our customer base. Diversity and inclusion are central to who we are, how we work, and what we enable our customers to achieve. We know that empowering our customers starts with empowering our team to show up authentically, work in ways that are best for them, and achieve their career goals. Azure Reliability team is a multidisciplinary engineering organization part of CXP dedicated to making, "Azure the safest and most reliable Cloud". Azure Reliability teams strive to improve reliability fundamentals via software engineering operational improvement, preferring long\-lasting platform improvements delivered as engineering projects over repetitive manual operations. We contribute to the product fundamentals and architecture, share knowledge, and code, and prefer reuse over re\-invention, always looking for ways to make what we build useful to multiple teams and products. We are not looking for people who know it all, we are looking for people who want to learn it all. We value the input of people who aren't afraid to learn all the time and embrace mistakes as they continuously improve both our services and themselves. If you are excited by this type of challenge and you love to work in groups of people who are similarly excited: come join us! Every day, our customers stake their business and reputation on our cloud. You can help \#AzCXP provide our customers with the world\-class cloud services they need to succeed. This role supports flexible work from home with occasional in\-office meetings.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As a Principal Software Engineer in one of our Azure SRE teams, you will be responsible for improving the reliability of key Azure products. The Azure SRE key focus areas are:
* Defining system reliability goals through Service Level Objectives (SLOs). Enhancing production posture with targeted improvements in observability and operability (telemetry, alerting, incident/change management, safe deployment practices).
* Building reusable automation and processes that help multiple teams meet their reliability goals. Influencing product architecture and roadmaps to ensure customer\-experienced reliability is a core design principle.
* Contributing directly to product code to achieve reliability outcomes. Leveraging AI to proactively detect anomalies, predict incidents, and automate operational workflows \- scaling reliability efforts across complex systems.
 We are looking for engineers passionate about the above areas who are also interested in:
* Providing technical leadership across multiple Azure teams. Mentoring others on SRE principles, practices, and tools as well as AI usage to boost software development productivity.
* Designing and developing large\-scale distributed software services and solutions. Delivering "best\-in\-class" engineering by ensuring services are modular, secure, reliable, testable, diagnosable, observable, and reusable.
* Collaborating with internal and external partners to support team goals. Balancing pragmatism with vision\-driving continuous improvements in process and codebase. Building automation to prevent or remediate service issues before they impact users.
* Driving innovation in large\-scale operations by applying cutting\-edge AI tools and techniques to reduce operational toil and scale reliability engineering across complex systems. Gaining a working understanding of Microsoft businesses and contributing to cohesive, end\-to\-end user experiences.
**Qualifications**
**Required Qualifications:**
* Bachelor's Degree in Computer Science or related technical field AND 6\+ years technical engineering experience with coding in languages including, but not limited to, C, C\+\+, C\#, Java, JavaScript, or Python.
+ OR equivalent experience.
* 5\+ years of experience in building, shipping and operating reliable solutions.
* 5\+ years of experience with modern distributed software design patterns and cloud systems architecture, including microservices, containers, load balancing, queuing, caching.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8\+ years technical engineering experience with coding in languages including, but not limited to, C, C\+\+, C\#, Java, JavaScript, or Python OR Bachelor's Degree in Computer Science or related technical field AND 12\+ years technical engineering experience with coding in languages including, but not limited to, C, C\+\+, C\#, Java, JavaScript, or Python OR equivalent experience.
* Familiarity with modern distributed software design patterns and cloud systems architecture, including microservices, containers, load balancing, queuing, caching.
* Experience as a technical lead or engineering manager.
* Experience working on large and unfamiliar codebases (millions of lines of code).
* Experience with open\-source projects, Kubernetes, Linux and containers is desired.
* Experience with data technologies (SQL/NoSQL/etc.).
* Experience with Azure is a plus.
* Experience in AI adoption with tools like GitHub Copilot, Azure OpenAI and custom copilots to streamline development and reduce toil.
 Certain roles may be eligible for benefits and other compensation. Find additional benefits and pay information here: ;br\&gt;
 Benefits/perks listed below may vary depending on the nature of your employment with Microsoft and the country where you work.
 \#MSCareerEvents25
 \#SHPE2025
 \#AfroTech2025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33">
      <c r="A133" t="inlineStr">
        <is>
          <t>li-4360115636</t>
        </is>
      </c>
      <c r="B133" t="inlineStr">
        <is>
          <t>Senior Embedded Software Engineer</t>
        </is>
      </c>
      <c r="C133" t="inlineStr">
        <is>
          <t>Jobs via Dice</t>
        </is>
      </c>
      <c r="D133" t="inlineStr">
        <is>
          <t>linkedin</t>
        </is>
      </c>
      <c r="E133">
        <f>HYPERLINK("https://www.linkedin.com/jobs/view/4360115636", "https://www.linkedin.com/jobs/view/4360115636")</f>
        <v/>
      </c>
      <c r="F133" t="inlineStr"/>
      <c r="G133" t="inlineStr">
        <is>
          <t>Schaumburg, IL</t>
        </is>
      </c>
      <c r="H133" t="inlineStr"/>
      <c r="I133" t="inlineStr">
        <is>
          <t>Dice is the leading career destination for tech experts at every stage of their careers. Our client, ISCO International LLC, is seeking the following. Apply via Dice today!
**Position Description**
 ISCO is looking for a Senior Embedded Software Engineer to help architect, develop and implement ISCO's new telecommunications products. This role has a wide scope that may include implementation of DSP algorithms, development of drivers and APIs, design of O\&amp;M functions, and even support of automated test development efforts. This role requires a Senior level Software Engineer with a broad range of skills, innovative spirit, and desire to work in a fast\-paced, entrepreneurial environment. Candidate should have a background in wireless communication with experience working with embedded Linux at application and kernel levels and practical knowledge of ARM processors.
 This is an excellent position for a talented, motivated engineer seeking the opportunity to make a strong impact.
**Education/Experience**
 BS in Engineering, MSEE is a plus, and a minimum of seven to ten years related experience.
**Necessary Skills**
* Proficiency in C\+\+ programming in an embedded Linux environment.
* Proficiency in object\-oriented design with a focus on designing modular, maintainable, and reusable software.
* Proficiency in developing multi\-process and multi\-threaded embedded Linux applications.
* Experience in embedded software/driver design and implementation for Linux platforms which interface to FPGAs and other hardware devices such as PCIe cards, NICs, etc.
* Experience with Ethernet protocols including hands\-on experience debugging networking issues.
* Experience with embedded Linux platforms such as Yocto.
* Experience in C programming in an embedded Linux environment.
* Experience with version control systems such as Git.
* Knowledge of the complete software development life cycle, from requirements to design, implementation, testing, and release.
* Strong work ethic and the ability to work both independently and part of a team.
* Ability to effectively communicate via oral and written communications with senior management and technical staff.
**Recommended Skills**
* Knowledge and experience in adjacent areas \- FPGA and DSP
* Experience with LTE and/or 5G protocol stack software and data plane drivers.
* Proficiency in Python programming in an embedded systems environment.
* Familiarity with Python mathematical and data analysis packages.
* Experience with Linux server platforms including Ubuntu.
* Experience with Linux kernel device driver development and debugging
* Familiarity with PCIe, SPI, I2C, GPIO, DMA flash devices, and other hardware interfaces.
* Knowledge of security best practices in embedded systems development.
* Ability to test, validate and debug issues using RF measurement equipment like Spectrum Analyzer.
* Experience with automated system testing.
* Familiarity with ISO 9001:2015 quality standard requirements for documenting all phases of development is a plus but not necessary.
**Additional Requirements**
* Occasional domestic travel in support of customer meetings or product trials is required. The travel is estimated at about 10% of the time.
* Since ISCO makes equipment for cellular operators and cellular networks operate 24/7, on rare occasions some work may have to be performed during off hours between 12am \- 4 am or on weekends.
**Location**
 This position is at ISCO headquarters in Schaumburg, IL. Remote candidates are also strongly considered given the right set of skills and experience.
**Residency Requirement**
**Reports To**
 Vice President \- Engineering</t>
        </is>
      </c>
    </row>
    <row r="134">
      <c r="A134" t="inlineStr">
        <is>
          <t>li-4360410871</t>
        </is>
      </c>
      <c r="B134" t="inlineStr">
        <is>
          <t>Senior Software Engineer</t>
        </is>
      </c>
      <c r="C134" t="inlineStr">
        <is>
          <t>Jobs via Dice</t>
        </is>
      </c>
      <c r="D134" t="inlineStr">
        <is>
          <t>linkedin</t>
        </is>
      </c>
      <c r="E134">
        <f>HYPERLINK("https://www.linkedin.com/jobs/view/4360410871", "https://www.linkedin.com/jobs/view/4360410871")</f>
        <v/>
      </c>
      <c r="F134">
        <f>HYPERLINK("https://click.appcast.io/t/7TWRjrPDo8jlVIphW89vwy75fqWcxQH-PQ8qLECkOOc=&amp;urlHash=wGnj", "https://click.appcast.io/t/7TWRjrPDo8jlVIphW89vwy75fqWcxQH-PQ8qLECkOOc=&amp;urlHash=wGnj")</f>
        <v/>
      </c>
      <c r="G134" t="inlineStr">
        <is>
          <t>Redmond, WA</t>
        </is>
      </c>
      <c r="H134" t="inlineStr"/>
      <c r="I134" t="inlineStr">
        <is>
          <t>**Overview**
 Are you an engineer who loves to work on large\-scale projects at one of the most exciting and diverse divisions within Microsoft? Are you looking for big, creative challenges that show immediate results since your customers will be just down the hall? Do you want to be at the core of it all, acting as a force multiplier enabling groups of engineers to do their best work? If so, we have the perfect job for you!
 The ES365 (Microsoft 365 Engineering Systems) team owns the tools that make up the end\-to\-end developer experience in Office and Substrate from source control and check\-in experience to build, validation, and deployment automation, and we're making big, bold changes \- for the better! We're making it easy to build and ship apps across platforms and endpoints, and we're moving away from proprietary, internal\-only tools onto "one Microsoft" investments, open source, and industry standard tools. This is an exciting time as we seek to re\-invent productivity leveraging the power of AI universally. This role will build AI tools to empower developers to move faster and with greater confidence in their work.
 We're a growing team looking for a Senior Software Engineer \- Infrastructure to join us. We have opportunities that span a wide range of front\-end and back\-end technologies including web application development, cli development, back\-end services, machine learning, managed code, native code, cross\-platform, databases, distributed systems, cloud services, and more.
 If you are excited about making engineers productive and happy by developing tools and services, we want you in ES365\. Come be at the center of Microsoft 365 and join the team that is building the future of Engineering Systems at Microsoft!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 with engineers, product managers, designers, and partner teams to deliver a set of features with the right overall design and architecture.
* Own and deliver complete features across the development lifecycle, including design, architecture, implementation, testability, debugging, shipping, and servicing.
* Write clean, well\-thought\-out code with an emphasis on quality, performance, simplicity, durability, scalability, and maintainability.
* Be committed to delivering the best experience for our customers.
* Help create a diverse and inclusive culture where everyone can bring their full and authentic self and where we do our best work as a result.
* Embody our Culture and Values
**Qualifications**
**Required Qualifications:**
* Bachelor's Degree in Computer Science or related technical field AND 4\+ years technical engineering experience with coding in languages including, but not limited to, C, C\+\+, C\#, Java, JavaScript, or Python
+ OR equivalent experience.
* Experience in building highly available distributed systems at scale.
* Technical experience on Apple platforms and Xcode development toolset.
* 2\+ years of experience leveraging AI solutions to large scale problems.
**Preferred Qualifcations:**
* Proven experience in design, coding, testing, problem solving, and debugging skills in any language.
* Experience working across disciplines, groups, and teams.
* Experience writing applications using C\# and JavaScript.
* Experience architecting and delivering distributed cloud services, Azure preferred.
* Experience in machine learning.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35">
      <c r="A135" t="inlineStr">
        <is>
          <t>li-4360910346</t>
        </is>
      </c>
      <c r="B135" t="inlineStr">
        <is>
          <t>Senior Software Engineer - AI/ML</t>
        </is>
      </c>
      <c r="C135" t="inlineStr">
        <is>
          <t>Jobs via Dice</t>
        </is>
      </c>
      <c r="D135" t="inlineStr">
        <is>
          <t>linkedin</t>
        </is>
      </c>
      <c r="E135">
        <f>HYPERLINK("https://www.linkedin.com/jobs/view/4360910346", "https://www.linkedin.com/jobs/view/4360910346")</f>
        <v/>
      </c>
      <c r="F135" t="inlineStr"/>
      <c r="G135" t="inlineStr">
        <is>
          <t>Arizona, United States</t>
        </is>
      </c>
      <c r="H135" t="inlineStr"/>
      <c r="I135"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The role focuses on building and evolving AI/ML\-driven software solutions. You will be a key contributor within a dynamic team of data scientists and machine learning engineers, responsible for the full lifecycle of our AI/ML\-based systems and services. Your work will directly enable the creation and maintenance of robust tools that deliver data\-driven insights across various business areas.
**The day\-to\-day**
* Leading object\-oriented software development and design, primarily in Python.
* Building and optimizing robust data pipelines and services hosted in AWS and Google Cloud Platform.
* Design, implement, and maintain cloud infrastructure using Infrastructure as Code (IaC) established methodologies (e.g., Terraform, CloudFormation).
* Collaborating closely with data scientists and ML engineers to put AI/ML models into production.
* Maintaining and promoting standard processes in CI/CD workflows for continuous integration and deployment.
* Providing automated reports and AI\-derived insights to support various business areas.
* Actively participating in an Agile development environment, including planning, tracking, and reporting on progress.
* Partnering with team members to collect requirements and collaborate with them during the Agile development process.
**What You'll Need**
* Bachelor's Degree or higher in Computer Science, Software Engineering, Machine Learning, Data Science, or a related technical field.
* At least 3 years of professional software development experience, with a strong emphasis on Python.
* Proven expertise in object\-oriented design and system\-level architecture of AI/ML software systems.
* Demonstrated experience with CI/CD tools and standard processes (e.g., Jenkins, GitLab CI, GitHub Actions).
* Agile team development experience.
* Proficient communication abilities (both oral and written) to support technical and multi\-functional cooperation.
* Ability to thrive in a collaborative, fast\-paced environment.
* Experience in supporting business operations with data\-driven solutions.
* ship required.
* Ability to travel up to 10%.
**What Will Help You On The Job**
* Understanding of manufacturing and testing processes.
* Experience with test data analysis and visualization tool ecosystem
**Salary range**
 $135,500\.00 \- $214,000\.00 / annually.For specific work locations within San Jose, the San Francisco Bay area and New York City metropolitan area, the base pay range for this role is $168,500\.00\- $252,500\.00/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2026-01-19T01:31:35Z</dcterms:created>
  <dcterms:modified xsi:type="dcterms:W3CDTF">2026-01-19T01:31:35Z</dcterms:modified>
</cp:coreProperties>
</file>