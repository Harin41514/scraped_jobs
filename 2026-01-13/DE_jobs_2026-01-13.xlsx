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in-4fd63a00758188d1</t>
        </is>
      </c>
      <c r="B2" t="inlineStr">
        <is>
          <t>Data Engineer</t>
        </is>
      </c>
      <c r="C2" t="inlineStr">
        <is>
          <t>CloudPoint America</t>
        </is>
      </c>
      <c r="D2" t="inlineStr">
        <is>
          <t>indeed</t>
        </is>
      </c>
      <c r="E2" t="inlineStr"/>
      <c r="F2" t="inlineStr"/>
      <c r="G2" t="inlineStr">
        <is>
          <t>Dallas, TX, US</t>
        </is>
      </c>
      <c r="H2" s="2" t="n">
        <v>46035</v>
      </c>
      <c r="I2" t="inlineStr">
        <is>
          <t>**JOB DISCRIPTION:**
**Title: Data Engineer**  
**Location: Dallas, TX (Hybrid)**
We are seeking an experienced Data Engineer to design and maintain scalable data pipelines in Databricks. The role involves end\-to\-end ownership of data workflows, from ingestion to production, ensuring performance, quality, and reliability.
**Responsibilities**
* Build and optimize pipelines in Databricks (PySpark, SQL, Delta Lake).
* Ingest data from databases, APIs, PDFs, Excel, flat files, and web scraping.
* Implement data quality checks, validation, and testing frameworks.
* Deploy, monitor, and optimize pipelines in Databricks/AWS.
* Collaborate with data science/analytics teams and document data processes.
**Qualifications**
* 8\+ years of Data Engineering experience.
* Hands\-on expertise in Databricks (PySpark, SQL, Delta Lake).
* Strong experience with structured \&amp; unstructured data.
* Knowledge of data quality/testing tools (Great Expectations, Deequ, dbt tests).
* Proven ability to optimize large\-scale Spark/Databricks workloads.
**Email :** shraddha.m@datasysamerica.com
Job Types: Full\-time, Contract
Work Location: On the road</t>
        </is>
      </c>
    </row>
    <row r="3">
      <c r="A3" t="inlineStr">
        <is>
          <t>in-029d0d0a7dddcf39</t>
        </is>
      </c>
      <c r="B3" t="inlineStr">
        <is>
          <t>Data Engineer, New College Grad - 2026, Foster City, CA</t>
        </is>
      </c>
      <c r="C3" t="inlineStr">
        <is>
          <t>Visa</t>
        </is>
      </c>
      <c r="D3" t="inlineStr">
        <is>
          <t>indeed</t>
        </is>
      </c>
      <c r="E3" t="inlineStr"/>
      <c r="F3" t="inlineStr"/>
      <c r="G3" t="inlineStr">
        <is>
          <t>Foster City, CA, US</t>
        </is>
      </c>
      <c r="H3" s="2" t="n">
        <v>46035</v>
      </c>
      <c r="I3" t="inlineStr">
        <is>
          <t>**Company Description**  
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a versatile, curious, and energetic Data Engineer who embrace solving complex challenges on a global scale. As a Visa Data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 Create and maintain optimal data pipeline architecture for validating and certifying payment workflows
* Assemble large, complex data sets that meet functional / non\-functional business requirements
* Present technical solutions, capabilities, considerations, and features in business terms. Effectively communicate status, issues, and risks in a precise and timely manner.
 **Qualifications** **Basic Qualifications**
* Bachelor's or Master's degree in Computer Science, Computer Engineering, CIS/MIS, Cybersecurity, Business or a related field, graduating May 2025 \- August 2026\.
**Preferred Qualifications**
* Experience with programming languages such as Python, Java, Scala, C\+\+, Rust, Golang,
* Basic knowledge of Distributed Systems, and Data Structures
* Knowledge or experience with Big Data and the Cloud platform services: Apache Hadoop, Apache Spark.
* Passion for exploring emerging data engineering technologies and GenAI, including modern data pipelines, distributed processing (e.g., Spark), cloud platforms, containerization, and AI\-driven tools.
* Basic Knowledge in ETL, Data Pipelines using Python, Shell Scripts, Apache Airflow, and Apache Kafka; Building \&amp; Populating Data Warehouses, and Querying with BI tools.
* Basic Knowledge in RDBMS fundamentals: Design \&amp; Creation of Databases, Schemas, Tables; DB Administration, Security \&amp; working with MySQL \&amp; IBM Db2\.
* Basic Knowledge in SQL query language, database functions, stored procs, working with multiple tables, joins, \&amp; transactions.
* Basic Knowledge in NoSQL \&amp; Big Data concepts: MongoDB, Cassandra
* Knowledge of best practices and IT operations in an always\-up, always\-available service
* Experience with or knowledge of Agile Software Development methodologies
* The ability to take on challenges and address problems head\-on
* Strong ability to collaborate
* Highly driven, resourceful and results oriented
* Good team player and excellent interpersonal skills
* Good analytical and problem\-solving skills
* Demonstrated ability to lead and navigate through ambiguity.
**Additional Information** **U.S. APPLICANTS ONLY:** The estimated salary for a new hire into this position is $120,000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Permanent Authorization to work in the U.S. is a precondition of employment for this position. Visa will not sponsor applicants for work visas in connection with this position. Future sponsorship will not be considered.
**Work Hours:** Varies upon the needs of the department.
**This is a hybrid position:** Expectation of days in office will be confirmed by your hiring manager.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row>
    <row r="4">
      <c r="A4" t="inlineStr">
        <is>
          <t>in-389630acc116a1eb</t>
        </is>
      </c>
      <c r="B4" t="inlineStr">
        <is>
          <t>Data engineer</t>
        </is>
      </c>
      <c r="C4" t="inlineStr">
        <is>
          <t>Stacklogy</t>
        </is>
      </c>
      <c r="D4" t="inlineStr">
        <is>
          <t>indeed</t>
        </is>
      </c>
      <c r="E4" t="inlineStr"/>
      <c r="F4" t="inlineStr"/>
      <c r="G4" t="inlineStr">
        <is>
          <t>US</t>
        </is>
      </c>
      <c r="H4" s="2" t="n">
        <v>46034</v>
      </c>
      <c r="I4"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5">
      <c r="A5" t="inlineStr">
        <is>
          <t>in-6e9b38bb0f234e94</t>
        </is>
      </c>
      <c r="B5" t="inlineStr">
        <is>
          <t>Distinguished Data Engineer - Card Data</t>
        </is>
      </c>
      <c r="C5" t="inlineStr">
        <is>
          <t>Capital One</t>
        </is>
      </c>
      <c r="D5" t="inlineStr">
        <is>
          <t>indeed</t>
        </is>
      </c>
      <c r="E5" t="inlineStr"/>
      <c r="F5" t="inlineStr"/>
      <c r="G5" t="inlineStr">
        <is>
          <t>San Francisco, CA, US</t>
        </is>
      </c>
      <c r="H5" s="2" t="n">
        <v>46033</v>
      </c>
      <c r="I5" t="inlineStr">
        <is>
          <t>Distinguished Data Engineer \- Card Data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Capital One is seeking a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3 years of experience in data architecture
* At least 2 years of experience building applications in AWS
**Preferred Qualifications:**
* Masters’ Degree
* 9\+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Distinguished Data Engineer  
McLean, VA: $269,100 \- $307,200 for Distinguished Data Engineer  
New York, NY: $293,600 \- $335,100 for Distinguished Data Engineer  
Richmond, VA: $244,700 \- $279,200 for Distinguished Data Engineer  
San Francisco, CA: $293,600 \- $335,100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in-93d4a6c9e3c54508</t>
        </is>
      </c>
      <c r="B6" t="inlineStr">
        <is>
          <t>Data Engineer - Senior Manager</t>
        </is>
      </c>
      <c r="C6" t="inlineStr">
        <is>
          <t>PwC</t>
        </is>
      </c>
      <c r="D6" t="inlineStr">
        <is>
          <t>indeed</t>
        </is>
      </c>
      <c r="E6" t="inlineStr"/>
      <c r="F6" t="inlineStr"/>
      <c r="G6" t="inlineStr">
        <is>
          <t>Boston, MA, US</t>
        </is>
      </c>
      <c r="H6" s="2" t="n">
        <v>46033</v>
      </c>
      <c r="I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
      <c r="A7" t="inlineStr">
        <is>
          <t>in-305501076116d022</t>
        </is>
      </c>
      <c r="B7" t="inlineStr">
        <is>
          <t>Data Engineer - Senior Manager</t>
        </is>
      </c>
      <c r="C7" t="inlineStr">
        <is>
          <t>PwC</t>
        </is>
      </c>
      <c r="D7" t="inlineStr">
        <is>
          <t>indeed</t>
        </is>
      </c>
      <c r="E7" t="inlineStr"/>
      <c r="F7" t="inlineStr"/>
      <c r="G7" t="inlineStr">
        <is>
          <t>Cleveland, OH, US</t>
        </is>
      </c>
      <c r="H7" s="2" t="n">
        <v>46033</v>
      </c>
      <c r="I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
      <c r="A8" t="inlineStr">
        <is>
          <t>in-e945269a3587732d</t>
        </is>
      </c>
      <c r="B8" t="inlineStr">
        <is>
          <t>Data Engineer - Senior Manager</t>
        </is>
      </c>
      <c r="C8" t="inlineStr">
        <is>
          <t>PwC</t>
        </is>
      </c>
      <c r="D8" t="inlineStr">
        <is>
          <t>indeed</t>
        </is>
      </c>
      <c r="E8" t="inlineStr"/>
      <c r="F8" t="inlineStr"/>
      <c r="G8" t="inlineStr">
        <is>
          <t>Los Angeles, CA, US</t>
        </is>
      </c>
      <c r="H8" s="2" t="n">
        <v>46033</v>
      </c>
      <c r="I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
      <c r="A9" t="inlineStr">
        <is>
          <t>in-a3e4b134fb1b8f3c</t>
        </is>
      </c>
      <c r="B9" t="inlineStr">
        <is>
          <t>Data Engineer - Senior Manager</t>
        </is>
      </c>
      <c r="C9" t="inlineStr">
        <is>
          <t>PwC</t>
        </is>
      </c>
      <c r="D9" t="inlineStr">
        <is>
          <t>indeed</t>
        </is>
      </c>
      <c r="E9" t="inlineStr"/>
      <c r="F9" t="inlineStr"/>
      <c r="G9" t="inlineStr">
        <is>
          <t>Tulsa, OK, US</t>
        </is>
      </c>
      <c r="H9" s="2" t="n">
        <v>46033</v>
      </c>
      <c r="I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
      <c r="A10" t="inlineStr">
        <is>
          <t>in-60a68f68c3cb944c</t>
        </is>
      </c>
      <c r="B10" t="inlineStr">
        <is>
          <t>Data Engineer - Senior Manager</t>
        </is>
      </c>
      <c r="C10" t="inlineStr">
        <is>
          <t>PwC</t>
        </is>
      </c>
      <c r="D10" t="inlineStr">
        <is>
          <t>indeed</t>
        </is>
      </c>
      <c r="E10" t="inlineStr"/>
      <c r="F10" t="inlineStr"/>
      <c r="G10" t="inlineStr">
        <is>
          <t>Cincinnati, OH, US</t>
        </is>
      </c>
      <c r="H10" s="2" t="n">
        <v>46033</v>
      </c>
      <c r="I1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
      <c r="A11" t="inlineStr">
        <is>
          <t>in-7bf5a2aa74eeaa79</t>
        </is>
      </c>
      <c r="B11" t="inlineStr">
        <is>
          <t>Data Engineer - Senior Manager</t>
        </is>
      </c>
      <c r="C11" t="inlineStr">
        <is>
          <t>PwC</t>
        </is>
      </c>
      <c r="D11" t="inlineStr">
        <is>
          <t>indeed</t>
        </is>
      </c>
      <c r="E11" t="inlineStr"/>
      <c r="F11" t="inlineStr"/>
      <c r="G11" t="inlineStr">
        <is>
          <t>Little Rock, AR, US</t>
        </is>
      </c>
      <c r="H11" s="2" t="n">
        <v>46033</v>
      </c>
      <c r="I1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
      <c r="A12" t="inlineStr">
        <is>
          <t>in-6be26330bd1270fd</t>
        </is>
      </c>
      <c r="B12" t="inlineStr">
        <is>
          <t>Data Engineer - Senior Manager</t>
        </is>
      </c>
      <c r="C12" t="inlineStr">
        <is>
          <t>PwC</t>
        </is>
      </c>
      <c r="D12" t="inlineStr">
        <is>
          <t>indeed</t>
        </is>
      </c>
      <c r="E12" t="inlineStr"/>
      <c r="F12" t="inlineStr"/>
      <c r="G12" t="inlineStr">
        <is>
          <t>Denver, CO, US</t>
        </is>
      </c>
      <c r="H12" s="2" t="n">
        <v>46033</v>
      </c>
      <c r="I1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
      <c r="A13" t="inlineStr">
        <is>
          <t>in-21e5b8cfac3334bb</t>
        </is>
      </c>
      <c r="B13" t="inlineStr">
        <is>
          <t>Data Engineer - Senior Manager</t>
        </is>
      </c>
      <c r="C13" t="inlineStr">
        <is>
          <t>PwC</t>
        </is>
      </c>
      <c r="D13" t="inlineStr">
        <is>
          <t>indeed</t>
        </is>
      </c>
      <c r="E13" t="inlineStr"/>
      <c r="F13" t="inlineStr"/>
      <c r="G13" t="inlineStr">
        <is>
          <t>San Antonio, TX, US</t>
        </is>
      </c>
      <c r="H13" s="2" t="n">
        <v>46033</v>
      </c>
      <c r="I1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
      <c r="A14" t="inlineStr">
        <is>
          <t>in-b52e4d51194bbe31</t>
        </is>
      </c>
      <c r="B14" t="inlineStr">
        <is>
          <t>Data Engineer - Senior Manager</t>
        </is>
      </c>
      <c r="C14" t="inlineStr">
        <is>
          <t>PwC</t>
        </is>
      </c>
      <c r="D14" t="inlineStr">
        <is>
          <t>indeed</t>
        </is>
      </c>
      <c r="E14" t="inlineStr"/>
      <c r="F14" t="inlineStr"/>
      <c r="G14" t="inlineStr">
        <is>
          <t>Raleigh, NC, US</t>
        </is>
      </c>
      <c r="H14" s="2" t="n">
        <v>46033</v>
      </c>
      <c r="I1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
      <c r="A15" t="inlineStr">
        <is>
          <t>in-f82b68274000ec8b</t>
        </is>
      </c>
      <c r="B15" t="inlineStr">
        <is>
          <t>Data Engineer - Senior Manager</t>
        </is>
      </c>
      <c r="C15" t="inlineStr">
        <is>
          <t>PwC</t>
        </is>
      </c>
      <c r="D15" t="inlineStr">
        <is>
          <t>indeed</t>
        </is>
      </c>
      <c r="E15" t="inlineStr"/>
      <c r="F15" t="inlineStr"/>
      <c r="G15" t="inlineStr">
        <is>
          <t>Salt Lake City, UT, US</t>
        </is>
      </c>
      <c r="H15" s="2" t="n">
        <v>46033</v>
      </c>
      <c r="I1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6">
      <c r="A16" t="inlineStr">
        <is>
          <t>in-a9c06a8eb678ee82</t>
        </is>
      </c>
      <c r="B16" t="inlineStr">
        <is>
          <t>Data Engineer - Senior Manager</t>
        </is>
      </c>
      <c r="C16" t="inlineStr">
        <is>
          <t>PwC</t>
        </is>
      </c>
      <c r="D16" t="inlineStr">
        <is>
          <t>indeed</t>
        </is>
      </c>
      <c r="E16" t="inlineStr"/>
      <c r="F16" t="inlineStr"/>
      <c r="G16" t="inlineStr">
        <is>
          <t>Oklahoma City, OK, US</t>
        </is>
      </c>
      <c r="H16" s="2" t="n">
        <v>46033</v>
      </c>
      <c r="I1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7">
      <c r="A17" t="inlineStr">
        <is>
          <t>in-464994f9a2dd191c</t>
        </is>
      </c>
      <c r="B17" t="inlineStr">
        <is>
          <t>Data Engineer - Senior Manager</t>
        </is>
      </c>
      <c r="C17" t="inlineStr">
        <is>
          <t>PwC</t>
        </is>
      </c>
      <c r="D17" t="inlineStr">
        <is>
          <t>indeed</t>
        </is>
      </c>
      <c r="E17" t="inlineStr"/>
      <c r="F17" t="inlineStr"/>
      <c r="G17" t="inlineStr">
        <is>
          <t>Seattle, WA, US</t>
        </is>
      </c>
      <c r="H17" s="2" t="n">
        <v>46033</v>
      </c>
      <c r="I1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8">
      <c r="A18" t="inlineStr">
        <is>
          <t>in-981f2f8a49f6b9d7</t>
        </is>
      </c>
      <c r="B18" t="inlineStr">
        <is>
          <t>Data Engineer - Senior Manager</t>
        </is>
      </c>
      <c r="C18" t="inlineStr">
        <is>
          <t>PwC</t>
        </is>
      </c>
      <c r="D18" t="inlineStr">
        <is>
          <t>indeed</t>
        </is>
      </c>
      <c r="E18" t="inlineStr"/>
      <c r="F18" t="inlineStr"/>
      <c r="G18" t="inlineStr">
        <is>
          <t>Spartanburg, SC, US</t>
        </is>
      </c>
      <c r="H18" s="2" t="n">
        <v>46033</v>
      </c>
      <c r="I1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9">
      <c r="A19" t="inlineStr">
        <is>
          <t>in-2c4684a3c6e0857b</t>
        </is>
      </c>
      <c r="B19" t="inlineStr">
        <is>
          <t>Data Engineer - Senior Manager</t>
        </is>
      </c>
      <c r="C19" t="inlineStr">
        <is>
          <t>PwC</t>
        </is>
      </c>
      <c r="D19" t="inlineStr">
        <is>
          <t>indeed</t>
        </is>
      </c>
      <c r="E19" t="inlineStr"/>
      <c r="F19" t="inlineStr"/>
      <c r="G19" t="inlineStr">
        <is>
          <t>Rosemont, IL, US</t>
        </is>
      </c>
      <c r="H19" s="2" t="n">
        <v>46033</v>
      </c>
      <c r="I1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0">
      <c r="A20" t="inlineStr">
        <is>
          <t>in-5659b152e78718d6</t>
        </is>
      </c>
      <c r="B20" t="inlineStr">
        <is>
          <t>Data Engineer - Senior Manager</t>
        </is>
      </c>
      <c r="C20" t="inlineStr">
        <is>
          <t>PwC</t>
        </is>
      </c>
      <c r="D20" t="inlineStr">
        <is>
          <t>indeed</t>
        </is>
      </c>
      <c r="E20" t="inlineStr"/>
      <c r="F20" t="inlineStr"/>
      <c r="G20" t="inlineStr">
        <is>
          <t>New Orleans, LA, US</t>
        </is>
      </c>
      <c r="H20" s="2" t="n">
        <v>46033</v>
      </c>
      <c r="I2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1">
      <c r="A21" t="inlineStr">
        <is>
          <t>in-c538a20760e61db0</t>
        </is>
      </c>
      <c r="B21" t="inlineStr">
        <is>
          <t>Data Engineer - Senior Manager</t>
        </is>
      </c>
      <c r="C21" t="inlineStr">
        <is>
          <t>PwC</t>
        </is>
      </c>
      <c r="D21" t="inlineStr">
        <is>
          <t>indeed</t>
        </is>
      </c>
      <c r="E21" t="inlineStr"/>
      <c r="F21" t="inlineStr"/>
      <c r="G21" t="inlineStr">
        <is>
          <t>Nashville, TN, US</t>
        </is>
      </c>
      <c r="H21" s="2" t="n">
        <v>46033</v>
      </c>
      <c r="I2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2">
      <c r="A22" t="inlineStr">
        <is>
          <t>in-b6d3c77ea363eb53</t>
        </is>
      </c>
      <c r="B22" t="inlineStr">
        <is>
          <t>Data Engineer - Senior Manager</t>
        </is>
      </c>
      <c r="C22" t="inlineStr">
        <is>
          <t>PwC</t>
        </is>
      </c>
      <c r="D22" t="inlineStr">
        <is>
          <t>indeed</t>
        </is>
      </c>
      <c r="E22" t="inlineStr"/>
      <c r="F22" t="inlineStr"/>
      <c r="G22" t="inlineStr">
        <is>
          <t>Indianapolis, IN, US</t>
        </is>
      </c>
      <c r="H22" s="2" t="n">
        <v>46033</v>
      </c>
      <c r="I2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3">
      <c r="A23" t="inlineStr">
        <is>
          <t>in-92e91e3d54fe4837</t>
        </is>
      </c>
      <c r="B23" t="inlineStr">
        <is>
          <t>Data Engineer - Senior Manager</t>
        </is>
      </c>
      <c r="C23" t="inlineStr">
        <is>
          <t>PwC</t>
        </is>
      </c>
      <c r="D23" t="inlineStr">
        <is>
          <t>indeed</t>
        </is>
      </c>
      <c r="E23" t="inlineStr"/>
      <c r="F23" t="inlineStr"/>
      <c r="G23" t="inlineStr">
        <is>
          <t>San Diego, CA, US</t>
        </is>
      </c>
      <c r="H23" s="2" t="n">
        <v>46033</v>
      </c>
      <c r="I2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4">
      <c r="A24" t="inlineStr">
        <is>
          <t>in-5a3db502e8577fbb</t>
        </is>
      </c>
      <c r="B24" t="inlineStr">
        <is>
          <t>Data Engineer - Senior Manager</t>
        </is>
      </c>
      <c r="C24" t="inlineStr">
        <is>
          <t>PwC</t>
        </is>
      </c>
      <c r="D24" t="inlineStr">
        <is>
          <t>indeed</t>
        </is>
      </c>
      <c r="E24" t="inlineStr"/>
      <c r="F24" t="inlineStr"/>
      <c r="G24" t="inlineStr">
        <is>
          <t>Pittsburgh, PA, US</t>
        </is>
      </c>
      <c r="H24" s="2" t="n">
        <v>46033</v>
      </c>
      <c r="I2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
      <c r="A25" t="inlineStr">
        <is>
          <t>in-2c34a28e4b7242f8</t>
        </is>
      </c>
      <c r="B25" t="inlineStr">
        <is>
          <t>Data Engineer - Senior Manager</t>
        </is>
      </c>
      <c r="C25" t="inlineStr">
        <is>
          <t>PwC</t>
        </is>
      </c>
      <c r="D25" t="inlineStr">
        <is>
          <t>indeed</t>
        </is>
      </c>
      <c r="E25" t="inlineStr"/>
      <c r="F25" t="inlineStr"/>
      <c r="G25" t="inlineStr">
        <is>
          <t>Irvine, CA, US</t>
        </is>
      </c>
      <c r="H25" s="2" t="n">
        <v>46033</v>
      </c>
      <c r="I2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
      <c r="A26" t="inlineStr">
        <is>
          <t>in-6f4b026f7dd24b1b</t>
        </is>
      </c>
      <c r="B26" t="inlineStr">
        <is>
          <t>Data Engineer - Senior Manager</t>
        </is>
      </c>
      <c r="C26" t="inlineStr">
        <is>
          <t>PwC</t>
        </is>
      </c>
      <c r="D26" t="inlineStr">
        <is>
          <t>indeed</t>
        </is>
      </c>
      <c r="E26" t="inlineStr"/>
      <c r="F26" t="inlineStr"/>
      <c r="G26" t="inlineStr">
        <is>
          <t>Austin, TX, US</t>
        </is>
      </c>
      <c r="H26" s="2" t="n">
        <v>46033</v>
      </c>
      <c r="I2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
      <c r="A27" t="inlineStr">
        <is>
          <t>in-3ad0462281838f6c</t>
        </is>
      </c>
      <c r="B27" t="inlineStr">
        <is>
          <t>Data Engineer - Senior Manager</t>
        </is>
      </c>
      <c r="C27" t="inlineStr">
        <is>
          <t>PwC</t>
        </is>
      </c>
      <c r="D27" t="inlineStr">
        <is>
          <t>indeed</t>
        </is>
      </c>
      <c r="E27" t="inlineStr"/>
      <c r="F27" t="inlineStr"/>
      <c r="G27" t="inlineStr">
        <is>
          <t>Fayetteville, AR, US</t>
        </is>
      </c>
      <c r="H27" s="2" t="n">
        <v>46033</v>
      </c>
      <c r="I2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
      <c r="A28" t="inlineStr">
        <is>
          <t>in-f867e170599360f0</t>
        </is>
      </c>
      <c r="B28" t="inlineStr">
        <is>
          <t>Data Engineer - Senior Manager</t>
        </is>
      </c>
      <c r="C28" t="inlineStr">
        <is>
          <t>PwC</t>
        </is>
      </c>
      <c r="D28" t="inlineStr">
        <is>
          <t>indeed</t>
        </is>
      </c>
      <c r="E28" t="inlineStr"/>
      <c r="F28" t="inlineStr"/>
      <c r="G28" t="inlineStr">
        <is>
          <t>Washington, DC, US</t>
        </is>
      </c>
      <c r="H28" s="2" t="n">
        <v>46033</v>
      </c>
      <c r="I2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
      <c r="A29" t="inlineStr">
        <is>
          <t>in-548bb857acec9128</t>
        </is>
      </c>
      <c r="B29" t="inlineStr">
        <is>
          <t>Data Engineer - Senior Manager</t>
        </is>
      </c>
      <c r="C29" t="inlineStr">
        <is>
          <t>PwC</t>
        </is>
      </c>
      <c r="D29" t="inlineStr">
        <is>
          <t>indeed</t>
        </is>
      </c>
      <c r="E29" t="inlineStr"/>
      <c r="F29" t="inlineStr"/>
      <c r="G29" t="inlineStr">
        <is>
          <t>Charlotte, NC, US</t>
        </is>
      </c>
      <c r="H29" s="2" t="n">
        <v>46033</v>
      </c>
      <c r="I2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
      <c r="A30" t="inlineStr">
        <is>
          <t>in-ae4227186ec8d649</t>
        </is>
      </c>
      <c r="B30" t="inlineStr">
        <is>
          <t>Data Engineer - Senior Manager</t>
        </is>
      </c>
      <c r="C30" t="inlineStr">
        <is>
          <t>PwC</t>
        </is>
      </c>
      <c r="D30" t="inlineStr">
        <is>
          <t>indeed</t>
        </is>
      </c>
      <c r="E30" t="inlineStr"/>
      <c r="F30" t="inlineStr"/>
      <c r="G30" t="inlineStr">
        <is>
          <t>Milwaukee, WI, US</t>
        </is>
      </c>
      <c r="H30" s="2" t="n">
        <v>46033</v>
      </c>
      <c r="I3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
      <c r="A31" t="inlineStr">
        <is>
          <t>in-77d37d18bb5f554c</t>
        </is>
      </c>
      <c r="B31" t="inlineStr">
        <is>
          <t>Data Engineer - Senior Manager</t>
        </is>
      </c>
      <c r="C31" t="inlineStr">
        <is>
          <t>PwC</t>
        </is>
      </c>
      <c r="D31" t="inlineStr">
        <is>
          <t>indeed</t>
        </is>
      </c>
      <c r="E31" t="inlineStr"/>
      <c r="F31" t="inlineStr"/>
      <c r="G31" t="inlineStr">
        <is>
          <t>Buffalo, NY, US</t>
        </is>
      </c>
      <c r="H31" s="2" t="n">
        <v>46033</v>
      </c>
      <c r="I3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
      <c r="A32" t="inlineStr">
        <is>
          <t>in-3f654ef8298b6f5b</t>
        </is>
      </c>
      <c r="B32" t="inlineStr">
        <is>
          <t>Data Engineer - Senior Manager</t>
        </is>
      </c>
      <c r="C32" t="inlineStr">
        <is>
          <t>PwC</t>
        </is>
      </c>
      <c r="D32" t="inlineStr">
        <is>
          <t>indeed</t>
        </is>
      </c>
      <c r="E32" t="inlineStr"/>
      <c r="F32" t="inlineStr"/>
      <c r="G32" t="inlineStr">
        <is>
          <t>Stamford, CT, US</t>
        </is>
      </c>
      <c r="H32" s="2" t="n">
        <v>46033</v>
      </c>
      <c r="I3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
      <c r="A33" t="inlineStr">
        <is>
          <t>in-589750508be99cea</t>
        </is>
      </c>
      <c r="B33" t="inlineStr">
        <is>
          <t>Data Engineer - Senior Manager</t>
        </is>
      </c>
      <c r="C33" t="inlineStr">
        <is>
          <t>PwC</t>
        </is>
      </c>
      <c r="D33" t="inlineStr">
        <is>
          <t>indeed</t>
        </is>
      </c>
      <c r="E33" t="inlineStr"/>
      <c r="F33" t="inlineStr"/>
      <c r="G33" t="inlineStr">
        <is>
          <t>Richmond, VA, US</t>
        </is>
      </c>
      <c r="H33" s="2" t="n">
        <v>46033</v>
      </c>
      <c r="I3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
      <c r="A34" t="inlineStr">
        <is>
          <t>in-e9013f82b3aecf4a</t>
        </is>
      </c>
      <c r="B34" t="inlineStr">
        <is>
          <t>Data Engineer - Senior Manager</t>
        </is>
      </c>
      <c r="C34" t="inlineStr">
        <is>
          <t>PwC</t>
        </is>
      </c>
      <c r="D34" t="inlineStr">
        <is>
          <t>indeed</t>
        </is>
      </c>
      <c r="E34" t="inlineStr"/>
      <c r="F34" t="inlineStr"/>
      <c r="G34" t="inlineStr">
        <is>
          <t>Portland, OR, US</t>
        </is>
      </c>
      <c r="H34" s="2" t="n">
        <v>46033</v>
      </c>
      <c r="I3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
      <c r="A35" t="inlineStr">
        <is>
          <t>in-107e1c3d771a78ed</t>
        </is>
      </c>
      <c r="B35" t="inlineStr">
        <is>
          <t>Data Engineer - Senior Manager</t>
        </is>
      </c>
      <c r="C35" t="inlineStr">
        <is>
          <t>PwC</t>
        </is>
      </c>
      <c r="D35" t="inlineStr">
        <is>
          <t>indeed</t>
        </is>
      </c>
      <c r="E35" t="inlineStr"/>
      <c r="F35" t="inlineStr"/>
      <c r="G35" t="inlineStr">
        <is>
          <t>Las Vegas, NV, US</t>
        </is>
      </c>
      <c r="H35" s="2" t="n">
        <v>46033</v>
      </c>
      <c r="I3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
      <c r="A36" t="inlineStr">
        <is>
          <t>in-69f5007cc01c6d6c</t>
        </is>
      </c>
      <c r="B36" t="inlineStr">
        <is>
          <t>Data Engineer - Senior Manager</t>
        </is>
      </c>
      <c r="C36" t="inlineStr">
        <is>
          <t>PwC</t>
        </is>
      </c>
      <c r="D36" t="inlineStr">
        <is>
          <t>indeed</t>
        </is>
      </c>
      <c r="E36" t="inlineStr"/>
      <c r="F36" t="inlineStr"/>
      <c r="G36" t="inlineStr">
        <is>
          <t>Atlanta, GA, US</t>
        </is>
      </c>
      <c r="H36" s="2" t="n">
        <v>46033</v>
      </c>
      <c r="I3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7">
      <c r="A37" t="inlineStr">
        <is>
          <t>in-d73f3105607f8a02</t>
        </is>
      </c>
      <c r="B37" t="inlineStr">
        <is>
          <t>Data Engineer - Senior Manager</t>
        </is>
      </c>
      <c r="C37" t="inlineStr">
        <is>
          <t>PwC</t>
        </is>
      </c>
      <c r="D37" t="inlineStr">
        <is>
          <t>indeed</t>
        </is>
      </c>
      <c r="E37" t="inlineStr"/>
      <c r="F37" t="inlineStr"/>
      <c r="G37" t="inlineStr">
        <is>
          <t>Phoenix, AZ, US</t>
        </is>
      </c>
      <c r="H37" s="2" t="n">
        <v>46033</v>
      </c>
      <c r="I3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8">
      <c r="A38" t="inlineStr">
        <is>
          <t>in-8efd97c1ebaada7d</t>
        </is>
      </c>
      <c r="B38" t="inlineStr">
        <is>
          <t>Data Engineer - Senior Manager</t>
        </is>
      </c>
      <c r="C38" t="inlineStr">
        <is>
          <t>PwC</t>
        </is>
      </c>
      <c r="D38" t="inlineStr">
        <is>
          <t>indeed</t>
        </is>
      </c>
      <c r="E38" t="inlineStr"/>
      <c r="F38" t="inlineStr"/>
      <c r="G38" t="inlineStr">
        <is>
          <t>Grand Rapids, MI, US</t>
        </is>
      </c>
      <c r="H38" s="2" t="n">
        <v>46033</v>
      </c>
      <c r="I3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9">
      <c r="A39" t="inlineStr">
        <is>
          <t>in-a0d4ea95fb908ef3</t>
        </is>
      </c>
      <c r="B39" t="inlineStr">
        <is>
          <t>Data Engineer - Senior Manager</t>
        </is>
      </c>
      <c r="C39" t="inlineStr">
        <is>
          <t>PwC</t>
        </is>
      </c>
      <c r="D39" t="inlineStr">
        <is>
          <t>indeed</t>
        </is>
      </c>
      <c r="E39" t="inlineStr"/>
      <c r="F39" t="inlineStr"/>
      <c r="G39" t="inlineStr">
        <is>
          <t>Toledo, OH, US</t>
        </is>
      </c>
      <c r="H39" s="2" t="n">
        <v>46033</v>
      </c>
      <c r="I3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0">
      <c r="A40" t="inlineStr">
        <is>
          <t>in-9bdac60facbfd857</t>
        </is>
      </c>
      <c r="B40" t="inlineStr">
        <is>
          <t>Data Engineer - Senior Manager</t>
        </is>
      </c>
      <c r="C40" t="inlineStr">
        <is>
          <t>PwC</t>
        </is>
      </c>
      <c r="D40" t="inlineStr">
        <is>
          <t>indeed</t>
        </is>
      </c>
      <c r="E40" t="inlineStr"/>
      <c r="F40" t="inlineStr"/>
      <c r="G40" t="inlineStr">
        <is>
          <t>Montpelier, VT, US</t>
        </is>
      </c>
      <c r="H40" s="2" t="n">
        <v>46033</v>
      </c>
      <c r="I4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1">
      <c r="A41" t="inlineStr">
        <is>
          <t>in-5dd11565c9f6ea46</t>
        </is>
      </c>
      <c r="B41" t="inlineStr">
        <is>
          <t>Data Engineer - Senior Manager</t>
        </is>
      </c>
      <c r="C41" t="inlineStr">
        <is>
          <t>PwC</t>
        </is>
      </c>
      <c r="D41" t="inlineStr">
        <is>
          <t>indeed</t>
        </is>
      </c>
      <c r="E41" t="inlineStr"/>
      <c r="F41" t="inlineStr"/>
      <c r="G41" t="inlineStr">
        <is>
          <t>Florham Park, NJ, US</t>
        </is>
      </c>
      <c r="H41" s="2" t="n">
        <v>46033</v>
      </c>
      <c r="I4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2">
      <c r="A42" t="inlineStr">
        <is>
          <t>in-968df935f1dfd57c</t>
        </is>
      </c>
      <c r="B42" t="inlineStr">
        <is>
          <t>Data Engineer - Senior Manager</t>
        </is>
      </c>
      <c r="C42" t="inlineStr">
        <is>
          <t>PwC</t>
        </is>
      </c>
      <c r="D42" t="inlineStr">
        <is>
          <t>indeed</t>
        </is>
      </c>
      <c r="E42" t="inlineStr"/>
      <c r="F42" t="inlineStr"/>
      <c r="G42" t="inlineStr">
        <is>
          <t>Birmingham, AL, US</t>
        </is>
      </c>
      <c r="H42" s="2" t="n">
        <v>46033</v>
      </c>
      <c r="I4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3">
      <c r="A43" t="inlineStr">
        <is>
          <t>in-e6c07b1be9b0424a</t>
        </is>
      </c>
      <c r="B43" t="inlineStr">
        <is>
          <t>Data Engineer - Senior Manager</t>
        </is>
      </c>
      <c r="C43" t="inlineStr">
        <is>
          <t>PwC</t>
        </is>
      </c>
      <c r="D43" t="inlineStr">
        <is>
          <t>indeed</t>
        </is>
      </c>
      <c r="E43" t="inlineStr"/>
      <c r="F43" t="inlineStr"/>
      <c r="G43" t="inlineStr">
        <is>
          <t>Des Moines, IA, US</t>
        </is>
      </c>
      <c r="H43" s="2" t="n">
        <v>46033</v>
      </c>
      <c r="I4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4">
      <c r="A44" t="inlineStr">
        <is>
          <t>in-d0da97adc327c163</t>
        </is>
      </c>
      <c r="B44" t="inlineStr">
        <is>
          <t>Data Engineer - Senior Manager</t>
        </is>
      </c>
      <c r="C44" t="inlineStr">
        <is>
          <t>PwC</t>
        </is>
      </c>
      <c r="D44" t="inlineStr">
        <is>
          <t>indeed</t>
        </is>
      </c>
      <c r="E44" t="inlineStr"/>
      <c r="F44" t="inlineStr"/>
      <c r="G44" t="inlineStr">
        <is>
          <t>Miami, FL, US</t>
        </is>
      </c>
      <c r="H44" s="2" t="n">
        <v>46033</v>
      </c>
      <c r="I4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5">
      <c r="A45" t="inlineStr">
        <is>
          <t>in-bff86eb0e9a16077</t>
        </is>
      </c>
      <c r="B45" t="inlineStr">
        <is>
          <t>Data Engineer - Senior Manager</t>
        </is>
      </c>
      <c r="C45" t="inlineStr">
        <is>
          <t>PwC</t>
        </is>
      </c>
      <c r="D45" t="inlineStr">
        <is>
          <t>indeed</t>
        </is>
      </c>
      <c r="E45" t="inlineStr"/>
      <c r="F45" t="inlineStr"/>
      <c r="G45" t="inlineStr">
        <is>
          <t>Hartford, CT, US</t>
        </is>
      </c>
      <c r="H45" s="2" t="n">
        <v>46033</v>
      </c>
      <c r="I4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6">
      <c r="A46" t="inlineStr">
        <is>
          <t>in-3b307f92851b2854</t>
        </is>
      </c>
      <c r="B46" t="inlineStr">
        <is>
          <t>Data Engineer - Senior Manager</t>
        </is>
      </c>
      <c r="C46" t="inlineStr">
        <is>
          <t>PwC</t>
        </is>
      </c>
      <c r="D46" t="inlineStr">
        <is>
          <t>indeed</t>
        </is>
      </c>
      <c r="E46" t="inlineStr"/>
      <c r="F46" t="inlineStr"/>
      <c r="G46" t="inlineStr">
        <is>
          <t>New York, NY, US</t>
        </is>
      </c>
      <c r="H46" s="2" t="n">
        <v>46033</v>
      </c>
      <c r="I4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7">
      <c r="A47" t="inlineStr">
        <is>
          <t>in-7dd5ba75fe3001dc</t>
        </is>
      </c>
      <c r="B47" t="inlineStr">
        <is>
          <t>Data Engineer - Senior Manager</t>
        </is>
      </c>
      <c r="C47" t="inlineStr">
        <is>
          <t>PwC</t>
        </is>
      </c>
      <c r="D47" t="inlineStr">
        <is>
          <t>indeed</t>
        </is>
      </c>
      <c r="E47" t="inlineStr"/>
      <c r="F47" t="inlineStr"/>
      <c r="G47" t="inlineStr">
        <is>
          <t>Houston, TX, US</t>
        </is>
      </c>
      <c r="H47" s="2" t="n">
        <v>46033</v>
      </c>
      <c r="I4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8">
      <c r="A48" t="inlineStr">
        <is>
          <t>in-731403a5c553ea46</t>
        </is>
      </c>
      <c r="B48" t="inlineStr">
        <is>
          <t>Data Engineer - Senior Manager</t>
        </is>
      </c>
      <c r="C48" t="inlineStr">
        <is>
          <t>PwC</t>
        </is>
      </c>
      <c r="D48" t="inlineStr">
        <is>
          <t>indeed</t>
        </is>
      </c>
      <c r="E48" t="inlineStr"/>
      <c r="F48" t="inlineStr"/>
      <c r="G48" t="inlineStr">
        <is>
          <t>Melville, NY, US</t>
        </is>
      </c>
      <c r="H48" s="2" t="n">
        <v>46033</v>
      </c>
      <c r="I4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9">
      <c r="A49" t="inlineStr">
        <is>
          <t>in-3612538a2c4c8c7a</t>
        </is>
      </c>
      <c r="B49" t="inlineStr">
        <is>
          <t>Data Engineer - Senior Manager</t>
        </is>
      </c>
      <c r="C49" t="inlineStr">
        <is>
          <t>PwC</t>
        </is>
      </c>
      <c r="D49" t="inlineStr">
        <is>
          <t>indeed</t>
        </is>
      </c>
      <c r="E49" t="inlineStr"/>
      <c r="F49" t="inlineStr"/>
      <c r="G49" t="inlineStr">
        <is>
          <t>Minneapolis, MN, US</t>
        </is>
      </c>
      <c r="H49" s="2" t="n">
        <v>46033</v>
      </c>
      <c r="I4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0">
      <c r="A50" t="inlineStr">
        <is>
          <t>in-0e08ea2bd011a71d</t>
        </is>
      </c>
      <c r="B50" t="inlineStr">
        <is>
          <t>Data Engineer - Senior Manager</t>
        </is>
      </c>
      <c r="C50" t="inlineStr">
        <is>
          <t>PwC</t>
        </is>
      </c>
      <c r="D50" t="inlineStr">
        <is>
          <t>indeed</t>
        </is>
      </c>
      <c r="E50" t="inlineStr"/>
      <c r="F50" t="inlineStr"/>
      <c r="G50" t="inlineStr">
        <is>
          <t>Fort Worth, TX, US</t>
        </is>
      </c>
      <c r="H50" s="2" t="n">
        <v>46033</v>
      </c>
      <c r="I5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1">
      <c r="A51" t="inlineStr">
        <is>
          <t>in-7d805afbd46fe0ea</t>
        </is>
      </c>
      <c r="B51" t="inlineStr">
        <is>
          <t>Data Engineer - Senior Manager</t>
        </is>
      </c>
      <c r="C51" t="inlineStr">
        <is>
          <t>PwC</t>
        </is>
      </c>
      <c r="D51" t="inlineStr">
        <is>
          <t>indeed</t>
        </is>
      </c>
      <c r="E51" t="inlineStr"/>
      <c r="F51" t="inlineStr"/>
      <c r="G51" t="inlineStr">
        <is>
          <t>Orlando, FL, US</t>
        </is>
      </c>
      <c r="H51" s="2" t="n">
        <v>46033</v>
      </c>
      <c r="I5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2">
      <c r="A52" t="inlineStr">
        <is>
          <t>in-59d1a0eadbddf3ea</t>
        </is>
      </c>
      <c r="B52" t="inlineStr">
        <is>
          <t>Data Engineer - Senior Manager</t>
        </is>
      </c>
      <c r="C52" t="inlineStr">
        <is>
          <t>PwC</t>
        </is>
      </c>
      <c r="D52" t="inlineStr">
        <is>
          <t>indeed</t>
        </is>
      </c>
      <c r="E52" t="inlineStr"/>
      <c r="F52" t="inlineStr"/>
      <c r="G52" t="inlineStr">
        <is>
          <t>Kansas City, MO, US</t>
        </is>
      </c>
      <c r="H52" s="2" t="n">
        <v>46033</v>
      </c>
      <c r="I5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3">
      <c r="A53" t="inlineStr">
        <is>
          <t>in-d3194c108cd8e811</t>
        </is>
      </c>
      <c r="B53" t="inlineStr">
        <is>
          <t>Data Engineer - Senior Manager</t>
        </is>
      </c>
      <c r="C53" t="inlineStr">
        <is>
          <t>PwC</t>
        </is>
      </c>
      <c r="D53" t="inlineStr">
        <is>
          <t>indeed</t>
        </is>
      </c>
      <c r="E53" t="inlineStr"/>
      <c r="F53" t="inlineStr"/>
      <c r="G53" t="inlineStr">
        <is>
          <t>Tampa, FL, US</t>
        </is>
      </c>
      <c r="H53" s="2" t="n">
        <v>46033</v>
      </c>
      <c r="I5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4">
      <c r="A54" t="inlineStr">
        <is>
          <t>in-7a4c4e0cf54e1ea5</t>
        </is>
      </c>
      <c r="B54" t="inlineStr">
        <is>
          <t>Data Engineer - Senior Manager</t>
        </is>
      </c>
      <c r="C54" t="inlineStr">
        <is>
          <t>PwC</t>
        </is>
      </c>
      <c r="D54" t="inlineStr">
        <is>
          <t>indeed</t>
        </is>
      </c>
      <c r="E54" t="inlineStr"/>
      <c r="F54" t="inlineStr"/>
      <c r="G54" t="inlineStr">
        <is>
          <t>Jacksonville, FL, US</t>
        </is>
      </c>
      <c r="H54" s="2" t="n">
        <v>46033</v>
      </c>
      <c r="I5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5">
      <c r="A55" t="inlineStr">
        <is>
          <t>in-7ab3b311d3040211</t>
        </is>
      </c>
      <c r="B55" t="inlineStr">
        <is>
          <t>Data Engineer - Senior Manager</t>
        </is>
      </c>
      <c r="C55" t="inlineStr">
        <is>
          <t>PwC</t>
        </is>
      </c>
      <c r="D55" t="inlineStr">
        <is>
          <t>indeed</t>
        </is>
      </c>
      <c r="E55" t="inlineStr"/>
      <c r="F55" t="inlineStr"/>
      <c r="G55" t="inlineStr">
        <is>
          <t>Albany, NY, US</t>
        </is>
      </c>
      <c r="H55" s="2" t="n">
        <v>46033</v>
      </c>
      <c r="I5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6">
      <c r="A56" t="inlineStr">
        <is>
          <t>in-6e88c5a3e037e42d</t>
        </is>
      </c>
      <c r="B56" t="inlineStr">
        <is>
          <t>Data Engineer - Senior Manager</t>
        </is>
      </c>
      <c r="C56" t="inlineStr">
        <is>
          <t>PwC</t>
        </is>
      </c>
      <c r="D56" t="inlineStr">
        <is>
          <t>indeed</t>
        </is>
      </c>
      <c r="E56" t="inlineStr"/>
      <c r="F56" t="inlineStr"/>
      <c r="G56" t="inlineStr">
        <is>
          <t>Greensboro, NC, US</t>
        </is>
      </c>
      <c r="H56" s="2" t="n">
        <v>46033</v>
      </c>
      <c r="I5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7">
      <c r="A57" t="inlineStr">
        <is>
          <t>in-211509478eb38e0c</t>
        </is>
      </c>
      <c r="B57" t="inlineStr">
        <is>
          <t>Data Engineer - Senior Manager</t>
        </is>
      </c>
      <c r="C57" t="inlineStr">
        <is>
          <t>PwC</t>
        </is>
      </c>
      <c r="D57" t="inlineStr">
        <is>
          <t>indeed</t>
        </is>
      </c>
      <c r="E57" t="inlineStr"/>
      <c r="F57" t="inlineStr"/>
      <c r="G57" t="inlineStr">
        <is>
          <t>Detroit, MI, US</t>
        </is>
      </c>
      <c r="H57" s="2" t="n">
        <v>46033</v>
      </c>
      <c r="I5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8">
      <c r="A58" t="inlineStr">
        <is>
          <t>in-3f2d755fc244c662</t>
        </is>
      </c>
      <c r="B58" t="inlineStr">
        <is>
          <t>Data Engineer - Senior Manager</t>
        </is>
      </c>
      <c r="C58" t="inlineStr">
        <is>
          <t>PwC</t>
        </is>
      </c>
      <c r="D58" t="inlineStr">
        <is>
          <t>indeed</t>
        </is>
      </c>
      <c r="E58" t="inlineStr"/>
      <c r="F58" t="inlineStr"/>
      <c r="G58" t="inlineStr">
        <is>
          <t>Philadelphia, PA, US</t>
        </is>
      </c>
      <c r="H58" s="2" t="n">
        <v>46033</v>
      </c>
      <c r="I5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9">
      <c r="A59" t="inlineStr">
        <is>
          <t>in-51a196f71a382491</t>
        </is>
      </c>
      <c r="B59" t="inlineStr">
        <is>
          <t>Data Engineer - Senior Manager</t>
        </is>
      </c>
      <c r="C59" t="inlineStr">
        <is>
          <t>PwC</t>
        </is>
      </c>
      <c r="D59" t="inlineStr">
        <is>
          <t>indeed</t>
        </is>
      </c>
      <c r="E59" t="inlineStr"/>
      <c r="F59" t="inlineStr"/>
      <c r="G59" t="inlineStr">
        <is>
          <t>Baltimore, MD, US</t>
        </is>
      </c>
      <c r="H59" s="2" t="n">
        <v>46033</v>
      </c>
      <c r="I5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0">
      <c r="A60" t="inlineStr">
        <is>
          <t>in-d9ea851ec8c23f18</t>
        </is>
      </c>
      <c r="B60" t="inlineStr">
        <is>
          <t>Data Engineer - Senior Manager</t>
        </is>
      </c>
      <c r="C60" t="inlineStr">
        <is>
          <t>PwC</t>
        </is>
      </c>
      <c r="D60" t="inlineStr">
        <is>
          <t>indeed</t>
        </is>
      </c>
      <c r="E60" t="inlineStr"/>
      <c r="F60" t="inlineStr"/>
      <c r="G60" t="inlineStr">
        <is>
          <t>Chicago, IL, US</t>
        </is>
      </c>
      <c r="H60" s="2" t="n">
        <v>46033</v>
      </c>
      <c r="I6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1">
      <c r="A61" t="inlineStr">
        <is>
          <t>in-838cf6341228ba1f</t>
        </is>
      </c>
      <c r="B61" t="inlineStr">
        <is>
          <t>Data Engineer - Senior Manager</t>
        </is>
      </c>
      <c r="C61" t="inlineStr">
        <is>
          <t>PwC</t>
        </is>
      </c>
      <c r="D61" t="inlineStr">
        <is>
          <t>indeed</t>
        </is>
      </c>
      <c r="E61" t="inlineStr"/>
      <c r="F61" t="inlineStr"/>
      <c r="G61" t="inlineStr">
        <is>
          <t>St. Louis, MO, US</t>
        </is>
      </c>
      <c r="H61" s="2" t="n">
        <v>46033</v>
      </c>
      <c r="I6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2">
      <c r="A62" t="inlineStr">
        <is>
          <t>in-6a4ac8484334d276</t>
        </is>
      </c>
      <c r="B62" t="inlineStr">
        <is>
          <t>Data Engineer - Senior Manager</t>
        </is>
      </c>
      <c r="C62" t="inlineStr">
        <is>
          <t>PwC</t>
        </is>
      </c>
      <c r="D62" t="inlineStr">
        <is>
          <t>indeed</t>
        </is>
      </c>
      <c r="E62" t="inlineStr"/>
      <c r="F62" t="inlineStr"/>
      <c r="G62" t="inlineStr">
        <is>
          <t>Sacramento, CA, US</t>
        </is>
      </c>
      <c r="H62" s="2" t="n">
        <v>46033</v>
      </c>
      <c r="I6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3">
      <c r="A63" t="inlineStr">
        <is>
          <t>in-66efbf69a29a4b0e</t>
        </is>
      </c>
      <c r="B63" t="inlineStr">
        <is>
          <t>Data Engineer - Senior Manager</t>
        </is>
      </c>
      <c r="C63" t="inlineStr">
        <is>
          <t>PwC</t>
        </is>
      </c>
      <c r="D63" t="inlineStr">
        <is>
          <t>indeed</t>
        </is>
      </c>
      <c r="E63" t="inlineStr"/>
      <c r="F63" t="inlineStr"/>
      <c r="G63" t="inlineStr">
        <is>
          <t>Silicon Valley, CA, US</t>
        </is>
      </c>
      <c r="H63" s="2" t="n">
        <v>46033</v>
      </c>
      <c r="I6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4">
      <c r="A64" t="inlineStr">
        <is>
          <t>in-a05bc5e759d9e888</t>
        </is>
      </c>
      <c r="B64" t="inlineStr">
        <is>
          <t>Data Engineer - Senior Manager</t>
        </is>
      </c>
      <c r="C64" t="inlineStr">
        <is>
          <t>PwC</t>
        </is>
      </c>
      <c r="D64" t="inlineStr">
        <is>
          <t>indeed</t>
        </is>
      </c>
      <c r="E64" t="inlineStr"/>
      <c r="F64" t="inlineStr"/>
      <c r="G64" t="inlineStr">
        <is>
          <t>Columbia, SC, US</t>
        </is>
      </c>
      <c r="H64" s="2" t="n">
        <v>46033</v>
      </c>
      <c r="I6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5">
      <c r="A65" t="inlineStr">
        <is>
          <t>in-ec8f5d0e54211b2d</t>
        </is>
      </c>
      <c r="B65" t="inlineStr">
        <is>
          <t>Data Engineer - Senior Manager</t>
        </is>
      </c>
      <c r="C65" t="inlineStr">
        <is>
          <t>PwC</t>
        </is>
      </c>
      <c r="D65" t="inlineStr">
        <is>
          <t>indeed</t>
        </is>
      </c>
      <c r="E65" t="inlineStr"/>
      <c r="F65" t="inlineStr"/>
      <c r="G65" t="inlineStr">
        <is>
          <t>San Francisco, CA, US</t>
        </is>
      </c>
      <c r="H65" s="2" t="n">
        <v>46033</v>
      </c>
      <c r="I6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6">
      <c r="A66" t="inlineStr">
        <is>
          <t>in-6bcac610daf7790f</t>
        </is>
      </c>
      <c r="B66" t="inlineStr">
        <is>
          <t>Data Engineer - Senior Manager</t>
        </is>
      </c>
      <c r="C66" t="inlineStr">
        <is>
          <t>PwC</t>
        </is>
      </c>
      <c r="D66" t="inlineStr">
        <is>
          <t>indeed</t>
        </is>
      </c>
      <c r="E66" t="inlineStr"/>
      <c r="F66" t="inlineStr"/>
      <c r="G66" t="inlineStr">
        <is>
          <t>Dallas, TX, US</t>
        </is>
      </c>
      <c r="H66" s="2" t="n">
        <v>46033</v>
      </c>
      <c r="I6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7">
      <c r="A67" t="inlineStr">
        <is>
          <t>in-03cee277e3c9815d</t>
        </is>
      </c>
      <c r="B67" t="inlineStr">
        <is>
          <t>Data Engineer - Senior Manager</t>
        </is>
      </c>
      <c r="C67" t="inlineStr">
        <is>
          <t>PwC</t>
        </is>
      </c>
      <c r="D67" t="inlineStr">
        <is>
          <t>indeed</t>
        </is>
      </c>
      <c r="E67" t="inlineStr"/>
      <c r="F67" t="inlineStr"/>
      <c r="G67" t="inlineStr">
        <is>
          <t>Columbus, OH, US</t>
        </is>
      </c>
      <c r="H67" s="2" t="n">
        <v>46033</v>
      </c>
      <c r="I6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8">
      <c r="A68" t="inlineStr">
        <is>
          <t>in-483540fd5e4a1043</t>
        </is>
      </c>
      <c r="B68" t="inlineStr">
        <is>
          <t>Senior Data Engineer</t>
        </is>
      </c>
      <c r="C68" t="inlineStr">
        <is>
          <t>The Ohio State University Wexner Medical Center</t>
        </is>
      </c>
      <c r="D68" t="inlineStr">
        <is>
          <t>indeed</t>
        </is>
      </c>
      <c r="E68" t="inlineStr"/>
      <c r="F68" t="inlineStr"/>
      <c r="G68" t="inlineStr">
        <is>
          <t>Columbus, OH, US</t>
        </is>
      </c>
      <c r="H68" s="2" t="n">
        <v>46033</v>
      </c>
      <c r="I68" t="inlineStr">
        <is>
          <t>**Position Summary**
The Senior Data Engineer serves as a top\-level technical contributor and lead for complex data and analytics initiatives that align technology solutions with clinical, operational, and strategic priorities. This role designs, builds, and operates secure, scalable data pipelines and curated datasets that power analytics, reporting, and advanced AI/ML use cases supporting patient care, administrative decision\-making, and improved outcomes.
This position partners closely with clinical and operational leaders, analytics teams, vendors and IT stakeholders to translate business needs into reliable data products. The Senior Data Engineer leads the end\-to\-end development lifecycle \- data ingestion, transformation, modeling, testing, deployment, and monitoring \- while championing modern engineering practices (CI/CD, data quality automation, observability, documentation, and governance). Recognized across the organization for expertise in data architecture, engineering standards, and platform modernization.
**Key Responsibilities**
* Lead design and delivery of enterprise\-grade data pipelines (ETL/ELT) using **SQL/Python**, supporting high\-volume, high\-complexity healthcare data.
* Build and optimize a modern lakehouse architecture using **Azure** services and **Databricks**, including **Delta Lake** patterns and performance tuning.
* Implement and maintain **medallion architecture (bronze/silver/gold)**: ingestion, standardization, and curated semantic datasets for analytics and downstream consumption.
* Develop scalable transformation and modeling layers using **dbt** (or equivalent) and data modeling best practices (Kimball, dimensional modeling, star schemas, conformed dimensions).
* Establish and enforce **data quality** and reliability standards (tests, reconciliation, SLA monitoring, anomaly detection, lineage/metadata).
* Implement **CI/CD** for data pipelines and dbt projects (Git\-based workflows, automated testing, release pipelines via Azure DevOps/GitHub Actions).
* Collaborate with reporting \&amp; analytics, data science, data governance and platform systems \&amp; architecture teams to enable self\-service access to trusted datasets and accelerate insight delivery.
* Provide technical leadership on architecture decisions, security/privacy considerations, performance optimization, and cost management.
* Create and maintain technical documentation, data contracts, and operational runbooks; contribute to engineering standards and patterns.
* Coordinate across medical center and university entities and evaluate external tools/partners to adopt innovative methods and improve delivery.
 **Minimum Qualifications**
* Bachelor’s degree in Computer Science, Information Systems, Data Analytics, Engineering, or related field (or equivalent practical experience).
* **4\+ years** of progressive experience in data engineering, data warehousing, or analytics engineering (healthcare strongly preferred).
* Advanced proficiency with **SQL** and strong experience with **Python** for data engineering.
* Hands\-on experience designing and operating **ETL/ELT pipelines** and building curated analytics datasets.
* Strong understanding of **data modeling**, warehousing/lakehouse concepts, and modern data management practices.
* Demonstrated ability to lead large, complex initiatives and deliver outcomes in high\-impact environments.
**Our Comprehensive Employee Benefits Include:**
* An array of retirement plan options, each with a generous employer contribution.
* Affordable health insurance options, including dental, vision and prescription coverage that begin on day one.
* Paid vacation and sick leave, including short and long\-term disability and paid parental leave.
* Get the most out of the Public Service Loan Forgiveness program.
* And much more!
Regular 40 First Shift</t>
        </is>
      </c>
    </row>
    <row r="69">
      <c r="A69" t="inlineStr">
        <is>
          <t>in-6817bb3020aefb84</t>
        </is>
      </c>
      <c r="B69" t="inlineStr">
        <is>
          <t>Lead Data Engineer</t>
        </is>
      </c>
      <c r="C69" t="inlineStr">
        <is>
          <t>Capital One</t>
        </is>
      </c>
      <c r="D69" t="inlineStr">
        <is>
          <t>indeed</t>
        </is>
      </c>
      <c r="E69" t="inlineStr"/>
      <c r="F69" t="inlineStr"/>
      <c r="G69" t="inlineStr">
        <is>
          <t>McLean, VA, US</t>
        </is>
      </c>
      <c r="H69" s="2" t="n">
        <v>46033</v>
      </c>
      <c r="I69"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New York, NY: $215,200 \- $245,600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in-585d09fe55a71dee</t>
        </is>
      </c>
      <c r="B70" t="inlineStr">
        <is>
          <t>Senior Data Engineer</t>
        </is>
      </c>
      <c r="C70" t="inlineStr">
        <is>
          <t>Capital One</t>
        </is>
      </c>
      <c r="D70" t="inlineStr">
        <is>
          <t>indeed</t>
        </is>
      </c>
      <c r="E70" t="inlineStr"/>
      <c r="F70" t="inlineStr"/>
      <c r="G70" t="inlineStr">
        <is>
          <t>McLean, VA, US</t>
        </is>
      </c>
      <c r="H70" s="2" t="n">
        <v>46033</v>
      </c>
      <c r="I70"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in-6d7d0cd2192f3207</t>
        </is>
      </c>
      <c r="B71" t="inlineStr">
        <is>
          <t>Data Engineer</t>
        </is>
      </c>
      <c r="C71" t="inlineStr">
        <is>
          <t>Amazon.com</t>
        </is>
      </c>
      <c r="D71" t="inlineStr">
        <is>
          <t>indeed</t>
        </is>
      </c>
      <c r="E71" t="inlineStr"/>
      <c r="F71" t="inlineStr"/>
      <c r="G71" t="inlineStr">
        <is>
          <t>San Francisco, CA, US</t>
        </is>
      </c>
      <c r="H71" s="2" t="n">
        <v>46001</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in-13072be645ffe43a</t>
        </is>
      </c>
      <c r="B72" t="inlineStr">
        <is>
          <t>Data Engineer</t>
        </is>
      </c>
      <c r="C72" t="inlineStr">
        <is>
          <t>Amazon.com</t>
        </is>
      </c>
      <c r="D72" t="inlineStr">
        <is>
          <t>indeed</t>
        </is>
      </c>
      <c r="E72" t="inlineStr"/>
      <c r="F72" t="inlineStr"/>
      <c r="G72" t="inlineStr">
        <is>
          <t>Seattle, WA, US</t>
        </is>
      </c>
      <c r="H72" s="2" t="n">
        <v>46001</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in-3f8564092f47ce75</t>
        </is>
      </c>
      <c r="B73" t="inlineStr">
        <is>
          <t>Delivery Consultant - Data Engineer, Data and Machine Learning, WWPS US Federal</t>
        </is>
      </c>
      <c r="C73" t="inlineStr">
        <is>
          <t>Amazon Web Services</t>
        </is>
      </c>
      <c r="D73" t="inlineStr">
        <is>
          <t>indeed</t>
        </is>
      </c>
      <c r="E73" t="inlineStr"/>
      <c r="F73" t="inlineStr"/>
      <c r="G73" t="inlineStr">
        <is>
          <t>Arlington, VA, US</t>
        </is>
      </c>
      <c r="H73" s="2" t="n">
        <v>45991</v>
      </c>
      <c r="I7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in-073497c0d6ea426e</t>
        </is>
      </c>
      <c r="B74" t="inlineStr">
        <is>
          <t>Delivery Consultant - Data Engineer, Data and Machine Learning, WWPS US Federal</t>
        </is>
      </c>
      <c r="C74" t="inlineStr">
        <is>
          <t>Amazon Web Services</t>
        </is>
      </c>
      <c r="D74" t="inlineStr">
        <is>
          <t>indeed</t>
        </is>
      </c>
      <c r="E74" t="inlineStr"/>
      <c r="F74" t="inlineStr"/>
      <c r="G74" t="inlineStr">
        <is>
          <t>Herndon, VA, US</t>
        </is>
      </c>
      <c r="H74" s="2" t="n">
        <v>45991</v>
      </c>
      <c r="I7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in-4fd63a00758188d1</t>
        </is>
      </c>
      <c r="B75" t="inlineStr">
        <is>
          <t>Data Engineer</t>
        </is>
      </c>
      <c r="C75" t="inlineStr">
        <is>
          <t>CloudPoint America</t>
        </is>
      </c>
      <c r="D75" t="inlineStr">
        <is>
          <t>indeed</t>
        </is>
      </c>
      <c r="E75">
        <f>HYPERLINK("https://www.indeed.com/viewjob?jk=4fd63a00758188d1", "https://www.indeed.com/viewjob?jk=4fd63a00758188d1")</f>
        <v/>
      </c>
      <c r="F75">
        <f>HYPERLINK("http://www.indeed.com/job/data-engineer-4fd63a00758188d1", "http://www.indeed.com/job/data-engineer-4fd63a00758188d1")</f>
        <v/>
      </c>
      <c r="G75" t="inlineStr">
        <is>
          <t>Dallas, TX, US</t>
        </is>
      </c>
      <c r="H75" s="3" t="n">
        <v>46035</v>
      </c>
      <c r="I75" t="inlineStr">
        <is>
          <t>**JOB DISCRIPTION:**
**Title: Data Engineer**  
**Location: Dallas, TX (Hybrid)**
We are seeking an experienced Data Engineer to design and maintain scalable data pipelines in Databricks. The role involves end\-to\-end ownership of data workflows, from ingestion to production, ensuring performance, quality, and reliability.
**Responsibilities**
* Build and optimize pipelines in Databricks (PySpark, SQL, Delta Lake).
* Ingest data from databases, APIs, PDFs, Excel, flat files, and web scraping.
* Implement data quality checks, validation, and testing frameworks.
* Deploy, monitor, and optimize pipelines in Databricks/AWS.
* Collaborate with data science/analytics teams and document data processes.
**Qualifications**
* 8\+ years of Data Engineering experience.
* Hands\-on expertise in Databricks (PySpark, SQL, Delta Lake).
* Strong experience with structured \&amp; unstructured data.
* Knowledge of data quality/testing tools (Great Expectations, Deequ, dbt tests).
* Proven ability to optimize large\-scale Spark/Databricks workloads.
**Email :** shraddha.m@datasysamerica.com
Job Types: Full\-time, Contract
Work Location: On the road</t>
        </is>
      </c>
    </row>
    <row r="76">
      <c r="A76" t="inlineStr">
        <is>
          <t>in-029d0d0a7dddcf39</t>
        </is>
      </c>
      <c r="B76" t="inlineStr">
        <is>
          <t>Data Engineer, New College Grad - 2026, Foster City, CA</t>
        </is>
      </c>
      <c r="C76" t="inlineStr">
        <is>
          <t>Visa</t>
        </is>
      </c>
      <c r="D76" t="inlineStr">
        <is>
          <t>indeed</t>
        </is>
      </c>
      <c r="E76">
        <f>HYPERLINK("https://www.indeed.com/viewjob?jk=029d0d0a7dddcf39", "https://www.indeed.com/viewjob?jk=029d0d0a7dddcf39")</f>
        <v/>
      </c>
      <c r="F76">
        <f>HYPERLINK("https://jobs.smartrecruiters.com/Visa/744000103271480-data-engineer-new-college-grad-2026-foster-city-ca", "https://jobs.smartrecruiters.com/Visa/744000103271480-data-engineer-new-college-grad-2026-foster-city-ca")</f>
        <v/>
      </c>
      <c r="G76" t="inlineStr">
        <is>
          <t>Foster City, CA, US</t>
        </is>
      </c>
      <c r="H76" s="3" t="n">
        <v>46035</v>
      </c>
      <c r="I76" t="inlineStr">
        <is>
          <t>**Company Description**  
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a versatile, curious, and energetic Data Engineer who embrace solving complex challenges on a global scale. As a Visa Data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 Create and maintain optimal data pipeline architecture for validating and certifying payment workflows
* Assemble large, complex data sets that meet functional / non\-functional business requirements
* Present technical solutions, capabilities, considerations, and features in business terms. Effectively communicate status, issues, and risks in a precise and timely manner.
 **Qualifications** **Basic Qualifications**
* Bachelor's or Master's degree in Computer Science, Computer Engineering, CIS/MIS, Cybersecurity, Business or a related field, graduating May 2025 \- August 2026\.
**Preferred Qualifications**
* Experience with programming languages such as Python, Java, Scala, C\+\+, Rust, Golang,
* Basic knowledge of Distributed Systems, and Data Structures
* Knowledge or experience with Big Data and the Cloud platform services: Apache Hadoop, Apache Spark.
* Passion for exploring emerging data engineering technologies and GenAI, including modern data pipelines, distributed processing (e.g., Spark), cloud platforms, containerization, and AI\-driven tools.
* Basic Knowledge in ETL, Data Pipelines using Python, Shell Scripts, Apache Airflow, and Apache Kafka; Building \&amp; Populating Data Warehouses, and Querying with BI tools.
* Basic Knowledge in RDBMS fundamentals: Design \&amp; Creation of Databases, Schemas, Tables; DB Administration, Security \&amp; working with MySQL \&amp; IBM Db2\.
* Basic Knowledge in SQL query language, database functions, stored procs, working with multiple tables, joins, \&amp; transactions.
* Basic Knowledge in NoSQL \&amp; Big Data concepts: MongoDB, Cassandra
* Knowledge of best practices and IT operations in an always\-up, always\-available service
* Experience with or knowledge of Agile Software Development methodologies
* The ability to take on challenges and address problems head\-on
* Strong ability to collaborate
* Highly driven, resourceful and results oriented
* Good team player and excellent interpersonal skills
* Good analytical and problem\-solving skills
* Demonstrated ability to lead and navigate through ambiguity.
**Additional Information** **U.S. APPLICANTS ONLY:** The estimated salary for a new hire into this position is $120,000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Permanent Authorization to work in the U.S. is a precondition of employment for this position. Visa will not sponsor applicants for work visas in connection with this position. Future sponsorship will not be considered.
**Work Hours:** Varies upon the needs of the department.
**This is a hybrid position:** Expectation of days in office will be confirmed by your hiring manager.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row>
    <row r="77">
      <c r="A77" t="inlineStr">
        <is>
          <t>in-389630acc116a1eb</t>
        </is>
      </c>
      <c r="B77" t="inlineStr">
        <is>
          <t>Data engineer</t>
        </is>
      </c>
      <c r="C77" t="inlineStr">
        <is>
          <t>Stacklogy</t>
        </is>
      </c>
      <c r="D77" t="inlineStr">
        <is>
          <t>indeed</t>
        </is>
      </c>
      <c r="E77">
        <f>HYPERLINK("https://www.indeed.com/viewjob?jk=389630acc116a1eb", "https://www.indeed.com/viewjob?jk=389630acc116a1eb")</f>
        <v/>
      </c>
      <c r="F77">
        <f>HYPERLINK("https://stacklogy.com/career/", "https://stacklogy.com/career/")</f>
        <v/>
      </c>
      <c r="G77" t="inlineStr">
        <is>
          <t>US</t>
        </is>
      </c>
      <c r="H77" s="3" t="n">
        <v>46034</v>
      </c>
      <c r="I77"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78">
      <c r="A78" t="inlineStr">
        <is>
          <t>in-6e9b38bb0f234e94</t>
        </is>
      </c>
      <c r="B78" t="inlineStr">
        <is>
          <t>Distinguished Data Engineer - Card Data</t>
        </is>
      </c>
      <c r="C78" t="inlineStr">
        <is>
          <t>Capital One</t>
        </is>
      </c>
      <c r="D78" t="inlineStr">
        <is>
          <t>indeed</t>
        </is>
      </c>
      <c r="E78">
        <f>HYPERLINK("https://www.indeed.com/viewjob?jk=6e9b38bb0f234e94", "https://www.indeed.com/viewjob?jk=6e9b38bb0f234e94")</f>
        <v/>
      </c>
      <c r="F78">
        <f>HYPERLINK("https://www.capitalonecareers.com/job/-/-/1732/90520313584", "https://www.capitalonecareers.com/job/-/-/1732/90520313584")</f>
        <v/>
      </c>
      <c r="G78" t="inlineStr">
        <is>
          <t>San Francisco, CA, US</t>
        </is>
      </c>
      <c r="H78" s="3" t="n">
        <v>46033</v>
      </c>
      <c r="I78" t="inlineStr">
        <is>
          <t>Distinguished Data Engineer \- Card Data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Capital One is seeking a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3 years of experience in data architecture
* At least 2 years of experience building applications in AWS
**Preferred Qualifications:**
* Masters’ Degree
* 9\+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Distinguished Data Engineer  
McLean, VA: $269,100 \- $307,200 for Distinguished Data Engineer  
New York, NY: $293,600 \- $335,100 for Distinguished Data Engineer  
Richmond, VA: $244,700 \- $279,200 for Distinguished Data Engineer  
San Francisco, CA: $293,600 \- $335,100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9">
      <c r="A79" t="inlineStr">
        <is>
          <t>in-93d4a6c9e3c54508</t>
        </is>
      </c>
      <c r="B79" t="inlineStr">
        <is>
          <t>Data Engineer - Senior Manager</t>
        </is>
      </c>
      <c r="C79" t="inlineStr">
        <is>
          <t>PwC</t>
        </is>
      </c>
      <c r="D79" t="inlineStr">
        <is>
          <t>indeed</t>
        </is>
      </c>
      <c r="E79">
        <f>HYPERLINK("https://www.indeed.com/viewjob?jk=93d4a6c9e3c54508", "https://www.indeed.com/viewjob?jk=93d4a6c9e3c54508")</f>
        <v/>
      </c>
      <c r="F79">
        <f>HYPERLINK("https://jobs.us.pwc.com/job/-/-/932/90516737536", "https://jobs.us.pwc.com/job/-/-/932/90516737536")</f>
        <v/>
      </c>
      <c r="G79" t="inlineStr">
        <is>
          <t>Boston, MA, US</t>
        </is>
      </c>
      <c r="H79" s="3" t="n">
        <v>46033</v>
      </c>
      <c r="I7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0">
      <c r="A80" t="inlineStr">
        <is>
          <t>in-305501076116d022</t>
        </is>
      </c>
      <c r="B80" t="inlineStr">
        <is>
          <t>Data Engineer - Senior Manager</t>
        </is>
      </c>
      <c r="C80" t="inlineStr">
        <is>
          <t>PwC</t>
        </is>
      </c>
      <c r="D80" t="inlineStr">
        <is>
          <t>indeed</t>
        </is>
      </c>
      <c r="E80">
        <f>HYPERLINK("https://www.indeed.com/viewjob?jk=305501076116d022", "https://www.indeed.com/viewjob?jk=305501076116d022")</f>
        <v/>
      </c>
      <c r="F80">
        <f>HYPERLINK("https://jobs.us.pwc.com/job/-/-/932/90516737536", "https://jobs.us.pwc.com/job/-/-/932/90516737536")</f>
        <v/>
      </c>
      <c r="G80" t="inlineStr">
        <is>
          <t>Cleveland, OH, US</t>
        </is>
      </c>
      <c r="H80" s="3" t="n">
        <v>46033</v>
      </c>
      <c r="I8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1">
      <c r="A81" t="inlineStr">
        <is>
          <t>in-e945269a3587732d</t>
        </is>
      </c>
      <c r="B81" t="inlineStr">
        <is>
          <t>Data Engineer - Senior Manager</t>
        </is>
      </c>
      <c r="C81" t="inlineStr">
        <is>
          <t>PwC</t>
        </is>
      </c>
      <c r="D81" t="inlineStr">
        <is>
          <t>indeed</t>
        </is>
      </c>
      <c r="E81">
        <f>HYPERLINK("https://www.indeed.com/viewjob?jk=e945269a3587732d", "https://www.indeed.com/viewjob?jk=e945269a3587732d")</f>
        <v/>
      </c>
      <c r="F81">
        <f>HYPERLINK("https://jobs.us.pwc.com/job/-/-/932/90516737536", "https://jobs.us.pwc.com/job/-/-/932/90516737536")</f>
        <v/>
      </c>
      <c r="G81" t="inlineStr">
        <is>
          <t>Los Angeles, CA, US</t>
        </is>
      </c>
      <c r="H81" s="3" t="n">
        <v>46033</v>
      </c>
      <c r="I8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2">
      <c r="A82" t="inlineStr">
        <is>
          <t>in-a3e4b134fb1b8f3c</t>
        </is>
      </c>
      <c r="B82" t="inlineStr">
        <is>
          <t>Data Engineer - Senior Manager</t>
        </is>
      </c>
      <c r="C82" t="inlineStr">
        <is>
          <t>PwC</t>
        </is>
      </c>
      <c r="D82" t="inlineStr">
        <is>
          <t>indeed</t>
        </is>
      </c>
      <c r="E82">
        <f>HYPERLINK("https://www.indeed.com/viewjob?jk=a3e4b134fb1b8f3c", "https://www.indeed.com/viewjob?jk=a3e4b134fb1b8f3c")</f>
        <v/>
      </c>
      <c r="F82">
        <f>HYPERLINK("https://jobs.us.pwc.com/job/-/-/932/90516737536", "https://jobs.us.pwc.com/job/-/-/932/90516737536")</f>
        <v/>
      </c>
      <c r="G82" t="inlineStr">
        <is>
          <t>Tulsa, OK, US</t>
        </is>
      </c>
      <c r="H82" s="3" t="n">
        <v>46033</v>
      </c>
      <c r="I8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3">
      <c r="A83" t="inlineStr">
        <is>
          <t>in-60a68f68c3cb944c</t>
        </is>
      </c>
      <c r="B83" t="inlineStr">
        <is>
          <t>Data Engineer - Senior Manager</t>
        </is>
      </c>
      <c r="C83" t="inlineStr">
        <is>
          <t>PwC</t>
        </is>
      </c>
      <c r="D83" t="inlineStr">
        <is>
          <t>indeed</t>
        </is>
      </c>
      <c r="E83">
        <f>HYPERLINK("https://www.indeed.com/viewjob?jk=60a68f68c3cb944c", "https://www.indeed.com/viewjob?jk=60a68f68c3cb944c")</f>
        <v/>
      </c>
      <c r="F83">
        <f>HYPERLINK("https://jobs.us.pwc.com/job/-/-/932/90516737536", "https://jobs.us.pwc.com/job/-/-/932/90516737536")</f>
        <v/>
      </c>
      <c r="G83" t="inlineStr">
        <is>
          <t>Cincinnati, OH, US</t>
        </is>
      </c>
      <c r="H83" s="3" t="n">
        <v>46033</v>
      </c>
      <c r="I8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4">
      <c r="A84" t="inlineStr">
        <is>
          <t>in-7bf5a2aa74eeaa79</t>
        </is>
      </c>
      <c r="B84" t="inlineStr">
        <is>
          <t>Data Engineer - Senior Manager</t>
        </is>
      </c>
      <c r="C84" t="inlineStr">
        <is>
          <t>PwC</t>
        </is>
      </c>
      <c r="D84" t="inlineStr">
        <is>
          <t>indeed</t>
        </is>
      </c>
      <c r="E84">
        <f>HYPERLINK("https://www.indeed.com/viewjob?jk=7bf5a2aa74eeaa79", "https://www.indeed.com/viewjob?jk=7bf5a2aa74eeaa79")</f>
        <v/>
      </c>
      <c r="F84">
        <f>HYPERLINK("https://jobs.us.pwc.com/job/-/-/932/90516737536", "https://jobs.us.pwc.com/job/-/-/932/90516737536")</f>
        <v/>
      </c>
      <c r="G84" t="inlineStr">
        <is>
          <t>Little Rock, AR, US</t>
        </is>
      </c>
      <c r="H84" s="3" t="n">
        <v>46033</v>
      </c>
      <c r="I8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5">
      <c r="A85" t="inlineStr">
        <is>
          <t>in-6be26330bd1270fd</t>
        </is>
      </c>
      <c r="B85" t="inlineStr">
        <is>
          <t>Data Engineer - Senior Manager</t>
        </is>
      </c>
      <c r="C85" t="inlineStr">
        <is>
          <t>PwC</t>
        </is>
      </c>
      <c r="D85" t="inlineStr">
        <is>
          <t>indeed</t>
        </is>
      </c>
      <c r="E85">
        <f>HYPERLINK("https://www.indeed.com/viewjob?jk=6be26330bd1270fd", "https://www.indeed.com/viewjob?jk=6be26330bd1270fd")</f>
        <v/>
      </c>
      <c r="F85">
        <f>HYPERLINK("https://jobs.us.pwc.com/job/-/-/932/90516737536", "https://jobs.us.pwc.com/job/-/-/932/90516737536")</f>
        <v/>
      </c>
      <c r="G85" t="inlineStr">
        <is>
          <t>Denver, CO, US</t>
        </is>
      </c>
      <c r="H85" s="3" t="n">
        <v>46033</v>
      </c>
      <c r="I8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6">
      <c r="A86" t="inlineStr">
        <is>
          <t>in-21e5b8cfac3334bb</t>
        </is>
      </c>
      <c r="B86" t="inlineStr">
        <is>
          <t>Data Engineer - Senior Manager</t>
        </is>
      </c>
      <c r="C86" t="inlineStr">
        <is>
          <t>PwC</t>
        </is>
      </c>
      <c r="D86" t="inlineStr">
        <is>
          <t>indeed</t>
        </is>
      </c>
      <c r="E86">
        <f>HYPERLINK("https://www.indeed.com/viewjob?jk=21e5b8cfac3334bb", "https://www.indeed.com/viewjob?jk=21e5b8cfac3334bb")</f>
        <v/>
      </c>
      <c r="F86">
        <f>HYPERLINK("https://jobs.us.pwc.com/job/-/-/932/90516737536", "https://jobs.us.pwc.com/job/-/-/932/90516737536")</f>
        <v/>
      </c>
      <c r="G86" t="inlineStr">
        <is>
          <t>San Antonio, TX, US</t>
        </is>
      </c>
      <c r="H86" s="3" t="n">
        <v>46033</v>
      </c>
      <c r="I8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7">
      <c r="A87" t="inlineStr">
        <is>
          <t>in-b52e4d51194bbe31</t>
        </is>
      </c>
      <c r="B87" t="inlineStr">
        <is>
          <t>Data Engineer - Senior Manager</t>
        </is>
      </c>
      <c r="C87" t="inlineStr">
        <is>
          <t>PwC</t>
        </is>
      </c>
      <c r="D87" t="inlineStr">
        <is>
          <t>indeed</t>
        </is>
      </c>
      <c r="E87">
        <f>HYPERLINK("https://www.indeed.com/viewjob?jk=b52e4d51194bbe31", "https://www.indeed.com/viewjob?jk=b52e4d51194bbe31")</f>
        <v/>
      </c>
      <c r="F87">
        <f>HYPERLINK("https://jobs.us.pwc.com/job/-/-/932/90516737536", "https://jobs.us.pwc.com/job/-/-/932/90516737536")</f>
        <v/>
      </c>
      <c r="G87" t="inlineStr">
        <is>
          <t>Raleigh, NC, US</t>
        </is>
      </c>
      <c r="H87" s="3" t="n">
        <v>46033</v>
      </c>
      <c r="I8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8">
      <c r="A88" t="inlineStr">
        <is>
          <t>in-f82b68274000ec8b</t>
        </is>
      </c>
      <c r="B88" t="inlineStr">
        <is>
          <t>Data Engineer - Senior Manager</t>
        </is>
      </c>
      <c r="C88" t="inlineStr">
        <is>
          <t>PwC</t>
        </is>
      </c>
      <c r="D88" t="inlineStr">
        <is>
          <t>indeed</t>
        </is>
      </c>
      <c r="E88">
        <f>HYPERLINK("https://www.indeed.com/viewjob?jk=f82b68274000ec8b", "https://www.indeed.com/viewjob?jk=f82b68274000ec8b")</f>
        <v/>
      </c>
      <c r="F88">
        <f>HYPERLINK("https://jobs.us.pwc.com/job/-/-/932/90516737536", "https://jobs.us.pwc.com/job/-/-/932/90516737536")</f>
        <v/>
      </c>
      <c r="G88" t="inlineStr">
        <is>
          <t>Salt Lake City, UT, US</t>
        </is>
      </c>
      <c r="H88" s="3" t="n">
        <v>46033</v>
      </c>
      <c r="I8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9">
      <c r="A89" t="inlineStr">
        <is>
          <t>in-a9c06a8eb678ee82</t>
        </is>
      </c>
      <c r="B89" t="inlineStr">
        <is>
          <t>Data Engineer - Senior Manager</t>
        </is>
      </c>
      <c r="C89" t="inlineStr">
        <is>
          <t>PwC</t>
        </is>
      </c>
      <c r="D89" t="inlineStr">
        <is>
          <t>indeed</t>
        </is>
      </c>
      <c r="E89">
        <f>HYPERLINK("https://www.indeed.com/viewjob?jk=a9c06a8eb678ee82", "https://www.indeed.com/viewjob?jk=a9c06a8eb678ee82")</f>
        <v/>
      </c>
      <c r="F89">
        <f>HYPERLINK("https://jobs.us.pwc.com/job/-/-/932/90516737536", "https://jobs.us.pwc.com/job/-/-/932/90516737536")</f>
        <v/>
      </c>
      <c r="G89" t="inlineStr">
        <is>
          <t>Oklahoma City, OK, US</t>
        </is>
      </c>
      <c r="H89" s="3" t="n">
        <v>46033</v>
      </c>
      <c r="I8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0">
      <c r="A90" t="inlineStr">
        <is>
          <t>in-464994f9a2dd191c</t>
        </is>
      </c>
      <c r="B90" t="inlineStr">
        <is>
          <t>Data Engineer - Senior Manager</t>
        </is>
      </c>
      <c r="C90" t="inlineStr">
        <is>
          <t>PwC</t>
        </is>
      </c>
      <c r="D90" t="inlineStr">
        <is>
          <t>indeed</t>
        </is>
      </c>
      <c r="E90">
        <f>HYPERLINK("https://www.indeed.com/viewjob?jk=464994f9a2dd191c", "https://www.indeed.com/viewjob?jk=464994f9a2dd191c")</f>
        <v/>
      </c>
      <c r="F90">
        <f>HYPERLINK("https://jobs.us.pwc.com/job/-/-/932/90516737536", "https://jobs.us.pwc.com/job/-/-/932/90516737536")</f>
        <v/>
      </c>
      <c r="G90" t="inlineStr">
        <is>
          <t>Seattle, WA, US</t>
        </is>
      </c>
      <c r="H90" s="3" t="n">
        <v>46033</v>
      </c>
      <c r="I9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1">
      <c r="A91" t="inlineStr">
        <is>
          <t>in-981f2f8a49f6b9d7</t>
        </is>
      </c>
      <c r="B91" t="inlineStr">
        <is>
          <t>Data Engineer - Senior Manager</t>
        </is>
      </c>
      <c r="C91" t="inlineStr">
        <is>
          <t>PwC</t>
        </is>
      </c>
      <c r="D91" t="inlineStr">
        <is>
          <t>indeed</t>
        </is>
      </c>
      <c r="E91">
        <f>HYPERLINK("https://www.indeed.com/viewjob?jk=981f2f8a49f6b9d7", "https://www.indeed.com/viewjob?jk=981f2f8a49f6b9d7")</f>
        <v/>
      </c>
      <c r="F91">
        <f>HYPERLINK("https://jobs.us.pwc.com/job/-/-/932/90516737536", "https://jobs.us.pwc.com/job/-/-/932/90516737536")</f>
        <v/>
      </c>
      <c r="G91" t="inlineStr">
        <is>
          <t>Spartanburg, SC, US</t>
        </is>
      </c>
      <c r="H91" s="3" t="n">
        <v>46033</v>
      </c>
      <c r="I9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2">
      <c r="A92" t="inlineStr">
        <is>
          <t>in-2c4684a3c6e0857b</t>
        </is>
      </c>
      <c r="B92" t="inlineStr">
        <is>
          <t>Data Engineer - Senior Manager</t>
        </is>
      </c>
      <c r="C92" t="inlineStr">
        <is>
          <t>PwC</t>
        </is>
      </c>
      <c r="D92" t="inlineStr">
        <is>
          <t>indeed</t>
        </is>
      </c>
      <c r="E92">
        <f>HYPERLINK("https://www.indeed.com/viewjob?jk=2c4684a3c6e0857b", "https://www.indeed.com/viewjob?jk=2c4684a3c6e0857b")</f>
        <v/>
      </c>
      <c r="F92">
        <f>HYPERLINK("https://jobs.us.pwc.com/job/-/-/932/90516737536", "https://jobs.us.pwc.com/job/-/-/932/90516737536")</f>
        <v/>
      </c>
      <c r="G92" t="inlineStr">
        <is>
          <t>Rosemont, IL, US</t>
        </is>
      </c>
      <c r="H92" s="3" t="n">
        <v>46033</v>
      </c>
      <c r="I9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3">
      <c r="A93" t="inlineStr">
        <is>
          <t>in-5659b152e78718d6</t>
        </is>
      </c>
      <c r="B93" t="inlineStr">
        <is>
          <t>Data Engineer - Senior Manager</t>
        </is>
      </c>
      <c r="C93" t="inlineStr">
        <is>
          <t>PwC</t>
        </is>
      </c>
      <c r="D93" t="inlineStr">
        <is>
          <t>indeed</t>
        </is>
      </c>
      <c r="E93">
        <f>HYPERLINK("https://www.indeed.com/viewjob?jk=5659b152e78718d6", "https://www.indeed.com/viewjob?jk=5659b152e78718d6")</f>
        <v/>
      </c>
      <c r="F93">
        <f>HYPERLINK("https://jobs.us.pwc.com/job/-/-/932/90516737536", "https://jobs.us.pwc.com/job/-/-/932/90516737536")</f>
        <v/>
      </c>
      <c r="G93" t="inlineStr">
        <is>
          <t>New Orleans, LA, US</t>
        </is>
      </c>
      <c r="H93" s="3" t="n">
        <v>46033</v>
      </c>
      <c r="I9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4">
      <c r="A94" t="inlineStr">
        <is>
          <t>in-c538a20760e61db0</t>
        </is>
      </c>
      <c r="B94" t="inlineStr">
        <is>
          <t>Data Engineer - Senior Manager</t>
        </is>
      </c>
      <c r="C94" t="inlineStr">
        <is>
          <t>PwC</t>
        </is>
      </c>
      <c r="D94" t="inlineStr">
        <is>
          <t>indeed</t>
        </is>
      </c>
      <c r="E94">
        <f>HYPERLINK("https://www.indeed.com/viewjob?jk=c538a20760e61db0", "https://www.indeed.com/viewjob?jk=c538a20760e61db0")</f>
        <v/>
      </c>
      <c r="F94">
        <f>HYPERLINK("https://jobs.us.pwc.com/job/-/-/932/90516737536", "https://jobs.us.pwc.com/job/-/-/932/90516737536")</f>
        <v/>
      </c>
      <c r="G94" t="inlineStr">
        <is>
          <t>Nashville, TN, US</t>
        </is>
      </c>
      <c r="H94" s="3" t="n">
        <v>46033</v>
      </c>
      <c r="I9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5">
      <c r="A95" t="inlineStr">
        <is>
          <t>in-b6d3c77ea363eb53</t>
        </is>
      </c>
      <c r="B95" t="inlineStr">
        <is>
          <t>Data Engineer - Senior Manager</t>
        </is>
      </c>
      <c r="C95" t="inlineStr">
        <is>
          <t>PwC</t>
        </is>
      </c>
      <c r="D95" t="inlineStr">
        <is>
          <t>indeed</t>
        </is>
      </c>
      <c r="E95">
        <f>HYPERLINK("https://www.indeed.com/viewjob?jk=b6d3c77ea363eb53", "https://www.indeed.com/viewjob?jk=b6d3c77ea363eb53")</f>
        <v/>
      </c>
      <c r="F95">
        <f>HYPERLINK("https://jobs.us.pwc.com/job/-/-/932/90516737536", "https://jobs.us.pwc.com/job/-/-/932/90516737536")</f>
        <v/>
      </c>
      <c r="G95" t="inlineStr">
        <is>
          <t>Indianapolis, IN, US</t>
        </is>
      </c>
      <c r="H95" s="3" t="n">
        <v>46033</v>
      </c>
      <c r="I9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6">
      <c r="A96" t="inlineStr">
        <is>
          <t>in-92e91e3d54fe4837</t>
        </is>
      </c>
      <c r="B96" t="inlineStr">
        <is>
          <t>Data Engineer - Senior Manager</t>
        </is>
      </c>
      <c r="C96" t="inlineStr">
        <is>
          <t>PwC</t>
        </is>
      </c>
      <c r="D96" t="inlineStr">
        <is>
          <t>indeed</t>
        </is>
      </c>
      <c r="E96">
        <f>HYPERLINK("https://www.indeed.com/viewjob?jk=92e91e3d54fe4837", "https://www.indeed.com/viewjob?jk=92e91e3d54fe4837")</f>
        <v/>
      </c>
      <c r="F96">
        <f>HYPERLINK("https://jobs.us.pwc.com/job/-/-/932/90516737536", "https://jobs.us.pwc.com/job/-/-/932/90516737536")</f>
        <v/>
      </c>
      <c r="G96" t="inlineStr">
        <is>
          <t>San Diego, CA, US</t>
        </is>
      </c>
      <c r="H96" s="3" t="n">
        <v>46033</v>
      </c>
      <c r="I9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7">
      <c r="A97" t="inlineStr">
        <is>
          <t>in-5a3db502e8577fbb</t>
        </is>
      </c>
      <c r="B97" t="inlineStr">
        <is>
          <t>Data Engineer - Senior Manager</t>
        </is>
      </c>
      <c r="C97" t="inlineStr">
        <is>
          <t>PwC</t>
        </is>
      </c>
      <c r="D97" t="inlineStr">
        <is>
          <t>indeed</t>
        </is>
      </c>
      <c r="E97">
        <f>HYPERLINK("https://www.indeed.com/viewjob?jk=5a3db502e8577fbb", "https://www.indeed.com/viewjob?jk=5a3db502e8577fbb")</f>
        <v/>
      </c>
      <c r="F97">
        <f>HYPERLINK("https://jobs.us.pwc.com/job/-/-/932/90516737536", "https://jobs.us.pwc.com/job/-/-/932/90516737536")</f>
        <v/>
      </c>
      <c r="G97" t="inlineStr">
        <is>
          <t>Pittsburgh, PA, US</t>
        </is>
      </c>
      <c r="H97" s="3" t="n">
        <v>46033</v>
      </c>
      <c r="I9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8">
      <c r="A98" t="inlineStr">
        <is>
          <t>in-2c34a28e4b7242f8</t>
        </is>
      </c>
      <c r="B98" t="inlineStr">
        <is>
          <t>Data Engineer - Senior Manager</t>
        </is>
      </c>
      <c r="C98" t="inlineStr">
        <is>
          <t>PwC</t>
        </is>
      </c>
      <c r="D98" t="inlineStr">
        <is>
          <t>indeed</t>
        </is>
      </c>
      <c r="E98">
        <f>HYPERLINK("https://www.indeed.com/viewjob?jk=2c34a28e4b7242f8", "https://www.indeed.com/viewjob?jk=2c34a28e4b7242f8")</f>
        <v/>
      </c>
      <c r="F98">
        <f>HYPERLINK("https://jobs.us.pwc.com/job/-/-/932/90516737536", "https://jobs.us.pwc.com/job/-/-/932/90516737536")</f>
        <v/>
      </c>
      <c r="G98" t="inlineStr">
        <is>
          <t>Irvine, CA, US</t>
        </is>
      </c>
      <c r="H98" s="3" t="n">
        <v>46033</v>
      </c>
      <c r="I9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9">
      <c r="A99" t="inlineStr">
        <is>
          <t>in-6f4b026f7dd24b1b</t>
        </is>
      </c>
      <c r="B99" t="inlineStr">
        <is>
          <t>Data Engineer - Senior Manager</t>
        </is>
      </c>
      <c r="C99" t="inlineStr">
        <is>
          <t>PwC</t>
        </is>
      </c>
      <c r="D99" t="inlineStr">
        <is>
          <t>indeed</t>
        </is>
      </c>
      <c r="E99">
        <f>HYPERLINK("https://www.indeed.com/viewjob?jk=6f4b026f7dd24b1b", "https://www.indeed.com/viewjob?jk=6f4b026f7dd24b1b")</f>
        <v/>
      </c>
      <c r="F99">
        <f>HYPERLINK("https://jobs.us.pwc.com/job/-/-/932/90516737536", "https://jobs.us.pwc.com/job/-/-/932/90516737536")</f>
        <v/>
      </c>
      <c r="G99" t="inlineStr">
        <is>
          <t>Austin, TX, US</t>
        </is>
      </c>
      <c r="H99" s="3" t="n">
        <v>46033</v>
      </c>
      <c r="I9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0">
      <c r="A100" t="inlineStr">
        <is>
          <t>in-3ad0462281838f6c</t>
        </is>
      </c>
      <c r="B100" t="inlineStr">
        <is>
          <t>Data Engineer - Senior Manager</t>
        </is>
      </c>
      <c r="C100" t="inlineStr">
        <is>
          <t>PwC</t>
        </is>
      </c>
      <c r="D100" t="inlineStr">
        <is>
          <t>indeed</t>
        </is>
      </c>
      <c r="E100">
        <f>HYPERLINK("https://www.indeed.com/viewjob?jk=3ad0462281838f6c", "https://www.indeed.com/viewjob?jk=3ad0462281838f6c")</f>
        <v/>
      </c>
      <c r="F100">
        <f>HYPERLINK("https://jobs.us.pwc.com/job/-/-/932/90516737536", "https://jobs.us.pwc.com/job/-/-/932/90516737536")</f>
        <v/>
      </c>
      <c r="G100" t="inlineStr">
        <is>
          <t>Fayetteville, AR, US</t>
        </is>
      </c>
      <c r="H100" s="3" t="n">
        <v>46033</v>
      </c>
      <c r="I10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1">
      <c r="A101" t="inlineStr">
        <is>
          <t>in-f867e170599360f0</t>
        </is>
      </c>
      <c r="B101" t="inlineStr">
        <is>
          <t>Data Engineer - Senior Manager</t>
        </is>
      </c>
      <c r="C101" t="inlineStr">
        <is>
          <t>PwC</t>
        </is>
      </c>
      <c r="D101" t="inlineStr">
        <is>
          <t>indeed</t>
        </is>
      </c>
      <c r="E101">
        <f>HYPERLINK("https://www.indeed.com/viewjob?jk=f867e170599360f0", "https://www.indeed.com/viewjob?jk=f867e170599360f0")</f>
        <v/>
      </c>
      <c r="F101">
        <f>HYPERLINK("https://jobs.us.pwc.com/job/-/-/932/90516737536", "https://jobs.us.pwc.com/job/-/-/932/90516737536")</f>
        <v/>
      </c>
      <c r="G101" t="inlineStr">
        <is>
          <t>Washington, DC, US</t>
        </is>
      </c>
      <c r="H101" s="3" t="n">
        <v>46033</v>
      </c>
      <c r="I10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2">
      <c r="A102" t="inlineStr">
        <is>
          <t>in-548bb857acec9128</t>
        </is>
      </c>
      <c r="B102" t="inlineStr">
        <is>
          <t>Data Engineer - Senior Manager</t>
        </is>
      </c>
      <c r="C102" t="inlineStr">
        <is>
          <t>PwC</t>
        </is>
      </c>
      <c r="D102" t="inlineStr">
        <is>
          <t>indeed</t>
        </is>
      </c>
      <c r="E102">
        <f>HYPERLINK("https://www.indeed.com/viewjob?jk=548bb857acec9128", "https://www.indeed.com/viewjob?jk=548bb857acec9128")</f>
        <v/>
      </c>
      <c r="F102">
        <f>HYPERLINK("https://jobs.us.pwc.com/job/-/-/932/90516737536", "https://jobs.us.pwc.com/job/-/-/932/90516737536")</f>
        <v/>
      </c>
      <c r="G102" t="inlineStr">
        <is>
          <t>Charlotte, NC, US</t>
        </is>
      </c>
      <c r="H102" s="3" t="n">
        <v>46033</v>
      </c>
      <c r="I10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3">
      <c r="A103" t="inlineStr">
        <is>
          <t>in-ae4227186ec8d649</t>
        </is>
      </c>
      <c r="B103" t="inlineStr">
        <is>
          <t>Data Engineer - Senior Manager</t>
        </is>
      </c>
      <c r="C103" t="inlineStr">
        <is>
          <t>PwC</t>
        </is>
      </c>
      <c r="D103" t="inlineStr">
        <is>
          <t>indeed</t>
        </is>
      </c>
      <c r="E103">
        <f>HYPERLINK("https://www.indeed.com/viewjob?jk=ae4227186ec8d649", "https://www.indeed.com/viewjob?jk=ae4227186ec8d649")</f>
        <v/>
      </c>
      <c r="F103">
        <f>HYPERLINK("https://jobs.us.pwc.com/job/-/-/932/90516737536", "https://jobs.us.pwc.com/job/-/-/932/90516737536")</f>
        <v/>
      </c>
      <c r="G103" t="inlineStr">
        <is>
          <t>Milwaukee, WI, US</t>
        </is>
      </c>
      <c r="H103" s="3" t="n">
        <v>46033</v>
      </c>
      <c r="I10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4">
      <c r="A104" t="inlineStr">
        <is>
          <t>in-77d37d18bb5f554c</t>
        </is>
      </c>
      <c r="B104" t="inlineStr">
        <is>
          <t>Data Engineer - Senior Manager</t>
        </is>
      </c>
      <c r="C104" t="inlineStr">
        <is>
          <t>PwC</t>
        </is>
      </c>
      <c r="D104" t="inlineStr">
        <is>
          <t>indeed</t>
        </is>
      </c>
      <c r="E104">
        <f>HYPERLINK("https://www.indeed.com/viewjob?jk=77d37d18bb5f554c", "https://www.indeed.com/viewjob?jk=77d37d18bb5f554c")</f>
        <v/>
      </c>
      <c r="F104">
        <f>HYPERLINK("https://jobs.us.pwc.com/job/-/-/932/90516737536", "https://jobs.us.pwc.com/job/-/-/932/90516737536")</f>
        <v/>
      </c>
      <c r="G104" t="inlineStr">
        <is>
          <t>Buffalo, NY, US</t>
        </is>
      </c>
      <c r="H104" s="3" t="n">
        <v>46033</v>
      </c>
      <c r="I10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5">
      <c r="A105" t="inlineStr">
        <is>
          <t>in-3f654ef8298b6f5b</t>
        </is>
      </c>
      <c r="B105" t="inlineStr">
        <is>
          <t>Data Engineer - Senior Manager</t>
        </is>
      </c>
      <c r="C105" t="inlineStr">
        <is>
          <t>PwC</t>
        </is>
      </c>
      <c r="D105" t="inlineStr">
        <is>
          <t>indeed</t>
        </is>
      </c>
      <c r="E105">
        <f>HYPERLINK("https://www.indeed.com/viewjob?jk=3f654ef8298b6f5b", "https://www.indeed.com/viewjob?jk=3f654ef8298b6f5b")</f>
        <v/>
      </c>
      <c r="F105">
        <f>HYPERLINK("https://jobs.us.pwc.com/job/-/-/932/90516737536", "https://jobs.us.pwc.com/job/-/-/932/90516737536")</f>
        <v/>
      </c>
      <c r="G105" t="inlineStr">
        <is>
          <t>Stamford, CT, US</t>
        </is>
      </c>
      <c r="H105" s="3" t="n">
        <v>46033</v>
      </c>
      <c r="I10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6">
      <c r="A106" t="inlineStr">
        <is>
          <t>in-589750508be99cea</t>
        </is>
      </c>
      <c r="B106" t="inlineStr">
        <is>
          <t>Data Engineer - Senior Manager</t>
        </is>
      </c>
      <c r="C106" t="inlineStr">
        <is>
          <t>PwC</t>
        </is>
      </c>
      <c r="D106" t="inlineStr">
        <is>
          <t>indeed</t>
        </is>
      </c>
      <c r="E106">
        <f>HYPERLINK("https://www.indeed.com/viewjob?jk=589750508be99cea", "https://www.indeed.com/viewjob?jk=589750508be99cea")</f>
        <v/>
      </c>
      <c r="F106">
        <f>HYPERLINK("https://jobs.us.pwc.com/job/-/-/932/90516737536", "https://jobs.us.pwc.com/job/-/-/932/90516737536")</f>
        <v/>
      </c>
      <c r="G106" t="inlineStr">
        <is>
          <t>Richmond, VA, US</t>
        </is>
      </c>
      <c r="H106" s="3" t="n">
        <v>46033</v>
      </c>
      <c r="I10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7">
      <c r="A107" t="inlineStr">
        <is>
          <t>in-e9013f82b3aecf4a</t>
        </is>
      </c>
      <c r="B107" t="inlineStr">
        <is>
          <t>Data Engineer - Senior Manager</t>
        </is>
      </c>
      <c r="C107" t="inlineStr">
        <is>
          <t>PwC</t>
        </is>
      </c>
      <c r="D107" t="inlineStr">
        <is>
          <t>indeed</t>
        </is>
      </c>
      <c r="E107">
        <f>HYPERLINK("https://www.indeed.com/viewjob?jk=e9013f82b3aecf4a", "https://www.indeed.com/viewjob?jk=e9013f82b3aecf4a")</f>
        <v/>
      </c>
      <c r="F107">
        <f>HYPERLINK("https://jobs.us.pwc.com/job/-/-/932/90516737536", "https://jobs.us.pwc.com/job/-/-/932/90516737536")</f>
        <v/>
      </c>
      <c r="G107" t="inlineStr">
        <is>
          <t>Portland, OR, US</t>
        </is>
      </c>
      <c r="H107" s="3" t="n">
        <v>46033</v>
      </c>
      <c r="I10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8">
      <c r="A108" t="inlineStr">
        <is>
          <t>in-107e1c3d771a78ed</t>
        </is>
      </c>
      <c r="B108" t="inlineStr">
        <is>
          <t>Data Engineer - Senior Manager</t>
        </is>
      </c>
      <c r="C108" t="inlineStr">
        <is>
          <t>PwC</t>
        </is>
      </c>
      <c r="D108" t="inlineStr">
        <is>
          <t>indeed</t>
        </is>
      </c>
      <c r="E108">
        <f>HYPERLINK("https://www.indeed.com/viewjob?jk=107e1c3d771a78ed", "https://www.indeed.com/viewjob?jk=107e1c3d771a78ed")</f>
        <v/>
      </c>
      <c r="F108">
        <f>HYPERLINK("https://jobs.us.pwc.com/job/-/-/932/90516737536", "https://jobs.us.pwc.com/job/-/-/932/90516737536")</f>
        <v/>
      </c>
      <c r="G108" t="inlineStr">
        <is>
          <t>Las Vegas, NV, US</t>
        </is>
      </c>
      <c r="H108" s="3" t="n">
        <v>46033</v>
      </c>
      <c r="I10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9">
      <c r="A109" t="inlineStr">
        <is>
          <t>in-69f5007cc01c6d6c</t>
        </is>
      </c>
      <c r="B109" t="inlineStr">
        <is>
          <t>Data Engineer - Senior Manager</t>
        </is>
      </c>
      <c r="C109" t="inlineStr">
        <is>
          <t>PwC</t>
        </is>
      </c>
      <c r="D109" t="inlineStr">
        <is>
          <t>indeed</t>
        </is>
      </c>
      <c r="E109">
        <f>HYPERLINK("https://www.indeed.com/viewjob?jk=69f5007cc01c6d6c", "https://www.indeed.com/viewjob?jk=69f5007cc01c6d6c")</f>
        <v/>
      </c>
      <c r="F109">
        <f>HYPERLINK("https://jobs.us.pwc.com/job/-/-/932/90516737536", "https://jobs.us.pwc.com/job/-/-/932/90516737536")</f>
        <v/>
      </c>
      <c r="G109" t="inlineStr">
        <is>
          <t>Atlanta, GA, US</t>
        </is>
      </c>
      <c r="H109" s="3" t="n">
        <v>46033</v>
      </c>
      <c r="I10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0">
      <c r="A110" t="inlineStr">
        <is>
          <t>in-d73f3105607f8a02</t>
        </is>
      </c>
      <c r="B110" t="inlineStr">
        <is>
          <t>Data Engineer - Senior Manager</t>
        </is>
      </c>
      <c r="C110" t="inlineStr">
        <is>
          <t>PwC</t>
        </is>
      </c>
      <c r="D110" t="inlineStr">
        <is>
          <t>indeed</t>
        </is>
      </c>
      <c r="E110">
        <f>HYPERLINK("https://www.indeed.com/viewjob?jk=d73f3105607f8a02", "https://www.indeed.com/viewjob?jk=d73f3105607f8a02")</f>
        <v/>
      </c>
      <c r="F110">
        <f>HYPERLINK("https://jobs.us.pwc.com/job/-/-/932/90516737536", "https://jobs.us.pwc.com/job/-/-/932/90516737536")</f>
        <v/>
      </c>
      <c r="G110" t="inlineStr">
        <is>
          <t>Phoenix, AZ, US</t>
        </is>
      </c>
      <c r="H110" s="3" t="n">
        <v>46033</v>
      </c>
      <c r="I11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1">
      <c r="A111" t="inlineStr">
        <is>
          <t>in-8efd97c1ebaada7d</t>
        </is>
      </c>
      <c r="B111" t="inlineStr">
        <is>
          <t>Data Engineer - Senior Manager</t>
        </is>
      </c>
      <c r="C111" t="inlineStr">
        <is>
          <t>PwC</t>
        </is>
      </c>
      <c r="D111" t="inlineStr">
        <is>
          <t>indeed</t>
        </is>
      </c>
      <c r="E111">
        <f>HYPERLINK("https://www.indeed.com/viewjob?jk=8efd97c1ebaada7d", "https://www.indeed.com/viewjob?jk=8efd97c1ebaada7d")</f>
        <v/>
      </c>
      <c r="F111">
        <f>HYPERLINK("https://jobs.us.pwc.com/job/-/-/932/90516737536", "https://jobs.us.pwc.com/job/-/-/932/90516737536")</f>
        <v/>
      </c>
      <c r="G111" t="inlineStr">
        <is>
          <t>Grand Rapids, MI, US</t>
        </is>
      </c>
      <c r="H111" s="3" t="n">
        <v>46033</v>
      </c>
      <c r="I11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2">
      <c r="A112" t="inlineStr">
        <is>
          <t>in-a0d4ea95fb908ef3</t>
        </is>
      </c>
      <c r="B112" t="inlineStr">
        <is>
          <t>Data Engineer - Senior Manager</t>
        </is>
      </c>
      <c r="C112" t="inlineStr">
        <is>
          <t>PwC</t>
        </is>
      </c>
      <c r="D112" t="inlineStr">
        <is>
          <t>indeed</t>
        </is>
      </c>
      <c r="E112">
        <f>HYPERLINK("https://www.indeed.com/viewjob?jk=a0d4ea95fb908ef3", "https://www.indeed.com/viewjob?jk=a0d4ea95fb908ef3")</f>
        <v/>
      </c>
      <c r="F112">
        <f>HYPERLINK("https://jobs.us.pwc.com/job/-/-/932/90516737536", "https://jobs.us.pwc.com/job/-/-/932/90516737536")</f>
        <v/>
      </c>
      <c r="G112" t="inlineStr">
        <is>
          <t>Toledo, OH, US</t>
        </is>
      </c>
      <c r="H112" s="3" t="n">
        <v>46033</v>
      </c>
      <c r="I11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3">
      <c r="A113" t="inlineStr">
        <is>
          <t>in-9bdac60facbfd857</t>
        </is>
      </c>
      <c r="B113" t="inlineStr">
        <is>
          <t>Data Engineer - Senior Manager</t>
        </is>
      </c>
      <c r="C113" t="inlineStr">
        <is>
          <t>PwC</t>
        </is>
      </c>
      <c r="D113" t="inlineStr">
        <is>
          <t>indeed</t>
        </is>
      </c>
      <c r="E113">
        <f>HYPERLINK("https://www.indeed.com/viewjob?jk=9bdac60facbfd857", "https://www.indeed.com/viewjob?jk=9bdac60facbfd857")</f>
        <v/>
      </c>
      <c r="F113">
        <f>HYPERLINK("https://jobs.us.pwc.com/job/-/-/932/90516737536", "https://jobs.us.pwc.com/job/-/-/932/90516737536")</f>
        <v/>
      </c>
      <c r="G113" t="inlineStr">
        <is>
          <t>Montpelier, VT, US</t>
        </is>
      </c>
      <c r="H113" s="3" t="n">
        <v>46033</v>
      </c>
      <c r="I11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4">
      <c r="A114" t="inlineStr">
        <is>
          <t>in-5dd11565c9f6ea46</t>
        </is>
      </c>
      <c r="B114" t="inlineStr">
        <is>
          <t>Data Engineer - Senior Manager</t>
        </is>
      </c>
      <c r="C114" t="inlineStr">
        <is>
          <t>PwC</t>
        </is>
      </c>
      <c r="D114" t="inlineStr">
        <is>
          <t>indeed</t>
        </is>
      </c>
      <c r="E114">
        <f>HYPERLINK("https://www.indeed.com/viewjob?jk=5dd11565c9f6ea46", "https://www.indeed.com/viewjob?jk=5dd11565c9f6ea46")</f>
        <v/>
      </c>
      <c r="F114">
        <f>HYPERLINK("https://jobs.us.pwc.com/job/-/-/932/90516737536", "https://jobs.us.pwc.com/job/-/-/932/90516737536")</f>
        <v/>
      </c>
      <c r="G114" t="inlineStr">
        <is>
          <t>Florham Park, NJ, US</t>
        </is>
      </c>
      <c r="H114" s="3" t="n">
        <v>46033</v>
      </c>
      <c r="I11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5">
      <c r="A115" t="inlineStr">
        <is>
          <t>in-968df935f1dfd57c</t>
        </is>
      </c>
      <c r="B115" t="inlineStr">
        <is>
          <t>Data Engineer - Senior Manager</t>
        </is>
      </c>
      <c r="C115" t="inlineStr">
        <is>
          <t>PwC</t>
        </is>
      </c>
      <c r="D115" t="inlineStr">
        <is>
          <t>indeed</t>
        </is>
      </c>
      <c r="E115">
        <f>HYPERLINK("https://www.indeed.com/viewjob?jk=968df935f1dfd57c", "https://www.indeed.com/viewjob?jk=968df935f1dfd57c")</f>
        <v/>
      </c>
      <c r="F115">
        <f>HYPERLINK("https://jobs.us.pwc.com/job/-/-/932/90516737536", "https://jobs.us.pwc.com/job/-/-/932/90516737536")</f>
        <v/>
      </c>
      <c r="G115" t="inlineStr">
        <is>
          <t>Birmingham, AL, US</t>
        </is>
      </c>
      <c r="H115" s="3" t="n">
        <v>46033</v>
      </c>
      <c r="I11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6">
      <c r="A116" t="inlineStr">
        <is>
          <t>in-e6c07b1be9b0424a</t>
        </is>
      </c>
      <c r="B116" t="inlineStr">
        <is>
          <t>Data Engineer - Senior Manager</t>
        </is>
      </c>
      <c r="C116" t="inlineStr">
        <is>
          <t>PwC</t>
        </is>
      </c>
      <c r="D116" t="inlineStr">
        <is>
          <t>indeed</t>
        </is>
      </c>
      <c r="E116">
        <f>HYPERLINK("https://www.indeed.com/viewjob?jk=e6c07b1be9b0424a", "https://www.indeed.com/viewjob?jk=e6c07b1be9b0424a")</f>
        <v/>
      </c>
      <c r="F116">
        <f>HYPERLINK("https://jobs.us.pwc.com/job/-/-/932/90516737536", "https://jobs.us.pwc.com/job/-/-/932/90516737536")</f>
        <v/>
      </c>
      <c r="G116" t="inlineStr">
        <is>
          <t>Des Moines, IA, US</t>
        </is>
      </c>
      <c r="H116" s="3" t="n">
        <v>46033</v>
      </c>
      <c r="I11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7">
      <c r="A117" t="inlineStr">
        <is>
          <t>in-d0da97adc327c163</t>
        </is>
      </c>
      <c r="B117" t="inlineStr">
        <is>
          <t>Data Engineer - Senior Manager</t>
        </is>
      </c>
      <c r="C117" t="inlineStr">
        <is>
          <t>PwC</t>
        </is>
      </c>
      <c r="D117" t="inlineStr">
        <is>
          <t>indeed</t>
        </is>
      </c>
      <c r="E117">
        <f>HYPERLINK("https://www.indeed.com/viewjob?jk=d0da97adc327c163", "https://www.indeed.com/viewjob?jk=d0da97adc327c163")</f>
        <v/>
      </c>
      <c r="F117">
        <f>HYPERLINK("https://jobs.us.pwc.com/job/-/-/932/90516737536", "https://jobs.us.pwc.com/job/-/-/932/90516737536")</f>
        <v/>
      </c>
      <c r="G117" t="inlineStr">
        <is>
          <t>Miami, FL, US</t>
        </is>
      </c>
      <c r="H117" s="3" t="n">
        <v>46033</v>
      </c>
      <c r="I11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8">
      <c r="A118" t="inlineStr">
        <is>
          <t>in-bff86eb0e9a16077</t>
        </is>
      </c>
      <c r="B118" t="inlineStr">
        <is>
          <t>Data Engineer - Senior Manager</t>
        </is>
      </c>
      <c r="C118" t="inlineStr">
        <is>
          <t>PwC</t>
        </is>
      </c>
      <c r="D118" t="inlineStr">
        <is>
          <t>indeed</t>
        </is>
      </c>
      <c r="E118">
        <f>HYPERLINK("https://www.indeed.com/viewjob?jk=bff86eb0e9a16077", "https://www.indeed.com/viewjob?jk=bff86eb0e9a16077")</f>
        <v/>
      </c>
      <c r="F118">
        <f>HYPERLINK("https://jobs.us.pwc.com/job/-/-/932/90516737536", "https://jobs.us.pwc.com/job/-/-/932/90516737536")</f>
        <v/>
      </c>
      <c r="G118" t="inlineStr">
        <is>
          <t>Hartford, CT, US</t>
        </is>
      </c>
      <c r="H118" s="3" t="n">
        <v>46033</v>
      </c>
      <c r="I11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9">
      <c r="A119" t="inlineStr">
        <is>
          <t>in-3b307f92851b2854</t>
        </is>
      </c>
      <c r="B119" t="inlineStr">
        <is>
          <t>Data Engineer - Senior Manager</t>
        </is>
      </c>
      <c r="C119" t="inlineStr">
        <is>
          <t>PwC</t>
        </is>
      </c>
      <c r="D119" t="inlineStr">
        <is>
          <t>indeed</t>
        </is>
      </c>
      <c r="E119">
        <f>HYPERLINK("https://www.indeed.com/viewjob?jk=3b307f92851b2854", "https://www.indeed.com/viewjob?jk=3b307f92851b2854")</f>
        <v/>
      </c>
      <c r="F119">
        <f>HYPERLINK("https://jobs.us.pwc.com/job/-/-/932/90516737536", "https://jobs.us.pwc.com/job/-/-/932/90516737536")</f>
        <v/>
      </c>
      <c r="G119" t="inlineStr">
        <is>
          <t>New York, NY, US</t>
        </is>
      </c>
      <c r="H119" s="3" t="n">
        <v>46033</v>
      </c>
      <c r="I11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0">
      <c r="A120" t="inlineStr">
        <is>
          <t>in-7dd5ba75fe3001dc</t>
        </is>
      </c>
      <c r="B120" t="inlineStr">
        <is>
          <t>Data Engineer - Senior Manager</t>
        </is>
      </c>
      <c r="C120" t="inlineStr">
        <is>
          <t>PwC</t>
        </is>
      </c>
      <c r="D120" t="inlineStr">
        <is>
          <t>indeed</t>
        </is>
      </c>
      <c r="E120">
        <f>HYPERLINK("https://www.indeed.com/viewjob?jk=7dd5ba75fe3001dc", "https://www.indeed.com/viewjob?jk=7dd5ba75fe3001dc")</f>
        <v/>
      </c>
      <c r="F120">
        <f>HYPERLINK("https://jobs.us.pwc.com/job/-/-/932/90516737536", "https://jobs.us.pwc.com/job/-/-/932/90516737536")</f>
        <v/>
      </c>
      <c r="G120" t="inlineStr">
        <is>
          <t>Houston, TX, US</t>
        </is>
      </c>
      <c r="H120" s="3" t="n">
        <v>46033</v>
      </c>
      <c r="I12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1">
      <c r="A121" t="inlineStr">
        <is>
          <t>in-731403a5c553ea46</t>
        </is>
      </c>
      <c r="B121" t="inlineStr">
        <is>
          <t>Data Engineer - Senior Manager</t>
        </is>
      </c>
      <c r="C121" t="inlineStr">
        <is>
          <t>PwC</t>
        </is>
      </c>
      <c r="D121" t="inlineStr">
        <is>
          <t>indeed</t>
        </is>
      </c>
      <c r="E121">
        <f>HYPERLINK("https://www.indeed.com/viewjob?jk=731403a5c553ea46", "https://www.indeed.com/viewjob?jk=731403a5c553ea46")</f>
        <v/>
      </c>
      <c r="F121">
        <f>HYPERLINK("https://jobs.us.pwc.com/job/-/-/932/90516737536", "https://jobs.us.pwc.com/job/-/-/932/90516737536")</f>
        <v/>
      </c>
      <c r="G121" t="inlineStr">
        <is>
          <t>Melville, NY, US</t>
        </is>
      </c>
      <c r="H121" s="3" t="n">
        <v>46033</v>
      </c>
      <c r="I12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2">
      <c r="A122" t="inlineStr">
        <is>
          <t>in-3612538a2c4c8c7a</t>
        </is>
      </c>
      <c r="B122" t="inlineStr">
        <is>
          <t>Data Engineer - Senior Manager</t>
        </is>
      </c>
      <c r="C122" t="inlineStr">
        <is>
          <t>PwC</t>
        </is>
      </c>
      <c r="D122" t="inlineStr">
        <is>
          <t>indeed</t>
        </is>
      </c>
      <c r="E122">
        <f>HYPERLINK("https://www.indeed.com/viewjob?jk=3612538a2c4c8c7a", "https://www.indeed.com/viewjob?jk=3612538a2c4c8c7a")</f>
        <v/>
      </c>
      <c r="F122">
        <f>HYPERLINK("https://jobs.us.pwc.com/job/-/-/932/90516737536", "https://jobs.us.pwc.com/job/-/-/932/90516737536")</f>
        <v/>
      </c>
      <c r="G122" t="inlineStr">
        <is>
          <t>Minneapolis, MN, US</t>
        </is>
      </c>
      <c r="H122" s="3" t="n">
        <v>46033</v>
      </c>
      <c r="I12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3">
      <c r="A123" t="inlineStr">
        <is>
          <t>in-0e08ea2bd011a71d</t>
        </is>
      </c>
      <c r="B123" t="inlineStr">
        <is>
          <t>Data Engineer - Senior Manager</t>
        </is>
      </c>
      <c r="C123" t="inlineStr">
        <is>
          <t>PwC</t>
        </is>
      </c>
      <c r="D123" t="inlineStr">
        <is>
          <t>indeed</t>
        </is>
      </c>
      <c r="E123">
        <f>HYPERLINK("https://www.indeed.com/viewjob?jk=0e08ea2bd011a71d", "https://www.indeed.com/viewjob?jk=0e08ea2bd011a71d")</f>
        <v/>
      </c>
      <c r="F123">
        <f>HYPERLINK("https://jobs.us.pwc.com/job/-/-/932/90516737536", "https://jobs.us.pwc.com/job/-/-/932/90516737536")</f>
        <v/>
      </c>
      <c r="G123" t="inlineStr">
        <is>
          <t>Fort Worth, TX, US</t>
        </is>
      </c>
      <c r="H123" s="3" t="n">
        <v>46033</v>
      </c>
      <c r="I12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4">
      <c r="A124" t="inlineStr">
        <is>
          <t>in-7d805afbd46fe0ea</t>
        </is>
      </c>
      <c r="B124" t="inlineStr">
        <is>
          <t>Data Engineer - Senior Manager</t>
        </is>
      </c>
      <c r="C124" t="inlineStr">
        <is>
          <t>PwC</t>
        </is>
      </c>
      <c r="D124" t="inlineStr">
        <is>
          <t>indeed</t>
        </is>
      </c>
      <c r="E124">
        <f>HYPERLINK("https://www.indeed.com/viewjob?jk=7d805afbd46fe0ea", "https://www.indeed.com/viewjob?jk=7d805afbd46fe0ea")</f>
        <v/>
      </c>
      <c r="F124">
        <f>HYPERLINK("https://jobs.us.pwc.com/job/-/-/932/90516737536", "https://jobs.us.pwc.com/job/-/-/932/90516737536")</f>
        <v/>
      </c>
      <c r="G124" t="inlineStr">
        <is>
          <t>Orlando, FL, US</t>
        </is>
      </c>
      <c r="H124" s="3" t="n">
        <v>46033</v>
      </c>
      <c r="I12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5">
      <c r="A125" t="inlineStr">
        <is>
          <t>in-59d1a0eadbddf3ea</t>
        </is>
      </c>
      <c r="B125" t="inlineStr">
        <is>
          <t>Data Engineer - Senior Manager</t>
        </is>
      </c>
      <c r="C125" t="inlineStr">
        <is>
          <t>PwC</t>
        </is>
      </c>
      <c r="D125" t="inlineStr">
        <is>
          <t>indeed</t>
        </is>
      </c>
      <c r="E125">
        <f>HYPERLINK("https://www.indeed.com/viewjob?jk=59d1a0eadbddf3ea", "https://www.indeed.com/viewjob?jk=59d1a0eadbddf3ea")</f>
        <v/>
      </c>
      <c r="F125">
        <f>HYPERLINK("https://jobs.us.pwc.com/job/-/-/932/90516737536", "https://jobs.us.pwc.com/job/-/-/932/90516737536")</f>
        <v/>
      </c>
      <c r="G125" t="inlineStr">
        <is>
          <t>Kansas City, MO, US</t>
        </is>
      </c>
      <c r="H125" s="3" t="n">
        <v>46033</v>
      </c>
      <c r="I12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6">
      <c r="A126" t="inlineStr">
        <is>
          <t>in-d3194c108cd8e811</t>
        </is>
      </c>
      <c r="B126" t="inlineStr">
        <is>
          <t>Data Engineer - Senior Manager</t>
        </is>
      </c>
      <c r="C126" t="inlineStr">
        <is>
          <t>PwC</t>
        </is>
      </c>
      <c r="D126" t="inlineStr">
        <is>
          <t>indeed</t>
        </is>
      </c>
      <c r="E126">
        <f>HYPERLINK("https://www.indeed.com/viewjob?jk=d3194c108cd8e811", "https://www.indeed.com/viewjob?jk=d3194c108cd8e811")</f>
        <v/>
      </c>
      <c r="F126">
        <f>HYPERLINK("https://jobs.us.pwc.com/job/-/-/932/90516737536", "https://jobs.us.pwc.com/job/-/-/932/90516737536")</f>
        <v/>
      </c>
      <c r="G126" t="inlineStr">
        <is>
          <t>Tampa, FL, US</t>
        </is>
      </c>
      <c r="H126" s="3" t="n">
        <v>46033</v>
      </c>
      <c r="I12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7">
      <c r="A127" t="inlineStr">
        <is>
          <t>in-7a4c4e0cf54e1ea5</t>
        </is>
      </c>
      <c r="B127" t="inlineStr">
        <is>
          <t>Data Engineer - Senior Manager</t>
        </is>
      </c>
      <c r="C127" t="inlineStr">
        <is>
          <t>PwC</t>
        </is>
      </c>
      <c r="D127" t="inlineStr">
        <is>
          <t>indeed</t>
        </is>
      </c>
      <c r="E127">
        <f>HYPERLINK("https://www.indeed.com/viewjob?jk=7a4c4e0cf54e1ea5", "https://www.indeed.com/viewjob?jk=7a4c4e0cf54e1ea5")</f>
        <v/>
      </c>
      <c r="F127">
        <f>HYPERLINK("https://jobs.us.pwc.com/job/-/-/932/90516737536", "https://jobs.us.pwc.com/job/-/-/932/90516737536")</f>
        <v/>
      </c>
      <c r="G127" t="inlineStr">
        <is>
          <t>Jacksonville, FL, US</t>
        </is>
      </c>
      <c r="H127" s="3" t="n">
        <v>46033</v>
      </c>
      <c r="I12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8">
      <c r="A128" t="inlineStr">
        <is>
          <t>in-7ab3b311d3040211</t>
        </is>
      </c>
      <c r="B128" t="inlineStr">
        <is>
          <t>Data Engineer - Senior Manager</t>
        </is>
      </c>
      <c r="C128" t="inlineStr">
        <is>
          <t>PwC</t>
        </is>
      </c>
      <c r="D128" t="inlineStr">
        <is>
          <t>indeed</t>
        </is>
      </c>
      <c r="E128">
        <f>HYPERLINK("https://www.indeed.com/viewjob?jk=7ab3b311d3040211", "https://www.indeed.com/viewjob?jk=7ab3b311d3040211")</f>
        <v/>
      </c>
      <c r="F128">
        <f>HYPERLINK("https://jobs.us.pwc.com/job/-/-/932/90516737536", "https://jobs.us.pwc.com/job/-/-/932/90516737536")</f>
        <v/>
      </c>
      <c r="G128" t="inlineStr">
        <is>
          <t>Albany, NY, US</t>
        </is>
      </c>
      <c r="H128" s="3" t="n">
        <v>46033</v>
      </c>
      <c r="I12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9">
      <c r="A129" t="inlineStr">
        <is>
          <t>in-6e88c5a3e037e42d</t>
        </is>
      </c>
      <c r="B129" t="inlineStr">
        <is>
          <t>Data Engineer - Senior Manager</t>
        </is>
      </c>
      <c r="C129" t="inlineStr">
        <is>
          <t>PwC</t>
        </is>
      </c>
      <c r="D129" t="inlineStr">
        <is>
          <t>indeed</t>
        </is>
      </c>
      <c r="E129">
        <f>HYPERLINK("https://www.indeed.com/viewjob?jk=6e88c5a3e037e42d", "https://www.indeed.com/viewjob?jk=6e88c5a3e037e42d")</f>
        <v/>
      </c>
      <c r="F129">
        <f>HYPERLINK("https://jobs.us.pwc.com/job/-/-/932/90516737536", "https://jobs.us.pwc.com/job/-/-/932/90516737536")</f>
        <v/>
      </c>
      <c r="G129" t="inlineStr">
        <is>
          <t>Greensboro, NC, US</t>
        </is>
      </c>
      <c r="H129" s="3" t="n">
        <v>46033</v>
      </c>
      <c r="I12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0">
      <c r="A130" t="inlineStr">
        <is>
          <t>in-211509478eb38e0c</t>
        </is>
      </c>
      <c r="B130" t="inlineStr">
        <is>
          <t>Data Engineer - Senior Manager</t>
        </is>
      </c>
      <c r="C130" t="inlineStr">
        <is>
          <t>PwC</t>
        </is>
      </c>
      <c r="D130" t="inlineStr">
        <is>
          <t>indeed</t>
        </is>
      </c>
      <c r="E130">
        <f>HYPERLINK("https://www.indeed.com/viewjob?jk=211509478eb38e0c", "https://www.indeed.com/viewjob?jk=211509478eb38e0c")</f>
        <v/>
      </c>
      <c r="F130">
        <f>HYPERLINK("https://jobs.us.pwc.com/job/-/-/932/90516737536", "https://jobs.us.pwc.com/job/-/-/932/90516737536")</f>
        <v/>
      </c>
      <c r="G130" t="inlineStr">
        <is>
          <t>Detroit, MI, US</t>
        </is>
      </c>
      <c r="H130" s="3" t="n">
        <v>46033</v>
      </c>
      <c r="I13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1">
      <c r="A131" t="inlineStr">
        <is>
          <t>in-3f2d755fc244c662</t>
        </is>
      </c>
      <c r="B131" t="inlineStr">
        <is>
          <t>Data Engineer - Senior Manager</t>
        </is>
      </c>
      <c r="C131" t="inlineStr">
        <is>
          <t>PwC</t>
        </is>
      </c>
      <c r="D131" t="inlineStr">
        <is>
          <t>indeed</t>
        </is>
      </c>
      <c r="E131">
        <f>HYPERLINK("https://www.indeed.com/viewjob?jk=3f2d755fc244c662", "https://www.indeed.com/viewjob?jk=3f2d755fc244c662")</f>
        <v/>
      </c>
      <c r="F131">
        <f>HYPERLINK("https://jobs.us.pwc.com/job/-/-/932/90516737536", "https://jobs.us.pwc.com/job/-/-/932/90516737536")</f>
        <v/>
      </c>
      <c r="G131" t="inlineStr">
        <is>
          <t>Philadelphia, PA, US</t>
        </is>
      </c>
      <c r="H131" s="3" t="n">
        <v>46033</v>
      </c>
      <c r="I13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2">
      <c r="A132" t="inlineStr">
        <is>
          <t>in-51a196f71a382491</t>
        </is>
      </c>
      <c r="B132" t="inlineStr">
        <is>
          <t>Data Engineer - Senior Manager</t>
        </is>
      </c>
      <c r="C132" t="inlineStr">
        <is>
          <t>PwC</t>
        </is>
      </c>
      <c r="D132" t="inlineStr">
        <is>
          <t>indeed</t>
        </is>
      </c>
      <c r="E132">
        <f>HYPERLINK("https://www.indeed.com/viewjob?jk=51a196f71a382491", "https://www.indeed.com/viewjob?jk=51a196f71a382491")</f>
        <v/>
      </c>
      <c r="F132">
        <f>HYPERLINK("https://jobs.us.pwc.com/job/-/-/932/90516737536", "https://jobs.us.pwc.com/job/-/-/932/90516737536")</f>
        <v/>
      </c>
      <c r="G132" t="inlineStr">
        <is>
          <t>Baltimore, MD, US</t>
        </is>
      </c>
      <c r="H132" s="3" t="n">
        <v>46033</v>
      </c>
      <c r="I13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3">
      <c r="A133" t="inlineStr">
        <is>
          <t>in-d9ea851ec8c23f18</t>
        </is>
      </c>
      <c r="B133" t="inlineStr">
        <is>
          <t>Data Engineer - Senior Manager</t>
        </is>
      </c>
      <c r="C133" t="inlineStr">
        <is>
          <t>PwC</t>
        </is>
      </c>
      <c r="D133" t="inlineStr">
        <is>
          <t>indeed</t>
        </is>
      </c>
      <c r="E133">
        <f>HYPERLINK("https://www.indeed.com/viewjob?jk=d9ea851ec8c23f18", "https://www.indeed.com/viewjob?jk=d9ea851ec8c23f18")</f>
        <v/>
      </c>
      <c r="F133">
        <f>HYPERLINK("https://jobs.us.pwc.com/job/-/-/932/90516737536", "https://jobs.us.pwc.com/job/-/-/932/90516737536")</f>
        <v/>
      </c>
      <c r="G133" t="inlineStr">
        <is>
          <t>Chicago, IL, US</t>
        </is>
      </c>
      <c r="H133" s="3" t="n">
        <v>46033</v>
      </c>
      <c r="I13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4">
      <c r="A134" t="inlineStr">
        <is>
          <t>in-838cf6341228ba1f</t>
        </is>
      </c>
      <c r="B134" t="inlineStr">
        <is>
          <t>Data Engineer - Senior Manager</t>
        </is>
      </c>
      <c r="C134" t="inlineStr">
        <is>
          <t>PwC</t>
        </is>
      </c>
      <c r="D134" t="inlineStr">
        <is>
          <t>indeed</t>
        </is>
      </c>
      <c r="E134">
        <f>HYPERLINK("https://www.indeed.com/viewjob?jk=838cf6341228ba1f", "https://www.indeed.com/viewjob?jk=838cf6341228ba1f")</f>
        <v/>
      </c>
      <c r="F134">
        <f>HYPERLINK("https://jobs.us.pwc.com/job/-/-/932/90516737536", "https://jobs.us.pwc.com/job/-/-/932/90516737536")</f>
        <v/>
      </c>
      <c r="G134" t="inlineStr">
        <is>
          <t>St. Louis, MO, US</t>
        </is>
      </c>
      <c r="H134" s="3" t="n">
        <v>46033</v>
      </c>
      <c r="I13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5">
      <c r="A135" t="inlineStr">
        <is>
          <t>in-6a4ac8484334d276</t>
        </is>
      </c>
      <c r="B135" t="inlineStr">
        <is>
          <t>Data Engineer - Senior Manager</t>
        </is>
      </c>
      <c r="C135" t="inlineStr">
        <is>
          <t>PwC</t>
        </is>
      </c>
      <c r="D135" t="inlineStr">
        <is>
          <t>indeed</t>
        </is>
      </c>
      <c r="E135">
        <f>HYPERLINK("https://www.indeed.com/viewjob?jk=6a4ac8484334d276", "https://www.indeed.com/viewjob?jk=6a4ac8484334d276")</f>
        <v/>
      </c>
      <c r="F135">
        <f>HYPERLINK("https://jobs.us.pwc.com/job/-/-/932/90516737536", "https://jobs.us.pwc.com/job/-/-/932/90516737536")</f>
        <v/>
      </c>
      <c r="G135" t="inlineStr">
        <is>
          <t>Sacramento, CA, US</t>
        </is>
      </c>
      <c r="H135" s="3" t="n">
        <v>46033</v>
      </c>
      <c r="I13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6">
      <c r="A136" t="inlineStr">
        <is>
          <t>in-66efbf69a29a4b0e</t>
        </is>
      </c>
      <c r="B136" t="inlineStr">
        <is>
          <t>Data Engineer - Senior Manager</t>
        </is>
      </c>
      <c r="C136" t="inlineStr">
        <is>
          <t>PwC</t>
        </is>
      </c>
      <c r="D136" t="inlineStr">
        <is>
          <t>indeed</t>
        </is>
      </c>
      <c r="E136">
        <f>HYPERLINK("https://www.indeed.com/viewjob?jk=66efbf69a29a4b0e", "https://www.indeed.com/viewjob?jk=66efbf69a29a4b0e")</f>
        <v/>
      </c>
      <c r="F136">
        <f>HYPERLINK("https://jobs.us.pwc.com/job/-/-/932/90516737536", "https://jobs.us.pwc.com/job/-/-/932/90516737536")</f>
        <v/>
      </c>
      <c r="G136" t="inlineStr">
        <is>
          <t>Silicon Valley, CA, US</t>
        </is>
      </c>
      <c r="H136" s="3" t="n">
        <v>46033</v>
      </c>
      <c r="I13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7">
      <c r="A137" t="inlineStr">
        <is>
          <t>in-a05bc5e759d9e888</t>
        </is>
      </c>
      <c r="B137" t="inlineStr">
        <is>
          <t>Data Engineer - Senior Manager</t>
        </is>
      </c>
      <c r="C137" t="inlineStr">
        <is>
          <t>PwC</t>
        </is>
      </c>
      <c r="D137" t="inlineStr">
        <is>
          <t>indeed</t>
        </is>
      </c>
      <c r="E137">
        <f>HYPERLINK("https://www.indeed.com/viewjob?jk=a05bc5e759d9e888", "https://www.indeed.com/viewjob?jk=a05bc5e759d9e888")</f>
        <v/>
      </c>
      <c r="F137">
        <f>HYPERLINK("https://jobs.us.pwc.com/job/-/-/932/90516737536", "https://jobs.us.pwc.com/job/-/-/932/90516737536")</f>
        <v/>
      </c>
      <c r="G137" t="inlineStr">
        <is>
          <t>Columbia, SC, US</t>
        </is>
      </c>
      <c r="H137" s="3" t="n">
        <v>46033</v>
      </c>
      <c r="I13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8">
      <c r="A138" t="inlineStr">
        <is>
          <t>in-ec8f5d0e54211b2d</t>
        </is>
      </c>
      <c r="B138" t="inlineStr">
        <is>
          <t>Data Engineer - Senior Manager</t>
        </is>
      </c>
      <c r="C138" t="inlineStr">
        <is>
          <t>PwC</t>
        </is>
      </c>
      <c r="D138" t="inlineStr">
        <is>
          <t>indeed</t>
        </is>
      </c>
      <c r="E138">
        <f>HYPERLINK("https://www.indeed.com/viewjob?jk=ec8f5d0e54211b2d", "https://www.indeed.com/viewjob?jk=ec8f5d0e54211b2d")</f>
        <v/>
      </c>
      <c r="F138">
        <f>HYPERLINK("https://jobs.us.pwc.com/job/-/-/932/90516737536", "https://jobs.us.pwc.com/job/-/-/932/90516737536")</f>
        <v/>
      </c>
      <c r="G138" t="inlineStr">
        <is>
          <t>San Francisco, CA, US</t>
        </is>
      </c>
      <c r="H138" s="3" t="n">
        <v>46033</v>
      </c>
      <c r="I13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9">
      <c r="A139" t="inlineStr">
        <is>
          <t>in-6bcac610daf7790f</t>
        </is>
      </c>
      <c r="B139" t="inlineStr">
        <is>
          <t>Data Engineer - Senior Manager</t>
        </is>
      </c>
      <c r="C139" t="inlineStr">
        <is>
          <t>PwC</t>
        </is>
      </c>
      <c r="D139" t="inlineStr">
        <is>
          <t>indeed</t>
        </is>
      </c>
      <c r="E139">
        <f>HYPERLINK("https://www.indeed.com/viewjob?jk=6bcac610daf7790f", "https://www.indeed.com/viewjob?jk=6bcac610daf7790f")</f>
        <v/>
      </c>
      <c r="F139">
        <f>HYPERLINK("https://jobs.us.pwc.com/job/-/-/932/90516737536", "https://jobs.us.pwc.com/job/-/-/932/90516737536")</f>
        <v/>
      </c>
      <c r="G139" t="inlineStr">
        <is>
          <t>Dallas, TX, US</t>
        </is>
      </c>
      <c r="H139" s="3" t="n">
        <v>46033</v>
      </c>
      <c r="I13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0">
      <c r="A140" t="inlineStr">
        <is>
          <t>in-03cee277e3c9815d</t>
        </is>
      </c>
      <c r="B140" t="inlineStr">
        <is>
          <t>Data Engineer - Senior Manager</t>
        </is>
      </c>
      <c r="C140" t="inlineStr">
        <is>
          <t>PwC</t>
        </is>
      </c>
      <c r="D140" t="inlineStr">
        <is>
          <t>indeed</t>
        </is>
      </c>
      <c r="E140">
        <f>HYPERLINK("https://www.indeed.com/viewjob?jk=03cee277e3c9815d", "https://www.indeed.com/viewjob?jk=03cee277e3c9815d")</f>
        <v/>
      </c>
      <c r="F140">
        <f>HYPERLINK("https://jobs.us.pwc.com/job/-/-/932/90516737536", "https://jobs.us.pwc.com/job/-/-/932/90516737536")</f>
        <v/>
      </c>
      <c r="G140" t="inlineStr">
        <is>
          <t>Columbus, OH, US</t>
        </is>
      </c>
      <c r="H140" s="3" t="n">
        <v>46033</v>
      </c>
      <c r="I14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1">
      <c r="A141" t="inlineStr">
        <is>
          <t>in-483540fd5e4a1043</t>
        </is>
      </c>
      <c r="B141" t="inlineStr">
        <is>
          <t>Senior Data Engineer</t>
        </is>
      </c>
      <c r="C141" t="inlineStr">
        <is>
          <t>The Ohio State University Wexner Medical Center</t>
        </is>
      </c>
      <c r="D141" t="inlineStr">
        <is>
          <t>indeed</t>
        </is>
      </c>
      <c r="E141">
        <f>HYPERLINK("https://www.indeed.com/viewjob?jk=483540fd5e4a1043", "https://www.indeed.com/viewjob?jk=483540fd5e4a1043")</f>
        <v/>
      </c>
      <c r="F141">
        <f>HYPERLINK("https://osu.wd1.myworkdayjobs.com/OSUCareers/job/Health-System-Shared-Services/Senior-Data-Engineer_R140137-1", "https://osu.wd1.myworkdayjobs.com/OSUCareers/job/Health-System-Shared-Services/Senior-Data-Engineer_R140137-1")</f>
        <v/>
      </c>
      <c r="G141" t="inlineStr">
        <is>
          <t>Columbus, OH, US</t>
        </is>
      </c>
      <c r="H141" s="3" t="n">
        <v>46033</v>
      </c>
      <c r="I141" t="inlineStr">
        <is>
          <t>**Position Summary**
The Senior Data Engineer serves as a top\-level technical contributor and lead for complex data and analytics initiatives that align technology solutions with clinical, operational, and strategic priorities. This role designs, builds, and operates secure, scalable data pipelines and curated datasets that power analytics, reporting, and advanced AI/ML use cases supporting patient care, administrative decision\-making, and improved outcomes.
This position partners closely with clinical and operational leaders, analytics teams, vendors and IT stakeholders to translate business needs into reliable data products. The Senior Data Engineer leads the end\-to\-end development lifecycle \- data ingestion, transformation, modeling, testing, deployment, and monitoring \- while championing modern engineering practices (CI/CD, data quality automation, observability, documentation, and governance). Recognized across the organization for expertise in data architecture, engineering standards, and platform modernization.
**Key Responsibilities**
* Lead design and delivery of enterprise\-grade data pipelines (ETL/ELT) using **SQL/Python**, supporting high\-volume, high\-complexity healthcare data.
* Build and optimize a modern lakehouse architecture using **Azure** services and **Databricks**, including **Delta Lake** patterns and performance tuning.
* Implement and maintain **medallion architecture (bronze/silver/gold)**: ingestion, standardization, and curated semantic datasets for analytics and downstream consumption.
* Develop scalable transformation and modeling layers using **dbt** (or equivalent) and data modeling best practices (Kimball, dimensional modeling, star schemas, conformed dimensions).
* Establish and enforce **data quality** and reliability standards (tests, reconciliation, SLA monitoring, anomaly detection, lineage/metadata).
* Implement **CI/CD** for data pipelines and dbt projects (Git\-based workflows, automated testing, release pipelines via Azure DevOps/GitHub Actions).
* Collaborate with reporting \&amp; analytics, data science, data governance and platform systems \&amp; architecture teams to enable self\-service access to trusted datasets and accelerate insight delivery.
* Provide technical leadership on architecture decisions, security/privacy considerations, performance optimization, and cost management.
* Create and maintain technical documentation, data contracts, and operational runbooks; contribute to engineering standards and patterns.
* Coordinate across medical center and university entities and evaluate external tools/partners to adopt innovative methods and improve delivery.
 **Minimum Qualifications**
* Bachelor’s degree in Computer Science, Information Systems, Data Analytics, Engineering, or related field (or equivalent practical experience).
* **4\+ years** of progressive experience in data engineering, data warehousing, or analytics engineering (healthcare strongly preferred).
* Advanced proficiency with **SQL** and strong experience with **Python** for data engineering.
* Hands\-on experience designing and operating **ETL/ELT pipelines** and building curated analytics datasets.
* Strong understanding of **data modeling**, warehousing/lakehouse concepts, and modern data management practices.
* Demonstrated ability to lead large, complex initiatives and deliver outcomes in high\-impact environments.
**Our Comprehensive Employee Benefits Include:**
* An array of retirement plan options, each with a generous employer contribution.
* Affordable health insurance options, including dental, vision and prescription coverage that begin on day one.
* Paid vacation and sick leave, including short and long\-term disability and paid parental leave.
* Get the most out of the Public Service Loan Forgiveness program.
* And much more!
Regular 40 First Shift</t>
        </is>
      </c>
    </row>
    <row r="142">
      <c r="A142" t="inlineStr">
        <is>
          <t>in-6817bb3020aefb84</t>
        </is>
      </c>
      <c r="B142" t="inlineStr">
        <is>
          <t>Lead Data Engineer</t>
        </is>
      </c>
      <c r="C142" t="inlineStr">
        <is>
          <t>Capital One</t>
        </is>
      </c>
      <c r="D142" t="inlineStr">
        <is>
          <t>indeed</t>
        </is>
      </c>
      <c r="E142">
        <f>HYPERLINK("https://www.indeed.com/viewjob?jk=6817bb3020aefb84", "https://www.indeed.com/viewjob?jk=6817bb3020aefb84")</f>
        <v/>
      </c>
      <c r="F142">
        <f>HYPERLINK("https://www.capitalonecareers.com/job/-/-/1732/85218109920", "https://www.capitalonecareers.com/job/-/-/1732/85218109920")</f>
        <v/>
      </c>
      <c r="G142" t="inlineStr">
        <is>
          <t>McLean, VA, US</t>
        </is>
      </c>
      <c r="H142" s="3" t="n">
        <v>46033</v>
      </c>
      <c r="I142"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New York, NY: $215,200 \- $245,600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3">
      <c r="A143" t="inlineStr">
        <is>
          <t>in-585d09fe55a71dee</t>
        </is>
      </c>
      <c r="B143" t="inlineStr">
        <is>
          <t>Senior Data Engineer</t>
        </is>
      </c>
      <c r="C143" t="inlineStr">
        <is>
          <t>Capital One</t>
        </is>
      </c>
      <c r="D143" t="inlineStr">
        <is>
          <t>indeed</t>
        </is>
      </c>
      <c r="E143">
        <f>HYPERLINK("https://www.indeed.com/viewjob?jk=585d09fe55a71dee", "https://www.indeed.com/viewjob?jk=585d09fe55a71dee")</f>
        <v/>
      </c>
      <c r="F143">
        <f>HYPERLINK("https://www.capitalonecareers.com/job/-/-/1732/84767015840", "https://www.capitalonecareers.com/job/-/-/1732/84767015840")</f>
        <v/>
      </c>
      <c r="G143" t="inlineStr">
        <is>
          <t>McLean, VA, US</t>
        </is>
      </c>
      <c r="H143" s="3" t="n">
        <v>46033</v>
      </c>
      <c r="I143"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4">
      <c r="A144" t="inlineStr">
        <is>
          <t>in-6d7d0cd2192f3207</t>
        </is>
      </c>
      <c r="B144" t="inlineStr">
        <is>
          <t>Data Engineer</t>
        </is>
      </c>
      <c r="C144" t="inlineStr">
        <is>
          <t>Amazon.com</t>
        </is>
      </c>
      <c r="D144" t="inlineStr">
        <is>
          <t>indeed</t>
        </is>
      </c>
      <c r="E144">
        <f>HYPERLINK("https://www.indeed.com/viewjob?jk=6d7d0cd2192f3207", "https://www.indeed.com/viewjob?jk=6d7d0cd2192f3207")</f>
        <v/>
      </c>
      <c r="F144">
        <f>HYPERLINK("https://www.amazon.jobs/jobs/3141339/data-engineer?cmpid=DA_INAD200785B", "https://www.amazon.jobs/jobs/3141339/data-engineer?cmpid=DA_INAD200785B")</f>
        <v/>
      </c>
      <c r="G144" t="inlineStr">
        <is>
          <t>San Francisco, CA, US</t>
        </is>
      </c>
      <c r="H144" s="3" t="n">
        <v>46001</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in-13072be645ffe43a</t>
        </is>
      </c>
      <c r="B145" t="inlineStr">
        <is>
          <t>Data Engineer</t>
        </is>
      </c>
      <c r="C145" t="inlineStr">
        <is>
          <t>Amazon.com</t>
        </is>
      </c>
      <c r="D145" t="inlineStr">
        <is>
          <t>indeed</t>
        </is>
      </c>
      <c r="E145">
        <f>HYPERLINK("https://www.indeed.com/viewjob?jk=13072be645ffe43a", "https://www.indeed.com/viewjob?jk=13072be645ffe43a")</f>
        <v/>
      </c>
      <c r="F145">
        <f>HYPERLINK("https://www.amazon.jobs/jobs/3141339/data-engineer?cmpid=DA_INAD200785B", "https://www.amazon.jobs/jobs/3141339/data-engineer?cmpid=DA_INAD200785B")</f>
        <v/>
      </c>
      <c r="G145" t="inlineStr">
        <is>
          <t>Seattle, WA, US</t>
        </is>
      </c>
      <c r="H145" s="3" t="n">
        <v>46001</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in-3f8564092f47ce75</t>
        </is>
      </c>
      <c r="B146" t="inlineStr">
        <is>
          <t>Delivery Consultant - Data Engineer, Data and Machine Learning, WWPS US Federal</t>
        </is>
      </c>
      <c r="C146" t="inlineStr">
        <is>
          <t>Amazon Web Services</t>
        </is>
      </c>
      <c r="D146" t="inlineStr">
        <is>
          <t>indeed</t>
        </is>
      </c>
      <c r="E146">
        <f>HYPERLINK("https://www.indeed.com/viewjob?jk=3f8564092f47ce75", "https://www.indeed.com/viewjob?jk=3f8564092f47ce75")</f>
        <v/>
      </c>
      <c r="F146">
        <f>HYPERLINK("https://www.amazon.jobs/jobs/3134583/delivery-consultant--data-engineer-data-and-machine-learning-wwps-us-federal?cmpid=DA_INAD200785B", "https://www.amazon.jobs/jobs/3134583/delivery-consultant--data-engineer-data-and-machine-learning-wwps-us-federal?cmpid=DA_INAD200785B")</f>
        <v/>
      </c>
      <c r="G146" t="inlineStr">
        <is>
          <t>Arlington, VA, US</t>
        </is>
      </c>
      <c r="H146" s="3" t="n">
        <v>45991</v>
      </c>
      <c r="I14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in-073497c0d6ea426e</t>
        </is>
      </c>
      <c r="B147" t="inlineStr">
        <is>
          <t>Delivery Consultant - Data Engineer, Data and Machine Learning, WWPS US Federal</t>
        </is>
      </c>
      <c r="C147" t="inlineStr">
        <is>
          <t>Amazon Web Services</t>
        </is>
      </c>
      <c r="D147" t="inlineStr">
        <is>
          <t>indeed</t>
        </is>
      </c>
      <c r="E147">
        <f>HYPERLINK("https://www.indeed.com/viewjob?jk=073497c0d6ea426e", "https://www.indeed.com/viewjob?jk=073497c0d6ea426e")</f>
        <v/>
      </c>
      <c r="F147">
        <f>HYPERLINK("https://www.amazon.jobs/jobs/3134583/delivery-consultant--data-engineer-data-and-machine-learning-wwps-us-federal?cmpid=DA_INAD200785B", "https://www.amazon.jobs/jobs/3134583/delivery-consultant--data-engineer-data-and-machine-learning-wwps-us-federal?cmpid=DA_INAD200785B")</f>
        <v/>
      </c>
      <c r="G147" t="inlineStr">
        <is>
          <t>Herndon, VA, US</t>
        </is>
      </c>
      <c r="H147" s="3" t="n">
        <v>45991</v>
      </c>
      <c r="I14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li-4361341597</t>
        </is>
      </c>
      <c r="B2" t="inlineStr">
        <is>
          <t>Data Engineer - Data Science</t>
        </is>
      </c>
      <c r="C2" t="inlineStr">
        <is>
          <t>LinkedIn</t>
        </is>
      </c>
      <c r="D2" t="inlineStr">
        <is>
          <t>linkedin</t>
        </is>
      </c>
      <c r="E2" t="inlineStr"/>
      <c r="F2" t="inlineStr"/>
      <c r="G2" t="inlineStr">
        <is>
          <t>Mountain View, CA</t>
        </is>
      </c>
      <c r="H2" t="inlineStr"/>
      <c r="I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and operations to develop infrastructure and deliver tools or data structures that enable data\-driven decision\-making. Successful candidates will exhibit technical acumen and business savviness with a passion for making an impact by enabling both producers and consumers of data insight to work smarter.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data science professionals, and cross\-functional teams to identify business opportunities and build scalable data solutions.
* Build data expertise, act like an owner for the company and manage complex data systems for a product or a group of products.
* Perform all of the necessary data transformations to serve products that empower data\-driven decision making.
* Build and manage data pipelines, design and architect databases.
* Establish efficient design and programming patterns for engineers as well as for non\-technical partners.
* Design, implement, integrate and document performant systems or components for data flows or applications that power analysis at a massive scale.
* Ensure best practices and standards in our data ecosystem are shared across teams.
* Understand the analytical objectives to make logical recommendations and drive informed actions.
* Engage with internal platform teams to prototype and validate tools developed in\-house to derive insight from very large datasets or automate complex algorithms.
* Be a self\-starter, Initiate and drive projects to completion with minimal guidance.
* Contribute to engineering innovations that fuel LinkedIn's vision and mission.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with SQL/Relational databases
* Background in at least one programming languages (e.g., R, Python, Java, Scala, PHP, JavaScript)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in developing data pipelines using Spark and Hive.
* Experience with data modeling, ETL (Extraction, Transformation \&amp; Load) concepts, and patterns for efficient data governance. Experience with manipulating massive\-scale structured and unstructured data.
* Experience with using distributed data systems such as Spark and related technologies (Presto/Trino, Hive, etc.).
* Experience with either data workflows/modeling, front\-end engineering, or back\-end engineering.
* Deep understanding of technical and functional designs for relational and MPP Databases
* Experience in data visualization and dashboard design including tools such as Tableau, R visualization packages, streamlit, D3, and other libraries, etc.
* Knowledge of Unix and Unix\-like systems, version control systems such as Git.
 Suggested Skills
* Distributed Systems
* ETL
* Data Modeling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$102,000 to $165,000\.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
      <c r="A3" t="inlineStr">
        <is>
          <t>li-4361341596</t>
        </is>
      </c>
      <c r="B3" t="inlineStr">
        <is>
          <t>Senior Data Engineer - Data Science</t>
        </is>
      </c>
      <c r="C3" t="inlineStr">
        <is>
          <t>LinkedIn</t>
        </is>
      </c>
      <c r="D3" t="inlineStr">
        <is>
          <t>linkedin</t>
        </is>
      </c>
      <c r="E3" t="inlineStr"/>
      <c r="F3" t="inlineStr"/>
      <c r="G3" t="inlineStr">
        <is>
          <t>Mountain View, CA</t>
        </is>
      </c>
      <c r="H3" t="inlineStr"/>
      <c r="I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and operations to develop infrastructure and deliver tools or data structures that enable data\-driven decision\-making. Successful candidates will exhibit technical acumen and business savviness with a passion for making an impact by enabling both producers and consumers of data insight to work smarter.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data science professionals, and cross\-functional teams to identify business opportunities and build scalable data solutions.
* Build data expertise, act like an owner for the company and manage complex data systems for a product or a group of products.
* Perform all of the necessary data transformations to serve products that empower data\-driven decision making.
* Build and manage data pipelines, design and architect databases.
* Establish efficient design and programming patterns for engineers as well as for non\-technical partners.
* Design, implement, integrate and document performant systems or components for data flows or applications that power analysis at a massive scale.
* Ensure best practices and standards in our data ecosystem are shared across teams.
* Understand the analytical objectives to make logical recommendations and drive informed actions.
* Engage with internal platform teams to prototype and validate tools developed in\-house to derive insight from very large datasets or automate complex algorithms.
* Be a self\-starter, Initiate and drive projects to completion with minimal guidance.
* Contribute to engineering innovations that fuel LinkedIn's vision and mission.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with SQL/Relational databases
* Background in at least one programming languages (e.g., R, Python, Java, Scala, PHP, JavaScript)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in developing data pipelines using Spark and Hive.
* Experience with data modeling, ETL (Extraction, Transformation \&amp; Load) concepts, and patterns for efficient data governance. Experience with manipulating massive\-scale structured and unstructured data.
* Experience with using distributed data systems such as Spark and related technologies (Presto/Trino, Hive, etc.).
* Experience with either data workflows/modeling, front\-end engineering, or back\-end engineering.
* Deep understanding of technical and functional designs for relational and MPP Databases
* Experience in data visualization and dashboard design including tools such as Tableau, R visualization packages, streamlit, D3, and other libraries, etc.
* Knowledge of Unix and Unix\-like systems, version control systems such as Git.
 Suggested Skills
* Distributed Systems
* ETL
* Data Modeling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to $206,000\.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
      <c r="A4" t="inlineStr">
        <is>
          <t>li-4361371561</t>
        </is>
      </c>
      <c r="B4" t="inlineStr">
        <is>
          <t>Senior Associate, Insights Analytics Engineer</t>
        </is>
      </c>
      <c r="C4" t="inlineStr">
        <is>
          <t>LinkedIn</t>
        </is>
      </c>
      <c r="D4" t="inlineStr">
        <is>
          <t>linkedin</t>
        </is>
      </c>
      <c r="E4" t="inlineStr"/>
      <c r="F4" t="inlineStr"/>
      <c r="G4" t="inlineStr">
        <is>
          <t>New York, NY</t>
        </is>
      </c>
      <c r="H4" t="inlineStr"/>
      <c r="I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can be located in our New York or Chicago offices.*
 As a
 **Senior Associate, Insights Analytics Engineer** 
 supporting the
 **Marketing Solutions** 
 business, you will leverage one of the richest proprietary datasets in the world. You will work with a high\-caliber, passionate team who believes that data can transform how a company does business. You will lead high\-impact programs and scale analytics tools that create value for our customers, our sales teams, and our business.
 Your work will help supercharge our go\-to\-market efforts by infusing data into how we sell and the stories we tell.  In this role, you will develop scaled customer insights solutions, used by thousands of sales professionals every day, by capturing complex business requirements, owning end\-to\-end technical development, and driving field\-wide deployment.  This includes prototyping, developing, and validating internal and customer\-facing solutions to build quality insights products.
 To be successful in this role, you will be a proactive, analytical product manager, using LinkedIn’s unique data and disciplined project management techniques to design and execute programs and tools focused on accelerating LinkedIn’s growth. Diverse internal partners you’ll collaborate with include—but are not limited to—Insights, Sales, Sales Readiness, Product Marketing, Engineering, Data Science, and Product.  You’ll embrace continuous learning and diverse feedback to ensure that your tools and programs are evolving and improving to meet the needs of our customers.  You like to dream big, work collaboratively to get stuff done, and know how to have fun along the way.
**Responsibilities** 
 :
* Partner cross\-functionally to design, plan, and execute strategy
* Create requirements and project plans for analytic programs and tools, and re\-prioritize based on impact and level of effort to complete
* Build a communications plan that ensures effective delivery and awareness of new Insights product or feature launches and incorporates feedback from key stakeholders
* Establish a high bar for compelling scaled insights business cases
* Identify scaled solutions for the most important customer challenges by leveraging LinkedIn’s unique data and act as an advisor to manage stakeholder expectations
* Leverage SQL/Python to extract and manipulate necessary data
* Analyze results to generate business insights
**Qualifications**
**Basic Qualifications**
* BA/BS in math, marketing, statistics, economics, business or related field
* 4\+ years of work experience in project or program management or a consulting role working cross\-functionally
* 3\+ years of experience with data analysis, data storytelling, and data visualization tools (e.g., Tableau, Power BI, etc.) to turn data into insights and present to internal and/or external stakeholders
* 2\+ years working with SQL to query large datasets (e.g., Pig, Hive, Presto, Spark SQL, etc.)
* 2\+ years working with Python for data manipulation, batch processing, machine learning, statistical analysis, etc.
**Preferred Qualifications**
* Experience in digital marketing analytics
* Business acumen and creative problem\-solving skills
* Experience managing complex, multi\-workstream programs
* Experience working with both technical and non\-technical stakeholders like sales to capture complex business requirements, solution, and drive full scale deployment (launch, adoption, impact assessment)
* Excellent interpersonal, communication, writing, presentation, statistical and data analysis skills
* Experience turning data into insights and presenting to internal (technical and non\-technical) stakeholders and external stakeholders
* Expert knowledge of MS Office (Outlook, Word, PowerPoint and Excel)
**Suggested Skills:**
* Stakeholder management
* Data visualization and storytelling
* Python
* Consulting
* SQL
 LinkedIn is committed to fair and equitable compensation practices.
 The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
      <c r="A5" t="inlineStr">
        <is>
          <t>li-4313842380</t>
        </is>
      </c>
      <c r="B5" t="inlineStr">
        <is>
          <t>Data Engineer (L5) - Games</t>
        </is>
      </c>
      <c r="C5" t="inlineStr">
        <is>
          <t>Netflix</t>
        </is>
      </c>
      <c r="D5" t="inlineStr">
        <is>
          <t>linkedin</t>
        </is>
      </c>
      <c r="E5" t="inlineStr"/>
      <c r="F5" t="inlineStr"/>
      <c r="G5" t="inlineStr"/>
      <c r="H5" t="inlineStr"/>
      <c r="I5"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Games are our next big frontier and an incredible opportunity for us to deliver new experiences to delight and entertain our quickly growing membership. You will be joining us at an exciting time as we roll out more games on both mobile and cloud and be in a position to help us redefine what a Netflix subscription means for our members around the world.
 The Data Science and Engineering (DSE) team uses data, analytics, and sciences to improve various aspects of our business. As a
 **Senior Data Engineer** 
 focused on
 **Core Metrics and Metadata** 
 , you will be a foundational partner, leveraging high\-quality data to support end\-to\-end analytics needs for our Games partners.
**What You'll Do**
* As a Senior Data Engineer, your focus will be on architecting the foundation for all business measurements across our games portfolio on all platforms.
* Own Core Metric Systems: Design, develop, and maintain the single source of truth for core business and operational metrics (e.g., DAU/MAU, retention, engagement rates). Ensure metric consistency, explainability, and reliability for high\-stakes business decisions.
* Data Modeling Architecture: Create advanced analytical data models (facts, dimensions, aggregations) optimized for performance, partitioning, and backfill considerations.
* Implement High\-Reliability Pipelines: Build and optimize robust, high\-volume data pipelines using distributed processing frameworks like Spark, Flink, Python, and Scala. Master complex processing patterns (batch, CDC, incremental loads, upserts) and address challenges like event\-time partitioning, late data handling, and windowing for real\-time applications.
* Data Governance and Quality Leadership: Define and enforce data quality standards (accuracy, completeness, consistency, validity) at scale. Implement data lineage tracking and monitor metadata to provide the necessary context for interpreting core metrics.
* Strategic Collaboration: Partner with Games Product, Data Science, and Engineering stakeholders to translate their forecasting, research, and analytical needs into scalable data solutions. Collaborate on strategies for metric collection, dashboarding, and integration with analytical tools.
* Technical Leadership: Proactively identify and resolve technical debt, increase automation, and champion best practices in data engineering and software development across the team. Mentor junior team members and help raise the technical bar for the entire DSE organization.
**Who You Are**
 We value people over process and look for humbly confident, action\-oriented collaborators with deep technical expertise.
* Experience: 7\+ years of hands\-on experience in software development with a deep focus on building high\-performance data systems that collect, process, and govern high\-volume telemetry data for analytics.
* Technical Expertise (The Core Domain):
* Expert\-level Data Modeling: Proven mastery of telemetry (event schema design) and analytical modeling (dimensional modeling, aggregation strategies, partitioning considerations).
* Distributed Processing Mastery: Demonstrated experience building production\-grade data pipelines using distributed processing frameworks (e.g., Spark, Flink, Hive/Hadoop), with a strong understanding of distributed systems and performance optimization.
* Advanced Data Processing: Direct experience with complex batch and streaming data processing patterns, including CDC, incremental loads, event\-driven architectures, and robust error handling.
* Programming \&amp; SQL: Expert\-level programming proficiency in Python and/or Scala/Java and mastery of SQL. You maintain a strong software engineering mindset.
* Partnership and Leadership:
* Strong Partnership Skills: Exceptional communication skills and a proven ability to collaborate effectively with non\-technical stakeholders to ensure metrics are accessible, reliable, and actionable.
* Proven ability to drive and own complex, cross\-functional engineering projects with a high degree of autonomy.
* Humble confidence and the awareness to recognize when to course\-correct, valuing continuous learning and improvement.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
      <c r="A6" t="inlineStr">
        <is>
          <t>li-4361341600</t>
        </is>
      </c>
      <c r="B6" t="inlineStr">
        <is>
          <t>Senior Associate, Insights Analytics Engineer</t>
        </is>
      </c>
      <c r="C6" t="inlineStr">
        <is>
          <t>LinkedIn</t>
        </is>
      </c>
      <c r="D6" t="inlineStr">
        <is>
          <t>linkedin</t>
        </is>
      </c>
      <c r="E6" t="inlineStr"/>
      <c r="F6" t="inlineStr"/>
      <c r="G6" t="inlineStr">
        <is>
          <t>Chicago, IL</t>
        </is>
      </c>
      <c r="H6" t="inlineStr"/>
      <c r="I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can be located in our New York or Chicago offices.*
 As a
 **Senior Associate, Insights Analytics Engineer** 
 supporting the
 **Marketing Solutions** 
 business, you will leverage one of the richest proprietary datasets in the world. You will work with a high\-caliber, passionate team who believes that data can transform how a company does business. You will lead high\-impact programs and scale analytics tools that create value for our customers, our sales teams, and our business.
 Your work will help supercharge our go\-to\-market efforts by infusing data into how we sell and the stories we tell.  In this role, you will develop scaled customer insights solutions, used by thousands of sales professionals every day, by capturing complex business requirements, owning end\-to\-end technical development, and driving field\-wide deployment.  This includes prototyping, developing, and validating internal and customer\-facing solutions to build quality insights products.
 To be successful in this role, you will be a proactive, analytical product manager, using LinkedIn’s unique data and disciplined project management techniques to design and execute programs and tools focused on accelerating LinkedIn’s growth. Diverse internal partners you’ll collaborate with include—but are not limited to—Insights, Sales, Sales Readiness, Product Marketing, Engineering, Data Science, and Product.  You’ll embrace continuous learning and diverse feedback to ensure that your tools and programs are evolving and improving to meet the needs of our customers.  You like to dream big, work collaboratively to get stuff done, and know how to have fun along the way.
**Responsibilities** 
 :
* Partner cross\-functionally to design, plan, and execute strategy
* Create requirements and project plans for analytic programs and tools, and re\-prioritize based on impact and level of effort to complete
* Build a communications plan that ensures effective delivery and awareness of new Insights product or feature launches and incorporates feedback from key stakeholders
* Establish a high bar for compelling scaled insights business cases
* Identify scaled solutions for the most important customer challenges by leveraging LinkedIn’s unique data and act as an advisor to manage stakeholder expectations
* Leverage SQL/Python to extract and manipulate necessary data
* Analyze results to generate business insights
**Qualifications**
**Basic Qualifications**
* BA/BS in math, marketing, statistics, economics, business or related field
* 4\+ years of work experience in project or program management or a consulting role working cross\-functionally
* 3\+ years of experience with data analysis, data storytelling, and data visualization tools (e.g., Tableau, Power BI, etc.) to turn data into insights and present to internal and/or external stakeholders
* 2\+ years working with SQL to query large datasets (e.g., Pig, Hive, Presto, Spark SQL, etc.)
* 2\+ years working with Python for data manipulation, batch processing, machine learning, statistical analysis, etc.
**Preferred Qualifications**
* Experience in digital marketing analytics
* Business acumen and creative problem\-solving skills
* Experience managing complex, multi\-workstream programs
* Experience working with both technical and non\-technical stakeholders like sales to capture complex business requirements, solution, and drive full scale deployment (launch, adoption, impact assessment)
* Excellent interpersonal, communication, writing, presentation, statistical and data analysis skills
* Experience turning data into insights and presenting to internal (technical and non\-technical) stakeholders and external stakeholders
* Expert knowledge of MS Office (Outlook, Word, PowerPoint and Excel)
**Suggested Skills:**
* Stakeholder management
* Data visualization and storytelling
* Python
* Consulting
* SQL
 LinkedIn is committed to fair and equitable compensation practices.
 The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
      <c r="A7" t="inlineStr">
        <is>
          <t>li-4338313097</t>
        </is>
      </c>
      <c r="B7" t="inlineStr">
        <is>
          <t>Data Engineer (Remote USA ) G8</t>
        </is>
      </c>
      <c r="C7" t="inlineStr">
        <is>
          <t>Cisco</t>
        </is>
      </c>
      <c r="D7" t="inlineStr">
        <is>
          <t>linkedin</t>
        </is>
      </c>
      <c r="E7" t="inlineStr"/>
      <c r="F7" t="inlineStr"/>
      <c r="G7" t="inlineStr">
        <is>
          <t>Austin, TX</t>
        </is>
      </c>
      <c r="H7" t="inlineStr"/>
      <c r="I7" t="inlineStr">
        <is>
          <t>The application window is expected to close on: 25/12/25
 Job posting may be removed earlier if the position is filled or if a sufficient number of applications are received.
 Location preference: Austin, Texas or RTP ,NC or Remote within USA
 Meet the Team
 Join the Cisco IT Data team, where innovation, automation, and reliability drive extraordinary business outcomes. Our team delivers scalable, secure, and high\-performance platforms supporting Cisco’s global data operations. We value a culture of continuous improvement, collaboration, and technical excellence, empowering team members to experiment and drive operational transformation.
 Your Impact
 As a Data Operations (DevOps) Engineer, you will play a critical role in building, automating, and optimizing the infrastructure and processes that support the Corporate Functions \- Enterprise Data Warehouse. Your expertise will ensure the reliability, scalability, and security of data platforms and pipelines across cloud and on\-premise environments. You’ll collaborate closely with data engineers, software engineers, architects, and business partners to create robust solutions that accelerate data\-driven decision\-making at Cisco.
* Automate deployment, monitoring, and management of data platforms and pipelines using industry\-standard DevOps tools and standard methodologies.
* Build, implement, and maintain CI/CD pipelines for ETL, analytics, and data applications (e.g., Informatica, DBT, Airflow, Python, Java).
* Ensure high availability, performance, and security of data systems in cloud (Snowflake, Google BigQuery, AWS/GCP/Azure) and hybrid environments.
* Lead infrastructure as code (Terraform, CloudFormation, or similar) to provision and scale resources efficiently.
* Implement observability and data quality monitoring using modern tools (e.g., Monte Carlo, Prometheus, Grafana, ELK).
* Troubleshoot and resolve issues in production data \&amp; workflows, collaborating with engineering and analytics teams for root cause analysis and solution delivery.
* Drive automation and process improvement for data operations, system upgrades, patching, and access management.
* Contribute to security and compliance initiatives related to data governance, access controls, and audit readiness.
**Minimum Qualifications**
* Bachelor’s or Master’s degree in Computer Science, Engineering, or a related field.
* 3\-5 years of experience in DevOps, Data Operations, or related IT engineering roles.
* 3\-5 years of experience Proficiency with cloud platforms (Snowflake, AWS) and Working knowledge of ETL and workflow orchestration tools (Informatica, DBT, Airflow).
* 3\-5 years of experience Hands\-on experience with CI/CD tools (Jenkins, GitLab CI, etc.), scripting (Python, Shell), and configuration management.
* 3\-5 years of experience Working knowledge of ETL and workflow orchestration tools (Informatica, DBT, Airflow).
* 3\-5 years of experience Familiarity with infrastructure as code (Terraform, CloudFormation, etc.).
* 3\-5 years of experience Experience with monitoring, logging, and alerting solutions (Prometheus, Grafana, ELK, Monte Carlo, etc.).
* 3\-5 years of experience Familiarity with containerization and orchestration (Docker, Kubernetes).
* Strong problem\-solving skills, incident management.
* Experience working in Agile/Scrum teams and delivering in fast\-paced environments.
**Preferred Qualifications**
* Experience supporting data warehouse or analytics platforms in enterprise settings.
* Knowledge of data quality, security, and governance frameworks.
* Familiarity with automation tools and standard methodologies for operational efficiency.
* Understanding of data pipelines, modeling, and analytics.
* Excellent communication, collaboration, and documentation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8">
      <c r="A8" t="inlineStr">
        <is>
          <t>li-4352800250</t>
        </is>
      </c>
      <c r="B8" t="inlineStr">
        <is>
          <t>Data Engineer</t>
        </is>
      </c>
      <c r="C8" t="inlineStr">
        <is>
          <t>Silverthorne Advisory Group</t>
        </is>
      </c>
      <c r="D8" t="inlineStr">
        <is>
          <t>linkedin</t>
        </is>
      </c>
      <c r="E8" t="inlineStr"/>
      <c r="F8" t="inlineStr"/>
      <c r="G8" t="inlineStr">
        <is>
          <t>Tampa, FL</t>
        </is>
      </c>
      <c r="H8" t="inlineStr"/>
      <c r="I8" t="inlineStr">
        <is>
          <t>**Benefits:**
* 401(k)
* 401(k) matching
* Bonus based on performance
* Company parties
* Competitive salary
* Dental insurance
* Health insurance
* Opportunity for advancement
* Paid time off
* Training \&amp; development
* Vision insurance
**Job Description**
 Silverthorne Advisory Group is seeking a skilled and highly motivated Data Engineer to join an
 exciting and growing opportunity within the Defense sector. As a Data Engineer, you will play a
 crucial role in designing, developing, and maintaining our Advana data infrastructure and
 systems. Your expertise in ETL, Databricks, Python, Spark, Scala, JavaScript/JSON, SQL, and
 Jupyter Notebooks will be essential in ensuring efficient data processing and analysis.
**Responsibilities**
* Design, develop, and implement end\-to\-end data pipelines, utilizing ETL processes and technologies such as Databricks, Python, Spark, PySpark, Scala, JavaScript/JSON, SQL, and Jupyter Notebooks.
* Create and optimize data pipelines from scratch, ensuring scalability, reliability, and high\-performance processing.
* Perform data cleansing, data integration, and data quality assurance activities to maintain the accuracy and integrity of large datasets.
* Leverage big data technologies to efficiently process and analyze large datasets, particularly those encountered in a federal agency.
* Troubleshoot data\-related problems and provide innovative solutions to address complex data challenges.
* Implement and enforce data governance policies and procedures, ensuring compliance with regulatory requirements and industry best practices.
* Work closely with cross\-functional teams to understand data requirements and design optimal data models and architectures.
* Collaborate with data scientists, analysts, and stakeholders to provide timely and accurate data insights and support decision\-making processes.
* Maintain documentation for software applications, workflows, and processes.
* Stay updated with emerging trends and advancements in data engineering and recommend suitable tools and technologies for continuous improvement.
**Requirements**
* Top Secret clearance or higher required.
* High level of proficiency in ETL processes and demonstrated, hands\-on experience with technologies such as Databricks, Python, Spark, Scala, JavaScript/JSON, SQL, and Jupyter Notebooks.
* Strong problem\-solving skills and ability to solve complex data\-related issues.
* Demonstrated experience working with large datasets and leveraging big data technologies to process and analyze data efficiently.
* Understanding of data modeling/visualization, database design principles, and data governance practices.
* Excellent communication and collaboration skills, with the ability to work effectively with cross\-functional teams.
* Detail\-oriented mindset with a commitment to delivering high\-quality results.
**Benefits**
* Compensation \- We carefully consider a wide range of compensation factors, including but not limited to prior experience, skills, expertise, location, and other considerations permitted by law.
* Healthcare \- We offer Health, Vision, and Dental Plans for our employees and their families.
* Retirement Plan – We invest in your future with a competitive 401(k) plan, where we match 100% of your contributions up to your first 6% and give you access to Vanguard Admiral funds.
* Paid Time Off \- Based on length of service, we offer a generous amount of paid leave.
* Bonus System – As you invest in us, we invest in you. We offer bonuses to all employees who meet and exceed goals throughout the year.
* Professional Development – Support for career growth through training programs and certifications.
* Company Retreats \&amp; Team Events – Sponsored trips, team\-building activities, and annual conferences related to your skillset.</t>
        </is>
      </c>
    </row>
    <row r="9">
      <c r="A9" t="inlineStr">
        <is>
          <t>li-4316347719</t>
        </is>
      </c>
      <c r="B9" t="inlineStr">
        <is>
          <t>Data Engineer II - QuantumBlack, AI by McKinsey</t>
        </is>
      </c>
      <c r="C9" t="inlineStr">
        <is>
          <t>QuantumBlack, AI by McKinsey</t>
        </is>
      </c>
      <c r="D9" t="inlineStr">
        <is>
          <t>linkedin</t>
        </is>
      </c>
      <c r="E9" t="inlineStr"/>
      <c r="F9" t="inlineStr"/>
      <c r="G9" t="inlineStr">
        <is>
          <t>New York, NY</t>
        </is>
      </c>
      <c r="H9" t="inlineStr"/>
      <c r="I9"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Engineer II, you will design, build, and optimize modern data platforms that power advanced analytics and AI solutions.
 You’ll collaborate with clients and interdisciplinary teams to architect scalable pipelines, manage secure and compliant data environments, and unlock the value of complex datasets across industries. You’ll sharpen your expertise by working on innovative projects, contributing to R\&amp;D, and learning from top\-tier talent in a dynamic, global environment.
 Your work will drive lasting impact. By ensuring data is accurate, accessible, and production\-ready, you’ll enable clients to accelerate digital transformations, adopt AI responsibly, and achieve measurable business outcomes. Here’s how you might contribute in a given year:
* Develop a streaming data platform to integrate telemetry for predictive maintenance in aerospace systems
* Implement secure data pipelines that reduce time\-to\-insight for a Fortune 500 utility company
* Optimize large\-scale batch and streaming workflows for a global financial services client, cutting infrastructure costs while improving performance.
* Develop pipelines for embeddings and vector databases to enable retrieval\-augmented generation (RAG) for a global defense client.
 You’ll work in cross\-functional Agile teams with Data Scientists, Machine Learning Engineers, Designers, and domain experts to deliver high\-quality analytics solutions. Partnering closely with clients—from data owners to C\-level executives—you’ll shape data ecosystems that drive innovation and long\-term resilience.
 This role offers an exceptional environment to grow as a technologist and collaborator. You’ll develop expertise at the intersection of technology and business by tackling diverse challenges while collaborating with some of the best technical and business talent in the world.
 There is flexibility to hire at the Engineer I/II or Senior Engineer level, depending on your experience
**Your Qualifications and Skills**
* Degree in Computer Science, Business Analytics, Engineering, Mathematics, or related field
* 2\+ years of professional experience in data engineering, software engineering, or adjacent technical roles
* Proficiency in Python, Scala, or Java for production\-grade pipelines, with strong skills in SQL and PySpark
* Hands\-on experience with cloud platforms such as (AWS, GCP, Azure, Oracle) and modern data storage/warehouse solutions such as Snowflake, BigQuery, Redshift, and Delta Lake
* Practical experience with Databricks, AWS Glue, and transformation frameworks like dbt, Dataform, or Databricks Asset Bundles
* Knowledge of distributed systems such as (Spark, Dask, Flink) and streaming platforms (Kafka, Kinesis, Pulsar) for real\-time and batch processing
* Familiarity with workflow orchestration tools such as (Airflow, Dagster, Prefect), CI/CD for data workflows, and infrastructure\-as\-code (Terraform, CloudFormation)
* Understanding of DataOps principles including pipeline monitoring, testing, and automation, with exposure to observability tools such as Datadog, Prometheus, and Great Expectations
* Exposure to ML platforms such as (Databricks, SageMaker, Vertex AI), MLOps best practices, and GenAI toolkits (LangChain, LlamaIndex, Hugging Face)
* Familiarity with vector databases and understanding of low latency serving patterns is a plus
* Willingness to travel as required
* Strong communication, time management, and resilience, with the ability to align technical solutions to business value</t>
        </is>
      </c>
    </row>
    <row r="10">
      <c r="A10" t="inlineStr">
        <is>
          <t>li-4313805450</t>
        </is>
      </c>
      <c r="B10" t="inlineStr">
        <is>
          <t>Analytics Engineer, GTM</t>
        </is>
      </c>
      <c r="C10" t="inlineStr">
        <is>
          <t>OpenAI</t>
        </is>
      </c>
      <c r="D10" t="inlineStr">
        <is>
          <t>linkedin</t>
        </is>
      </c>
      <c r="E10" t="inlineStr"/>
      <c r="F10" t="inlineStr"/>
      <c r="G10" t="inlineStr">
        <is>
          <t>San Francisco, CA</t>
        </is>
      </c>
      <c r="H10" t="inlineStr"/>
      <c r="I10" t="inlineStr">
        <is>
          <t>**About The Role**
 As an early member of our Data team within the Go\-To\-Market (GTM) organization, you will play a pivotal role in building a data\-centric culture, enhancing decision\-making processes, and driving strategic initiatives through analytics. This role involves a variety of projects aimed at developing canonical data sources and dashboards that enable the business to derive trustworthy, actionable insights. Most importantly, you should expect to be a core member of the GTM team, helping to bring our technology to a wide range of customers and supporting our self serve and sales led motions.
 This role is based in San Francisco, CA. We use a hybrid work model of 3 days in the office per week and offer relocation assistance to new employees.
**In This Role, You Will**
* Embed with the GTM team as a trusted partner, identifying high\-impact analytics problems and pioneering data\-driven solutions.
* Establish a data\-driven culture by driving the definition, tracking, and operationalizing of metrics
* Manage cross\-functional data projects about revenue, pricing, sales, product, marketing, growth, and other topics core to the business.
* Create scalable pipelines for data collection, cleaning, and analysis from multiple sources, and manage the lifecycle of metrics and models from prototyping to production.
* Develop and refine tools such as dashboards and reports that empower the team to extract and analyze data independently.
* Conduct analyses to uncover insights and inform key decisions.
* Use presentations, memos, and tools to communicate complex data insights clearly and persuasively across the organization.
**You Might Thrive In This Role If You Are/have**
* Over 10 years of experience in a relevant Data role within dynamic, outcome\-driven organizations.
* Highly skilled in SQL, with extensive experience extracting large datasets and designing ETL workflows.
* Proficient in quantitative programming languages, Python preferred.
* Experienced in using business intelligence tools, such as Tableau and Looker, to communicate insights and enable self\-serve.
* Familiar with advanced custom visualizations, such as streamlit and plotly dash.
* Adept at crafting clear data stories using decks, memos, and dashboards to drive decision\-making at every level.
* Best\-in\-class attention to detail and unwavering commitment to accuracy.
* Demonstrated ability to build effective partnerships across diverse teams and influence decision making with data.
* Proven track record of delivering significant business impact, with a solid track record in Sales, Marketing, Finance, Growth, Support, or other GTM\-related areas preferred.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$270K \- $340K</t>
        </is>
      </c>
    </row>
    <row r="11">
      <c r="A11" t="inlineStr">
        <is>
          <t>li-4361291070</t>
        </is>
      </c>
      <c r="B11" t="inlineStr">
        <is>
          <t>Senior Data Engineer</t>
        </is>
      </c>
      <c r="C11" t="inlineStr">
        <is>
          <t>Atlassian</t>
        </is>
      </c>
      <c r="D11" t="inlineStr">
        <is>
          <t>linkedin</t>
        </is>
      </c>
      <c r="E11" t="inlineStr"/>
      <c r="F11" t="inlineStr"/>
      <c r="G11" t="inlineStr">
        <is>
          <t>San Francisco, CA</t>
        </is>
      </c>
      <c r="H11" t="inlineStr"/>
      <c r="I11" t="inlineStr">
        <is>
          <t>**Overview**
**Overview**
 Our Data Engineering Team is comprised of data experts. We build world\-class data solutions and applications that power crucial business decisions throughout the organisation. We manage multiple analytical data models and pipelines across Atlassian, covering finance, growth, product analysis, customer analysis, sales and marketing, and so on. We maintain Atlassian's data lake that provide a unified way of analysing our customers, our products, our operations, and the interactions among them.
 We're hiring a Senior Data Engineer, reporting to the Data Engineering Manager based in San Francisco. Here, you'll enable a world\-class engineering practice, drive the approach with which we use data, develop backend systems and data models to serve the needs of insights, and help build Atlassian's data\-driven culture. You love thinking about the ways the business can consume data and then figuring out how to build it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You'll partner with the product analytics and data scientist team to build the data solutions that allow them to obtain more insights from our data and use that to support important business decisions.
* You'll work with different stakeholders to understand their needs and architect/build the data models, data acquisition/ingestion processes and data applications to address those requirements.
* You'll add new sources, code business rules, and produce new metrics that support the product analysts and data scientists.
* You'll be the data domain expert who understand all the nitty\-gritty of our products.
* You'll own a problem end\-to\-end. Requirements could be vague, and iterations will be rapid
* You'll improve data quality by using \&amp; improving internal tools/frameworks to automatically detect DQ issues
**Qualifications**
* A BS in Computer Science or equivalent experience with 5\+ years of professional experience as a Sr. Data Engineer or in a similar role.
* Strong programming skills using Python
* Working knowledge of relational databases and query authoring (SQL).
* Experience designing data models for optimal storage and retrieval to meet product and business requirements.
* Experience building scalable data pipelines using Spark (SparkSQL) with Airflow scheduler/executor framework or similar scheduling tools.
* Experience working with AWS data services or similar Apache projects (Spark, Flink, Hive, and Kafka).
* Understanding of Data Engineering tools/frameworks and standards to improve the productivity and quality of output for Data Engineers across the team.
* Well versed in modern software development practices (Agile, TDD, CICD)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163800 \- USD 213850
 Zone B: USD 147600 \- USD 192700
 Zone C: USD 136800 \- USD 178600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2">
      <c r="A12" t="inlineStr">
        <is>
          <t>li-4340158728</t>
        </is>
      </c>
      <c r="B12" t="inlineStr">
        <is>
          <t>Data Engineer</t>
        </is>
      </c>
      <c r="C12" t="inlineStr">
        <is>
          <t>Rogue Fitness</t>
        </is>
      </c>
      <c r="D12" t="inlineStr">
        <is>
          <t>linkedin</t>
        </is>
      </c>
      <c r="E12" t="inlineStr"/>
      <c r="F12" t="inlineStr"/>
      <c r="G12" t="inlineStr">
        <is>
          <t>Columbus, OH</t>
        </is>
      </c>
      <c r="H12" t="inlineStr"/>
      <c r="I12" t="inlineStr">
        <is>
          <t>**Overview**
**Job Description:**
 As a Data Engineer, you will be the central architect for backend development ETL projects, responsible for ensuring a reliable, optimized data pipeline. You will also collaborate closely with our Directors and Managers to ensure they have access to the reports and data that are critical for their diverse needs. This requires understanding many aspects of the business and the systems that drive them, including: ecommerce, manufacturing, and fulfillment.
 This role offers a unique opportunity to engage in meaningful projects, and solve critical challenges. You will drive initiatives that empower departments with data, automated manual reporting, and enable our adoption of AI in innovative ways. While you will gain exposure to transformative AI projects, your primary focus will be on developing a robust data lake that facilitates reporting and analysis.
 The Data Engineer is a fully onsite role in Columbus, Ohio. Remote work is not available. Applicants must be authorized to work in the United States for any employer.
**Responsibilities**
* Maintain efficient data pipelines, addressing data challenges such as inconsistency, quality issues, and complex transformation
* Ingest internal and external data into the bronze layer
* Collaborate with the team to understand pipeline structure and mechanize ad hoc data streams
* Transform raw data into clean and optimized usable building blocks in the silver layer
* Work with departments to understand business needs and prepare and format data for reporting purposes in the gold layer
* Utilize GCP services such as Cloud Scheduler and Cloud Functions
* Develop comprehensive testing strategies to ensure data integrity and pipeline functionality using Python notebooks. Collaborate closely with the Data Manager to design and execute data reporting pipelines
* Lead technical project development with a high degree of autonomy, owning key tech improvements such as writing Python SDKs and researching efficient methods of data transformation
**Qualifications**
* 2\-5 years of relevant data engineering experience
* Bachelor’s degree in Computer Science or a related field
* Proficiency in Python and its data\-related libraries (Pandas, NumPy, SciPy)
* 2 years of experience designing and optimizing complex SQL pipelines in GCP
* Experience as a lead developer defining project requirements
* Experience working with diverse databases, including e\-commerce
* Experience ingesting data from diverse APIs
* Experience with version control using Git
* Excellent communication skills and problem\-solving abilities
* Demonstrated ability to work independently and collaboratively
* High attention to detail, particularly with data security best practices
* Experience working with infrastructure as code tools such as Terraform
* Experience developing SDKs for data ingestion workflows
 By applying to Rogue, regardless of the platform you choose to use, you are agreeing to Rogue's preferred methods of communication (i.e. text message). Submitting an application, through whatever online forum is ultimately used, constitutes a knowing and voluntary agreement to send and receive text messages during the recruitment process.</t>
        </is>
      </c>
    </row>
    <row r="13">
      <c r="A13" t="inlineStr">
        <is>
          <t>li-4328765897</t>
        </is>
      </c>
      <c r="B13" t="inlineStr">
        <is>
          <t>Data Engineer</t>
        </is>
      </c>
      <c r="C13" t="inlineStr">
        <is>
          <t>Citi</t>
        </is>
      </c>
      <c r="D13" t="inlineStr">
        <is>
          <t>linkedin</t>
        </is>
      </c>
      <c r="E13" t="inlineStr"/>
      <c r="F13" t="inlineStr"/>
      <c r="G13" t="inlineStr">
        <is>
          <t>Irving, TX</t>
        </is>
      </c>
      <c r="H13" t="inlineStr"/>
      <c r="I13" t="inlineStr">
        <is>
          <t>The Big data engineer is a developing professional role in the field of Data engineering. The data engineer is accountable for developing high quality data products to support the Bank's regulatory and in\-business data requirements and data driven decision making. The team is seeking a skilled Big Data Engineer to design, build, and maintain robust, scalable data pipelines using Apache Spark. The ideal candidate will have hands\-on experience with Big Data platforms like Hadoop, Hive, or Snowflake, coupled with strong proficiency in Python or Java.
**Responsibilities:**
* Developing and supporting scalable, extensible, and highly available data solutions
* Deliver on critical business priorities while ensuring alignment with the wider architectural vision
* Identify and help address potential risks in the data supply chain
* Follow and contribute to technical standards.
* Design and develop analytical data models.
* Considers the business implications of the application of technology to the current business environment; identifies and communicates risks and impacts.
* Employs developed communication and diplomacy skills to exchange potentially complex/sensitive information.
* Demonstrates attention to quality and timeliness of service to ensure the effectiveness of the team and group.
* Provides informal guidance or on\-the\-job\-training to new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**Must Haves:**
* 2\+ years of hands\-on experience in building data pipelines with Apache Spark.
* Strong experience in Big Data platforms including Hadoop, Hive, or Snowflake for data storage and processing.
* Strong proficiency in either Python or Java programming.
* Expertise in data modeling techniques, including the design and structuring of data models.
* Comprehensive understanding of Data Warehousing principles, alongside experience with RDBMS (Oracle, MSSQL, MySQL) and NoSQL databases (MongoDB, DynamoDB).
* Familiarity with DevOps concepts, specifically CI/CD platforms and version control.
**Nice to have:**
* Exposure to data quality management, controls, validation, and enrichment.
* Understanding of containerization technologies like Docker and Kubernetes.
* Experience with various event, file, and table formats, such as Parquet, ORC, and Iceberg.
* Basic knowledge of job schedulers (e.g., Autosys) and entitlement management.
**Education:**
* Bachelor’s/University degree or equivalent experience
 This job description provides a high\-level review of the types of work performed. Other job\-related duties may be assigned as required.
 \-\-\-\-\-\-\-\-\-\-\-\-\-\-\-\-\-\-\-\-\-\-\-\-\-\-\-\-\-\-\-\-\-\-\-\-\-\-\-\-\-\-\-\-\-\-\-\-\-\-\-\-\-\-
**Job Family Group:**
 Technology
 \-\-\-\-\-\-\-\-\-\-\-\-\-\-\-\-\-\-\-\-\-\-\-\-\-\-\-\-\-\-\-\-\-\-\-\-\-\-\-\-\-\-\-\-\-\-\-\-\-\-\-\-\-\-
**Job Family:**
 Data Analytics
 \-\-\-\-\-\-\-\-\-\-\-\-\-\-\-\-\-\-\-\-\-\-\-\-\-\-\-\-\-\-\-\-\-\-\-\-\-\-\-\-\-\-\-\-\-\-\-\-\-\-\-\-\-\-
**Time Type:**
 Full time
 \-\-\-\-\-\-\-\-\-\-\-\-\-\-\-\-\-\-\-\-\-\-\-\-\-\-\-\-\-\-\-\-\-\-\-\-\-\-\-\-\-\-\-\-\-\-\-\-\-\-\-\-\-\-
**Primary Location:**
 Irving Texas United States
 \-\-\-\-\-\-\-\-\-\-\-\-\-\-\-\-\-\-\-\-\-\-\-\-\-\-\-\-\-\-\-\-\-\-\-\-\-\-\-\-\-\-\-\-\-\-\-\-\-\-\-\-\-\-
**Primary Location Full Time Salary Range:**
 $76,230\.00 \- $106,370\.00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Apache Spark, CI/CD, Continuous Integration (CI) Tools, Data Modeling, Data Pipelines, Data Warehouse ETL, Hadoop Distributed File System (HDFS), Java, Python (Programming Language).
 \-\-\-\-\-\-\-\-\-\-\-\-\-\-\-\-\-\-\-\-\-\-\-\-\-\-\-\-\-\-\-\-\-\-\-\-\-\-\-\-\-\-\-\-\-\-\-\-\-\-\-\-\-\-
**Anticipated Posting Close Date:**
 Jan 12,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4">
      <c r="A14" t="inlineStr">
        <is>
          <t>li-4361311946</t>
        </is>
      </c>
      <c r="B14" t="inlineStr">
        <is>
          <t>Senior Data Engineer, Data Pipelines</t>
        </is>
      </c>
      <c r="C14" t="inlineStr">
        <is>
          <t>Gather Health</t>
        </is>
      </c>
      <c r="D14" t="inlineStr">
        <is>
          <t>linkedin</t>
        </is>
      </c>
      <c r="E14" t="inlineStr"/>
      <c r="F14" t="inlineStr"/>
      <c r="G14" t="inlineStr">
        <is>
          <t>Boston, MA</t>
        </is>
      </c>
      <c r="H14" t="inlineStr"/>
      <c r="I14" t="inlineStr">
        <is>
          <t>**Description**
**About Gather Health**
 Gather Health is a Series B healthcare company reimagining primary care for older adults. Backed by Khosla, Maverick, and HC9, we’ve raised over $50M to build a new model of socially supported care addressing both medical and social determinants of health.
**The Role**
 We are seeking a hands\-on
 **Senior Data Engineer (Data Pipelines)** 
 to own the flow, transformation, and quality of data within Gather Health’s next\-generation data platform. You’ll design and maintain all batch and streaming pipelines using Dagster and dbt, transforming raw data into high\-quality, analytics\-ready assets.
 This is a critical build role — you will lead the implementation of
 **The Tuva Project** 
 clinical data models, design robust Bronze ? Silver ? Gold transformations, and ensure that every dataset in our platform is accurate, fresh, and reliable.
**What You’ll Do**
* Build \&amp; Orchestrate Pipelines: Design, build, and maintain end\-to\-end data pipelines using Dagster and dbt across ingestion, transformation, and delivery.
* Transform \&amp; Model Data: Own the Bronze ? Silver mapping models, writing modular, production\-grade dbt code and tests.
* Implement The Tuva Project: Serve as Gather’s in\-house expert on The Tuva Project, adapting its models to our schema and ensuring alignment with clinical data standards.
* Ensure Data Quality: Implement robust data validation and testing frameworks in dbt and Dagster to guarantee data integrity.
* Integrate Data Sources: Collaborate with the Infrastructure Engineer to onboard and maintain source data (AthenaOne, HubSpot, CCIQ, Telephony).
* Define Data Contracts: Establish and maintain schema stability between ingestion and transformation layers.
* Collaborate Across Teams: Work with the Lead Engineer and stakeholders (Clinical, Ops, Product) to deliver trustworthy, actionable data.
**Preferred Experience \&amp; Qualifications**
* 5–8\+ years of hands\-on experience in data engineering with a modern cloud warehouse (BigQuery, Snowflake, Redshift).
* Expert\-level proficiency in SQL and Python.
* Deep experience with dbt (modeling, testing, deployment).
* Deep experience with a modern orchestration tool (Airflow, Dagster, or Prefect preferred). Experience with asset\-centric pipelines is a strong plus.
* Experience with healthcare data (EHR, claims) and The Tuva Project or similar (OMOP) strongly preferred.
* Strong understanding of data quality and testing frameworks.
**Why Join Gather Health**
* Own all pipelines for a modern data platform built from scratch.
* Work with dbt, Dagster, and BigQuery in a cloud\-native environment.
* Join a small, senior, mission\-driven team with real autonomy.
* Competitive salary.</t>
        </is>
      </c>
    </row>
    <row r="15">
      <c r="A15" t="inlineStr">
        <is>
          <t>li-4351887133</t>
        </is>
      </c>
      <c r="B15" t="inlineStr">
        <is>
          <t>Data Engineer</t>
        </is>
      </c>
      <c r="C15" t="inlineStr">
        <is>
          <t>AARATECH</t>
        </is>
      </c>
      <c r="D15" t="inlineStr">
        <is>
          <t>linkedin</t>
        </is>
      </c>
      <c r="E15" t="inlineStr"/>
      <c r="F15" t="inlineStr"/>
      <c r="G15" t="inlineStr"/>
      <c r="H15" t="inlineStr"/>
      <c r="I15"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6">
      <c r="A16" t="inlineStr">
        <is>
          <t>li-4361531045</t>
        </is>
      </c>
      <c r="B16" t="inlineStr">
        <is>
          <t>Analytics &amp; Data Engineer</t>
        </is>
      </c>
      <c r="C16" t="inlineStr">
        <is>
          <t>Mogi I/O : OTT/Podcast/Short Video Apps for you</t>
        </is>
      </c>
      <c r="D16" t="inlineStr">
        <is>
          <t>linkedin</t>
        </is>
      </c>
      <c r="E16" t="inlineStr"/>
      <c r="F16" t="inlineStr"/>
      <c r="G16" t="inlineStr">
        <is>
          <t>Tacoma, WA</t>
        </is>
      </c>
      <c r="H16" t="inlineStr"/>
      <c r="I16" t="inlineStr">
        <is>
          <t>**Job Title: Sr. Data Engineer
 Location: USA – New York, Santa Monica, Seattle
 Experience: 8–15 Years
 Salary: USD 120,000 – 140,000**
**Job Overview**
 The Sr. Data Engineer will drive the company’s data initiatives by partnering with business, analytics, and infrastructure teams to design and implement scalable data pipelines. The role involves identifying data sources, designing table structures, building ETL pipelines, implementing automated data quality checks, and ensuring reliable, high\-performance data solutions across a fast\-growing data ecosystem.
**Key Responsibilities**
* Collect and integrate data from internal/external sources.
* Design table structures and build ETL pipelines (Airflow/Prefect).
* Implement automated data quality checks.
* Optimize SQL queries and ETL processes.
* Support ad hoc analysis and database deployments.
**Must\-Have Skills**
* Advanced SQL, Python, Spark, Snowflake, Databricks.
* Experience with cloud platforms (AWS/Azure/GCP).
* Strong problem\-solving, analytical, and communication skills.
* Familiarity with Agile Scrum.
**Nice\-to\-Have**
* Data modeling, Kafka, CI/CD tools, Docker, monitoring tools (Datadog).</t>
        </is>
      </c>
    </row>
    <row r="17">
      <c r="A17" t="inlineStr">
        <is>
          <t>li-4340156853</t>
        </is>
      </c>
      <c r="B17" t="inlineStr">
        <is>
          <t>Sr. Data Engineer</t>
        </is>
      </c>
      <c r="C17" t="inlineStr">
        <is>
          <t>Richmond National</t>
        </is>
      </c>
      <c r="D17" t="inlineStr">
        <is>
          <t>linkedin</t>
        </is>
      </c>
      <c r="E17" t="inlineStr"/>
      <c r="F17" t="inlineStr"/>
      <c r="G17" t="inlineStr">
        <is>
          <t>Glen Allen, VA</t>
        </is>
      </c>
      <c r="H17" t="inlineStr"/>
      <c r="I17" t="inlineStr">
        <is>
          <t>**Senior Data Engineer** 
 We are seeking a highly skilled and experienced Senior Data Engineer to join Richmond National Insurance Company. As a Senior Data Engineer, you will work closely with the Lead Data Engineer and Director of Data to design, develop, and maintain our cloud data infrastructure by ensuring the availability, reliability, and scalability of our data systems. You will collaborate with cross\-functional teams, including data engineers, business analysts, and software engineers, to develop innovative data solutions that enable data\-driven decision\-making across the organization.
**Responsibilities** 
* Data Infrastructure Management: Design, build, and maintain a robust and scalable cloud data infrastructure, including data pipelines, databases, and data lakes, to support the organization's data needs.
* Team Leadership: Lead and mentor a team of data engineers and data analysts, providing technical guidance, support, and fostering a culture of collaboration and innovation.
* Data Architecture: Define and implement the data architecture strategy, ensuring data models, schemas, and integration patterns align with business requirements and industry best practices.
* ETL Development: Develop and optimize Extract, Transform, Load (ETL) processes to extract data from various sources, transform it into a consistent format, and load it into the data ecosystem.
* Data Quality and Governance: Establish data quality standards, implement data governance processes, and perform regular data quality checks to ensure the accuracy, consistency, and reliability of data.
* Performance Optimization: Identify and implement performance tuning strategies to enhance the efficiency and speed of data processing and analysis.
* Data Security: Collaborate with the data and IT leadership team to implement data privacy and security measures, ensuring compliance with regulations and standards.
* Collaboration and Communication: Collaborate with cross\-functional teams to understand the data needs and deliver data solutions that support their requirements.
* Continuous Improvement: Stay up to date with industry trends, emerging technologies, and best practices in data engineering, and proactively introduce new tools and techniques to improve data engineering processes and efficiency.
* Documentation and Documentation: Maintain comprehensive documentation of data pipelines, workflows, and data structures, ensuring clear documentation for both technical and non\-technical stakeholders.
**Qualifications** 
* Proven experience (5\+ years) as a Data Engineer, preferably in the insurance or financial industry or a similar domain.
* Strong expertise in data modeling, ETL development, and data integration techniques.
* Proficiency in programming languages such as Python, Java, or Scala, and experience with SQL and database technologies.
* Solid understanding of distributed computing principles and big data technologies such as Hadoop, Spark, or Hive.
* Experience with cloud\-based data platforms and services, such as AWS, Azure, or Google Cloud Platform.
* Familiarity with data visualization tools and techniques.
* Excellent problem\-solving skills and a strong attention to detail.
* Effective communication and collaboration skills to work with cross\-functional teams and stakeholders.
 Join our team as the Senior Data Engineer and play a crucial role in shaping and optimizing our data infrastructure to support Richmond National's data\-driven initiatives. Apply your expertise to drive innovation and enable better decision\-making processes through advanced data engineering techniques.
**Benefits Overview** 
* Medical, Dental, and Vision insurance plans. FSA/HSA plans available.
* Basic Life/AD\&amp;D/Short Term/Long Term Disability coverage.
* 401(k) \- Company match of up to 6%
* Flexible PTO plan, 11 paid company\-wide holidays, plus your birthday off.
* Recognized as a Top Workplace by Richmond Times\-Dispatch
**Equal Employment Opportunity (EEO)** 
 Richmond National is an equal employment opportunity employer, the Company’s employment decisions and practices are not and will not be unlawfully influenced or affected by race, color, creed, age, religion, national origin, sex, disability, genetic information, veteran status, uniformed services, sexual orientation (including transgender status, gender identity or expression), gender, traits historically associated with race, such as hairstyle, pregnancy, childbirth, or related medical conditions or on any other characteristic protected by applicable federal, state, or local law. This policy of equal employment opportunity applies to all policies and procedures relating to recruitment and hiring, compensation, benefits, and all other terms and conditions of employment.</t>
        </is>
      </c>
    </row>
    <row r="18">
      <c r="A18" t="inlineStr">
        <is>
          <t>li-4361285872</t>
        </is>
      </c>
      <c r="B18" t="inlineStr">
        <is>
          <t>Data Engineer</t>
        </is>
      </c>
      <c r="C18" t="inlineStr">
        <is>
          <t>Zendr</t>
        </is>
      </c>
      <c r="D18" t="inlineStr">
        <is>
          <t>linkedin</t>
        </is>
      </c>
      <c r="E18" t="inlineStr"/>
      <c r="F18" t="inlineStr"/>
      <c r="G18" t="inlineStr"/>
      <c r="H18" t="inlineStr"/>
      <c r="I18" t="inlineStr">
        <is>
          <t>**Data Engineer (Top Secret Cleared)** 
**Location:** 
 Washington, DC (On\-site / Hybrid)
**Clearance Required:** 
 Active
 **Top Secret (TS)** 
 (SCI eligibility preferred)
**Employment Type:** 
 Full\-time
**About the Role** 
 We are seeking a highly skilled
 **Data Engineer** 
 to support mission\-critical programs in the Washington, DC area. This role involves designing, building, and maintaining secure, scalable data pipelines and analytics platforms that will tackle the worlds most critical challenges.
 You will work closely with analysts, data scientists, and mission stakeholders to turn complex datasets into reliable, actionable intelligence.
**What You’ll Do** 
* Partner with mission\-focused customers to design and deliver secure, scalable AWS\-based data lakehouse solutions.
* Deploy containerized services on Kubernetes (EKS) using Terraform or CloudFormation for repeatable environments.
* Integrate data from APIs, message buses, and relational databases to enable real\-time analytics.
* Build and operate production ETL/ELT pipelines using Python, Airflow, Spark, and SQL at petabyte scale.
* Contribute across the full SDLC, from design through secure deployment.
* Implement monitoring and observability to meet SLAs and support mission\-critical production systems.
**What We’re Looking For** 
* Bachelor’s degree (or equivalent experience) in a related field.
* 4\+ years of data engineering experience with Python.
* Excellent communication skills
* Prior experience working client facing
* Hands\-on experience with AWS
* Strong communication skills and willingness to travel up to 25%.
* **Active TS/SCI clearance required** 
 (polygraph strongly preferred)</t>
        </is>
      </c>
    </row>
    <row r="19">
      <c r="A19" t="inlineStr">
        <is>
          <t>li-4361277480</t>
        </is>
      </c>
      <c r="B19" t="inlineStr">
        <is>
          <t>Data Engineer /Data Architect with AI</t>
        </is>
      </c>
      <c r="C19" t="inlineStr">
        <is>
          <t>Node.Digital LLC</t>
        </is>
      </c>
      <c r="D19" t="inlineStr">
        <is>
          <t>linkedin</t>
        </is>
      </c>
      <c r="E19" t="inlineStr"/>
      <c r="F19" t="inlineStr"/>
      <c r="G19" t="inlineStr">
        <is>
          <t>Herndon, VA</t>
        </is>
      </c>
      <c r="H19" t="inlineStr"/>
      <c r="I19" t="inlineStr">
        <is>
          <t>**Data Engineer /Data Architect**
**Location: Herndon, VA**
**Preferred: US Citizen**
**Job Description**
 Node is currently seeking a motivated, career and customer\-oriented Senior Data Engineer /Data Architect to begin an exciting and challenging career with our large Enterprise Application Support Program on one of our project delivery teams.
**Job Responsibilities**
* Design and implement effective database structures and models to store, retrieve, and analyze data
* Develop, construct, test, and maintain scalable data pipelines to collect, process, and integrate data from various sources
* Implement ETL (Extract, Transform, Load) processes to ensure data consistency and quality
* Integrate data from different sources, ensuring consistency, reliability, and accuracy
* Develop data APIs and automation scripts to streamline data integration and workflows
* Monitor and optimize database and data processing system performance
* Conduct performance tuning and troubleshoot data issues
**Requirements**
**Requirement:**
* Bachelor's degree in Computer Science, Management Information Systems, or relevant discipline (4 years of equivalent experience)
* 8\+ years' experience with:
* Proven experience as a Data Architect, Data Engineer, or in a similar role
* Extensive experience in designing and implementing data architectures
* Hands\-on experience in developing and managing data pipelines and ETL processes
* Proficiency in SQL and database management systems (e.g., MySQL, PostgreSQL, SQL Server)
* Experience with big data technologies (e.g., Hadoop, Spark) and ETL tools
* Strong programming skills in languages such as Python, Java, or Scala
 Company Overview:
 Node.Digital is an independent Digital Automation \&amp; Cognitive Engineering company that integrates best\-of\-breed technologies to accelerate business impact.
 Our Core Values help us in our mission. They include:
 OUR CORE VALUES
 Identifying the:RIGHT PEOPLE:and developing them to their full capabilities
 Our customer's "Mission" is our "Mission". Our:MISSION FIRST:approach is designed to keep our customers fully engaged while becoming their trusted partner
 We believe in:SIMPLIFYING:complex problems with a relentless focus on agile delivery excellence
 Our mantra is ":Simple\*Secure\*Speed:" in delivery of innovative services and solutions
**Benefits**
 We are proud to offer competitive compensation and benefits packages to include
* Medical
* Dental
* Vision
* Basic Life
* Health Saving Account
* 401K
* Three weeks of PTO
* 10 Paid Holidays
* Pre\-Approved Online Training</t>
        </is>
      </c>
    </row>
    <row r="20">
      <c r="A20" t="inlineStr">
        <is>
          <t>li-4354766186</t>
        </is>
      </c>
      <c r="B20" t="inlineStr">
        <is>
          <t>Data Engineer</t>
        </is>
      </c>
      <c r="C20" t="inlineStr">
        <is>
          <t>AARATECH</t>
        </is>
      </c>
      <c r="D20" t="inlineStr">
        <is>
          <t>linkedin</t>
        </is>
      </c>
      <c r="E20" t="inlineStr"/>
      <c r="F20" t="inlineStr"/>
      <c r="G20" t="inlineStr"/>
      <c r="H20" t="inlineStr"/>
      <c r="I20"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1">
      <c r="A21" t="inlineStr">
        <is>
          <t>li-4361311538</t>
        </is>
      </c>
      <c r="B21" t="inlineStr">
        <is>
          <t>Data Engineer</t>
        </is>
      </c>
      <c r="C21" t="inlineStr">
        <is>
          <t>Best Job Tool</t>
        </is>
      </c>
      <c r="D21" t="inlineStr">
        <is>
          <t>linkedin</t>
        </is>
      </c>
      <c r="E21" t="inlineStr"/>
      <c r="F21" t="inlineStr"/>
      <c r="G21" t="inlineStr"/>
      <c r="H21" t="inlineStr"/>
      <c r="I21" t="inlineStr">
        <is>
          <t>**About The Company**
 Capital One is a leading diversified financial services company renowned for its innovative approach to banking and credit card services. With a strong emphasis on technology\-driven solutions, Capital One leverages data, analytics, and cutting\-edge technology to deliver personalized financial products and services to millions of customers nationwide. The company prides itself on fostering a collaborative, inclusive, and forward\-thinking work environment that encourages innovation and continuous learning. As a trusted brand in the financial industry, Capital One is committed to empowering its customers and employees alike through responsible banking practices and technological excellence.
**About The Role**
 The Lead Data Engineer \- Card Tech at Capital One is a pivotal role designed for a seasoned professional passionate about building scalable, reliable, and innovative data solutions within the financial technology domain. This position offers an exciting opportunity to lead the development of advanced data pipelines, support big data initiatives, and collaborate with cross\-functional teams to deliver impactful solutions. As a key member of the Card Technology division, you will be instrumental in transforming raw data into actionable insights that enhance customer experiences and drive strategic decision\-making. Your expertise will contribute to Capital One’s mission of delivering innovative financial products through data\-driven insights and modern technology stacks.
**Qualifications**
 The ideal candidate will possess a blend of educational background and extensive experience in data engineering and cloud computing. A Bachelor’s Degree in Computer Science, Information Technology, or a related field is required. Candidates should have a minimum of 4 years of application development experience, with at least 2 years specifically in big data technologies. Experience in cloud computing platforms such as AWS, Microsoft Azure, or Google Cloud is essential, with a minimum of 1 year working within these environments. Preferred qualifications include over 7 years of application development experience using languages like Python, SQL, Scala, or Java, along with significant exposure to distributed data processing tools, data warehousing solutions, and real\-time streaming applications. Familiarity with NoSQL databases, UNIX/Linux environments, and Agile practices will be advantageous.
**Responsibilities**
* Collaborate with Agile teams to design, develop, test, implement, and support comprehensive data solutions utilizing full\-stack development tools and technologies.
* Work closely with experienced developers specializing in machine learning, distributed microservices, and full\-stack systems to build scalable data pipelines and applications.
* Utilize programming languages such as Java, Scala, Python, and leverage open\-source RDBMS and NoSQL databases to develop robust data architectures.
* Implement cloud\-based data warehousing solutions like Redshift and Snowflake to support large\-scale data analytics and reporting initiatives.
* Stay current with emerging technology trends, participate in internal and external technology communities, and mentor junior team members to foster a culture of continuous learning and innovation.
* Partner with digital product managers and stakeholders to deliver secure, scalable, and high\-performance cloud solutions that enhance customer experiences and enable financial empowerment.
* Conduct thorough unit testing, code reviews, and performance tuning to ensure high\-quality, efficient, and reliable data systems.
* Maintain documentation and adhere to best practices in data engineering, security, and compliance standards.
**Benefits**
 Capital One offers a comprehensive benefits package designed to support the health, financial well\-being, and personal development of its employees. Benefits include competitive health insurance plans, retirement savings options, paid time off, and wellness programs. The company also provides opportunities for professional growth through training, certifications, and career advancement programs. Additionally, employees have access to flexible work arrangements, employee assistance programs, and a supportive work environment that promotes diversity and inclusion. Capital One’s commitment to employee well\-being extends beyond the workplace, fostering a culture of respect, innovation, and social responsibility.
 Equal Opportunity
 Capital One is an equal opportunity employer committed to fostering a diverse and inclusive workplace. We do not discriminate based on race, color, religion, sex, national origin, age, disability, veteran status, or any other protected class under applicable law. We believe that a diverse workforce enhances our ability to serve our customers and communities effectively. We are dedicated to providing reasonable accommodations to qualified individuals with disabilities throughout the recruitment and employment process. Capital One promotes a drug\-free workplace and complies with all applicable federal, state, and local laws related to employment discrimination and criminal background checks.</t>
        </is>
      </c>
    </row>
    <row r="22">
      <c r="A22" t="inlineStr">
        <is>
          <t>li-4302981241</t>
        </is>
      </c>
      <c r="B22" t="inlineStr">
        <is>
          <t>Senior Data Engineer</t>
        </is>
      </c>
      <c r="C22" t="inlineStr">
        <is>
          <t>Carrot</t>
        </is>
      </c>
      <c r="D22" t="inlineStr">
        <is>
          <t>linkedin</t>
        </is>
      </c>
      <c r="E22" t="inlineStr"/>
      <c r="F22" t="inlineStr"/>
      <c r="G22" t="inlineStr"/>
      <c r="H22" t="inlineStr"/>
      <c r="I22"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The Senior Data Engineer leads the evolution, reliability, and scalability of the modern data infrastructure across analytics, reporting, and business intelligence. This role is responsible for architecting, building, and maintaining robust, automated data pipelines, orchestrating workflows, integrating diverse data sources, and partnering with stakeholders across the business to deliver secure, compliant, high\-quality data solutions. Hands\-on responsibilities span the full data lifecycle, from architecting resilient ETL/ELT pipelines and developing real\-time and batch data integrations to automating reporting, optimizing technical debt, and enabling advanced analytics. Senior Data Engineers are operational stewards and technical mentors, driving improvements in system maturity, cost efficiency, automation, and collaborative practices.
**The Team:** 
 Our Data Engineering team develops and optimizes scalable data pipelines and cloud infrastructure to enable secure, automated reporting and analytics. We collaborate closely with partner, product, finance, and legal teams to deliver reliable integrations and self\-serve solutions that drive business insights and operational efficiency. The team leads technical incident management, data governance, and ongoing improvements while supporting cross\-functional mentorship and stakeholder needs.
**Minimum Qualifications:** 
* Expert\-level proficiency in Snowflake, dbt, and Python for data modeling, transformation, pipeline development, and advanced analytics.
* Advanced SQL skills for complex querying, large\-scale data model design, and database optimization.
* Proven experience architecting, building, testing, deploying, and maintaining scalable, automated ETL/ELT pipelines using modern orchestration tools such as Prefect and Airflow.
* Hands\-on administration of cloud\-based data warehouse and lake platforms—Snowflake, AWS (S3, Redshift), Google Cloud—including integration of new sources and performance optimization.
* Strong understanding of secure external data flows through SFTP, Files.com: Next\-Generation MFT, SFTP \&amp; File Sharing , and APIs, with a focus on reliability and compliance.
* Mastery of version control (Git, GitHub) and structured workflow management (Jira) for code review, audit trails, and operational transparency.
* Demonstrated ability to automate and simplify complex manual tasks, building robust, reusable pipeline components that reduce operational overhead.
* Depth in orchestrating workflows with custom scheduling, alerting, dependency management, monitoring, and error resolution.
* Dependability, adaptability, and a strong collaborative approach to engineering, thriving in dynamic and ambiguous environments.
**Preferred Qualifications:** 
* Extensive hands\-on experience in dynamic, fast\-paced settings, including startup or rapid\-growth environments, delivering technical solutions under shifting priorities.
* Direct background supporting cross\-functional teams—business intelligence, analytics, and data science—by enabling large\-scale integrations, multi\-tenant reporting, and advanced analytics tooling.
* Familiarity with both batch and event\-driven ingestion paradigms, including building near\-real\-time data pipelines utilizing Snowflake, dbt, and Python.
* Experience automating complex operational, financial, or compliance\-driven workflows within cloud data environments.
* Exposure to audit, privacy, and compliance frameworks (SOC, HIPAA, GDPR, ISO, SOX), particularly in implementing robust data governance and secure access controls.
* Experience working with regulated industries such as healthcare, healthtech, or SaaS environments.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$155,000\.00 \- $195,000\.00\.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23">
      <c r="A23" t="inlineStr">
        <is>
          <t>li-4361531679</t>
        </is>
      </c>
      <c r="B23" t="inlineStr">
        <is>
          <t>Senior Data Engineer, Platform Infrastructure</t>
        </is>
      </c>
      <c r="C23" t="inlineStr">
        <is>
          <t>Gather Health</t>
        </is>
      </c>
      <c r="D23" t="inlineStr">
        <is>
          <t>linkedin</t>
        </is>
      </c>
      <c r="E23" t="inlineStr"/>
      <c r="F23" t="inlineStr"/>
      <c r="G23" t="inlineStr">
        <is>
          <t>Boston, MA</t>
        </is>
      </c>
      <c r="H23" t="inlineStr"/>
      <c r="I23" t="inlineStr">
        <is>
          <t>**Description**
**About Gather Health**
 Gather Health is a Series B healthcare company reimagining primary care for older adults. Backed by Khosla, Maverick, and HC9, we’ve raised over $50M to build a new model of socially supported care addressing both medical and social determinants of health.
**The Role**
 We are seeking a hands\-on
 **Senior Data Engineer (Platform Infrastructure)** 
 to build and manage the cloud infrastructure that powers Gather’s next\-generation data platform. You’ll own our Google Cloud (GCP) environment, ensuring it’s resilient, secure, and cost\-efficient. This role is foundational: you will create the backbone that enables ingestion, orchestration, and modeling across our entire stack.
 You’ll collaborate closely with the Lead Data Engineer on architectural design and the Pipelines Engineer on operational enablement — together forming the core data platform team.
**What You’ll Do**
* Architect \&amp; Build Cloud Infrastructure: Design, deploy, and own Gather’s data platform infrastructure on GCP using Infrastructure\-as\-Code (Terraform).
* Implement \&amp; Manage Security: Own the platform’s security posture, implementing IAM roles, VPCs, encryption, and monitoring for full HIPAA compliance.
* Enable Observability: Build monitoring, logging, and alerting across all platform services (Stackdriver, Grafana, etc.) to ensure reliability.
* Establish CI/CD Pipelines: Develop and maintain CI/CD workflows for dbt, Dagster, and Cloud Run services using tools like GitHub Actions or GitLab CI.
* Manage Core Ingestion Services: Deploy and operate BigQuery Data Transfer (AthenaOne Snowflake Share) and Cloud Run webhook services for real\-time data ingestion.
* Optimize Performance \&amp; Cost: Monitor and tune BigQuery performance (slots, clustering, partitioning) for efficiency.
* Collaborate Closely: Work with the Lead Engineer to align infra design with data architecture, and support the Pipelines Engineer to ensure ingestion readiness.
**Preferred Experience \&amp; Qualifications**
* 5–8\+ years of hands\-on experience in DevOps, SRE, or data platform engineering.
* Deep expertise in GCP (BigQuery, GCS, IAM, Cloud Run, networking) and Terraform.
* Proficiency with containerization (Docker/Kubernetes) and CI/CD tools.
* Experience with healthcare or other regulated (HIPAA, SOC2\) environments is a strong plus.
* Familiarity with dbt, Dagster, and modern data pipelines preferred.
**Why Join Gather Health**
* Build the data infrastructure foundation for a mission\-driven healthcare company.
* Work with modern tools (GCP, Terraform, Dagster, dbt) in a greenfield environment.
* Join a remote\-first, global team with high autonomy and ownership.
* Competitive salary.</t>
        </is>
      </c>
    </row>
    <row r="24">
      <c r="A24" t="inlineStr">
        <is>
          <t>li-4352840202</t>
        </is>
      </c>
      <c r="B24" t="inlineStr">
        <is>
          <t>Sr Data Engineer - New York, Santa Monica,Seattle</t>
        </is>
      </c>
      <c r="C24" t="inlineStr">
        <is>
          <t>Sage Metrics Services</t>
        </is>
      </c>
      <c r="D24" t="inlineStr">
        <is>
          <t>linkedin</t>
        </is>
      </c>
      <c r="E24" t="inlineStr"/>
      <c r="F24" t="inlineStr"/>
      <c r="G24" t="inlineStr">
        <is>
          <t>New York, NY</t>
        </is>
      </c>
      <c r="H24" t="inlineStr"/>
      <c r="I24" t="inlineStr">
        <is>
          <t>Now Hiring!
**Sr Data Engineer \- New York, Santa Monica,Seattle** 
 Client Name:TAVANT
 Domain:Information technology (IT)
 Location:USA \- New York, Santa Monica, Seattle
 Status:Active
 Salary:USD 120,000 \- 140,000
 Experience: 8 \- 15 Years
**Must Haves** 
* Airflow, Data Bricks, SQL, Python, Spark, Snowflake
* Experience with at least one cloud platform (AWS / Azure / GCP)
* Strong analytical and problem\-solving skills.
* Strong communication skills, ability to collaborate with cross\-functional teams \&amp; interact with stakeholders.
* Familiarity with Agile Scrum principles and ceremonies
 Candidate MUST be willing to take a hackerrank test for Python, SQL. this is a hands on role.
 The Sr. Data Engineer will contribute to the Company’s success by partnering with business, analytics and infrastructure teams to design and build data pipelines to facilitate measuring various KPIs \&amp; metrics. Collaborating across disciplines, they will identify internal / external data sources, design table structures, define ETL strategy \&amp; implement automated Data Quality checks.
**Must have skills:** 
* Data Engineering skills using \-
* Complex or Advanced SQL queries
* Python
* Spark
* Snowflake
* Databricks
* Airflow or Prefect
* Experience with at least one cloud platform (AWS / Azure / GCP)
* Strong analytical and problem\-solving skills.
* Strong communication skills, ability to collaborate with cross\-functional teams \&amp; interact with stakeholders.
* Familiarity with Agile Scrum principles and ceremonies
**Nice to have skills:** 
* Data Modeling (e.g., Dimensional Modeling)
* Experience working with Kafka
* Familiarity with CI/CD tools (e.g., Jenkins, GitHub Actions, etc.) \&amp; Docker containers
* Exposure to monitoring tools like Datadog
**Qualifications:** 
* 8\+ years of relevant data engineering experience.
* Bachelor’s/Master’s degree in Computer Science, Engineering, or related field.
 Roles \&amp; Responsibilities
**Responsibilities:** 
* Partner with technical and non\-technical colleagues to understand data and reporting requirements
* Work with engineering teams to collect required data from internal and external systems
* Design table structures and define ETL pipelines to build performant data solutions that are reliable and scalable in a fast growing data ecosystem
* Develop automated data quality checks
* Develop and maintain ETL routines using ETL and orchestration tools such as Airflow
* Implement database deployments using tools like SchemaChange
* Perform ad hoc analysis as necessary.
* Perform SQL and ETL tuning as necessary.</t>
        </is>
      </c>
    </row>
    <row r="25">
      <c r="A25" t="inlineStr">
        <is>
          <t>li-4354861353</t>
        </is>
      </c>
      <c r="B25" t="inlineStr">
        <is>
          <t>Data Engineer</t>
        </is>
      </c>
      <c r="C25" t="inlineStr">
        <is>
          <t>AARATECH</t>
        </is>
      </c>
      <c r="D25" t="inlineStr">
        <is>
          <t>linkedin</t>
        </is>
      </c>
      <c r="E25" t="inlineStr"/>
      <c r="F25" t="inlineStr"/>
      <c r="G25" t="inlineStr"/>
      <c r="H25" t="inlineStr"/>
      <c r="I25"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26">
      <c r="A26" t="inlineStr">
        <is>
          <t>li-4314047646</t>
        </is>
      </c>
      <c r="B26" t="inlineStr">
        <is>
          <t>Senior Analytics Engineer I</t>
        </is>
      </c>
      <c r="C26" t="inlineStr">
        <is>
          <t>Upside</t>
        </is>
      </c>
      <c r="D26" t="inlineStr">
        <is>
          <t>linkedin</t>
        </is>
      </c>
      <c r="E26" t="inlineStr"/>
      <c r="F26" t="inlineStr"/>
      <c r="G26" t="inlineStr">
        <is>
          <t>New York, NY</t>
        </is>
      </c>
      <c r="H26" t="inlineStr"/>
      <c r="I26"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2\+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27">
      <c r="A27" t="inlineStr">
        <is>
          <t>li-4248989938</t>
        </is>
      </c>
      <c r="B27" t="inlineStr">
        <is>
          <t>Senior Data Engineer</t>
        </is>
      </c>
      <c r="C27" t="inlineStr">
        <is>
          <t>Kikoff</t>
        </is>
      </c>
      <c r="D27" t="inlineStr">
        <is>
          <t>linkedin</t>
        </is>
      </c>
      <c r="E27" t="inlineStr"/>
      <c r="F27" t="inlineStr"/>
      <c r="G27" t="inlineStr">
        <is>
          <t>San Francisco, CA</t>
        </is>
      </c>
      <c r="H27" t="inlineStr"/>
      <c r="I27" t="inlineStr">
        <is>
          <t>**Responsibilities**
 We are looking for a Data Engineer or Analytics Engineer to join our Data team. You will collaborate with the data scientist and engineers to design, build, and scale high\-leverage data models, foundational datasets and scalable infrastructure that enables analytics, modeling, and experimentation. Your responsibilities includes:
* Build and optimize high\-quality ergonomic foundational datasets and the relevant data pipelines
* Establish data quality management processes at scale
* Build analytical dashboards
**Qualifications**
* Bachelors’ or above in quantitative discipline: Statistics, Applied Mathematics, Economics, Computer Science, Engineering, or related field
* A minimum of 2 years of work experience in data engineering
* Hands\-on experience in building robust data models and data pipelines
* A self\-starter with a bias for action and excellent communication skills, with ability to explain complex technical concepts in easy\-to\-understand ways
* Expert knowledge of SQL, and popular data engineering tools such as snowflake, dbt, Dagster etc
* Experience working with DS team
* A humble collaborative can\-do attitude and natural curiosity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 Medical, dental, and vision coverage \- Kikoff covers the full cost of health insurance for the employee!
 📈 Stock Options
 🏝 Flexible vacation policy to help you recharge
 💰 US salary range for this full\-time position consists of base \+ equity \+ benefits
 Location: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t>
        </is>
      </c>
    </row>
    <row r="28">
      <c r="A28" t="inlineStr">
        <is>
          <t>li-4354416032</t>
        </is>
      </c>
      <c r="B28" t="inlineStr">
        <is>
          <t>Backend &amp; Data Engineer</t>
        </is>
      </c>
      <c r="C28" t="inlineStr">
        <is>
          <t>BOND (YCX25)</t>
        </is>
      </c>
      <c r="D28" t="inlineStr">
        <is>
          <t>linkedin</t>
        </is>
      </c>
      <c r="E28" t="inlineStr"/>
      <c r="F28" t="inlineStr"/>
      <c r="G28" t="inlineStr">
        <is>
          <t>San Francisco, CA</t>
        </is>
      </c>
      <c r="H28" t="inlineStr"/>
      <c r="I28" t="inlineStr">
        <is>
          <t>* Evolve the foundation: You will help us transform our data layer into a mature and battle\-tested system. You will build pipelines to extract context from third\-party tools and normalize it into a queryable organizational knowledge base.
* Build "Agent\-Ready" interfaces: You aren't just building APIs for a frontend; you are building tools for AI agents. You will abstract away the complexities of external platforms into reliable, clean interfaces that our AI agents can control autonomously.
* Orchestrate async workflows: We use sleep\-time compute cycles to analyze data when users aren't looking. You will manage the worker infrastructure that allows agents to plan cycles, execute sub\-tasks, and sync data in the background.
* Semantic search \&amp; RAG: You will ensure that as soon as data flows in, it is vector\-embedded and ready for retrieval, keeping our AI's context window fresh.
* Ship for the user: We don't optimize code just for the sake of code. You will build with a relentless focus on how the end\-user experiences the product: speed, reliability, and magic.</t>
        </is>
      </c>
    </row>
    <row r="29">
      <c r="A29" t="inlineStr">
        <is>
          <t>li-4346030005</t>
        </is>
      </c>
      <c r="B29" t="inlineStr">
        <is>
          <t>Data Engineer</t>
        </is>
      </c>
      <c r="C29" t="inlineStr">
        <is>
          <t>Services for the UnderServed</t>
        </is>
      </c>
      <c r="D29" t="inlineStr">
        <is>
          <t>linkedin</t>
        </is>
      </c>
      <c r="E29" t="inlineStr"/>
      <c r="F29" t="inlineStr"/>
      <c r="G29" t="inlineStr">
        <is>
          <t>New York, NY</t>
        </is>
      </c>
      <c r="H29" t="inlineStr"/>
      <c r="I29" t="inlineStr">
        <is>
          <t>**Min**
 USD $135,000\.00/Yr.
**Max**
 USD $145,000\.00/Yr.
**Position Overview**
* SCOPE OF ROLE :
 The Data Engineer is responsible for building and maintaining a governed, analytics\-ready data environment within Microsoft Fabric. This role designs and supports modern data pipelines that ingest, transform, and migrate data for enterprise analytics while ensuring high standards of data quality, metadata management, lineage, and cataloging. The Data Engineer plays a key role in establishing trust in data through strong governance practices and clear documentation.
 In addition, the role focuses on analytics and BI enablement, including the development and optimization of semantic models and close collaboration with BI teams to support Power BI reporting and self\-service analytics. The ideal candidate brings strong SQL and data modeling skills, hands\-on experience with Microsoft Fabric and related cloud data platforms, and the ability to work cross\-functionally with technical and business stakeholders to deliver reliable, well\-governed data solutions that support the organization’s analytics strategy.
* ESSENTIAL DUTIES \&amp; RESPONSIBILITIES:
* Support and uphold the organization’s data governance framework, ensuring compliance with enterprise standards.
* Collect, organize, and manage metadata for enterprise datasets to support analytics, governance, and Microsoft Fabric migration initiatives.
* Design and implement data pipelines that enable data ingestion, transformation, and migration into Microsoft Fabric.
* Build, maintain, and optimize semantic models for analytics, reporting, and self\-service BI.
* Collaborate with BI teams to support Power BI report development, including dataset optimization and performance tuning.
* Ensure data quality, lineage, and cataloging practices are consistently implemented and maintained.
* Contribute to documentation, standards, and governance processes that support data literacy and platform sustainability.
* Work cross\-functionally with analytics, governance, business owners, and application teams to deliver high\-quality, governed data solutions.
**Qualifications**
* REQUIREMENTS:
**Required Qualifications**
* Bachelor’s degree in Information Systems, Computer Science, or 5\+ years of equivalent experience.
* Proficiency in SQL, Python, or other scripting languages for data engineering tasks.
* Proven experience with metadata collection and management.
* Experience building scalable ETL/ELT data pipelines.
* Hands\-on experience developing semantic models for analytics and reporting.
* Experience supporting Power BI report development and optimization.
* Strong understanding of Microsoft Fabric architecture and components.
* Familiarity with data governance principles including quality, lineage, and stewardship.
* Hands\-on experience with data modeling (star and snowflake schemas).
* Ability to collaborate effectively across technical and business teams.
**Preferred Qualifications**
* Experience with Microsoft Purview for metadata management and governance workflows.
* Knowledge of data security, compliance, and privacy standards.
* Experience with Fabric Data Factory, Azure Databricks, Synapse Analytics, or similar tools.
* Understanding of Azure Data Lake Storage and cloud\-based analytics platforms.
* Experience contributing to data governance documentation or data literacy initiatives
**Soft Skills**
* Strong analytical and problem\-solving abilities.
* Excellent communication and collaboration skills.
* Ability to manage multiple priorities in a fast\-paced environment.
* Attention to detail with a focus on data quality and consistency.
**Company Overview**
**S:US IS AN EQUAL OPPORTUNITY EMPLOYER**
 Join a team of employees who cares about the wellbeing of others. We’re proud to offer a comprehensive benefits package designed to support your wellbeing and development. From health and wellness resources to generous PTO, professional development, and more, explore all that we offer on our
 **Benefits Page** 
 and see how S:US invests in you.
 We believe in fostering a culture built on our core values: respect, integrity, support, maximizing individual potential and continuous quality improvement.
 S:US is an affirmative action and equal opportunity employer. All qualified applicants will receive consideration for employment without regard to race, color, religion, sex, disability, age, sexual orientation, gender identity, national origin, veteran status, or genetic information. S:US is committed to providing access, equal opportunity and reasonable accommodation for individuals with disabilities in employment, its services, programs, and activities, including allowance of the use of services animals. To request reasonable accommodation or if you believe such a request was improperly handled or denied, contact the Leave Team at MyMedicalLeave@sus.org .
**ID**
 2025\-18021</t>
        </is>
      </c>
    </row>
    <row r="30">
      <c r="A30" t="inlineStr">
        <is>
          <t>li-4354851775</t>
        </is>
      </c>
      <c r="B30" t="inlineStr">
        <is>
          <t>Senior Data Engineer</t>
        </is>
      </c>
      <c r="C30" t="inlineStr">
        <is>
          <t>Cipher7</t>
        </is>
      </c>
      <c r="D30" t="inlineStr">
        <is>
          <t>linkedin</t>
        </is>
      </c>
      <c r="E30" t="inlineStr"/>
      <c r="F30" t="inlineStr"/>
      <c r="G30" t="inlineStr">
        <is>
          <t>Wilmington, DE</t>
        </is>
      </c>
      <c r="H30" t="inlineStr"/>
      <c r="I30" t="inlineStr">
        <is>
          <t>Job Title: Snr Data Engineer (AWS, Java/Python and Big Data experience)
**Employment Type:** 
 Full\-Time, Permanent
**Location:** 
 Philadelphia, PA / Wilmington, DE
**Work Model:** 
**Onsite – 5 Days per Week** 
**Candidate Requirement:** 
**Local profiles only** 
 Experience: 6 \-10 Years of experience.
**Job Summary** 
 We are seeking an experienced
 **Data Engineer** 
 to design, build, and support scalable data solutions in a cloud\-based environment. The ideal candidate will have strong hands\-on experience with
 **AWS** 
 ,
 **Java and/or Python** 
 , and
 **Big Data technologies** 
 , and must be able to work onsite five days a week.
**Primary Skill Set (Must Have)** 
* AWS (cloud\-native data services and architectures)
* Java and/or Python
* Big Data technologies and frameworks
 Nice to Have
* Snowflake
* Databricks
**Roles \&amp; Responsibilities**
* Acquire, ingest, and manage data from multiple sources and storage systems
* Transform and migrate existing ETL logic to
 **AWS, Databricks, or equivalent cloud platforms**
* Implement and enhance services using
 **object\-oriented and functional programming** 
 approaches
* Establish and enforce standards to ensure
 **data quality, consistency, and completeness**
* Design, develop, and troubleshoot software solutions across the data ecosystem
* Write secure, high\-quality, and maintainable code with limited supervision
* Design solutions with awareness of
 **upstream and downstream dependencies**
* Utilize SDLC tools and automation to improve development efficiency and reliability
* Ensure operational stability, performance, and scalability of data pipelines</t>
        </is>
      </c>
    </row>
    <row r="31">
      <c r="A31" t="inlineStr">
        <is>
          <t>li-4348233506</t>
        </is>
      </c>
      <c r="B31" t="inlineStr">
        <is>
          <t>Senior Data Engineer</t>
        </is>
      </c>
      <c r="C31" t="inlineStr">
        <is>
          <t>Quantum Health</t>
        </is>
      </c>
      <c r="D31" t="inlineStr">
        <is>
          <t>linkedin</t>
        </is>
      </c>
      <c r="E31" t="inlineStr"/>
      <c r="F31" t="inlineStr"/>
      <c r="G31" t="inlineStr">
        <is>
          <t>Dublin, OH</t>
        </is>
      </c>
      <c r="H31" t="inlineStr"/>
      <c r="I31" t="inlineStr">
        <is>
          <t>**Who we are** 
 Founded in 1999 and headquartered in Central Ohio, we’re a privately\-owned, independent healthcare navigation organization. We believe that no one should have to navigate the cost and complexity of healthcare alone, and we’re on a mission to make healthcare simpler and more effective for our millions of members. Our big\-hearted, tech\-savvy team fights to ensure that our members get the care they need, when they need it, at the most affordable cost – that’s why we call ourselves Healthcare Warriors®.
 We’re committed to building diverse and inclusive teams – more than 2,000 of us and counting – so if you’re excited about this position, we encourage you to apply – even if your experience doesn’t match every requirement.
**About the role** 
 As a
 **Senior Data Engineer** 
 , this individual contributes to architecture and design discussions, supports best practices in data quality, governance, and security, and helps strengthen overall data delivery processes. The Senior Data Engineer also mentors peers and drives continuous improvement in engineering standards and automation across the team.
**Location:** 
 This position is located at our Dublin, OH campus with hybrid flexibility or may work remotely anywhere in the United States of America.
**What you’ll do (Essential Responsibilities)** 
* Create, maintain, and optimize robust data pipelines and associated data services to ensure scalability, reliability, and performance.
* Partner with data, analytics, and design teams to define scalable data solutions and support evolving business requirements; contribute to data architecture discussions and design decisions to align with long\-term enterprise data strategy.
* Provide input into data modeling, integration design, and data lifecycle management to ensure alignment with best practices in data governance, metadata management, and security.
* Collaborate across the organization to embed data quality, lineage, and stewardship principles into engineering and delivery processes.
* Mentor peers, share best practices, and drive continuous improvement in data engineering standards, automation, and architecture awareness within the team.
* All other duties as assigned.
**What you’ll bring (Qualifications)** 
* **Education:** 
 Bachelor’s degree in Computer Science, Engineering, Mathematics, Statistics, or a related field or equivalent experience and training.
* **Experience:** 
 5\+ years of experience in technical data roles such as ETL development, data engineering, BI reporting, or related disciplines.
* Strong SQL expertise with hands\-on experience designing and optimizing complex queries, relational databases, and data models.
* Proven experience building, scaling, and maintaining data pipelines, data lakes, and data integration frameworks.
* Understanding of data architecture concepts (data modeling, integration patterns, schema design, storage optimization) and ability to collaborate with architects to translate strategy into implementation.
* Proficiency with cloud technologies including AWS (S3, EC2, EMR, DynamoDB, Aurora, Athena, Glue, etc.) and platforms such as Snowflake and dbt.
* (Preferred) Familiarity with data orchestration and integration tools (SSIS, SnapLogic, Kestra, Airflow, etc.) and streaming technologies (Kafka, Spark, Kinesis).
* Experience with data governance, metadata management, and data quality frameworks.
* Strong analytical and problem\-solving skills, with the ability to balance technical detail and strategic context.
* Experience supporting and working with cross\-functional teams in a dynamic environment.
* Working knowledge of object\-oriented and functional scripting languages (Python, Java, Scala, etc.).
* Strong organizational and project management skills, with an ability to prioritize and align technical work to business strategy.
* Strong administrative/technical skills; Comfort working on a PC using Microsoft Office (Outlook, Word, Excel, PowerPoint), IM/video conferencing (Teams \&amp; Zoom), and telephones efficiently.
* Trustworthy and accountable behavior, capable of viewing and maintaining confidential information daily.</t>
        </is>
      </c>
    </row>
    <row r="32">
      <c r="A32" t="inlineStr">
        <is>
          <t>li-4314050598</t>
        </is>
      </c>
      <c r="B32" t="inlineStr">
        <is>
          <t>Senior Analytics Engineer I</t>
        </is>
      </c>
      <c r="C32" t="inlineStr">
        <is>
          <t>Upside</t>
        </is>
      </c>
      <c r="D32" t="inlineStr">
        <is>
          <t>linkedin</t>
        </is>
      </c>
      <c r="E32" t="inlineStr"/>
      <c r="F32" t="inlineStr"/>
      <c r="G32" t="inlineStr">
        <is>
          <t>Chicago, IL</t>
        </is>
      </c>
      <c r="H32" t="inlineStr"/>
      <c r="I32"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2\+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33">
      <c r="A33" t="inlineStr">
        <is>
          <t>li-4345837667</t>
        </is>
      </c>
      <c r="B33" t="inlineStr">
        <is>
          <t>Senior Analytics Engineer</t>
        </is>
      </c>
      <c r="C33" t="inlineStr">
        <is>
          <t>Maven Clinic</t>
        </is>
      </c>
      <c r="D33" t="inlineStr">
        <is>
          <t>linkedin</t>
        </is>
      </c>
      <c r="E33" t="inlineStr"/>
      <c r="F33" t="inlineStr"/>
      <c r="G33" t="inlineStr">
        <is>
          <t>New York, NY</t>
        </is>
      </c>
      <c r="H33" t="inlineStr"/>
      <c r="I33"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Maven is looking for an experienced Senior Analytics Engineer to join our Core Analytics team to help drive the technical vision and the strategic projects to build and maintain the modeled data layer and semantic layer that power data\-driven decision\-making as our business scales. As a part of Maven’s Data organization, you will sit at the intersection of Data Engineering and Analytics, transforming raw data into clean, reliable, well\-documented datasets and metrics that our Client Success, Finance, Sales, and Marketing teams rely on everyday. You will be a key partner in the design, development, and maintenance of highly scalable data models and reporting layers that enable key cross\-functional teams to self\-serve critical business metrics with confidence.
**As a Senior Analytics Engineer at Maven, you will:**
* Design, build, and maintain data models in our cloud data warehouse (e.g., BigQuery) using dbt (or similar tooling), applying strong dimensional and domain modeling practices to support core domains
* Own the transformation layer from raw and staged data to curated marts, including implementation of dbt models, tests, documentation, and model ownership conventions that enable a consistent “single source of truth” across stakeholders
* Increase operational efficiency by proactively and rigorously diagnosing pain points in data and reporting workflows and implementing scalable, long\-term fixes
* Promote and exemplify development standards and data quality for analytics engineering work, including Git\-based workflows, code review, CI/CD for dbt and BI, clear documentation, and robust testing (dbt tests and other checks) to keep key tables and metrics stable and trustworthy
* Explore and evaluate new tools and patterns (within the modern data stack, data quality, observability, and BI) that can improve developer productivity, data reliability, and the scalability of Maven’s analytics ecosystem
**We're looking for you to bring:**
* 5\-7 years of relevant analytics or data science experience
* Fluency in SQL and a strong background in data visualization
* Hands\-on experience with Python or R
* An ability to juggle both long\-term, strategic projects and ad hoc, urgent requests as needed
* Excellent collaboration and communication skills, with a demonstrated ability to work effectively with cross\-functional teams and mentor junior analysts
**Preferred Qualifications:**
* Experience working with Financial and Sales data
* Experience with at least on BI tool (Tableau, Looker), and/or dbt
 The base salary range for this role is $170,000 \- $200,000 per year. You will also be entitled to receive equity and benefits. Individual pay decisions are based on a number of factors, including qualifications for the role, experience level, and skillset.
 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34">
      <c r="A34" t="inlineStr">
        <is>
          <t>li-4314047645</t>
        </is>
      </c>
      <c r="B34" t="inlineStr">
        <is>
          <t>Senior Analytics Engineer I</t>
        </is>
      </c>
      <c r="C34" t="inlineStr">
        <is>
          <t>Upside</t>
        </is>
      </c>
      <c r="D34" t="inlineStr">
        <is>
          <t>linkedin</t>
        </is>
      </c>
      <c r="E34" t="inlineStr"/>
      <c r="F34" t="inlineStr"/>
      <c r="G34" t="inlineStr">
        <is>
          <t>Washington, DC</t>
        </is>
      </c>
      <c r="H34" t="inlineStr"/>
      <c r="I34"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2\+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35">
      <c r="A35" t="inlineStr">
        <is>
          <t>li-4348065475</t>
        </is>
      </c>
      <c r="B35" t="inlineStr">
        <is>
          <t>Staff Data Engineer</t>
        </is>
      </c>
      <c r="C35" t="inlineStr">
        <is>
          <t>Gridware</t>
        </is>
      </c>
      <c r="D35" t="inlineStr">
        <is>
          <t>linkedin</t>
        </is>
      </c>
      <c r="E35" t="inlineStr"/>
      <c r="F35" t="inlineStr"/>
      <c r="G35" t="inlineStr">
        <is>
          <t>San Francisco, CA</t>
        </is>
      </c>
      <c r="H35" t="inlineStr"/>
      <c r="I35"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As a Staff Data Engineer / Data Architect at Gridware, you will define and build the architecture of our most critical data systems, spanning real\-time streaming pipelines, Lakehouse governance, telemetry ingestion, and cross\-domain data models. This role sits at the top of the technical IC track and requires deep expertise in distributed data systems, IoT telemetry flows, and architectural strategy.
 You will partner across Firmware, Software, DevOps, and Data Science to establish Gridware’s long\-term data platform vision. Your work will directly shape how sensor and grid event data flows through our system, enabling fault detection, wildfire risk mitigation, and real\-time grid intelligence at scale.
**Responsibilities** 
* Architect and scale high\-throughput ingestion systems for sensor telemetry, device metadata, and real\-time grid events.
* Design end\-to\-end data platform architecture, including Lakehouse structures, governance layers, data domains, and lineage standards.
* Lead the evolution of our Event Streaming Platform, including schema strategy, Protobuf evolution, retention policies, and reliability models.
* Develop fault\-tolerant, self\-healing data services that maintain availability during storms, outages, and high\-volume event bursts.
* Drive multi\-quarter, multi\-team data initiatives and partner across engineering to establish consistent ingestion contracts, schemas, and standards.
**Required Skills** 
* 10\+ years of experience in Data Engineering, Data Architecture, or Distributed Systems roles.
* Expert\-level knowledge of event streaming (Kafka/Kinesis), distributed compute (Spark/Databricks), and Lakehouse architectures.
* Demonstrated experience designing large\-scale, real\-time telemetry or IoT data pipelines with strong reliability requirements.
* Deep understanding of partitioning, backpressure, consistency models, and distributed system internals.
* Proven ability to own complex systems end\-to\-end and influence technical strategy across teams.
**Bonus Skills** 
* Experience with industrial IoT, sensor networks, or utility/energy data.
* Expertise in Kubernetes, service mesh patterns, or cloud infrastructure for data\-intensive systems.
* Background designing data governance frameworks or domain ownership models.
* Open\-source contributions, publications, or talks in distributed systems or data platform architecture.
* Experience building high\-SLA ingestion platforms for real\-time monitoring or alerting systems.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36">
      <c r="A36" t="inlineStr">
        <is>
          <t>li-4361320789</t>
        </is>
      </c>
      <c r="B36" t="inlineStr">
        <is>
          <t>Sr Data Engineer - Cloud / Systems Administrator</t>
        </is>
      </c>
      <c r="C36" t="inlineStr">
        <is>
          <t>Disney Experiences</t>
        </is>
      </c>
      <c r="D36" t="inlineStr">
        <is>
          <t>linkedin</t>
        </is>
      </c>
      <c r="E36" t="inlineStr"/>
      <c r="F36" t="inlineStr"/>
      <c r="G36" t="inlineStr">
        <is>
          <t>Celebration, FL</t>
        </is>
      </c>
      <c r="H36" t="inlineStr"/>
      <c r="I36"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**About The Role**
 We’re looking for a Senior Data Engineer \- Cloud Engineer / Systems Administrator to join the Data Analytics \&amp; Innovation Team within Consumer Insight, Measurement \&amp; Analytics (CIMA). In this role, you’ll design, manage, and evolve AWS cloud infrastructure and other cloud technologies that power analytics, automation, and enterprise\-scale platforms across Disney Experiences.
 You’ll play a key role in architecting and securing the foundation of Disney’s data and cloud ecosystem, supporting Cloudera Data Platform (CDP) and other big data environments. This position blends cloud infrastructure expertise, DevOps practices, and security\-first practices to ensure scalability, reliability, and compliance across Disney’s global technology landscape.
 What You’ll Do
* Architect, deploy, and maintain AWS cloud infrastructure and other cloud platforms (S3, EC2, Lambda, ECS, RDS, CloudFormation, VPCs, IAM, etc.) supporting enterprise\-scale data and application workloads
* Build, deploy, and manage containerized environments using Docker, ensuring portability, reliability, and consistent deployments across systems
* Lead the administration and operation of CI/CD platforms such as Jenkins, GitHub Actions, and related automation tools, including pipeline development, configuration, plugin management, and integration with source control
* Support and optimize Cloudera Data Platform (CDP) environments within the cloud ecosystem, ensuring stability, scalability, and secure connectivity with data services and applications
* Develop \&amp; support Infrastructure as Code (IaC) using Terraform and CloudFormation to automate provisioning and configuration management
* Oversee certificate management—including SSL/TLS lifecycle management, PKI integration, and secure communication protocols across services
* Champion security\-first practices, such as IAM governance, KMS encryption, network segmentation, and adherence to Disney Information Security standards
* Monitor and optimize system health through CloudWatch, Datadog, and other observability tools to ensure reliability, performance, and cost efficiency
* Collaborate across CIMA and Disney Experiences to deliver high\-availability, compliant, and cost\-optimized cloud and data systems
* Contribute to Disney’s DevOps culture, emphasizing automation, continuous improvement, and secure infrastructure delivery
**Required Qualifications \&amp; Skills**
* 5\+ years of experience in cloud infrastructure engineering, systems administration, or DevOps roles
* Expertise in AWS services (S3, EC2, Lambda, ECS, RDS, CloudFormation, IAM) and familiarity with other cloud technologies (e.g., GCP or Azure)
* Experience supporting or integrating with Cloudera Data Platform (CDP) or similar large\-scale data platforms
* Proven experience in Jenkins administration or equivalent CI/CD systems—managing users, plugins, jobs, and automation frameworks
* Strong proficiency with Docker and container deployment \&amp; orchestration (ECS, EKS, Kubernetes, or similar technologies)
* Deep understanding of security best practices, including SSL/TLS, certificate management, encryption standards, and secure system design
* Hands\-on experience with Terraform and scripting languages such as Python, Bash, or PowerShell
* Strong communication, troubleshooting, and collaboration skills in an agile, cross\-functional environment
**Preferred Qualifications**
* Experience managing multi\-cloud or hybrid architectures
* Familiarity with big data and analytics ecosystems (Snowflake, Databricks, Spark, Cloudera)
* AWS certifications such as Solutions Architect, SysOps Administrator, or DevOps Engineer
* Understanding of Zero Trust architecture, CSPM tools, or cloud compliance frameworks (Tanium, Splunk, Crowdstrike, wiz.io)
* Strong understanding of Object Oriented Engineering Principles
**Education**
* Bachelor’s degree in computer science, Information Systems, Software, Electrical or Electronics Engineering, or comparable field of study and/or equivalent work experience</t>
        </is>
      </c>
    </row>
    <row r="37">
      <c r="A37" t="inlineStr">
        <is>
          <t>li-4349587164</t>
        </is>
      </c>
      <c r="B37" t="inlineStr">
        <is>
          <t>Lead Data Engineer</t>
        </is>
      </c>
      <c r="C37" t="inlineStr">
        <is>
          <t>Benepass</t>
        </is>
      </c>
      <c r="D37" t="inlineStr">
        <is>
          <t>linkedin</t>
        </is>
      </c>
      <c r="E37" t="inlineStr"/>
      <c r="F37" t="inlineStr"/>
      <c r="G37" t="inlineStr"/>
      <c r="H37" t="inlineStr"/>
      <c r="I37" t="inlineStr">
        <is>
          <t>**About Us**
 At Benepass we're making benefits easy. We believe people are the most important asset to any company. Traditional one\-size\-fits\-all benefits packages no longer cut it in today's hybrid and remote\-first environment. With Benepass, companies can tailor their benefits to the unique needs of their workforce.
 Through our easy\-to\-use and highly customizable fintech platform, People teams can implement, administer, and track the benefits that meet employees where they are. Employers design their benefits and perks plan by setting a contribution amount and eligible spend categories. Every employee has their own individual definition of wellness and needs different things to help them be their most productive, fulfilled self.
**Our Mission**
 Helping companies reimagine how companies take care of their people.
**Our Investors**
 We are backed by leading investors, including Portage Ventures, Threshold Ventures, Gradient Ventures, Workday Ventures, and Clocktower Technology Ventures. To date, the company has raised $35 million of equity capital.
**Articles**
* Founder Story \- Jaclyn Chen
* Benepass Raises $20M
**Candidate Resources**
* Benepass \| Candidate Resource Page
* Benepass Listed on Inc. Magazine's Best Workplaces of 2023
**Role Summary**
 Benepass is hiring a
 **Lead Data Engineer** 
 to become the end\-to\-end owner of our data engineering function. This is a foundational, hands\-on, high\-ownership individual contributor role where you will design, build, and scale the next generation of Benepass’s data infrastructure—pipelines, warehousing, transformations, data quality, and tooling. This is a foundational role where you will serve as the first and primary Data Engineer at Benepass, responsible for building the platform, defining standards, and establishing the patterns that future data engineering hires will follow. This role is focused on data engineering and platform ownership, not analytics or data science — you should identify as an engineer who builds systems, pipelines, and frameworks, not dashboards or reports.
 You will partner closely with Engineering, Product, Finance, People, Sales, Operations, and the Executive Team to deliver high\-quality, reliable data that powers our products, business intelligence, financial reporting, internal tooling, and decision\-making. You will partner deeply with Finance, Operations, Product, Engineering, and our Executive Team to deliver the core datasets powering revenue reporting, margin analysis, compliance workflows, customer\-facing features, and internal operational tooling. You will also work heavily with our Operations “Data” team to provide the infrastructure, workflows, and tools they need to deliver dashboards, reporting, and operational insights.
 Nothing will be handed to you—you will define the roadmap, technical direction, standards, and architecture for data engineering at Benepass. You will ensure data governance, privacy, and compliance across sensitive financial, payments, and benefits datasets and will establish testing, auditability, and monitoring practices appropriate for regulated environments. You will design for scaling volume and complexity across millions of transactions, multi\-program benefit configurations, and financial system integrations. This role is ideal for someone who has successfully built or significantly scaled a data platform at a similar\-stage, high\-growth company and wants broad ownership as an IC.
 ROLE LOCATION \&amp; TRAVEL
 You will be expected to attend company\-wide on\-site events three times per year.
**What You’ll Do**
 Own \&amp; Evolve the Benepass Data Platform
* Serve as the primary architect and builder of our data infrastructure across our AWS stack (RDS, Redshift, S3, etc.).
* Evaluate and lead the evolution of our data stack, including decisions around warehousing, orchestration, transformations, ingestion, and observability.
* Define ingestion, modeling, testing, and monitoring frameworks to ensure data is accurate, reliable, and easy to use.
 Deliver Business\-Impacting Data Capabilities
* Partner with Engineering, Product, Finance, People, Sales, Operations, and the Executive Team to understand data needs and deliver high\-value pipelines, models, and datasets.
* Support financial and people analytics, revenue and margin reporting, operational workflows, and compliance/audit needs.
* Provide tooling, infrastructure, and best practices to empower the Operations Data team and other internal data consumers.
 Hands\-On Technical Ownership
* Design and implement ETL/ELT pipelines, schemas, and transformations in our AWS environment.
* Debug complex data issues, especially those spanning our payments, benefits, and financial systems.
* Establish standards for data reliability, testing, documentation, privacy, and governance.
 Set Vision \&amp; Roadmap for Data Engineering
* Create clarity where none exists—define architectural direction, roadmap, SLAs, data contracts, and cross\-team processes.
* Anticipate scaling needs and prepare the platform for increased volume, complexity, and product usage.
* Influence product and engineering teams on event instrumentation, schema design, and logging to ensure downstream data is structured and reliable.
 Prepare for Future Team Growth (Without Immediate Hiring)
* While we do not plan to hire additional data engineers on this team in the next year, you will:
+ define the future data engineering team structure,
+ establish foundational patterns, tooling, and documentation, and
+ position Benepass to scale efficiently once we do grow the team.
**About You**
 Technical Expertise
* \~5\+ years of data engineering experience with increasing scope and ownership.
* Strong background with AWS (RDS, Redshift, S3, Lambda, IAM) and Python.
* Deep experience building and maintaining scalable ETL/ELT pipelines, data models, event schemas, and orchestration.
* Strong command of SQL, warehousing concepts, dimensional modeling, and performance optimization.
 0→1 and Scale Experience
* You have built or significantly overhauled a data platform at a high\-growth startup (e.g., Series A–C) or similar environment.
* Comfortable owning the entire data ecosystem without existing mature processes or structure.
 Cross\-Functional Partner \&amp; Communicator
* Able to translate ambiguous business questions into clear, prioritized technical work.
* Experienced in partnering with non\-technical stakeholders (Finance, Sales, People, Operations) who depend on timely and accurate data.
 Ownership \&amp; Autonomy
* High sense of ownership and accountability for data reliability and clarity.
* Bias toward action, with strong judgment on when to build for now vs. build for scale.
 Nice\-to\-Haves
* Experience in fintech, payments, benefits, or other regulated domains with high data integrity requirements.
* Familiarity with tools such as dbt, Dagster/Airflow, Kafka/Kinesis, and data quality / observability tooling.
* Experience supporting both internal BI/reporting and data\-for\-product use cases (e.g., analytics, personalization, fraud/risk).
**Compensation**
* Base salary of $180,000 to $200,000 \+ equity.
*Range(s) is subject to change. Benepass takes a number of factors into account when determining individual starting pay, including market comparables, interview performance, peer compensation, and years of experience.*
**What We Offer**
* 95% coverage of medical, dental, and vision
* Fantastic benefits (of course 😃), including:
+ $250 WFH setup
+ $150/month cell phone \+ internet
+ $100/month Wellness
* We offer several team onsites a year
* Flexible PTO
 At Benepass, we are working towards reimaging how companies take care of their people. We are committed to creating an inclusive environment for all our employees and are seeking to build a team that reflects the diversity of the people we hope to serve with our revolutionary products. Benepass is proud to be an equal\-opportunity employer.</t>
        </is>
      </c>
    </row>
    <row r="38">
      <c r="A38" t="inlineStr">
        <is>
          <t>li-4354465623</t>
        </is>
      </c>
      <c r="B38" t="inlineStr">
        <is>
          <t>Analytics Engineer</t>
        </is>
      </c>
      <c r="C38" t="inlineStr">
        <is>
          <t>RemoteHunter</t>
        </is>
      </c>
      <c r="D38" t="inlineStr">
        <is>
          <t>linkedin</t>
        </is>
      </c>
      <c r="E38" t="inlineStr"/>
      <c r="F38" t="inlineStr"/>
      <c r="G38" t="inlineStr"/>
      <c r="H38" t="inlineStr"/>
      <c r="I38"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li-4354815375</t>
        </is>
      </c>
      <c r="B39" t="inlineStr">
        <is>
          <t>Data Engineer, New College Grad - 2026, Foster City, CA</t>
        </is>
      </c>
      <c r="C39" t="inlineStr">
        <is>
          <t>Visa</t>
        </is>
      </c>
      <c r="D39" t="inlineStr">
        <is>
          <t>linkedin</t>
        </is>
      </c>
      <c r="E39" t="inlineStr"/>
      <c r="F39" t="inlineStr"/>
      <c r="G39" t="inlineStr">
        <is>
          <t>Foster City, CA</t>
        </is>
      </c>
      <c r="H39" t="inlineStr"/>
      <c r="I39" t="inlineStr">
        <is>
          <t>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a versatile, curious, and energetic Data Engineer who embrace solving complex challenges on a global scale. As a Visa Data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 Create and maintain optimal data pipeline architecture for validating and certifying payment workflows
* Assemble large, complex data sets that meet functional / non\-functional business requirements
* Present technical solutions, capabilities, considerations, and features in business terms. Effectively communicate status, issues, and risks in a precise and timely manner.
**Qualifications**
**Basic Qualifications**
* Bachelor's or Master's degree in Computer Science, Computer Engineering, CIS/MIS, Cybersecurity, Business or a related field, graduating May 2025 \- August 2026\.
**Preferred Qualifications**
* Experience with programming languages such as Python, Java, Scala, C\+\+, Rust, Golang,
* Basic knowledge of Distributed Systems, and Data Structures
* Knowledge or experience with Big Data and the Cloud platform services: Apache Hadoop, Apache Spark.
* Passion for exploring emerging data engineering technologies and GenAI, including modern data pipelines, distributed processing (e.g., Spark), cloud platforms, containerization, and AI\-driven tools.
* Basic Knowledge in ETL, Data Pipelines using Python, Shell Scripts, Apache Airflow, and Apache Kafka; Building \&amp; Populating Data Warehouses, and Querying with BI tools.
* Basic Knowledge in RDBMS fundamentals: Design \&amp; Creation of Databases, Schemas, Tables; DB Administration, Security \&amp; working with MySQL \&amp; IBM Db2\.
* Basic Knowledge in SQL query language, database functions, stored procs, working with multiple tables, joins, \&amp; transactions.
* Basic Knowledge in NoSQL \&amp; Big Data concepts: MongoDB, Cassandra
* Knowledge of best practices and IT operations in an always\-up, always\-available service
* Experience with or knowledge of Agile Software Development methodologies
* The ability to take on challenges and address problems head\-on
* Strong ability to collaborate
* Highly driven, resourceful and results oriented
* Good team player and excellent interpersonal skills
* Good analytical and problem\-solving skills
* Demonstrated ability to lead and navigate through ambiguity.
**Additional Information**
**U.S. APPLICANTS ONLY:** 
 The estimated salary for a new hire into this position is $120,000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Permanent Authorization to work in the U.S. is a precondition of employment for this position. Visa will not sponsor applicants for work visas in connection with this position. Future sponsorship will not be considered.
**Work Hours:**
 Varies upon the needs of the department.
**This is a hybrid position:** 
 Expectation of days in office will be confirmed by your hiring manager.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row>
    <row r="40">
      <c r="A40" t="inlineStr">
        <is>
          <t>li-4328802366</t>
        </is>
      </c>
      <c r="B40" t="inlineStr">
        <is>
          <t>Data Engineer, Junior</t>
        </is>
      </c>
      <c r="C40" t="inlineStr">
        <is>
          <t>Booz Allen Hamilton</t>
        </is>
      </c>
      <c r="D40" t="inlineStr">
        <is>
          <t>linkedin</t>
        </is>
      </c>
      <c r="E40" t="inlineStr"/>
      <c r="F40" t="inlineStr"/>
      <c r="G40" t="inlineStr">
        <is>
          <t>Huntsville, AL</t>
        </is>
      </c>
      <c r="H40" t="inlineStr"/>
      <c r="I40" t="inlineStr">
        <is>
          <t>**Job Number: R0229548**
 Data Engineer, Junior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 from fraud detection to cancer research, to national intelligence.
 As a data engineer at Booz Allen, you’ll use your skills to help build advanced technology solutions and implement data engineering activities on some of the most mission\-driven projects in the industry. You’ll help develop and deploy the pipelines and platforms that organize and make disparate data meaningful.
 Here, you’ll learn from a multi\-disciplinary team of analysts, data engineers, developers, and data consumers in a fast\-paced, agile environment. You’ll grow your skills in analytical exploration and data examination while you support the assessment, design, building, and maintenance of scalable platforms for your clients.
 Work with us to use data for good.
 Join us. The world can’t wait.
**You Have:**
* Experience with data engineering concepts, including data collection, storage, processing, cleaning, or transforming
* Knowledge of AWS cloud services, Azure, Google, or AWS cloud
* Knowledge of search indexes
* Ability to obtain a Top Secret clearance
* Scheduled to obtain a Bachelor's degree by Summer 2026 or Winter 2026
**Nice If You Have:**
* Active TS/SCI clearance; willingness to take a polygraph exam
* AWS Cloud Certifications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$48,000\.00 to $98,000\.00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1">
      <c r="A41" t="inlineStr">
        <is>
          <t>li-4345991389</t>
        </is>
      </c>
      <c r="B41" t="inlineStr">
        <is>
          <t>Senior Data Engineer (Azure Databricks)</t>
        </is>
      </c>
      <c r="C41" t="inlineStr">
        <is>
          <t>UST</t>
        </is>
      </c>
      <c r="D41" t="inlineStr">
        <is>
          <t>linkedin</t>
        </is>
      </c>
      <c r="E41" t="inlineStr"/>
      <c r="F41" t="inlineStr"/>
      <c r="G41" t="inlineStr">
        <is>
          <t>Alpharetta, GA</t>
        </is>
      </c>
      <c r="H41" t="inlineStr"/>
      <c r="I41" t="inlineStr">
        <is>
          <t>**Role Description**
**Senior Data Engineer (Azure Databricks)**
**Lead II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Senior Data Engineer (Azure Databricks) with 5\+ years building batch and/or streaming pipelines with Spark.
**The Opportunity**
* Python packaging, code quality, testing (pytest, chispa), code reviews
* Documentation and stakeholder communication
* Software engineering practices CI/CD for Databricks (Repos, asset bundles/wheels), artifact versioning
* Large\-scale data processing
* Governance, security, and compliance
 This position description identifies the responsibilities and tasks typically associated with the performance of the position. Other relevant essential functions may be required.
**What You Need**
* (Nice to have) Lakehouse design trade\-offs and table constraints cluster sizing, autoscaling, and cost optimization (spot, pools)
* Observability: Spark UI, metrics, event logs, Delta logs
* (Nice to have) Handling TB\-scale datasets, throughput vs. latency trade\-offs
* (Nice to have) Privilege model in Unity Catalog; table, row, and column\-level security patterns
* (Nice to have) PII handling, masking/anonymization, auditability, lineage
* Nice to have (optional): Scala, dbt, Kafka/Event Hubs, ADF/Airflow, Terraform, Power BI, data mesh concepts, SCD Pattern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Georgia**
**Compensation Range** 
 : $76,500\-$112,500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spark,pyspark,databricks,azure devops,sql</t>
        </is>
      </c>
    </row>
    <row r="42">
      <c r="A42" t="inlineStr">
        <is>
          <t>li-4311468962</t>
        </is>
      </c>
      <c r="B42" t="inlineStr">
        <is>
          <t>Staff Data Engineer</t>
        </is>
      </c>
      <c r="C42" t="inlineStr">
        <is>
          <t>Upside</t>
        </is>
      </c>
      <c r="D42" t="inlineStr">
        <is>
          <t>linkedin</t>
        </is>
      </c>
      <c r="E42" t="inlineStr"/>
      <c r="F42" t="inlineStr"/>
      <c r="G42" t="inlineStr">
        <is>
          <t>Austin, TX</t>
        </is>
      </c>
      <c r="H42" t="inlineStr"/>
      <c r="I42"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
 **Staff Data Engineer** 
 to serve as a technical leader on the Analytics Engineering team. In this role, you'll drive the design and implementation of foundational data products and analytics platform capabilities that power Upside’s most critical product and business use cases. You’ll lead cross\-functional workstreams, shape patterns and architecture across teams, and elevate the overall quality and impact of data work at Upside.
 This role is ideal for someone who enjoys deep technical problem\-solving, cares about quality and long\-term maintainability, and is motivated by helping others work more effectively with data.
 Here are some ways we have seen analytics engineers drive impact at Upside:
* Design and deliver highly complex, domain\-critical data products used by analysts, data scientists, and product teams to unlock new product features, ML models, and strategic decisions.
* Architect scalable, extensible patterns for modeling, orchestration, and data transformation—balancing flexibility, reusability, and cost\-efficiency.
* Own platform evolution projects such as migrating the data platform to Snowflake Semantic Views, extending Cortex, or improving orchestration tooling for analytics workflows.
* Lead technical planning and delivery across cross\-functional teams, breaking down complex data initiatives into scoped, sequenced workstreams implemented by you and others.
* Drive platform adoption and best practices, mentoring other engineers, building internal documentation and tooling, and raising the overall bar for analytics engineering across the company.
* Influence upstream and downstream teams, partnering with engineering, product, data science, and business stakeholders to align on requirements and deliver end\-to\-end solutions.
* Represent Analytics Engineering in technical design forums and contribute to roadmap discussions that shape the future of data at Upside.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6\+ years of experience in data or analytics engineering, with a track record of owning complex, business\-critical data systems end to end.
* Have deep expertise in SQL and Python, particularly for transforming, testing, and orchestrating very large datasets.
* Are fluent with platforms like AWS, Snowflake, dbt, and Dagster, and can design extensible patterns to be used across teams.
* Experience with DevOps practices (e.g., CI/CD for data), data governance, or FinOps (cost\-conscious design).
* Can break down ambiguous, cross\-functional data problems and lead the implementation from design to deployment, collaborating across technical and non\-technical teams.
* Proactively identify opportunities to improve the analytics platform and are comfortable designing and implementing impactful, reusable solutions.
* Communicate clearly across audiences, from engineers and analysts to product managers and business leaders.
* Understand how to balance business value, maintainability, and platform standards in your design decisions.
* Are excited about the opportunity to mentor others, set standards, and leave systems better than you found them.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$215,000 \- $250,000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t>
        </is>
      </c>
    </row>
    <row r="43">
      <c r="A43" t="inlineStr">
        <is>
          <t>li-4340964837</t>
        </is>
      </c>
      <c r="B43" t="inlineStr">
        <is>
          <t>Sr. Data Engineer with Financial domain</t>
        </is>
      </c>
      <c r="C43" t="inlineStr">
        <is>
          <t>Synechron</t>
        </is>
      </c>
      <c r="D43" t="inlineStr">
        <is>
          <t>linkedin</t>
        </is>
      </c>
      <c r="E43" t="inlineStr"/>
      <c r="F43" t="inlineStr"/>
      <c r="G43" t="inlineStr">
        <is>
          <t>New York, NY</t>
        </is>
      </c>
      <c r="H43" t="inlineStr"/>
      <c r="I43"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looking for a highly skilled Senior Data Engineer with a strong background in the Financial and Risk domain to join our data team. The ideal candidate will be responsible for designing, developing, and maintaining scalable data pipelines and architectures to support risk analytics, financial data analysis, and reporting needs. This role offers an opportunity to work on complex financial datasets, implement data solutions, and enable data\-driven decision\-making within a dynamic banking environment.
 Additional Information\*
 The base salary for this position will vary based on geography and other factors. In accordance with law, the base salary for this role if filled within NYC, NY is $110k \- $150k/year \&amp; benefits (see below).
**The Role**
**Responsibilities:**
* Understand technical specifications.
* Business requirements discussion with business analyst and business users.
* Python/SQL Server/Snowflake/Databricks application development and system design.
* Develop and maintain data models and schemas to support data integration and analysis.
* Implement data quality and validation checks to ensure accuracy and consistency of data.
* Execution of UT and SIT with business analysts to ensure of high\-quality testing.
* Support for UAT with business users.
* Production support and maintenance of application platform.
**Requirements:**
* Around 15 years IT industry experience.
* Strong communication skills.
* Agile methodology and SDLC processes.
* Design and Architecture experience.
* Experience working in global delivery model (onshore/offshore/nearshore).
* Strong problem\-solving and analytical skills.
* Self\-starter, collaborative team player and works with minimal guidance.
 Technical Skills:
* Mandatory (Strong)
* Python, SQL server and relational database concepts, Azure Databricks, Snowflake, Scheduler (Autosys/Control\-M), ETL, CI/CD
**Preferred skills:** 
 PySpark
 Financial systems/capital markets/credit risk/regulatory application development experience.
**We offer:**
* A multinational organization with 60 offices in 20 countries and the possibility to work abroad.
* 10 days of paid annual leave plus an additional 10 days of personal leave (floating days and sick days).
* A comprehensive insurance plan including medical, dental, vision, life insurance, and long\-term disability.
* Flexible hybrid policy.
* RRSP with employer’s contribution up to 4%.
* A higher education certification policy.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44">
      <c r="A44" t="inlineStr">
        <is>
          <t>li-4344062243</t>
        </is>
      </c>
      <c r="B44" t="inlineStr">
        <is>
          <t>Senior Data Engineer</t>
        </is>
      </c>
      <c r="C44" t="inlineStr">
        <is>
          <t>NinjaOne</t>
        </is>
      </c>
      <c r="D44" t="inlineStr">
        <is>
          <t>linkedin</t>
        </is>
      </c>
      <c r="E44" t="inlineStr"/>
      <c r="F44" t="inlineStr"/>
      <c r="G44" t="inlineStr">
        <is>
          <t>Texas, United States</t>
        </is>
      </c>
      <c r="H44" t="inlineStr"/>
      <c r="I44" t="inlineStr">
        <is>
          <t>**Description**
 About the Role
 At NinjaOne, we’re looking for a skilled Senior Data Engineer to join our team and help drive the future of our data infrastructure. You’ll play a critical role in building, maintaining, and scaling our systems to ensure smooth data flow, accuracy, and security across the organization. This is an exciting opportunity to work on innovative projects, collaborate with cross\-functional teams, and help shape how we leverage data to fuel growth, optimize products, and drive business decisions.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Data Pipeline Development: Design and implement scalable data pipelines that move and transform large volumes of data from multiple sources to central data warehouses, transforming data to enable business reporting and advanced analytics.
* Database Management: Manage and optimize the performance of relational databases, ensuring data availability, reliability, and consistency.
* Automation \&amp; Optimization: Automate and optimize data workflows to reduce manual processes and improve efficiency in data collection, storage, and processing.
* Monitoring \&amp; Maintenance: Ensure the integrity and security of data across systems, monitor performance, and troubleshoot any issues that arise within the data pipeline.
* Data Visualization: Build dashboards and reports in Tableau and Databricks to expose key data points and trends to business stakeholders.
* Collaboration: Work closely with data scientists, analysts, and other teams to gather requirements, understand data needs, and provide solutions that support data\-driven decision\-making.
* Other duties as needed.
**About You**
* Bachelor’s degree in Computer Science, Computer Engineering, Information Technology or equivalent work experience preferred.
* 10\+ years of experience in software development, with a strong focus on data engineering and data science.
* Experience in building data pipelines and managing large\-scale data systems using technologies like SQL and Python.
* Expertise in Python.
* Experience in cloud platforms like AWS, GCP, or Azure, and experience with tools like Airflow, Kafka or dbt for orchestrating data workflows.
* Mastery with both relational databases including MySQL, PostgreSQL and NoSQL databases like MongoDB, Cassandra.
* Experience with data warehousing concepts and tools such as Redshift, BigQuery, Snowflake.
* Solid understanding of Microservices Architecture and DevOps principles.
* Experience that will make you a standout candidate:
* Previous experience working with large\-scale data pipelines and machine learning models.
* Understanding of Generative AI and Deep Learning frameworks.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federal government security requirements associated with our FedRAMP\-authorized environment, candidates must be U.S. citizens or lawful permanent residents.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$110,000 to $200,000 per year.
 For roles based in New York, the base salary hiring range for this position is $110,000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45">
      <c r="A45" t="inlineStr">
        <is>
          <t>li-4314048668</t>
        </is>
      </c>
      <c r="B45" t="inlineStr">
        <is>
          <t>Staff Data Engineer</t>
        </is>
      </c>
      <c r="C45" t="inlineStr">
        <is>
          <t>Upside</t>
        </is>
      </c>
      <c r="D45" t="inlineStr">
        <is>
          <t>linkedin</t>
        </is>
      </c>
      <c r="E45" t="inlineStr"/>
      <c r="F45" t="inlineStr"/>
      <c r="G45" t="inlineStr">
        <is>
          <t>New York, NY</t>
        </is>
      </c>
      <c r="H45" t="inlineStr"/>
      <c r="I45"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
 **Staff Data Engineer** 
 to serve as a technical leader on the Analytics Engineering team. In this role, you'll drive the design and implementation of foundational data products and analytics platform capabilities that power Upside’s most critical product and business use cases. You’ll lead cross\-functional workstreams, shape patterns and architecture across teams, and elevate the overall quality and impact of data work at Upside.
 This role is ideal for someone who enjoys deep technical problem\-solving, cares about quality and long\-term maintainability, and is motivated by helping others work more effectively with data.
 Here are some ways we have seen analytics engineers drive impact at Upside:
* Design and deliver highly complex, domain\-critical data products used by analysts, data scientists, and product teams to unlock new product features, ML models, and strategic decisions.
* Architect scalable, extensible patterns for modeling, orchestration, and data transformation—balancing flexibility, reusability, and cost\-efficiency.
* Own platform evolution projects such as migrating the data platform to Snowflake Semantic Views, extending Cortex, or improving orchestration tooling for analytics workflows.
* Lead technical planning and delivery across cross\-functional teams, breaking down complex data initiatives into scoped, sequenced workstreams implemented by you and others.
* Drive platform adoption and best practices, mentoring other engineers, building internal documentation and tooling, and raising the overall bar for analytics engineering across the company.
* Influence upstream and downstream teams, partnering with engineering, product, data science, and business stakeholders to align on requirements and deliver end\-to\-end solutions.
* Represent Analytics Engineering in technical design forums and contribute to roadmap discussions that shape the future of data at Upside.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6\+ years of experience in data or analytics engineering, with a track record of owning complex, business\-critical data systems end to end.
* Have deep expertise in SQL and Python, particularly for transforming, testing, and orchestrating very large datasets.
* Are fluent with platforms like AWS, Snowflake, dbt, and Dagster, and can design extensible patterns to be used across teams.
* Experience with DevOps practices (e.g., CI/CD for data), data governance, or FinOps (cost\-conscious design).
* Can break down ambiguous, cross\-functional data problems and lead the implementation from design to deployment, collaborating across technical and non\-technical teams.
* Proactively identify opportunities to improve the analytics platform and are comfortable designing and implementing impactful, reusable solutions.
* Communicate clearly across audiences, from engineers and analysts to product managers and business leaders.
* Understand how to balance business value, maintainability, and platform standards in your design decisions.
* Are excited about the opportunity to mentor others, set standards, and leave systems better than you found them.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$215,000 \- $250,000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$215K \- $250K</t>
        </is>
      </c>
    </row>
    <row r="46">
      <c r="A46" t="inlineStr">
        <is>
          <t>li-4275749066</t>
        </is>
      </c>
      <c r="B46" t="inlineStr">
        <is>
          <t>Staff Data Engineer</t>
        </is>
      </c>
      <c r="C46" t="inlineStr">
        <is>
          <t>Life360</t>
        </is>
      </c>
      <c r="D46" t="inlineStr">
        <is>
          <t>linkedin</t>
        </is>
      </c>
      <c r="E46" t="inlineStr"/>
      <c r="F46" t="inlineStr"/>
      <c r="G46" t="inlineStr"/>
      <c r="H46" t="inlineStr"/>
      <c r="I46"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750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regardless of any specified location above.***
**About The Team**
 The Data Platform team’s purpose is to design, build, and maintain scalable and efficient data infrastructure that empowers Life360 teams to make data\-driven decisions. We transform raw data into reliable, accessible, and actionable insights, ensuring data quality, compliance, security, costs and performance at every step. By leveraging innovative technologies and best practices, we enable Product, Analytics and Partners to unlock the full potential of data, driving operational excellence and strategic growth.
**For candidates based in the US, the salary range for this position is $166,500 to 245,000 USD. For candidates based out of Canada, the salary range for this position is 195,500 to 230,000 CAD.** 
**Note: Please be aware that the job title for positions in Canada will be "Developer" in lieu of "Engineer."**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**About The Job**
 At Life360, we collect a lot of data: 60 billion unique location points, 12 billion user actions, 8 billion miles driven every single month, and so much more. As a Staff Data Engineer, you will contribute to enhancing and modernizing our data platform infrastructure towards a robust and secure data system. You should have a strong engineering background and even more importantly a desire to take ownership of our data systems to make them world class.
**What You’ll Do**
 Primary responsibilities include, but are not limited to:
* Design, implement, and manage scalable data processing platforms used for real\-time analytics and exploratory data analysis.
* Build and Manage our core data infrastructure from ingestion through ETL to storage and batch and real\-time processing utilizing the latest tools and tech in the industry.
* Automate, test and harden all data workflows.
* Architect logical and physical data models to ensure the needs of the business are met.
* Collaborate with multiple stakeholders like mobile app, cloud, product, data science and analytics teams, in recommendation and applying best practices
* Architect and develop systems and algorithms for distributed real\-time analytics and data processing
* Implement strategies for acquiring data to develop new insights
* Mentor junior engineers, imparting best practices and institutionalizing efficient processes to foster growth and innovation within the team
**What We’re Looking For**
 Experiences required for success in this role include:
* Minimum 8\+ years of experience working with high volume data infrastructure.
* Experience with Databricks, AWS, ETL and Job orchestration tooling.
* Extensive experience programming in one of the following languages: Python / Java.
* Experience in data security, data governance, data contracts, data quality, cost management, optimizing SQL queries, and system performance tuning.
* You are proficient with SQL, AWS, Databases, Apache Spark, Spark Streaming, EMR, and Kinesis/Kafka
* Experience in modern data engineering SDLC including Agile methodology, CI/CD, automated deployments using Terraform, GitHub Actions etc.
* Knowledge and proficiency in the latest open source and data frameworks, lakehouse architecture, open table format, modern data platform tech stacks and tools.
* Always be learning and staying up to speed with the fast moving data world.
* You have good communication skills and can work independently
* BS in Computer Science, Software Engineering, Mathematics, or equivalent experience
**Our Benefits**
* Competitive pay and benefits
* Medical, dental, vision, life, and disability insurance plans (100% paid for US employees). We offer supplemental medical and dental plans for Canadian employees.
* RRSP plan with DPSP company matching program
* Employee Assistance Program (EAP) for mental wellness.
* Flexible PTO and 12 company\-wide days off throughout the year
* Learning \&amp; Development programs
* Equipment, tools, and reimbursement support for a productive remote environment
* Free Life360 Platinum Membership for your preferred circle
**Life360 Values**
 Our company’s mission\-driven culture is guided by our shared values to create a trusted work environment where you can bring your authentic self to work and make a positive difference.
* Be a Good Person \- We have a team of people with high integrity who you can trust.
* Be Direct With Respect \- We communicate directly, even when it’s hard.
* Members Before Metrics \- We focus on building an exceptional experience for families.
* High\-Intensity High Impact \- We do whatever it takes to get the job done.</t>
        </is>
      </c>
    </row>
    <row r="47">
      <c r="A47" t="inlineStr">
        <is>
          <t>li-4325232893</t>
        </is>
      </c>
      <c r="B47" t="inlineStr">
        <is>
          <t>Principal Data Engineer</t>
        </is>
      </c>
      <c r="C47" t="inlineStr">
        <is>
          <t>Autodesk</t>
        </is>
      </c>
      <c r="D47" t="inlineStr">
        <is>
          <t>linkedin</t>
        </is>
      </c>
      <c r="E47" t="inlineStr"/>
      <c r="F47" t="inlineStr"/>
      <c r="G47" t="inlineStr"/>
      <c r="H47" t="inlineStr"/>
      <c r="I47" t="inlineStr">
        <is>
          <t>**Job Requisition ID \#**
 25WD90545
 Position Overview
 We are seeking a Principal Data Engineer to provide technical leadership in designing, building, and scaling data infrastructure that powers machine learning, personalization, and search experiences. You will architect scalable data pipelines in production, drive technical strategy, and mentor engineering teams while partnering with Machine Learning Engineering, Platform Engineering, and Data Science.
 Your work will be critical to strategic initiatives including optimization of digital conversion metrics, development of Autodesk Assistant (an LLM\-driven chatbot), RAG (Retrieval\-Augmented Generation) systems, eCommerce personalization engines, and intelligent search capabilities. As a Principal Engineer, you will set technical direction, establish best practices, and drive innovation across the data engineering organization.
 Our team culture is built on collaboration, mutual support, and continuous learning. We emphasize an agile, hands\-on, and technical approach at all levels of the team.
 Key Responsibilities
* Define and drive technical architecture for data platforms supporting ML and personalization at scale.
* Design, build, and maintain highly scalable, low\-latency data pipelines supporting real\-time ML inference and personalization.
* Build data pipelines for RAG systems, including vector embeddings and semantic search.
* Design real\-time feature engineering and event processing systems for eCommerce personalization and recommendation engines.
* Develop sophisticated data models optimized for ML training, real\-time inference, and analytics workloads.
* Implement complex stream processing architectures using technologies like Kafka and Flink.
* Oversee and optimize database systems (SQL, NoSQL, vector databases) ensuring high performance and scalability.
* Establish data engineering standards, patterns, and best practices across the organization.
* Provide technical leadership, guidance, and mentorship to senior and mid\-level data engineers.
* Lead cross\-functional teams to deliver complex data engineering solutions in production.
**Minimum Qualifications**
* 8\+ years of data engineering experience with at least 3\+ years in a senior or lead capacity.
* Expert\-level proficiency in Python, Java, or Scala
* Deep knowledge of SQL and extensive experience with relational and NoSQL databases
* Strong expertise in big data technologies (Kafka, Flink, Spark, Parquet, Iceberg, Delta Lake)
* Advanced experience with ETL orchestration tools like Apache Airflow
* Extensive experience with cloud platforms (AWS, Azure, or GCP) and their data services
* Deep understanding of data warehousing solutions like Snowflake, Redshift, or BigQuery
* Proven expertise in data modeling, data architecture design, and ETL/ELT processes at scale
* Demonstrated ability to lead technical initiatives and mentor engineering talent
* Strong communication skills with ability to explain complex technical concepts to diverse audiences.
* Bachelor’s degree in computer science, or related field (Master's/PhD strongly preferred)
**Preferred Skills \&amp; Experience**
* Experience building data pipelines for Retrieval\-Augmented Generation, vector databases (Pinecone, Weaviate, Milvus), and semantic search
* Experience with real\-time personalization engines, recommendation systems, feature stores, and A/B testing infrastructure
* Experience building ML data pipelines, feature engineering systems, and model serving infrastructure
* Knowledge of search technologies (Elasticsearch, Solr, OpenSearch), relevance tuning, and search analytics
* Deep experience with event streaming, behavioral analytics, and customer data platforms
* Experience with A/B testing infrastructure and metrics computation at scale
* Knowledge of MLOps, model monitoring, and ML pipeline orchestration
* Knowledge of eCommerce metrics, conversion optimization, and digital analytics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$130,600 and $211,200\.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48">
      <c r="A48" t="inlineStr">
        <is>
          <t>li-4352568480</t>
        </is>
      </c>
      <c r="B48" t="inlineStr">
        <is>
          <t>Data Engineer</t>
        </is>
      </c>
      <c r="C48" t="inlineStr">
        <is>
          <t>Jobot</t>
        </is>
      </c>
      <c r="D48" t="inlineStr">
        <is>
          <t>linkedin</t>
        </is>
      </c>
      <c r="E48" t="inlineStr"/>
      <c r="F48" t="inlineStr"/>
      <c r="G48" t="inlineStr">
        <is>
          <t>New York, NY</t>
        </is>
      </c>
      <c r="H48" t="inlineStr"/>
      <c r="I48" t="inlineStr">
        <is>
          <t>Want to learn more about this role and Jobot? Click our Jobot logo and follow our LinkedIn page!
 Job details
 This Jobot Job is hosted by Amanda Preston
 Are you a fit? Easy Apply now by clicking the "Easy Apply" button and sending us your resume.
 Salary $155,000 \- $175,000 per year
**A Bit About Us**
 We are a global organization operating at the intersection of technology, data, and digital platforms, supporting products and services used by millions worldwide. Our teams build and operate highly scalable, cloud\-native systems that power data\-driven decision\-making, advanced analytics, and machine learning across a diverse and complex ecosystem. With a strong emphasis on modern engineering practices, automation, and innovation, we invest heavily in the people and platforms that enable long\-term growth and technical excellence.
****Why join us?****
 Work at scale Build and operate production systems that support large, globally distributed platforms and high\-impact use cases.
 Technical ownership Play a key role in shaping MLOps, DevOps, and cloud architecture standards across the organization.
 Modern stack Work with Kubernetes, GCP, Terraform, CI/CD, and production machine learning systems.
 Real\-world impact Deploy and operationalize machine learning models that directly support business\-critical workflows.
 Collaborative culture Partner closely with experienced engineers, data scientists, and product leaders who value strong technical judgment.
 Growth and stability Join a mature, well\-funded environment that offers long\-term career growth and technical depth without startup volatility.
**Job Details**
 Role Summary
 Join an elite engineering team at a large, globally distributed organization building next\-generation, data\-driven platforms at scale. We are seeking a highly motivated and skilled Senior MLOps/DevOps Engineer to lead the architecture, deployment, and operation of modern machine learning and cloud\-native systems.
 This role is critical in bridging Data Science and Platform Operations, ensuring machine learning models and core services are deployed reliably, scalably, and securely in production cloud environments. The position requires deep expertise in automation, cloud infrastructure, and the full machine learning lifecycle.
 Key Responsibilities
 MLOps Pipeline Ownership Design, implement, and manage end\-to\-end MLOps pipelines for continuous training, deployment, monitoring, and versioning of production ML models (e.g., recommendation systems, content intelligence, or analytics platforms).
 Data Pipeline Design \&amp; Orchestration Design, build, and maintain robust data ingestion and transformation pipelines using modern orchestration tools such as Dagster or Airflow.
 Kubernetes \&amp; Cloud Architecture Architect, deploy, and maintain highly scalable, fault\-tolerant infrastructure using Kubernetes (GKE) within Google Cloud Platform (GCP).
 DevOps \&amp; Automation Champion DevOps best practices, including Infrastructure as Code (IaC) using Terraform or similar tools, and establish reliable CI/CD workflows.
 CI/CD Implementation Configure and manage automated deployment and testing pipelines using GitHub Actions and related tooling to ensure fast, reliable releases.
 Core Development Write clean, efficient, and well\-tested Python code for automation, infrastructure tooling, and service integration.
 API \&amp; Service Deployment Design, develop, and deploy high\-performance Python APIs (FastAPI, Flask, or similar) to serve ML predictions and application services in production.
 Monitoring \&amp; Observability Implement comprehensive monitoring, logging, and alerting solutions (e.g., Prometheus, Grafana, cloud\-native logging tools) to maintain system reliability.
 Security \&amp; Compliance Implement security best practices, access controls, and compliance requirements appropriate for large\-scale, enterprise environments.
 Collaboration \&amp; Mentorship Partner closely with data scientists, software engineers, and product teams while providing technical guidance and mentorship to junior engineers.
**Required Qualifications**
 5\+ years of experience in DevOps, Cloud Engineering, or related roles, including 2\+ years focused on MLOps in production environments
 Advanced proficiency in Python for development, automation, and scripting
 Proven experience building and deploying production\-grade APIs and backend services (FastAPI, Flask, Django)
 Strong SQL skills and experience designing and optimizing data models for relational and NoSQL systems (e.g., BigQuery, Cloud SQL)
 Hands\-on experience with workflow orchestration tools (Dagster, Airflow)
 Expert knowledge of Docker and Kubernetes, including Helm and Kubernetes\-native IaC tools (e.g., Crossplane); GKE experience strongly preferred
 Extensive experience within the Google Cloud Platform (GCP) ecosystem (Compute Engine, Cloud Storage, BigQuery, Pub/Sub, Vertex AI)
 Strong GitHub\-based development workflows (branching, pull requests, code reviews)
 Solid understanding of network architecture, security principles, and large\-scale data processing
 Excellent communication, collaboration, and problem\-solving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9">
      <c r="A49" t="inlineStr">
        <is>
          <t>li-4340346112</t>
        </is>
      </c>
      <c r="B49" t="inlineStr">
        <is>
          <t>Data Engineer and Application Developer</t>
        </is>
      </c>
      <c r="C49" t="inlineStr">
        <is>
          <t>Booz Allen Hamilton</t>
        </is>
      </c>
      <c r="D49" t="inlineStr">
        <is>
          <t>linkedin</t>
        </is>
      </c>
      <c r="E49" t="inlineStr"/>
      <c r="F49" t="inlineStr"/>
      <c r="G49" t="inlineStr">
        <is>
          <t>Honolulu, HI</t>
        </is>
      </c>
      <c r="H49" t="inlineStr"/>
      <c r="I49" t="inlineStr">
        <is>
          <t>**Job Number: R0230079**
 Data Engineer and Application Developer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with developing scalable ETL or ELT workflows for reporting and analytics
* Experience creating solutions within a collaborative, cross\-functional team environment
* Experience developing scripts and programs for converting various types of data into usable formats and supporting project team to scale, monitor, and operate data platforms
* Experience developing solutions that maximize data and AI value across analytical, operational, and policy‑support workflows, including applying DevSecOps practices, CI/CD pipelines, and automated quality controls in AWS environments
* TS/SCI clearance
* Bachelor’s degree
**Nice If You Have:** 
* Experience in application development utilizing SQL or Scala
* Experience with Palantir Foundry
* Experience working with Maven Smart Systems, such as Foundry and AIP
* Experience with distributed data and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advanced automation of software delivery, including infrastructure‑as‑code, such as Terraform or AWS CloudFormation, containerization, such as Docker, and orchestration, such as Kubernetes or EKS, aligned to DevSecOps practices
**Clearance** 
**:**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0">
      <c r="A50" t="inlineStr">
        <is>
          <t>li-4282846219</t>
        </is>
      </c>
      <c r="B50" t="inlineStr">
        <is>
          <t>Databricks Data Engineer - Manager - Consulting - Location Open</t>
        </is>
      </c>
      <c r="C50" t="inlineStr">
        <is>
          <t>EY</t>
        </is>
      </c>
      <c r="D50" t="inlineStr">
        <is>
          <t>linkedin</t>
        </is>
      </c>
      <c r="E50" t="inlineStr"/>
      <c r="F50" t="inlineStr"/>
      <c r="G50" t="inlineStr">
        <is>
          <t>Hoboken, NJ</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li-4282843556</t>
        </is>
      </c>
      <c r="B51" t="inlineStr">
        <is>
          <t>Databricks Data Engineer - Senior - Consulting - Location Open</t>
        </is>
      </c>
      <c r="C51" t="inlineStr">
        <is>
          <t>EY</t>
        </is>
      </c>
      <c r="D51" t="inlineStr">
        <is>
          <t>linkedin</t>
        </is>
      </c>
      <c r="E51" t="inlineStr"/>
      <c r="F51" t="inlineStr"/>
      <c r="G51" t="inlineStr">
        <is>
          <t>San Diego, CA</t>
        </is>
      </c>
      <c r="H51" t="inlineStr"/>
      <c r="I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2">
      <c r="A52" t="inlineStr">
        <is>
          <t>li-4282849107</t>
        </is>
      </c>
      <c r="B52" t="inlineStr">
        <is>
          <t>Databricks Data Engineer - Senior - Consulting - Location Open</t>
        </is>
      </c>
      <c r="C52" t="inlineStr">
        <is>
          <t>EY</t>
        </is>
      </c>
      <c r="D52" t="inlineStr">
        <is>
          <t>linkedin</t>
        </is>
      </c>
      <c r="E52" t="inlineStr"/>
      <c r="F52" t="inlineStr"/>
      <c r="G52" t="inlineStr">
        <is>
          <t>Philadelphia, PA</t>
        </is>
      </c>
      <c r="H52" t="inlineStr"/>
      <c r="I5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3">
      <c r="A53" t="inlineStr">
        <is>
          <t>li-4282843549</t>
        </is>
      </c>
      <c r="B53" t="inlineStr">
        <is>
          <t>Databricks Data Engineer - Senior - Consulting - Location Open</t>
        </is>
      </c>
      <c r="C53" t="inlineStr">
        <is>
          <t>EY</t>
        </is>
      </c>
      <c r="D53" t="inlineStr">
        <is>
          <t>linkedin</t>
        </is>
      </c>
      <c r="E53" t="inlineStr"/>
      <c r="F53" t="inlineStr"/>
      <c r="G53" t="inlineStr">
        <is>
          <t>Cleveland, OH</t>
        </is>
      </c>
      <c r="H53" t="inlineStr"/>
      <c r="I5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4">
      <c r="A54" t="inlineStr">
        <is>
          <t>li-4282847170</t>
        </is>
      </c>
      <c r="B54" t="inlineStr">
        <is>
          <t>Databricks Data Engineer - Senior - Consulting - Location Open</t>
        </is>
      </c>
      <c r="C54" t="inlineStr">
        <is>
          <t>EY</t>
        </is>
      </c>
      <c r="D54" t="inlineStr">
        <is>
          <t>linkedin</t>
        </is>
      </c>
      <c r="E54" t="inlineStr"/>
      <c r="F54" t="inlineStr"/>
      <c r="G54" t="inlineStr">
        <is>
          <t>Sacramento, CA</t>
        </is>
      </c>
      <c r="H54" t="inlineStr"/>
      <c r="I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5">
      <c r="A55" t="inlineStr">
        <is>
          <t>li-4282842620</t>
        </is>
      </c>
      <c r="B55" t="inlineStr">
        <is>
          <t>Databricks Data Engineer - Senior - Consulting - Location Open</t>
        </is>
      </c>
      <c r="C55" t="inlineStr">
        <is>
          <t>EY</t>
        </is>
      </c>
      <c r="D55" t="inlineStr">
        <is>
          <t>linkedin</t>
        </is>
      </c>
      <c r="E55" t="inlineStr"/>
      <c r="F55" t="inlineStr"/>
      <c r="G55" t="inlineStr">
        <is>
          <t>Englewood, CO</t>
        </is>
      </c>
      <c r="H55" t="inlineStr"/>
      <c r="I5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6">
      <c r="A56" t="inlineStr">
        <is>
          <t>li-4282842626</t>
        </is>
      </c>
      <c r="B56" t="inlineStr">
        <is>
          <t>Databricks Data Engineer - Senior - Consulting - Location Open</t>
        </is>
      </c>
      <c r="C56" t="inlineStr">
        <is>
          <t>EY</t>
        </is>
      </c>
      <c r="D56" t="inlineStr">
        <is>
          <t>linkedin</t>
        </is>
      </c>
      <c r="E56" t="inlineStr"/>
      <c r="F56" t="inlineStr"/>
      <c r="G56" t="inlineStr">
        <is>
          <t>Irvine, CA</t>
        </is>
      </c>
      <c r="H56" t="inlineStr"/>
      <c r="I5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7">
      <c r="A57" t="inlineStr">
        <is>
          <t>li-4282847164</t>
        </is>
      </c>
      <c r="B57" t="inlineStr">
        <is>
          <t>Databricks Data Engineer - Senior - Consulting - Location Open</t>
        </is>
      </c>
      <c r="C57" t="inlineStr">
        <is>
          <t>EY</t>
        </is>
      </c>
      <c r="D57" t="inlineStr">
        <is>
          <t>linkedin</t>
        </is>
      </c>
      <c r="E57" t="inlineStr"/>
      <c r="F57" t="inlineStr"/>
      <c r="G57" t="inlineStr">
        <is>
          <t>Miami, FL</t>
        </is>
      </c>
      <c r="H57" t="inlineStr"/>
      <c r="I5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8">
      <c r="A58" t="inlineStr">
        <is>
          <t>li-4282840919</t>
        </is>
      </c>
      <c r="B58" t="inlineStr">
        <is>
          <t>Databricks Data Engineer - Senior - Consulting - Location Open</t>
        </is>
      </c>
      <c r="C58" t="inlineStr">
        <is>
          <t>EY</t>
        </is>
      </c>
      <c r="D58" t="inlineStr">
        <is>
          <t>linkedin</t>
        </is>
      </c>
      <c r="E58" t="inlineStr"/>
      <c r="F58" t="inlineStr"/>
      <c r="G58" t="inlineStr">
        <is>
          <t>Providence, RI</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li-4282843550</t>
        </is>
      </c>
      <c r="B59" t="inlineStr">
        <is>
          <t>Databricks Data Engineer - Senior - Consulting - Location Open</t>
        </is>
      </c>
      <c r="C59" t="inlineStr">
        <is>
          <t>EY</t>
        </is>
      </c>
      <c r="D59" t="inlineStr">
        <is>
          <t>linkedin</t>
        </is>
      </c>
      <c r="E59" t="inlineStr"/>
      <c r="F59" t="inlineStr"/>
      <c r="G59" t="inlineStr">
        <is>
          <t>Oklahoma City, OK</t>
        </is>
      </c>
      <c r="H59" t="inlineStr"/>
      <c r="I5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0">
      <c r="A60" t="inlineStr">
        <is>
          <t>li-4361530701</t>
        </is>
      </c>
      <c r="B60" t="inlineStr">
        <is>
          <t>Senior Data Engineer</t>
        </is>
      </c>
      <c r="C60" t="inlineStr">
        <is>
          <t>Capital One</t>
        </is>
      </c>
      <c r="D60" t="inlineStr">
        <is>
          <t>linkedin</t>
        </is>
      </c>
      <c r="E60" t="inlineStr"/>
      <c r="F60" t="inlineStr"/>
      <c r="G60" t="inlineStr">
        <is>
          <t>McLean, VA</t>
        </is>
      </c>
      <c r="H60" t="inlineStr"/>
      <c r="I6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1">
      <c r="A61" t="inlineStr">
        <is>
          <t>li-4282843558</t>
        </is>
      </c>
      <c r="B61" t="inlineStr">
        <is>
          <t>Databricks Data Engineer - Senior - Consulting - Location Open</t>
        </is>
      </c>
      <c r="C61" t="inlineStr">
        <is>
          <t>EY</t>
        </is>
      </c>
      <c r="D61" t="inlineStr">
        <is>
          <t>linkedin</t>
        </is>
      </c>
      <c r="E61" t="inlineStr"/>
      <c r="F61" t="inlineStr"/>
      <c r="G61" t="inlineStr">
        <is>
          <t>Louisville, KY</t>
        </is>
      </c>
      <c r="H61" t="inlineStr"/>
      <c r="I6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2">
      <c r="A62" t="inlineStr">
        <is>
          <t>li-4282849079</t>
        </is>
      </c>
      <c r="B62" t="inlineStr">
        <is>
          <t>Databricks Data Engineer - Manager - Consulting - Location Open</t>
        </is>
      </c>
      <c r="C62" t="inlineStr">
        <is>
          <t>EY</t>
        </is>
      </c>
      <c r="D62" t="inlineStr">
        <is>
          <t>linkedin</t>
        </is>
      </c>
      <c r="E62" t="inlineStr"/>
      <c r="F62" t="inlineStr"/>
      <c r="G62" t="inlineStr">
        <is>
          <t>Pittsburgh, PA</t>
        </is>
      </c>
      <c r="H62" t="inlineStr"/>
      <c r="I6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3">
      <c r="A63" t="inlineStr">
        <is>
          <t>li-4282849082</t>
        </is>
      </c>
      <c r="B63" t="inlineStr">
        <is>
          <t>Databricks Data Engineer - Manager - Consulting - Location Open</t>
        </is>
      </c>
      <c r="C63" t="inlineStr">
        <is>
          <t>EY</t>
        </is>
      </c>
      <c r="D63" t="inlineStr">
        <is>
          <t>linkedin</t>
        </is>
      </c>
      <c r="E63" t="inlineStr"/>
      <c r="F63" t="inlineStr"/>
      <c r="G63" t="inlineStr">
        <is>
          <t>Toledo, OH</t>
        </is>
      </c>
      <c r="H63" t="inlineStr"/>
      <c r="I6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4">
      <c r="A64" t="inlineStr">
        <is>
          <t>li-4282845258</t>
        </is>
      </c>
      <c r="B64" t="inlineStr">
        <is>
          <t>Databricks Data Engineer - Senior - Consulting - Location Open</t>
        </is>
      </c>
      <c r="C64" t="inlineStr">
        <is>
          <t>EY</t>
        </is>
      </c>
      <c r="D64" t="inlineStr">
        <is>
          <t>linkedin</t>
        </is>
      </c>
      <c r="E64" t="inlineStr"/>
      <c r="F64" t="inlineStr"/>
      <c r="G64" t="inlineStr">
        <is>
          <t>New Orleans, LA</t>
        </is>
      </c>
      <c r="H64" t="inlineStr"/>
      <c r="I6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5">
      <c r="A65" t="inlineStr">
        <is>
          <t>li-4282846221</t>
        </is>
      </c>
      <c r="B65" t="inlineStr">
        <is>
          <t>Databricks Data Engineer - Manager - Consulting - Location Open</t>
        </is>
      </c>
      <c r="C65" t="inlineStr">
        <is>
          <t>EY</t>
        </is>
      </c>
      <c r="D65" t="inlineStr">
        <is>
          <t>linkedin</t>
        </is>
      </c>
      <c r="E65" t="inlineStr"/>
      <c r="F65" t="inlineStr"/>
      <c r="G65" t="inlineStr">
        <is>
          <t>Cleveland, OH</t>
        </is>
      </c>
      <c r="H65" t="inlineStr"/>
      <c r="I6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6">
      <c r="A66" t="inlineStr">
        <is>
          <t>li-4219705189</t>
        </is>
      </c>
      <c r="B66" t="inlineStr">
        <is>
          <t>Forward Deployed Data Engineer (TS/SCI)</t>
        </is>
      </c>
      <c r="C66" t="inlineStr">
        <is>
          <t>TRM Labs</t>
        </is>
      </c>
      <c r="D66" t="inlineStr">
        <is>
          <t>linkedin</t>
        </is>
      </c>
      <c r="E66" t="inlineStr"/>
      <c r="F66" t="inlineStr"/>
      <c r="G66" t="inlineStr">
        <is>
          <t>Washington, DC</t>
        </is>
      </c>
      <c r="H66" t="inlineStr"/>
      <c r="I66"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As a Forward Deployed Engineer, you will work directly with TRM’s government customers. This includes bridging our SaaS offering with federated capabilities and cloud architectures from the initial setup and implementation to configuration and maintenance.
 A successful mission will enable TRM’s government customers to securely leverage TRM in regulated industries and also scale with maturity. As an early member of the Forward Deployed Engineering team, you will be deeply involved in the technical details and ultimately champion your team to build a safer financial system for billions of people.
 The impact you’ll have here:
* Partner directly with mission\-focused customers to design and deploy secure, scalable cloud\-based data lakehouse solutions on AWS (e.g., S3, EMR/EKS, Iceberg or Delta Lake).
* Own and deliver production\-ready ETL/ELT pipelines using Python, Apache Airflow, Spark, and SQL—optimized for petabyte\-scale workloads.
* Containerize and deploy services on Kubernetes (EKS), using Terraform or CloudFormation for Infrastructure\-as\-Code and repeatable environments.
* Design integrations that ingest data from message buses, APIs, and relational databases, embedding real\-time analytics capabilities into client workflows.
* Actively participate in all phases of the software development lifecycle: requirements gathering, architecture, implementation, testing, and secure deployment.
* Implement observability solutions (e.g., Prometheus, Datadog, NewRelic) to uphold SLAs and drive continuous improvement.
* Support mission\-critical systems in production environments—resolving incidents alongside customer operations teams.
 What we’re looking for:
* Bachelor's degree (or equivalent) in Computer Science, Engineering, or a related field.
* 4\+ years of hands\-on experience building and deploying data pipelines in Python.
* Proven expertise with Apache Airflow (DAG development, scheduler tuning, custom operators).
* Strong knowledge of Apache Spark (Spark SQL, DataFrames, performance tuning).
* Deep SQL skills—able to optimize queries with window functions, CTEs, and large datasets.
* Professional experience deploying cloud\-native architectures on AWS, including services like S3, EMR, EKS, IAM, and Redshift.
* Familiarity with secure cloud environments and experience implementing FedRAMP/FISMA controls.
* Experience deploying applications and data workflows on Kubernetes, preferably EKS.
* Infrastructure\-as\-Code proficiency with Terraform or CloudFormation.
* Skilled in GitOps and CI/CD practices using Jenkins, GitLab CI, or similar tools.
* Excellent verbal and written communication skills—able to interface confidently with both technical and non\-technical stakeholders.
* Willingness and ability to travel up to 25% to client sites as needed.
* Active TS/SCI clearance required (Polygraph strongly preferred).
**About the Team:**
* The FDE team is made up of experienced professionals with direct customer knowledge and deep experience with technology, we leverage this to provide impactful outcomes and clear communication both internally and externally.
* The FDE team aligns to the US\-eastern timezone, both onsite and remotely. Wee communicate across numerous channels (highside chat, highside/lowside email, slack, phone calls, signal, google meets) and ensure we are able to rapidly switch between appropriate channels as necessary.
* We have weekly team syncs as well as project check\-ins, we keep project tracking tools up to date and directly communicate issues as they arise.
* We always put the customer first – The FDE team is uniquely close among other teams at TRM to our customers and will develop close relationships with them. We do whatever it takes to ensure their mission success.
**Learn about TRM Speed in this position:**
* Rapid Issue Resolution: Forward Deployed Engineers identify and diagnose critical onsite issues, set up incident channels or virtual war rooms with the remote team, and implement fixes in mintues to hours. FDEs also conduct retros and shares lessons with both internal teams and customer stakeholders within 48 hours of resolution.
* Navigating Bureaucratic Hurdles: Engineer anticipates and proactively addresses potential customer\-side delays. They build relationships with customer stakeholders (COTR, Enterprise technical lead, etc.), identify procedural bottlenecks, and seek alternative pathways for approvals. This approach reduces wait times for critical decisions and keeps projects on track despite complex customer processes.
* Efficient Knowledge Transfer: Conducts knowledge sharing sessions and maintains up\-to\-date documentation in Notion and issue tracking in Jira for the remote team. All milestone\-impacting issues are flagged within 24 hours, reducing problem\-solving time and ensuring remote team is always aware of any updates to the plans.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The estimated base salary range for this role is $200,000 \- $260,000\.
* Additionally, this role may be eligible to participate in TRM’s equity plan.
* Please note – we factor in the different costs for geographies outside the United States.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67">
      <c r="A67" t="inlineStr">
        <is>
          <t>li-4348094777</t>
        </is>
      </c>
      <c r="B67" t="inlineStr">
        <is>
          <t>Data Engineer, Active Grid Response</t>
        </is>
      </c>
      <c r="C67" t="inlineStr">
        <is>
          <t>Gridware</t>
        </is>
      </c>
      <c r="D67" t="inlineStr">
        <is>
          <t>linkedin</t>
        </is>
      </c>
      <c r="E67" t="inlineStr"/>
      <c r="F67" t="inlineStr"/>
      <c r="G67" t="inlineStr">
        <is>
          <t>San Francisco, CA</t>
        </is>
      </c>
      <c r="H67" t="inlineStr"/>
      <c r="I67"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Overview** 
 As a Data Engineer at Gridware, you’ll help build and maintain the pipelines and data systems powering our Active Grid Response platform. You’ll work closely with cross\-functional engineers to ensure telemetry, sensor data, and operational information flows reliably through our Lakehouse and into analytics and monitoring tools. This is a hands\-on, high\-growth role ideal for engineers ready to deepen their expertise in distributed data systems.
**Responsibilities** 
* Building ETL/ELT pipelines that ingest transformer, pole, and sensor telemetry into Gridware’s Data Lake and Lakehouse
* Developing and maintaining real\-time and batch ingestion processes using Python, SQL, Databricks, and Spark
* Implementing data quality checks, validation rules, and automated testing for stable operations
* Collaborating with Software, Firmware, and Data Science teams to define ingestion schemas and transformations
* Working with cloud\-native tools to optimize pipeline throughput and cost efficiency
* Monitoring pipelines for reliability, troubleshooting issues, and contributing to on\-call rotations
* Writing documentation for data processes, models, and metadata
**Required Skills** 
* 2–4 years of experience as a Data Engineer (or Backend Engineer with heavy data exposure)
* Strong proficiency in Python and SQL
* Familiarity with data warehouses, Lakehouse platforms, or big data tools (Databricks, Spark, or equivalent)
* Experience with pipeline orchestration tools (Airflow, Dagster, Prefect, etc.)
* Understanding of event\-driven systems or streaming platforms (Kafka, Kinesis, Pub/Sub)
* Solid foundation in data modeling, testing, and version control
* Ability to work collaboratively in a high\-autonomy, fast\-paced environment
**Bonus Skills** 
* Experience with IoT, telemetry ingestion, or time\-series data
* Exposure to Unity Catalog, governance, or schema enforcement
* Understanding of Protobuf, Avro, Parquet, or serialization formats
* Hands\-on experience with observability tools (Grafana, OpenTelemetry)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68">
      <c r="A68" t="inlineStr">
        <is>
          <t>li-4361341597</t>
        </is>
      </c>
      <c r="B68" t="inlineStr">
        <is>
          <t>Data Engineer - Data Science</t>
        </is>
      </c>
      <c r="C68" t="inlineStr">
        <is>
          <t>LinkedIn</t>
        </is>
      </c>
      <c r="D68" t="inlineStr">
        <is>
          <t>linkedin</t>
        </is>
      </c>
      <c r="E68">
        <f>HYPERLINK("https://www.linkedin.com/jobs/view/4361341597", "https://www.linkedin.com/jobs/view/4361341597")</f>
        <v/>
      </c>
      <c r="F68" t="inlineStr"/>
      <c r="G68" t="inlineStr">
        <is>
          <t>Mountain View, CA</t>
        </is>
      </c>
      <c r="H68" t="inlineStr"/>
      <c r="I6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and operations to develop infrastructure and deliver tools or data structures that enable data\-driven decision\-making. Successful candidates will exhibit technical acumen and business savviness with a passion for making an impact by enabling both producers and consumers of data insight to work smarter.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data science professionals, and cross\-functional teams to identify business opportunities and build scalable data solutions.
* Build data expertise, act like an owner for the company and manage complex data systems for a product or a group of products.
* Perform all of the necessary data transformations to serve products that empower data\-driven decision making.
* Build and manage data pipelines, design and architect databases.
* Establish efficient design and programming patterns for engineers as well as for non\-technical partners.
* Design, implement, integrate and document performant systems or components for data flows or applications that power analysis at a massive scale.
* Ensure best practices and standards in our data ecosystem are shared across teams.
* Understand the analytical objectives to make logical recommendations and drive informed actions.
* Engage with internal platform teams to prototype and validate tools developed in\-house to derive insight from very large datasets or automate complex algorithms.
* Be a self\-starter, Initiate and drive projects to completion with minimal guidance.
* Contribute to engineering innovations that fuel LinkedIn's vision and mission.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with SQL/Relational databases
* Background in at least one programming languages (e.g., R, Python, Java, Scala, PHP, JavaScript)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in developing data pipelines using Spark and Hive.
* Experience with data modeling, ETL (Extraction, Transformation \&amp; Load) concepts, and patterns for efficient data governance. Experience with manipulating massive\-scale structured and unstructured data.
* Experience with using distributed data systems such as Spark and related technologies (Presto/Trino, Hive, etc.).
* Experience with either data workflows/modeling, front\-end engineering, or back\-end engineering.
* Deep understanding of technical and functional designs for relational and MPP Databases
* Experience in data visualization and dashboard design including tools such as Tableau, R visualization packages, streamlit, D3, and other libraries, etc.
* Knowledge of Unix and Unix\-like systems, version control systems such as Git.
 Suggested Skills
* Distributed Systems
* ETL
* Data Modeling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$102,000 to $165,000\.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9">
      <c r="A69" t="inlineStr">
        <is>
          <t>li-4361341596</t>
        </is>
      </c>
      <c r="B69" t="inlineStr">
        <is>
          <t>Senior Data Engineer - Data Science</t>
        </is>
      </c>
      <c r="C69" t="inlineStr">
        <is>
          <t>LinkedIn</t>
        </is>
      </c>
      <c r="D69" t="inlineStr">
        <is>
          <t>linkedin</t>
        </is>
      </c>
      <c r="E69">
        <f>HYPERLINK("https://www.linkedin.com/jobs/view/4361341596", "https://www.linkedin.com/jobs/view/4361341596")</f>
        <v/>
      </c>
      <c r="F69" t="inlineStr"/>
      <c r="G69" t="inlineStr">
        <is>
          <t>Mountain View, CA</t>
        </is>
      </c>
      <c r="H69" t="inlineStr"/>
      <c r="I6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and operations to develop infrastructure and deliver tools or data structures that enable data\-driven decision\-making. Successful candidates will exhibit technical acumen and business savviness with a passion for making an impact by enabling both producers and consumers of data insight to work smarter.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data science professionals, and cross\-functional teams to identify business opportunities and build scalable data solutions.
* Build data expertise, act like an owner for the company and manage complex data systems for a product or a group of products.
* Perform all of the necessary data transformations to serve products that empower data\-driven decision making.
* Build and manage data pipelines, design and architect databases.
* Establish efficient design and programming patterns for engineers as well as for non\-technical partners.
* Design, implement, integrate and document performant systems or components for data flows or applications that power analysis at a massive scale.
* Ensure best practices and standards in our data ecosystem are shared across teams.
* Understand the analytical objectives to make logical recommendations and drive informed actions.
* Engage with internal platform teams to prototype and validate tools developed in\-house to derive insight from very large datasets or automate complex algorithms.
* Be a self\-starter, Initiate and drive projects to completion with minimal guidance.
* Contribute to engineering innovations that fuel LinkedIn's vision and mission.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with SQL/Relational databases
* Background in at least one programming languages (e.g., R, Python, Java, Scala, PHP, JavaScript)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in developing data pipelines using Spark and Hive.
* Experience with data modeling, ETL (Extraction, Transformation \&amp; Load) concepts, and patterns for efficient data governance. Experience with manipulating massive\-scale structured and unstructured data.
* Experience with using distributed data systems such as Spark and related technologies (Presto/Trino, Hive, etc.).
* Experience with either data workflows/modeling, front\-end engineering, or back\-end engineering.
* Deep understanding of technical and functional designs for relational and MPP Databases
* Experience in data visualization and dashboard design including tools such as Tableau, R visualization packages, streamlit, D3, and other libraries, etc.
* Knowledge of Unix and Unix\-like systems, version control systems such as Git.
 Suggested Skills
* Distributed Systems
* ETL
* Data Modeling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to $206,000\.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0">
      <c r="A70" t="inlineStr">
        <is>
          <t>li-4361371561</t>
        </is>
      </c>
      <c r="B70" t="inlineStr">
        <is>
          <t>Senior Associate, Insights Analytics Engineer</t>
        </is>
      </c>
      <c r="C70" t="inlineStr">
        <is>
          <t>LinkedIn</t>
        </is>
      </c>
      <c r="D70" t="inlineStr">
        <is>
          <t>linkedin</t>
        </is>
      </c>
      <c r="E70">
        <f>HYPERLINK("https://www.linkedin.com/jobs/view/4361371561", "https://www.linkedin.com/jobs/view/4361371561")</f>
        <v/>
      </c>
      <c r="F70" t="inlineStr"/>
      <c r="G70" t="inlineStr">
        <is>
          <t>New York, NY</t>
        </is>
      </c>
      <c r="H70" t="inlineStr"/>
      <c r="I7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can be located in our New York or Chicago offices.*
 As a
 **Senior Associate, Insights Analytics Engineer** 
 supporting the
 **Marketing Solutions** 
 business, you will leverage one of the richest proprietary datasets in the world. You will work with a high\-caliber, passionate team who believes that data can transform how a company does business. You will lead high\-impact programs and scale analytics tools that create value for our customers, our sales teams, and our business.
 Your work will help supercharge our go\-to\-market efforts by infusing data into how we sell and the stories we tell.  In this role, you will develop scaled customer insights solutions, used by thousands of sales professionals every day, by capturing complex business requirements, owning end\-to\-end technical development, and driving field\-wide deployment.  This includes prototyping, developing, and validating internal and customer\-facing solutions to build quality insights products.
 To be successful in this role, you will be a proactive, analytical product manager, using LinkedIn’s unique data and disciplined project management techniques to design and execute programs and tools focused on accelerating LinkedIn’s growth. Diverse internal partners you’ll collaborate with include—but are not limited to—Insights, Sales, Sales Readiness, Product Marketing, Engineering, Data Science, and Product.  You’ll embrace continuous learning and diverse feedback to ensure that your tools and programs are evolving and improving to meet the needs of our customers.  You like to dream big, work collaboratively to get stuff done, and know how to have fun along the way.
**Responsibilities** 
 :
* Partner cross\-functionally to design, plan, and execute strategy
* Create requirements and project plans for analytic programs and tools, and re\-prioritize based on impact and level of effort to complete
* Build a communications plan that ensures effective delivery and awareness of new Insights product or feature launches and incorporates feedback from key stakeholders
* Establish a high bar for compelling scaled insights business cases
* Identify scaled solutions for the most important customer challenges by leveraging LinkedIn’s unique data and act as an advisor to manage stakeholder expectations
* Leverage SQL/Python to extract and manipulate necessary data
* Analyze results to generate business insights
**Qualifications**
**Basic Qualifications**
* BA/BS in math, marketing, statistics, economics, business or related field
* 4\+ years of work experience in project or program management or a consulting role working cross\-functionally
* 3\+ years of experience with data analysis, data storytelling, and data visualization tools (e.g., Tableau, Power BI, etc.) to turn data into insights and present to internal and/or external stakeholders
* 2\+ years working with SQL to query large datasets (e.g., Pig, Hive, Presto, Spark SQL, etc.)
* 2\+ years working with Python for data manipulation, batch processing, machine learning, statistical analysis, etc.
**Preferred Qualifications**
* Experience in digital marketing analytics
* Business acumen and creative problem\-solving skills
* Experience managing complex, multi\-workstream programs
* Experience working with both technical and non\-technical stakeholders like sales to capture complex business requirements, solution, and drive full scale deployment (launch, adoption, impact assessment)
* Excellent interpersonal, communication, writing, presentation, statistical and data analysis skills
* Experience turning data into insights and presenting to internal (technical and non\-technical) stakeholders and external stakeholders
* Expert knowledge of MS Office (Outlook, Word, PowerPoint and Excel)
**Suggested Skills:**
* Stakeholder management
* Data visualization and storytelling
* Python
* Consulting
* SQL
 LinkedIn is committed to fair and equitable compensation practices.
 The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1">
      <c r="A71" t="inlineStr">
        <is>
          <t>li-4313842380</t>
        </is>
      </c>
      <c r="B71" t="inlineStr">
        <is>
          <t>Data Engineer (L5) - Games</t>
        </is>
      </c>
      <c r="C71" t="inlineStr">
        <is>
          <t>Netflix</t>
        </is>
      </c>
      <c r="D71" t="inlineStr">
        <is>
          <t>linkedin</t>
        </is>
      </c>
      <c r="E71">
        <f>HYPERLINK("https://www.linkedin.com/jobs/view/4313842380", "https://www.linkedin.com/jobs/view/4313842380")</f>
        <v/>
      </c>
      <c r="F71" t="inlineStr"/>
      <c r="G71" t="inlineStr"/>
      <c r="H71" t="inlineStr"/>
      <c r="I71"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Games are our next big frontier and an incredible opportunity for us to deliver new experiences to delight and entertain our quickly growing membership. You will be joining us at an exciting time as we roll out more games on both mobile and cloud and be in a position to help us redefine what a Netflix subscription means for our members around the world.
 The Data Science and Engineering (DSE) team uses data, analytics, and sciences to improve various aspects of our business. As a
 **Senior Data Engineer** 
 focused on
 **Core Metrics and Metadata** 
 , you will be a foundational partner, leveraging high\-quality data to support end\-to\-end analytics needs for our Games partners.
**What You'll Do**
* As a Senior Data Engineer, your focus will be on architecting the foundation for all business measurements across our games portfolio on all platforms.
* Own Core Metric Systems: Design, develop, and maintain the single source of truth for core business and operational metrics (e.g., DAU/MAU, retention, engagement rates). Ensure metric consistency, explainability, and reliability for high\-stakes business decisions.
* Data Modeling Architecture: Create advanced analytical data models (facts, dimensions, aggregations) optimized for performance, partitioning, and backfill considerations.
* Implement High\-Reliability Pipelines: Build and optimize robust, high\-volume data pipelines using distributed processing frameworks like Spark, Flink, Python, and Scala. Master complex processing patterns (batch, CDC, incremental loads, upserts) and address challenges like event\-time partitioning, late data handling, and windowing for real\-time applications.
* Data Governance and Quality Leadership: Define and enforce data quality standards (accuracy, completeness, consistency, validity) at scale. Implement data lineage tracking and monitor metadata to provide the necessary context for interpreting core metrics.
* Strategic Collaboration: Partner with Games Product, Data Science, and Engineering stakeholders to translate their forecasting, research, and analytical needs into scalable data solutions. Collaborate on strategies for metric collection, dashboarding, and integration with analytical tools.
* Technical Leadership: Proactively identify and resolve technical debt, increase automation, and champion best practices in data engineering and software development across the team. Mentor junior team members and help raise the technical bar for the entire DSE organization.
**Who You Are**
 We value people over process and look for humbly confident, action\-oriented collaborators with deep technical expertise.
* Experience: 7\+ years of hands\-on experience in software development with a deep focus on building high\-performance data systems that collect, process, and govern high\-volume telemetry data for analytics.
* Technical Expertise (The Core Domain):
* Expert\-level Data Modeling: Proven mastery of telemetry (event schema design) and analytical modeling (dimensional modeling, aggregation strategies, partitioning considerations).
* Distributed Processing Mastery: Demonstrated experience building production\-grade data pipelines using distributed processing frameworks (e.g., Spark, Flink, Hive/Hadoop), with a strong understanding of distributed systems and performance optimization.
* Advanced Data Processing: Direct experience with complex batch and streaming data processing patterns, including CDC, incremental loads, event\-driven architectures, and robust error handling.
* Programming \&amp; SQL: Expert\-level programming proficiency in Python and/or Scala/Java and mastery of SQL. You maintain a strong software engineering mindset.
* Partnership and Leadership:
* Strong Partnership Skills: Exceptional communication skills and a proven ability to collaborate effectively with non\-technical stakeholders to ensure metrics are accessible, reliable, and actionable.
* Proven ability to drive and own complex, cross\-functional engineering projects with a high degree of autonomy.
* Humble confidence and the awareness to recognize when to course\-correct, valuing continuous learning and improvement.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72">
      <c r="A72" t="inlineStr">
        <is>
          <t>li-4361341600</t>
        </is>
      </c>
      <c r="B72" t="inlineStr">
        <is>
          <t>Senior Associate, Insights Analytics Engineer</t>
        </is>
      </c>
      <c r="C72" t="inlineStr">
        <is>
          <t>LinkedIn</t>
        </is>
      </c>
      <c r="D72" t="inlineStr">
        <is>
          <t>linkedin</t>
        </is>
      </c>
      <c r="E72">
        <f>HYPERLINK("https://www.linkedin.com/jobs/view/4361341600", "https://www.linkedin.com/jobs/view/4361341600")</f>
        <v/>
      </c>
      <c r="F72" t="inlineStr"/>
      <c r="G72" t="inlineStr">
        <is>
          <t>Chicago, IL</t>
        </is>
      </c>
      <c r="H72" t="inlineStr"/>
      <c r="I7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can be located in our New York or Chicago offices.*
 As a
 **Senior Associate, Insights Analytics Engineer** 
 supporting the
 **Marketing Solutions** 
 business, you will leverage one of the richest proprietary datasets in the world. You will work with a high\-caliber, passionate team who believes that data can transform how a company does business. You will lead high\-impact programs and scale analytics tools that create value for our customers, our sales teams, and our business.
 Your work will help supercharge our go\-to\-market efforts by infusing data into how we sell and the stories we tell.  In this role, you will develop scaled customer insights solutions, used by thousands of sales professionals every day, by capturing complex business requirements, owning end\-to\-end technical development, and driving field\-wide deployment.  This includes prototyping, developing, and validating internal and customer\-facing solutions to build quality insights products.
 To be successful in this role, you will be a proactive, analytical product manager, using LinkedIn’s unique data and disciplined project management techniques to design and execute programs and tools focused on accelerating LinkedIn’s growth. Diverse internal partners you’ll collaborate with include—but are not limited to—Insights, Sales, Sales Readiness, Product Marketing, Engineering, Data Science, and Product.  You’ll embrace continuous learning and diverse feedback to ensure that your tools and programs are evolving and improving to meet the needs of our customers.  You like to dream big, work collaboratively to get stuff done, and know how to have fun along the way.
**Responsibilities** 
 :
* Partner cross\-functionally to design, plan, and execute strategy
* Create requirements and project plans for analytic programs and tools, and re\-prioritize based on impact and level of effort to complete
* Build a communications plan that ensures effective delivery and awareness of new Insights product or feature launches and incorporates feedback from key stakeholders
* Establish a high bar for compelling scaled insights business cases
* Identify scaled solutions for the most important customer challenges by leveraging LinkedIn’s unique data and act as an advisor to manage stakeholder expectations
* Leverage SQL/Python to extract and manipulate necessary data
* Analyze results to generate business insights
**Qualifications**
**Basic Qualifications**
* BA/BS in math, marketing, statistics, economics, business or related field
* 4\+ years of work experience in project or program management or a consulting role working cross\-functionally
* 3\+ years of experience with data analysis, data storytelling, and data visualization tools (e.g., Tableau, Power BI, etc.) to turn data into insights and present to internal and/or external stakeholders
* 2\+ years working with SQL to query large datasets (e.g., Pig, Hive, Presto, Spark SQL, etc.)
* 2\+ years working with Python for data manipulation, batch processing, machine learning, statistical analysis, etc.
**Preferred Qualifications**
* Experience in digital marketing analytics
* Business acumen and creative problem\-solving skills
* Experience managing complex, multi\-workstream programs
* Experience working with both technical and non\-technical stakeholders like sales to capture complex business requirements, solution, and drive full scale deployment (launch, adoption, impact assessment)
* Excellent interpersonal, communication, writing, presentation, statistical and data analysis skills
* Experience turning data into insights and presenting to internal (technical and non\-technical) stakeholders and external stakeholders
* Expert knowledge of MS Office (Outlook, Word, PowerPoint and Excel)
**Suggested Skills:**
* Stakeholder management
* Data visualization and storytelling
* Python
* Consulting
* SQL
 LinkedIn is committed to fair and equitable compensation practices.
 The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3">
      <c r="A73" t="inlineStr">
        <is>
          <t>li-4338313097</t>
        </is>
      </c>
      <c r="B73" t="inlineStr">
        <is>
          <t>Data Engineer (Remote USA ) G8</t>
        </is>
      </c>
      <c r="C73" t="inlineStr">
        <is>
          <t>Cisco</t>
        </is>
      </c>
      <c r="D73" t="inlineStr">
        <is>
          <t>linkedin</t>
        </is>
      </c>
      <c r="E73">
        <f>HYPERLINK("https://www.linkedin.com/jobs/view/4338313097", "https://www.linkedin.com/jobs/view/4338313097")</f>
        <v/>
      </c>
      <c r="F73">
        <f>HYPERLINK("https://careers.cisco.com/global/en/job/CISCISGLOBAL1448750EXTERNALENGLOBAL/Data-Engineer-Remote-USA-G8?utm_source=linkedin&amp;utm_medium=phenom-feeds&amp;urlHash=TuUo", "https://careers.cisco.com/global/en/job/CISCISGLOBAL1448750EXTERNALENGLOBAL/Data-Engineer-Remote-USA-G8?utm_source=linkedin&amp;utm_medium=phenom-feeds&amp;urlHash=TuUo")</f>
        <v/>
      </c>
      <c r="G73" t="inlineStr">
        <is>
          <t>Austin, TX</t>
        </is>
      </c>
      <c r="H73" t="inlineStr"/>
      <c r="I73" t="inlineStr">
        <is>
          <t>The application window is expected to close on: 25/12/25
 Job posting may be removed earlier if the position is filled or if a sufficient number of applications are received.
 Location preference: Austin, Texas or RTP ,NC or Remote within USA
 Meet the Team
 Join the Cisco IT Data team, where innovation, automation, and reliability drive extraordinary business outcomes. Our team delivers scalable, secure, and high\-performance platforms supporting Cisco’s global data operations. We value a culture of continuous improvement, collaboration, and technical excellence, empowering team members to experiment and drive operational transformation.
 Your Impact
 As a Data Operations (DevOps) Engineer, you will play a critical role in building, automating, and optimizing the infrastructure and processes that support the Corporate Functions \- Enterprise Data Warehouse. Your expertise will ensure the reliability, scalability, and security of data platforms and pipelines across cloud and on\-premise environments. You’ll collaborate closely with data engineers, software engineers, architects, and business partners to create robust solutions that accelerate data\-driven decision\-making at Cisco.
* Automate deployment, monitoring, and management of data platforms and pipelines using industry\-standard DevOps tools and standard methodologies.
* Build, implement, and maintain CI/CD pipelines for ETL, analytics, and data applications (e.g., Informatica, DBT, Airflow, Python, Java).
* Ensure high availability, performance, and security of data systems in cloud (Snowflake, Google BigQuery, AWS/GCP/Azure) and hybrid environments.
* Lead infrastructure as code (Terraform, CloudFormation, or similar) to provision and scale resources efficiently.
* Implement observability and data quality monitoring using modern tools (e.g., Monte Carlo, Prometheus, Grafana, ELK).
* Troubleshoot and resolve issues in production data \&amp; workflows, collaborating with engineering and analytics teams for root cause analysis and solution delivery.
* Drive automation and process improvement for data operations, system upgrades, patching, and access management.
* Contribute to security and compliance initiatives related to data governance, access controls, and audit readiness.
**Minimum Qualifications**
* Bachelor’s or Master’s degree in Computer Science, Engineering, or a related field.
* 3\-5 years of experience in DevOps, Data Operations, or related IT engineering roles.
* 3\-5 years of experience Proficiency with cloud platforms (Snowflake, AWS) and Working knowledge of ETL and workflow orchestration tools (Informatica, DBT, Airflow).
* 3\-5 years of experience Hands\-on experience with CI/CD tools (Jenkins, GitLab CI, etc.), scripting (Python, Shell), and configuration management.
* 3\-5 years of experience Working knowledge of ETL and workflow orchestration tools (Informatica, DBT, Airflow).
* 3\-5 years of experience Familiarity with infrastructure as code (Terraform, CloudFormation, etc.).
* 3\-5 years of experience Experience with monitoring, logging, and alerting solutions (Prometheus, Grafana, ELK, Monte Carlo, etc.).
* 3\-5 years of experience Familiarity with containerization and orchestration (Docker, Kubernetes).
* Strong problem\-solving skills, incident management.
* Experience working in Agile/Scrum teams and delivering in fast\-paced environments.
**Preferred Qualifications**
* Experience supporting data warehouse or analytics platforms in enterprise settings.
* Knowledge of data quality, security, and governance frameworks.
* Familiarity with automation tools and standard methodologies for operational efficiency.
* Understanding of data pipelines, modeling, and analytics.
* Excellent communication, collaboration, and documentation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74">
      <c r="A74" t="inlineStr">
        <is>
          <t>li-4352800250</t>
        </is>
      </c>
      <c r="B74" t="inlineStr">
        <is>
          <t>Data Engineer</t>
        </is>
      </c>
      <c r="C74" t="inlineStr">
        <is>
          <t>Silverthorne Advisory Group</t>
        </is>
      </c>
      <c r="D74" t="inlineStr">
        <is>
          <t>linkedin</t>
        </is>
      </c>
      <c r="E74">
        <f>HYPERLINK("https://www.linkedin.com/jobs/view/4352800250", "https://www.linkedin.com/jobs/view/4352800250")</f>
        <v/>
      </c>
      <c r="F74">
        <f>HYPERLINK("https://silverthorne-advisory-group-llc.careerplug.com/j/02utily&amp;urlHash=qd8K", "https://silverthorne-advisory-group-llc.careerplug.com/j/02utily&amp;urlHash=qd8K")</f>
        <v/>
      </c>
      <c r="G74" t="inlineStr">
        <is>
          <t>Tampa, FL</t>
        </is>
      </c>
      <c r="H74" t="inlineStr"/>
      <c r="I74" t="inlineStr">
        <is>
          <t>**Benefits:**
* 401(k)
* 401(k) matching
* Bonus based on performance
* Company parties
* Competitive salary
* Dental insurance
* Health insurance
* Opportunity for advancement
* Paid time off
* Training \&amp; development
* Vision insurance
**Job Description**
 Silverthorne Advisory Group is seeking a skilled and highly motivated Data Engineer to join an
 exciting and growing opportunity within the Defense sector. As a Data Engineer, you will play a
 crucial role in designing, developing, and maintaining our Advana data infrastructure and
 systems. Your expertise in ETL, Databricks, Python, Spark, Scala, JavaScript/JSON, SQL, and
 Jupyter Notebooks will be essential in ensuring efficient data processing and analysis.
**Responsibilities**
* Design, develop, and implement end\-to\-end data pipelines, utilizing ETL processes and technologies such as Databricks, Python, Spark, PySpark, Scala, JavaScript/JSON, SQL, and Jupyter Notebooks.
* Create and optimize data pipelines from scratch, ensuring scalability, reliability, and high\-performance processing.
* Perform data cleansing, data integration, and data quality assurance activities to maintain the accuracy and integrity of large datasets.
* Leverage big data technologies to efficiently process and analyze large datasets, particularly those encountered in a federal agency.
* Troubleshoot data\-related problems and provide innovative solutions to address complex data challenges.
* Implement and enforce data governance policies and procedures, ensuring compliance with regulatory requirements and industry best practices.
* Work closely with cross\-functional teams to understand data requirements and design optimal data models and architectures.
* Collaborate with data scientists, analysts, and stakeholders to provide timely and accurate data insights and support decision\-making processes.
* Maintain documentation for software applications, workflows, and processes.
* Stay updated with emerging trends and advancements in data engineering and recommend suitable tools and technologies for continuous improvement.
**Requirements**
* Top Secret clearance or higher required.
* High level of proficiency in ETL processes and demonstrated, hands\-on experience with technologies such as Databricks, Python, Spark, Scala, JavaScript/JSON, SQL, and Jupyter Notebooks.
* Strong problem\-solving skills and ability to solve complex data\-related issues.
* Demonstrated experience working with large datasets and leveraging big data technologies to process and analyze data efficiently.
* Understanding of data modeling/visualization, database design principles, and data governance practices.
* Excellent communication and collaboration skills, with the ability to work effectively with cross\-functional teams.
* Detail\-oriented mindset with a commitment to delivering high\-quality results.
**Benefits**
* Compensation \- We carefully consider a wide range of compensation factors, including but not limited to prior experience, skills, expertise, location, and other considerations permitted by law.
* Healthcare \- We offer Health, Vision, and Dental Plans for our employees and their families.
* Retirement Plan – We invest in your future with a competitive 401(k) plan, where we match 100% of your contributions up to your first 6% and give you access to Vanguard Admiral funds.
* Paid Time Off \- Based on length of service, we offer a generous amount of paid leave.
* Bonus System – As you invest in us, we invest in you. We offer bonuses to all employees who meet and exceed goals throughout the year.
* Professional Development – Support for career growth through training programs and certifications.
* Company Retreats \&amp; Team Events – Sponsored trips, team\-building activities, and annual conferences related to your skillset.</t>
        </is>
      </c>
    </row>
    <row r="75">
      <c r="A75" t="inlineStr">
        <is>
          <t>li-4316347719</t>
        </is>
      </c>
      <c r="B75" t="inlineStr">
        <is>
          <t>Data Engineer II - QuantumBlack, AI by McKinsey</t>
        </is>
      </c>
      <c r="C75" t="inlineStr">
        <is>
          <t>QuantumBlack, AI by McKinsey</t>
        </is>
      </c>
      <c r="D75" t="inlineStr">
        <is>
          <t>linkedin</t>
        </is>
      </c>
      <c r="E75">
        <f>HYPERLINK("https://www.linkedin.com/jobs/view/4316347719", "https://www.linkedin.com/jobs/view/4316347719")</f>
        <v/>
      </c>
      <c r="F75">
        <f>HYPERLINK("https://www.mckinsey.com/careers/search-jobs/jobs/dataengineerii-quantumblackaibymckinsey-102543?appsource=LinkedIn&amp;urlHash=6t7F", "https://www.mckinsey.com/careers/search-jobs/jobs/dataengineerii-quantumblackaibymckinsey-102543?appsource=LinkedIn&amp;urlHash=6t7F")</f>
        <v/>
      </c>
      <c r="G75" t="inlineStr">
        <is>
          <t>New York, NY</t>
        </is>
      </c>
      <c r="H75" t="inlineStr"/>
      <c r="I75"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Data Engineer II, you will design, build, and optimize modern data platforms that power advanced analytics and AI solutions.
 You’ll collaborate with clients and interdisciplinary teams to architect scalable pipelines, manage secure and compliant data environments, and unlock the value of complex datasets across industries. You’ll sharpen your expertise by working on innovative projects, contributing to R\&amp;D, and learning from top\-tier talent in a dynamic, global environment.
 Your work will drive lasting impact. By ensuring data is accurate, accessible, and production\-ready, you’ll enable clients to accelerate digital transformations, adopt AI responsibly, and achieve measurable business outcomes. Here’s how you might contribute in a given year:
* Develop a streaming data platform to integrate telemetry for predictive maintenance in aerospace systems
* Implement secure data pipelines that reduce time\-to\-insight for a Fortune 500 utility company
* Optimize large\-scale batch and streaming workflows for a global financial services client, cutting infrastructure costs while improving performance.
* Develop pipelines for embeddings and vector databases to enable retrieval\-augmented generation (RAG) for a global defense client.
 You’ll work in cross\-functional Agile teams with Data Scientists, Machine Learning Engineers, Designers, and domain experts to deliver high\-quality analytics solutions. Partnering closely with clients—from data owners to C\-level executives—you’ll shape data ecosystems that drive innovation and long\-term resilience.
 This role offers an exceptional environment to grow as a technologist and collaborator. You’ll develop expertise at the intersection of technology and business by tackling diverse challenges while collaborating with some of the best technical and business talent in the world.
 There is flexibility to hire at the Engineer I/II or Senior Engineer level, depending on your experience
**Your Qualifications and Skills**
* Degree in Computer Science, Business Analytics, Engineering, Mathematics, or related field
* 2\+ years of professional experience in data engineering, software engineering, or adjacent technical roles
* Proficiency in Python, Scala, or Java for production\-grade pipelines, with strong skills in SQL and PySpark
* Hands\-on experience with cloud platforms such as (AWS, GCP, Azure, Oracle) and modern data storage/warehouse solutions such as Snowflake, BigQuery, Redshift, and Delta Lake
* Practical experience with Databricks, AWS Glue, and transformation frameworks like dbt, Dataform, or Databricks Asset Bundles
* Knowledge of distributed systems such as (Spark, Dask, Flink) and streaming platforms (Kafka, Kinesis, Pulsar) for real\-time and batch processing
* Familiarity with workflow orchestration tools such as (Airflow, Dagster, Prefect), CI/CD for data workflows, and infrastructure\-as\-code (Terraform, CloudFormation)
* Understanding of DataOps principles including pipeline monitoring, testing, and automation, with exposure to observability tools such as Datadog, Prometheus, and Great Expectations
* Exposure to ML platforms such as (Databricks, SageMaker, Vertex AI), MLOps best practices, and GenAI toolkits (LangChain, LlamaIndex, Hugging Face)
* Familiarity with vector databases and understanding of low latency serving patterns is a plus
* Willingness to travel as required
* Strong communication, time management, and resilience, with the ability to align technical solutions to business value</t>
        </is>
      </c>
    </row>
    <row r="76">
      <c r="A76" t="inlineStr">
        <is>
          <t>li-4313805450</t>
        </is>
      </c>
      <c r="B76" t="inlineStr">
        <is>
          <t>Analytics Engineer, GTM</t>
        </is>
      </c>
      <c r="C76" t="inlineStr">
        <is>
          <t>OpenAI</t>
        </is>
      </c>
      <c r="D76" t="inlineStr">
        <is>
          <t>linkedin</t>
        </is>
      </c>
      <c r="E76">
        <f>HYPERLINK("https://www.linkedin.com/jobs/view/4313805450", "https://www.linkedin.com/jobs/view/4313805450")</f>
        <v/>
      </c>
      <c r="F76" t="inlineStr"/>
      <c r="G76" t="inlineStr">
        <is>
          <t>San Francisco, CA</t>
        </is>
      </c>
      <c r="H76" t="inlineStr"/>
      <c r="I76" t="inlineStr">
        <is>
          <t>**About The Role**
 As an early member of our Data team within the Go\-To\-Market (GTM) organization, you will play a pivotal role in building a data\-centric culture, enhancing decision\-making processes, and driving strategic initiatives through analytics. This role involves a variety of projects aimed at developing canonical data sources and dashboards that enable the business to derive trustworthy, actionable insights. Most importantly, you should expect to be a core member of the GTM team, helping to bring our technology to a wide range of customers and supporting our self serve and sales led motions.
 This role is based in San Francisco, CA. We use a hybrid work model of 3 days in the office per week and offer relocation assistance to new employees.
**In This Role, You Will**
* Embed with the GTM team as a trusted partner, identifying high\-impact analytics problems and pioneering data\-driven solutions.
* Establish a data\-driven culture by driving the definition, tracking, and operationalizing of metrics
* Manage cross\-functional data projects about revenue, pricing, sales, product, marketing, growth, and other topics core to the business.
* Create scalable pipelines for data collection, cleaning, and analysis from multiple sources, and manage the lifecycle of metrics and models from prototyping to production.
* Develop and refine tools such as dashboards and reports that empower the team to extract and analyze data independently.
* Conduct analyses to uncover insights and inform key decisions.
* Use presentations, memos, and tools to communicate complex data insights clearly and persuasively across the organization.
**You Might Thrive In This Role If You Are/have**
* Over 10 years of experience in a relevant Data role within dynamic, outcome\-driven organizations.
* Highly skilled in SQL, with extensive experience extracting large datasets and designing ETL workflows.
* Proficient in quantitative programming languages, Python preferred.
* Experienced in using business intelligence tools, such as Tableau and Looker, to communicate insights and enable self\-serve.
* Familiar with advanced custom visualizations, such as streamlit and plotly dash.
* Adept at crafting clear data stories using decks, memos, and dashboards to drive decision\-making at every level.
* Best\-in\-class attention to detail and unwavering commitment to accuracy.
* Demonstrated ability to build effective partnerships across diverse teams and influence decision making with data.
* Proven track record of delivering significant business impact, with a solid track record in Sales, Marketing, Finance, Growth, Support, or other GTM\-related areas preferred.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$270K \- $340K</t>
        </is>
      </c>
    </row>
    <row r="77">
      <c r="A77" t="inlineStr">
        <is>
          <t>li-4361291070</t>
        </is>
      </c>
      <c r="B77" t="inlineStr">
        <is>
          <t>Senior Data Engineer</t>
        </is>
      </c>
      <c r="C77" t="inlineStr">
        <is>
          <t>Atlassian</t>
        </is>
      </c>
      <c r="D77" t="inlineStr">
        <is>
          <t>linkedin</t>
        </is>
      </c>
      <c r="E77">
        <f>HYPERLINK("https://www.linkedin.com/jobs/view/4361291070", "https://www.linkedin.com/jobs/view/4361291070")</f>
        <v/>
      </c>
      <c r="F77" t="inlineStr"/>
      <c r="G77" t="inlineStr">
        <is>
          <t>San Francisco, CA</t>
        </is>
      </c>
      <c r="H77" t="inlineStr"/>
      <c r="I77" t="inlineStr">
        <is>
          <t>**Overview**
**Overview**
 Our Data Engineering Team is comprised of data experts. We build world\-class data solutions and applications that power crucial business decisions throughout the organisation. We manage multiple analytical data models and pipelines across Atlassian, covering finance, growth, product analysis, customer analysis, sales and marketing, and so on. We maintain Atlassian's data lake that provide a unified way of analysing our customers, our products, our operations, and the interactions among them.
 We're hiring a Senior Data Engineer, reporting to the Data Engineering Manager based in San Francisco. Here, you'll enable a world\-class engineering practice, drive the approach with which we use data, develop backend systems and data models to serve the needs of insights, and help build Atlassian's data\-driven culture. You love thinking about the ways the business can consume data and then figuring out how to build it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 You'll partner with the product analytics and data scientist team to build the data solutions that allow them to obtain more insights from our data and use that to support important business decisions.
* You'll work with different stakeholders to understand their needs and architect/build the data models, data acquisition/ingestion processes and data applications to address those requirements.
* You'll add new sources, code business rules, and produce new metrics that support the product analysts and data scientists.
* You'll be the data domain expert who understand all the nitty\-gritty of our products.
* You'll own a problem end\-to\-end. Requirements could be vague, and iterations will be rapid
* You'll improve data quality by using \&amp; improving internal tools/frameworks to automatically detect DQ issues
**Qualifications**
* A BS in Computer Science or equivalent experience with 5\+ years of professional experience as a Sr. Data Engineer or in a similar role.
* Strong programming skills using Python
* Working knowledge of relational databases and query authoring (SQL).
* Experience designing data models for optimal storage and retrieval to meet product and business requirements.
* Experience building scalable data pipelines using Spark (SparkSQL) with Airflow scheduler/executor framework or similar scheduling tools.
* Experience working with AWS data services or similar Apache projects (Spark, Flink, Hive, and Kafka).
* Understanding of Data Engineering tools/frameworks and standards to improve the productivity and quality of output for Data Engineers across the team.
* Well versed in modern software development practices (Agile, TDD, CICD)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163800 \- USD 213850
 Zone B: USD 147600 \- USD 192700
 Zone C: USD 136800 \- USD 178600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8">
      <c r="A78" t="inlineStr">
        <is>
          <t>li-4340158728</t>
        </is>
      </c>
      <c r="B78" t="inlineStr">
        <is>
          <t>Data Engineer</t>
        </is>
      </c>
      <c r="C78" t="inlineStr">
        <is>
          <t>Rogue Fitness</t>
        </is>
      </c>
      <c r="D78" t="inlineStr">
        <is>
          <t>linkedin</t>
        </is>
      </c>
      <c r="E78">
        <f>HYPERLINK("https://www.linkedin.com/jobs/view/4340158728", "https://www.linkedin.com/jobs/view/4340158728")</f>
        <v/>
      </c>
      <c r="F78">
        <f>HYPERLINK("https://roguefitness.wd1.myworkdayjobs.com/RogueFitness_External_Careers/job/Columbus-Ohio/Data-Engineer_R-102388/apply?mode=job&amp;iis=SOURCE&amp;iisn=LinkedIn&amp;urlHash=1u_l", "https://roguefitness.wd1.myworkdayjobs.com/RogueFitness_External_Careers/job/Columbus-Ohio/Data-Engineer_R-102388/apply?mode=job&amp;iis=SOURCE&amp;iisn=LinkedIn&amp;urlHash=1u_l")</f>
        <v/>
      </c>
      <c r="G78" t="inlineStr">
        <is>
          <t>Columbus, OH</t>
        </is>
      </c>
      <c r="H78" t="inlineStr"/>
      <c r="I78" t="inlineStr">
        <is>
          <t>**Overview**
**Job Description:**
 As a Data Engineer, you will be the central architect for backend development ETL projects, responsible for ensuring a reliable, optimized data pipeline. You will also collaborate closely with our Directors and Managers to ensure they have access to the reports and data that are critical for their diverse needs. This requires understanding many aspects of the business and the systems that drive them, including: ecommerce, manufacturing, and fulfillment.
 This role offers a unique opportunity to engage in meaningful projects, and solve critical challenges. You will drive initiatives that empower departments with data, automated manual reporting, and enable our adoption of AI in innovative ways. While you will gain exposure to transformative AI projects, your primary focus will be on developing a robust data lake that facilitates reporting and analysis.
 The Data Engineer is a fully onsite role in Columbus, Ohio. Remote work is not available. Applicants must be authorized to work in the United States for any employer.
**Responsibilities**
* Maintain efficient data pipelines, addressing data challenges such as inconsistency, quality issues, and complex transformation
* Ingest internal and external data into the bronze layer
* Collaborate with the team to understand pipeline structure and mechanize ad hoc data streams
* Transform raw data into clean and optimized usable building blocks in the silver layer
* Work with departments to understand business needs and prepare and format data for reporting purposes in the gold layer
* Utilize GCP services such as Cloud Scheduler and Cloud Functions
* Develop comprehensive testing strategies to ensure data integrity and pipeline functionality using Python notebooks. Collaborate closely with the Data Manager to design and execute data reporting pipelines
* Lead technical project development with a high degree of autonomy, owning key tech improvements such as writing Python SDKs and researching efficient methods of data transformation
**Qualifications**
* 2\-5 years of relevant data engineering experience
* Bachelor’s degree in Computer Science or a related field
* Proficiency in Python and its data\-related libraries (Pandas, NumPy, SciPy)
* 2 years of experience designing and optimizing complex SQL pipelines in GCP
* Experience as a lead developer defining project requirements
* Experience working with diverse databases, including e\-commerce
* Experience ingesting data from diverse APIs
* Experience with version control using Git
* Excellent communication skills and problem\-solving abilities
* Demonstrated ability to work independently and collaboratively
* High attention to detail, particularly with data security best practices
* Experience working with infrastructure as code tools such as Terraform
* Experience developing SDKs for data ingestion workflows
 By applying to Rogue, regardless of the platform you choose to use, you are agreeing to Rogue's preferred methods of communication (i.e. text message). Submitting an application, through whatever online forum is ultimately used, constitutes a knowing and voluntary agreement to send and receive text messages during the recruitment process.</t>
        </is>
      </c>
    </row>
    <row r="79">
      <c r="A79" t="inlineStr">
        <is>
          <t>li-4328765897</t>
        </is>
      </c>
      <c r="B79" t="inlineStr">
        <is>
          <t>Data Engineer</t>
        </is>
      </c>
      <c r="C79" t="inlineStr">
        <is>
          <t>Citi</t>
        </is>
      </c>
      <c r="D79" t="inlineStr">
        <is>
          <t>linkedin</t>
        </is>
      </c>
      <c r="E79">
        <f>HYPERLINK("https://www.linkedin.com/jobs/view/4328765897", "https://www.linkedin.com/jobs/view/4328765897")</f>
        <v/>
      </c>
      <c r="F79" t="inlineStr"/>
      <c r="G79" t="inlineStr">
        <is>
          <t>Irving, TX</t>
        </is>
      </c>
      <c r="H79" t="inlineStr"/>
      <c r="I79" t="inlineStr">
        <is>
          <t>The Big data engineer is a developing professional role in the field of Data engineering. The data engineer is accountable for developing high quality data products to support the Bank's regulatory and in\-business data requirements and data driven decision making. The team is seeking a skilled Big Data Engineer to design, build, and maintain robust, scalable data pipelines using Apache Spark. The ideal candidate will have hands\-on experience with Big Data platforms like Hadoop, Hive, or Snowflake, coupled with strong proficiency in Python or Java.
**Responsibilities:**
* Developing and supporting scalable, extensible, and highly available data solutions
* Deliver on critical business priorities while ensuring alignment with the wider architectural vision
* Identify and help address potential risks in the data supply chain
* Follow and contribute to technical standards.
* Design and develop analytical data models.
* Considers the business implications of the application of technology to the current business environment; identifies and communicates risks and impacts.
* Employs developed communication and diplomacy skills to exchange potentially complex/sensitive information.
* Demonstrates attention to quality and timeliness of service to ensure the effectiveness of the team and group.
* Provides informal guidance or on\-the\-job\-training to new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**Must Haves:**
* 2\+ years of hands\-on experience in building data pipelines with Apache Spark.
* Strong experience in Big Data platforms including Hadoop, Hive, or Snowflake for data storage and processing.
* Strong proficiency in either Python or Java programming.
* Expertise in data modeling techniques, including the design and structuring of data models.
* Comprehensive understanding of Data Warehousing principles, alongside experience with RDBMS (Oracle, MSSQL, MySQL) and NoSQL databases (MongoDB, DynamoDB).
* Familiarity with DevOps concepts, specifically CI/CD platforms and version control.
**Nice to have:**
* Exposure to data quality management, controls, validation, and enrichment.
* Understanding of containerization technologies like Docker and Kubernetes.
* Experience with various event, file, and table formats, such as Parquet, ORC, and Iceberg.
* Basic knowledge of job schedulers (e.g., Autosys) and entitlement management.
**Education:**
* Bachelor’s/University degree or equivalent experience
 This job description provides a high\-level review of the types of work performed. Other job\-related duties may be assigned as required.
 \-\-\-\-\-\-\-\-\-\-\-\-\-\-\-\-\-\-\-\-\-\-\-\-\-\-\-\-\-\-\-\-\-\-\-\-\-\-\-\-\-\-\-\-\-\-\-\-\-\-\-\-\-\-
**Job Family Group:**
 Technology
 \-\-\-\-\-\-\-\-\-\-\-\-\-\-\-\-\-\-\-\-\-\-\-\-\-\-\-\-\-\-\-\-\-\-\-\-\-\-\-\-\-\-\-\-\-\-\-\-\-\-\-\-\-\-
**Job Family:**
 Data Analytics
 \-\-\-\-\-\-\-\-\-\-\-\-\-\-\-\-\-\-\-\-\-\-\-\-\-\-\-\-\-\-\-\-\-\-\-\-\-\-\-\-\-\-\-\-\-\-\-\-\-\-\-\-\-\-
**Time Type:**
 Full time
 \-\-\-\-\-\-\-\-\-\-\-\-\-\-\-\-\-\-\-\-\-\-\-\-\-\-\-\-\-\-\-\-\-\-\-\-\-\-\-\-\-\-\-\-\-\-\-\-\-\-\-\-\-\-
**Primary Location:**
 Irving Texas United States
 \-\-\-\-\-\-\-\-\-\-\-\-\-\-\-\-\-\-\-\-\-\-\-\-\-\-\-\-\-\-\-\-\-\-\-\-\-\-\-\-\-\-\-\-\-\-\-\-\-\-\-\-\-\-
**Primary Location Full Time Salary Range:**
 $76,230\.00 \- $106,370\.00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Apache Spark, CI/CD, Continuous Integration (CI) Tools, Data Modeling, Data Pipelines, Data Warehouse ETL, Hadoop Distributed File System (HDFS), Java, Python (Programming Language).
 \-\-\-\-\-\-\-\-\-\-\-\-\-\-\-\-\-\-\-\-\-\-\-\-\-\-\-\-\-\-\-\-\-\-\-\-\-\-\-\-\-\-\-\-\-\-\-\-\-\-\-\-\-\-
**Anticipated Posting Close Date:**
 Jan 12,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80">
      <c r="A80" t="inlineStr">
        <is>
          <t>li-4361311946</t>
        </is>
      </c>
      <c r="B80" t="inlineStr">
        <is>
          <t>Senior Data Engineer, Data Pipelines</t>
        </is>
      </c>
      <c r="C80" t="inlineStr">
        <is>
          <t>Gather Health</t>
        </is>
      </c>
      <c r="D80" t="inlineStr">
        <is>
          <t>linkedin</t>
        </is>
      </c>
      <c r="E80">
        <f>HYPERLINK("https://www.linkedin.com/jobs/view/4361311946", "https://www.linkedin.com/jobs/view/4361311946")</f>
        <v/>
      </c>
      <c r="F80" t="inlineStr"/>
      <c r="G80" t="inlineStr">
        <is>
          <t>Boston, MA</t>
        </is>
      </c>
      <c r="H80" t="inlineStr"/>
      <c r="I80" t="inlineStr">
        <is>
          <t>**Description**
**About Gather Health**
 Gather Health is a Series B healthcare company reimagining primary care for older adults. Backed by Khosla, Maverick, and HC9, we’ve raised over $50M to build a new model of socially supported care addressing both medical and social determinants of health.
**The Role**
 We are seeking a hands\-on
 **Senior Data Engineer (Data Pipelines)** 
 to own the flow, transformation, and quality of data within Gather Health’s next\-generation data platform. You’ll design and maintain all batch and streaming pipelines using Dagster and dbt, transforming raw data into high\-quality, analytics\-ready assets.
 This is a critical build role — you will lead the implementation of
 **The Tuva Project** 
 clinical data models, design robust Bronze ? Silver ? Gold transformations, and ensure that every dataset in our platform is accurate, fresh, and reliable.
**What You’ll Do**
* Build \&amp; Orchestrate Pipelines: Design, build, and maintain end\-to\-end data pipelines using Dagster and dbt across ingestion, transformation, and delivery.
* Transform \&amp; Model Data: Own the Bronze ? Silver mapping models, writing modular, production\-grade dbt code and tests.
* Implement The Tuva Project: Serve as Gather’s in\-house expert on The Tuva Project, adapting its models to our schema and ensuring alignment with clinical data standards.
* Ensure Data Quality: Implement robust data validation and testing frameworks in dbt and Dagster to guarantee data integrity.
* Integrate Data Sources: Collaborate with the Infrastructure Engineer to onboard and maintain source data (AthenaOne, HubSpot, CCIQ, Telephony).
* Define Data Contracts: Establish and maintain schema stability between ingestion and transformation layers.
* Collaborate Across Teams: Work with the Lead Engineer and stakeholders (Clinical, Ops, Product) to deliver trustworthy, actionable data.
**Preferred Experience \&amp; Qualifications**
* 5–8\+ years of hands\-on experience in data engineering with a modern cloud warehouse (BigQuery, Snowflake, Redshift).
* Expert\-level proficiency in SQL and Python.
* Deep experience with dbt (modeling, testing, deployment).
* Deep experience with a modern orchestration tool (Airflow, Dagster, or Prefect preferred). Experience with asset\-centric pipelines is a strong plus.
* Experience with healthcare data (EHR, claims) and The Tuva Project or similar (OMOP) strongly preferred.
* Strong understanding of data quality and testing frameworks.
**Why Join Gather Health**
* Own all pipelines for a modern data platform built from scratch.
* Work with dbt, Dagster, and BigQuery in a cloud\-native environment.
* Join a small, senior, mission\-driven team with real autonomy.
* Competitive salary.</t>
        </is>
      </c>
    </row>
    <row r="81">
      <c r="A81" t="inlineStr">
        <is>
          <t>li-4351887133</t>
        </is>
      </c>
      <c r="B81" t="inlineStr">
        <is>
          <t>Data Engineer</t>
        </is>
      </c>
      <c r="C81" t="inlineStr">
        <is>
          <t>AARATECH</t>
        </is>
      </c>
      <c r="D81" t="inlineStr">
        <is>
          <t>linkedin</t>
        </is>
      </c>
      <c r="E81">
        <f>HYPERLINK("https://www.linkedin.com/jobs/view/4351887133", "https://www.linkedin.com/jobs/view/4351887133")</f>
        <v/>
      </c>
      <c r="F81" t="inlineStr"/>
      <c r="G81" t="inlineStr"/>
      <c r="H81" t="inlineStr"/>
      <c r="I81"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82">
      <c r="A82" t="inlineStr">
        <is>
          <t>li-4361531045</t>
        </is>
      </c>
      <c r="B82" t="inlineStr">
        <is>
          <t>Analytics &amp; Data Engineer</t>
        </is>
      </c>
      <c r="C82" t="inlineStr">
        <is>
          <t>Mogi I/O : OTT/Podcast/Short Video Apps for you</t>
        </is>
      </c>
      <c r="D82" t="inlineStr">
        <is>
          <t>linkedin</t>
        </is>
      </c>
      <c r="E82">
        <f>HYPERLINK("https://www.linkedin.com/jobs/view/4361531045", "https://www.linkedin.com/jobs/view/4361531045")</f>
        <v/>
      </c>
      <c r="F82" t="inlineStr"/>
      <c r="G82" t="inlineStr">
        <is>
          <t>Tacoma, WA</t>
        </is>
      </c>
      <c r="H82" t="inlineStr"/>
      <c r="I82" t="inlineStr">
        <is>
          <t>**Job Title: Sr. Data Engineer
 Location: USA – New York, Santa Monica, Seattle
 Experience: 8–15 Years
 Salary: USD 120,000 – 140,000**
**Job Overview**
 The Sr. Data Engineer will drive the company’s data initiatives by partnering with business, analytics, and infrastructure teams to design and implement scalable data pipelines. The role involves identifying data sources, designing table structures, building ETL pipelines, implementing automated data quality checks, and ensuring reliable, high\-performance data solutions across a fast\-growing data ecosystem.
**Key Responsibilities**
* Collect and integrate data from internal/external sources.
* Design table structures and build ETL pipelines (Airflow/Prefect).
* Implement automated data quality checks.
* Optimize SQL queries and ETL processes.
* Support ad hoc analysis and database deployments.
**Must\-Have Skills**
* Advanced SQL, Python, Spark, Snowflake, Databricks.
* Experience with cloud platforms (AWS/Azure/GCP).
* Strong problem\-solving, analytical, and communication skills.
* Familiarity with Agile Scrum.
**Nice\-to\-Have**
* Data modeling, Kafka, CI/CD tools, Docker, monitoring tools (Datadog).</t>
        </is>
      </c>
    </row>
    <row r="83">
      <c r="A83" t="inlineStr">
        <is>
          <t>li-4340156853</t>
        </is>
      </c>
      <c r="B83" t="inlineStr">
        <is>
          <t>Sr. Data Engineer</t>
        </is>
      </c>
      <c r="C83" t="inlineStr">
        <is>
          <t>Richmond National</t>
        </is>
      </c>
      <c r="D83" t="inlineStr">
        <is>
          <t>linkedin</t>
        </is>
      </c>
      <c r="E83">
        <f>HYPERLINK("https://www.linkedin.com/jobs/view/4340156853", "https://www.linkedin.com/jobs/view/4340156853")</f>
        <v/>
      </c>
      <c r="F83" t="inlineStr"/>
      <c r="G83" t="inlineStr">
        <is>
          <t>Glen Allen, VA</t>
        </is>
      </c>
      <c r="H83" t="inlineStr"/>
      <c r="I83" t="inlineStr">
        <is>
          <t>**Senior Data Engineer** 
 We are seeking a highly skilled and experienced Senior Data Engineer to join Richmond National Insurance Company. As a Senior Data Engineer, you will work closely with the Lead Data Engineer and Director of Data to design, develop, and maintain our cloud data infrastructure by ensuring the availability, reliability, and scalability of our data systems. You will collaborate with cross\-functional teams, including data engineers, business analysts, and software engineers, to develop innovative data solutions that enable data\-driven decision\-making across the organization.
**Responsibilities** 
* Data Infrastructure Management: Design, build, and maintain a robust and scalable cloud data infrastructure, including data pipelines, databases, and data lakes, to support the organization's data needs.
* Team Leadership: Lead and mentor a team of data engineers and data analysts, providing technical guidance, support, and fostering a culture of collaboration and innovation.
* Data Architecture: Define and implement the data architecture strategy, ensuring data models, schemas, and integration patterns align with business requirements and industry best practices.
* ETL Development: Develop and optimize Extract, Transform, Load (ETL) processes to extract data from various sources, transform it into a consistent format, and load it into the data ecosystem.
* Data Quality and Governance: Establish data quality standards, implement data governance processes, and perform regular data quality checks to ensure the accuracy, consistency, and reliability of data.
* Performance Optimization: Identify and implement performance tuning strategies to enhance the efficiency and speed of data processing and analysis.
* Data Security: Collaborate with the data and IT leadership team to implement data privacy and security measures, ensuring compliance with regulations and standards.
* Collaboration and Communication: Collaborate with cross\-functional teams to understand the data needs and deliver data solutions that support their requirements.
* Continuous Improvement: Stay up to date with industry trends, emerging technologies, and best practices in data engineering, and proactively introduce new tools and techniques to improve data engineering processes and efficiency.
* Documentation and Documentation: Maintain comprehensive documentation of data pipelines, workflows, and data structures, ensuring clear documentation for both technical and non\-technical stakeholders.
**Qualifications** 
* Proven experience (5\+ years) as a Data Engineer, preferably in the insurance or financial industry or a similar domain.
* Strong expertise in data modeling, ETL development, and data integration techniques.
* Proficiency in programming languages such as Python, Java, or Scala, and experience with SQL and database technologies.
* Solid understanding of distributed computing principles and big data technologies such as Hadoop, Spark, or Hive.
* Experience with cloud\-based data platforms and services, such as AWS, Azure, or Google Cloud Platform.
* Familiarity with data visualization tools and techniques.
* Excellent problem\-solving skills and a strong attention to detail.
* Effective communication and collaboration skills to work with cross\-functional teams and stakeholders.
 Join our team as the Senior Data Engineer and play a crucial role in shaping and optimizing our data infrastructure to support Richmond National's data\-driven initiatives. Apply your expertise to drive innovation and enable better decision\-making processes through advanced data engineering techniques.
**Benefits Overview** 
* Medical, Dental, and Vision insurance plans. FSA/HSA plans available.
* Basic Life/AD\&amp;D/Short Term/Long Term Disability coverage.
* 401(k) \- Company match of up to 6%
* Flexible PTO plan, 11 paid company\-wide holidays, plus your birthday off.
* Recognized as a Top Workplace by Richmond Times\-Dispatch
**Equal Employment Opportunity (EEO)** 
 Richmond National is an equal employment opportunity employer, the Company’s employment decisions and practices are not and will not be unlawfully influenced or affected by race, color, creed, age, religion, national origin, sex, disability, genetic information, veteran status, uniformed services, sexual orientation (including transgender status, gender identity or expression), gender, traits historically associated with race, such as hairstyle, pregnancy, childbirth, or related medical conditions or on any other characteristic protected by applicable federal, state, or local law. This policy of equal employment opportunity applies to all policies and procedures relating to recruitment and hiring, compensation, benefits, and all other terms and conditions of employment.</t>
        </is>
      </c>
    </row>
    <row r="84">
      <c r="A84" t="inlineStr">
        <is>
          <t>li-4361285872</t>
        </is>
      </c>
      <c r="B84" t="inlineStr">
        <is>
          <t>Data Engineer</t>
        </is>
      </c>
      <c r="C84" t="inlineStr">
        <is>
          <t>Zendr</t>
        </is>
      </c>
      <c r="D84" t="inlineStr">
        <is>
          <t>linkedin</t>
        </is>
      </c>
      <c r="E84">
        <f>HYPERLINK("https://www.linkedin.com/jobs/view/4361285872", "https://www.linkedin.com/jobs/view/4361285872")</f>
        <v/>
      </c>
      <c r="F84" t="inlineStr"/>
      <c r="G84" t="inlineStr"/>
      <c r="H84" t="inlineStr"/>
      <c r="I84" t="inlineStr">
        <is>
          <t>**Data Engineer (Top Secret Cleared)** 
**Location:** 
 Washington, DC (On\-site / Hybrid)
**Clearance Required:** 
 Active
 **Top Secret (TS)** 
 (SCI eligibility preferred)
**Employment Type:** 
 Full\-time
**About the Role** 
 We are seeking a highly skilled
 **Data Engineer** 
 to support mission\-critical programs in the Washington, DC area. This role involves designing, building, and maintaining secure, scalable data pipelines and analytics platforms that will tackle the worlds most critical challenges.
 You will work closely with analysts, data scientists, and mission stakeholders to turn complex datasets into reliable, actionable intelligence.
**What You’ll Do** 
* Partner with mission\-focused customers to design and deliver secure, scalable AWS\-based data lakehouse solutions.
* Deploy containerized services on Kubernetes (EKS) using Terraform or CloudFormation for repeatable environments.
* Integrate data from APIs, message buses, and relational databases to enable real\-time analytics.
* Build and operate production ETL/ELT pipelines using Python, Airflow, Spark, and SQL at petabyte scale.
* Contribute across the full SDLC, from design through secure deployment.
* Implement monitoring and observability to meet SLAs and support mission\-critical production systems.
**What We’re Looking For** 
* Bachelor’s degree (or equivalent experience) in a related field.
* 4\+ years of data engineering experience with Python.
* Excellent communication skills
* Prior experience working client facing
* Hands\-on experience with AWS
* Strong communication skills and willingness to travel up to 25%.
* **Active TS/SCI clearance required** 
 (polygraph strongly preferred)</t>
        </is>
      </c>
    </row>
    <row r="85">
      <c r="A85" t="inlineStr">
        <is>
          <t>li-4361277480</t>
        </is>
      </c>
      <c r="B85" t="inlineStr">
        <is>
          <t>Data Engineer /Data Architect with AI</t>
        </is>
      </c>
      <c r="C85" t="inlineStr">
        <is>
          <t>Node.Digital LLC</t>
        </is>
      </c>
      <c r="D85" t="inlineStr">
        <is>
          <t>linkedin</t>
        </is>
      </c>
      <c r="E85">
        <f>HYPERLINK("https://www.linkedin.com/jobs/view/4361277480", "https://www.linkedin.com/jobs/view/4361277480")</f>
        <v/>
      </c>
      <c r="F85" t="inlineStr"/>
      <c r="G85" t="inlineStr">
        <is>
          <t>Herndon, VA</t>
        </is>
      </c>
      <c r="H85" t="inlineStr"/>
      <c r="I85" t="inlineStr">
        <is>
          <t>**Data Engineer /Data Architect**
**Location: Herndon, VA**
**Preferred: US Citizen**
**Job Description**
 Node is currently seeking a motivated, career and customer\-oriented Senior Data Engineer /Data Architect to begin an exciting and challenging career with our large Enterprise Application Support Program on one of our project delivery teams.
**Job Responsibilities**
* Design and implement effective database structures and models to store, retrieve, and analyze data
* Develop, construct, test, and maintain scalable data pipelines to collect, process, and integrate data from various sources
* Implement ETL (Extract, Transform, Load) processes to ensure data consistency and quality
* Integrate data from different sources, ensuring consistency, reliability, and accuracy
* Develop data APIs and automation scripts to streamline data integration and workflows
* Monitor and optimize database and data processing system performance
* Conduct performance tuning and troubleshoot data issues
**Requirements**
**Requirement:**
* Bachelor's degree in Computer Science, Management Information Systems, or relevant discipline (4 years of equivalent experience)
* 8\+ years' experience with:
* Proven experience as a Data Architect, Data Engineer, or in a similar role
* Extensive experience in designing and implementing data architectures
* Hands\-on experience in developing and managing data pipelines and ETL processes
* Proficiency in SQL and database management systems (e.g., MySQL, PostgreSQL, SQL Server)
* Experience with big data technologies (e.g., Hadoop, Spark) and ETL tools
* Strong programming skills in languages such as Python, Java, or Scala
 Company Overview:
 Node.Digital is an independent Digital Automation \&amp; Cognitive Engineering company that integrates best\-of\-breed technologies to accelerate business impact.
 Our Core Values help us in our mission. They include:
 OUR CORE VALUES
 Identifying the:RIGHT PEOPLE:and developing them to their full capabilities
 Our customer's "Mission" is our "Mission". Our:MISSION FIRST:approach is designed to keep our customers fully engaged while becoming their trusted partner
 We believe in:SIMPLIFYING:complex problems with a relentless focus on agile delivery excellence
 Our mantra is ":Simple\*Secure\*Speed:" in delivery of innovative services and solutions
**Benefits**
 We are proud to offer competitive compensation and benefits packages to include
* Medical
* Dental
* Vision
* Basic Life
* Health Saving Account
* 401K
* Three weeks of PTO
* 10 Paid Holidays
* Pre\-Approved Online Training</t>
        </is>
      </c>
    </row>
    <row r="86">
      <c r="A86" t="inlineStr">
        <is>
          <t>li-4354766186</t>
        </is>
      </c>
      <c r="B86" t="inlineStr">
        <is>
          <t>Data Engineer</t>
        </is>
      </c>
      <c r="C86" t="inlineStr">
        <is>
          <t>AARATECH</t>
        </is>
      </c>
      <c r="D86" t="inlineStr">
        <is>
          <t>linkedin</t>
        </is>
      </c>
      <c r="E86">
        <f>HYPERLINK("https://www.linkedin.com/jobs/view/4354766186", "https://www.linkedin.com/jobs/view/4354766186")</f>
        <v/>
      </c>
      <c r="F86" t="inlineStr"/>
      <c r="G86" t="inlineStr"/>
      <c r="H86" t="inlineStr"/>
      <c r="I86"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87">
      <c r="A87" t="inlineStr">
        <is>
          <t>li-4361311538</t>
        </is>
      </c>
      <c r="B87" t="inlineStr">
        <is>
          <t>Data Engineer</t>
        </is>
      </c>
      <c r="C87" t="inlineStr">
        <is>
          <t>Best Job Tool</t>
        </is>
      </c>
      <c r="D87" t="inlineStr">
        <is>
          <t>linkedin</t>
        </is>
      </c>
      <c r="E87">
        <f>HYPERLINK("https://www.linkedin.com/jobs/view/4361311538", "https://www.linkedin.com/jobs/view/4361311538")</f>
        <v/>
      </c>
      <c r="F87">
        <f>HYPERLINK("https://www.bestjobtool.com/job-description/3058656581?src=LinkedIn&amp;urlHash=pFLM", "https://www.bestjobtool.com/job-description/3058656581?src=LinkedIn&amp;urlHash=pFLM")</f>
        <v/>
      </c>
      <c r="G87" t="inlineStr"/>
      <c r="H87" t="inlineStr"/>
      <c r="I87" t="inlineStr">
        <is>
          <t>**About The Company**
 Capital One is a leading diversified financial services company renowned for its innovative approach to banking and credit card services. With a strong emphasis on technology\-driven solutions, Capital One leverages data, analytics, and cutting\-edge technology to deliver personalized financial products and services to millions of customers nationwide. The company prides itself on fostering a collaborative, inclusive, and forward\-thinking work environment that encourages innovation and continuous learning. As a trusted brand in the financial industry, Capital One is committed to empowering its customers and employees alike through responsible banking practices and technological excellence.
**About The Role**
 The Lead Data Engineer \- Card Tech at Capital One is a pivotal role designed for a seasoned professional passionate about building scalable, reliable, and innovative data solutions within the financial technology domain. This position offers an exciting opportunity to lead the development of advanced data pipelines, support big data initiatives, and collaborate with cross\-functional teams to deliver impactful solutions. As a key member of the Card Technology division, you will be instrumental in transforming raw data into actionable insights that enhance customer experiences and drive strategic decision\-making. Your expertise will contribute to Capital One’s mission of delivering innovative financial products through data\-driven insights and modern technology stacks.
**Qualifications**
 The ideal candidate will possess a blend of educational background and extensive experience in data engineering and cloud computing. A Bachelor’s Degree in Computer Science, Information Technology, or a related field is required. Candidates should have a minimum of 4 years of application development experience, with at least 2 years specifically in big data technologies. Experience in cloud computing platforms such as AWS, Microsoft Azure, or Google Cloud is essential, with a minimum of 1 year working within these environments. Preferred qualifications include over 7 years of application development experience using languages like Python, SQL, Scala, or Java, along with significant exposure to distributed data processing tools, data warehousing solutions, and real\-time streaming applications. Familiarity with NoSQL databases, UNIX/Linux environments, and Agile practices will be advantageous.
**Responsibilities**
* Collaborate with Agile teams to design, develop, test, implement, and support comprehensive data solutions utilizing full\-stack development tools and technologies.
* Work closely with experienced developers specializing in machine learning, distributed microservices, and full\-stack systems to build scalable data pipelines and applications.
* Utilize programming languages such as Java, Scala, Python, and leverage open\-source RDBMS and NoSQL databases to develop robust data architectures.
* Implement cloud\-based data warehousing solutions like Redshift and Snowflake to support large\-scale data analytics and reporting initiatives.
* Stay current with emerging technology trends, participate in internal and external technology communities, and mentor junior team members to foster a culture of continuous learning and innovation.
* Partner with digital product managers and stakeholders to deliver secure, scalable, and high\-performance cloud solutions that enhance customer experiences and enable financial empowerment.
* Conduct thorough unit testing, code reviews, and performance tuning to ensure high\-quality, efficient, and reliable data systems.
* Maintain documentation and adhere to best practices in data engineering, security, and compliance standards.
**Benefits**
 Capital One offers a comprehensive benefits package designed to support the health, financial well\-being, and personal development of its employees. Benefits include competitive health insurance plans, retirement savings options, paid time off, and wellness programs. The company also provides opportunities for professional growth through training, certifications, and career advancement programs. Additionally, employees have access to flexible work arrangements, employee assistance programs, and a supportive work environment that promotes diversity and inclusion. Capital One’s commitment to employee well\-being extends beyond the workplace, fostering a culture of respect, innovation, and social responsibility.
 Equal Opportunity
 Capital One is an equal opportunity employer committed to fostering a diverse and inclusive workplace. We do not discriminate based on race, color, religion, sex, national origin, age, disability, veteran status, or any other protected class under applicable law. We believe that a diverse workforce enhances our ability to serve our customers and communities effectively. We are dedicated to providing reasonable accommodations to qualified individuals with disabilities throughout the recruitment and employment process. Capital One promotes a drug\-free workplace and complies with all applicable federal, state, and local laws related to employment discrimination and criminal background checks.</t>
        </is>
      </c>
    </row>
    <row r="88">
      <c r="A88" t="inlineStr">
        <is>
          <t>li-4302981241</t>
        </is>
      </c>
      <c r="B88" t="inlineStr">
        <is>
          <t>Senior Data Engineer</t>
        </is>
      </c>
      <c r="C88" t="inlineStr">
        <is>
          <t>Carrot</t>
        </is>
      </c>
      <c r="D88" t="inlineStr">
        <is>
          <t>linkedin</t>
        </is>
      </c>
      <c r="E88">
        <f>HYPERLINK("https://www.linkedin.com/jobs/view/4302981241", "https://www.linkedin.com/jobs/view/4302981241")</f>
        <v/>
      </c>
      <c r="F88" t="inlineStr"/>
      <c r="G88" t="inlineStr"/>
      <c r="H88" t="inlineStr"/>
      <c r="I88"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The Senior Data Engineer leads the evolution, reliability, and scalability of the modern data infrastructure across analytics, reporting, and business intelligence. This role is responsible for architecting, building, and maintaining robust, automated data pipelines, orchestrating workflows, integrating diverse data sources, and partnering with stakeholders across the business to deliver secure, compliant, high\-quality data solutions. Hands\-on responsibilities span the full data lifecycle, from architecting resilient ETL/ELT pipelines and developing real\-time and batch data integrations to automating reporting, optimizing technical debt, and enabling advanced analytics. Senior Data Engineers are operational stewards and technical mentors, driving improvements in system maturity, cost efficiency, automation, and collaborative practices.
**The Team:** 
 Our Data Engineering team develops and optimizes scalable data pipelines and cloud infrastructure to enable secure, automated reporting and analytics. We collaborate closely with partner, product, finance, and legal teams to deliver reliable integrations and self\-serve solutions that drive business insights and operational efficiency. The team leads technical incident management, data governance, and ongoing improvements while supporting cross\-functional mentorship and stakeholder needs.
**Minimum Qualifications:** 
* Expert\-level proficiency in Snowflake, dbt, and Python for data modeling, transformation, pipeline development, and advanced analytics.
* Advanced SQL skills for complex querying, large\-scale data model design, and database optimization.
* Proven experience architecting, building, testing, deploying, and maintaining scalable, automated ETL/ELT pipelines using modern orchestration tools such as Prefect and Airflow.
* Hands\-on administration of cloud\-based data warehouse and lake platforms—Snowflake, AWS (S3, Redshift), Google Cloud—including integration of new sources and performance optimization.
* Strong understanding of secure external data flows through SFTP, Files.com: Next\-Generation MFT, SFTP \&amp; File Sharing , and APIs, with a focus on reliability and compliance.
* Mastery of version control (Git, GitHub) and structured workflow management (Jira) for code review, audit trails, and operational transparency.
* Demonstrated ability to automate and simplify complex manual tasks, building robust, reusable pipeline components that reduce operational overhead.
* Depth in orchestrating workflows with custom scheduling, alerting, dependency management, monitoring, and error resolution.
* Dependability, adaptability, and a strong collaborative approach to engineering, thriving in dynamic and ambiguous environments.
**Preferred Qualifications:** 
* Extensive hands\-on experience in dynamic, fast\-paced settings, including startup or rapid\-growth environments, delivering technical solutions under shifting priorities.
* Direct background supporting cross\-functional teams—business intelligence, analytics, and data science—by enabling large\-scale integrations, multi\-tenant reporting, and advanced analytics tooling.
* Familiarity with both batch and event\-driven ingestion paradigms, including building near\-real\-time data pipelines utilizing Snowflake, dbt, and Python.
* Experience automating complex operational, financial, or compliance\-driven workflows within cloud data environments.
* Exposure to audit, privacy, and compliance frameworks (SOC, HIPAA, GDPR, ISO, SOX), particularly in implementing robust data governance and secure access controls.
* Experience working with regulated industries such as healthcare, healthtech, or SaaS environments.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$155,000\.00 \- $195,000\.00\.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89">
      <c r="A89" t="inlineStr">
        <is>
          <t>li-4352840202</t>
        </is>
      </c>
      <c r="B89" t="inlineStr">
        <is>
          <t>Sr Data Engineer - New York, Santa Monica,Seattle</t>
        </is>
      </c>
      <c r="C89" t="inlineStr">
        <is>
          <t>Sage Metrics Services</t>
        </is>
      </c>
      <c r="D89" t="inlineStr">
        <is>
          <t>linkedin</t>
        </is>
      </c>
      <c r="E89">
        <f>HYPERLINK("https://www.linkedin.com/jobs/view/4352840202", "https://www.linkedin.com/jobs/view/4352840202")</f>
        <v/>
      </c>
      <c r="F89" t="inlineStr"/>
      <c r="G89" t="inlineStr">
        <is>
          <t>New York, NY</t>
        </is>
      </c>
      <c r="H89" t="inlineStr"/>
      <c r="I89" t="inlineStr">
        <is>
          <t>Now Hiring!
**Sr Data Engineer \- New York, Santa Monica,Seattle** 
 Client Name:TAVANT
 Domain:Information technology (IT)
 Location:USA \- New York, Santa Monica, Seattle
 Status:Active
 Salary:USD 120,000 \- 140,000
 Experience: 8 \- 15 Years
**Must Haves** 
* Airflow, Data Bricks, SQL, Python, Spark, Snowflake
* Experience with at least one cloud platform (AWS / Azure / GCP)
* Strong analytical and problem\-solving skills.
* Strong communication skills, ability to collaborate with cross\-functional teams \&amp; interact with stakeholders.
* Familiarity with Agile Scrum principles and ceremonies
 Candidate MUST be willing to take a hackerrank test for Python, SQL. this is a hands on role.
 The Sr. Data Engineer will contribute to the Company’s success by partnering with business, analytics and infrastructure teams to design and build data pipelines to facilitate measuring various KPIs \&amp; metrics. Collaborating across disciplines, they will identify internal / external data sources, design table structures, define ETL strategy \&amp; implement automated Data Quality checks.
**Must have skills:** 
* Data Engineering skills using \-
* Complex or Advanced SQL queries
* Python
* Spark
* Snowflake
* Databricks
* Airflow or Prefect
* Experience with at least one cloud platform (AWS / Azure / GCP)
* Strong analytical and problem\-solving skills.
* Strong communication skills, ability to collaborate with cross\-functional teams \&amp; interact with stakeholders.
* Familiarity with Agile Scrum principles and ceremonies
**Nice to have skills:** 
* Data Modeling (e.g., Dimensional Modeling)
* Experience working with Kafka
* Familiarity with CI/CD tools (e.g., Jenkins, GitHub Actions, etc.) \&amp; Docker containers
* Exposure to monitoring tools like Datadog
**Qualifications:** 
* 8\+ years of relevant data engineering experience.
* Bachelor’s/Master’s degree in Computer Science, Engineering, or related field.
 Roles \&amp; Responsibilities
**Responsibilities:** 
* Partner with technical and non\-technical colleagues to understand data and reporting requirements
* Work with engineering teams to collect required data from internal and external systems
* Design table structures and define ETL pipelines to build performant data solutions that are reliable and scalable in a fast growing data ecosystem
* Develop automated data quality checks
* Develop and maintain ETL routines using ETL and orchestration tools such as Airflow
* Implement database deployments using tools like SchemaChange
* Perform ad hoc analysis as necessary.
* Perform SQL and ETL tuning as necessary.</t>
        </is>
      </c>
    </row>
    <row r="90">
      <c r="A90" t="inlineStr">
        <is>
          <t>li-4361531679</t>
        </is>
      </c>
      <c r="B90" t="inlineStr">
        <is>
          <t>Senior Data Engineer, Platform Infrastructure</t>
        </is>
      </c>
      <c r="C90" t="inlineStr">
        <is>
          <t>Gather Health</t>
        </is>
      </c>
      <c r="D90" t="inlineStr">
        <is>
          <t>linkedin</t>
        </is>
      </c>
      <c r="E90">
        <f>HYPERLINK("https://www.linkedin.com/jobs/view/4361531679", "https://www.linkedin.com/jobs/view/4361531679")</f>
        <v/>
      </c>
      <c r="F90" t="inlineStr"/>
      <c r="G90" t="inlineStr">
        <is>
          <t>Boston, MA</t>
        </is>
      </c>
      <c r="H90" t="inlineStr"/>
      <c r="I90" t="inlineStr">
        <is>
          <t>**Description**
**About Gather Health**
 Gather Health is a Series B healthcare company reimagining primary care for older adults. Backed by Khosla, Maverick, and HC9, we’ve raised over $50M to build a new model of socially supported care addressing both medical and social determinants of health.
**The Role**
 We are seeking a hands\-on
 **Senior Data Engineer (Platform Infrastructure)** 
 to build and manage the cloud infrastructure that powers Gather’s next\-generation data platform. You’ll own our Google Cloud (GCP) environment, ensuring it’s resilient, secure, and cost\-efficient. This role is foundational: you will create the backbone that enables ingestion, orchestration, and modeling across our entire stack.
 You’ll collaborate closely with the Lead Data Engineer on architectural design and the Pipelines Engineer on operational enablement — together forming the core data platform team.
**What You’ll Do**
* Architect \&amp; Build Cloud Infrastructure: Design, deploy, and own Gather’s data platform infrastructure on GCP using Infrastructure\-as\-Code (Terraform).
* Implement \&amp; Manage Security: Own the platform’s security posture, implementing IAM roles, VPCs, encryption, and monitoring for full HIPAA compliance.
* Enable Observability: Build monitoring, logging, and alerting across all platform services (Stackdriver, Grafana, etc.) to ensure reliability.
* Establish CI/CD Pipelines: Develop and maintain CI/CD workflows for dbt, Dagster, and Cloud Run services using tools like GitHub Actions or GitLab CI.
* Manage Core Ingestion Services: Deploy and operate BigQuery Data Transfer (AthenaOne Snowflake Share) and Cloud Run webhook services for real\-time data ingestion.
* Optimize Performance \&amp; Cost: Monitor and tune BigQuery performance (slots, clustering, partitioning) for efficiency.
* Collaborate Closely: Work with the Lead Engineer to align infra design with data architecture, and support the Pipelines Engineer to ensure ingestion readiness.
**Preferred Experience \&amp; Qualifications**
* 5–8\+ years of hands\-on experience in DevOps, SRE, or data platform engineering.
* Deep expertise in GCP (BigQuery, GCS, IAM, Cloud Run, networking) and Terraform.
* Proficiency with containerization (Docker/Kubernetes) and CI/CD tools.
* Experience with healthcare or other regulated (HIPAA, SOC2\) environments is a strong plus.
* Familiarity with dbt, Dagster, and modern data pipelines preferred.
**Why Join Gather Health**
* Build the data infrastructure foundation for a mission\-driven healthcare company.
* Work with modern tools (GCP, Terraform, Dagster, dbt) in a greenfield environment.
* Join a remote\-first, global team with high autonomy and ownership.
* Competitive salary.</t>
        </is>
      </c>
    </row>
    <row r="91">
      <c r="A91" t="inlineStr">
        <is>
          <t>li-4354861353</t>
        </is>
      </c>
      <c r="B91" t="inlineStr">
        <is>
          <t>Data Engineer</t>
        </is>
      </c>
      <c r="C91" t="inlineStr">
        <is>
          <t>AARATECH</t>
        </is>
      </c>
      <c r="D91" t="inlineStr">
        <is>
          <t>linkedin</t>
        </is>
      </c>
      <c r="E91">
        <f>HYPERLINK("https://www.linkedin.com/jobs/view/4354861353", "https://www.linkedin.com/jobs/view/4354861353")</f>
        <v/>
      </c>
      <c r="F91" t="inlineStr"/>
      <c r="G91" t="inlineStr"/>
      <c r="H91" t="inlineStr"/>
      <c r="I91"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92">
      <c r="A92" t="inlineStr">
        <is>
          <t>li-4314047646</t>
        </is>
      </c>
      <c r="B92" t="inlineStr">
        <is>
          <t>Senior Analytics Engineer I</t>
        </is>
      </c>
      <c r="C92" t="inlineStr">
        <is>
          <t>Upside</t>
        </is>
      </c>
      <c r="D92" t="inlineStr">
        <is>
          <t>linkedin</t>
        </is>
      </c>
      <c r="E92">
        <f>HYPERLINK("https://www.linkedin.com/jobs/view/4314047646", "https://www.linkedin.com/jobs/view/4314047646")</f>
        <v/>
      </c>
      <c r="F92">
        <f>HYPERLINK("https://jobs.ashbyhq.com/upside/818245d2-90dc-4047-8fae-4c9a9415dde2?utm_source=k1QD2lD9mR&amp;urlHash=oF3m", "https://jobs.ashbyhq.com/upside/818245d2-90dc-4047-8fae-4c9a9415dde2?utm_source=k1QD2lD9mR&amp;urlHash=oF3m")</f>
        <v/>
      </c>
      <c r="G92" t="inlineStr">
        <is>
          <t>New York, NY</t>
        </is>
      </c>
      <c r="H92" t="inlineStr"/>
      <c r="I92"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2\+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93">
      <c r="A93" t="inlineStr">
        <is>
          <t>li-4248989938</t>
        </is>
      </c>
      <c r="B93" t="inlineStr">
        <is>
          <t>Senior Data Engineer</t>
        </is>
      </c>
      <c r="C93" t="inlineStr">
        <is>
          <t>Kikoff</t>
        </is>
      </c>
      <c r="D93" t="inlineStr">
        <is>
          <t>linkedin</t>
        </is>
      </c>
      <c r="E93">
        <f>HYPERLINK("https://www.linkedin.com/jobs/view/4248989938", "https://www.linkedin.com/jobs/view/4248989938")</f>
        <v/>
      </c>
      <c r="F93">
        <f>HYPERLINK("https://jobs.ashbyhq.com/kikoff/321e52b2-8b28-4c5e-b592-8c47672c5d18?source=linkedin&amp;urlHash=yuuW", "https://jobs.ashbyhq.com/kikoff/321e52b2-8b28-4c5e-b592-8c47672c5d18?source=linkedin&amp;urlHash=yuuW")</f>
        <v/>
      </c>
      <c r="G93" t="inlineStr">
        <is>
          <t>San Francisco, CA</t>
        </is>
      </c>
      <c r="H93" t="inlineStr"/>
      <c r="I93" t="inlineStr">
        <is>
          <t>**Responsibilities**
 We are looking for a Data Engineer or Analytics Engineer to join our Data team. You will collaborate with the data scientist and engineers to design, build, and scale high\-leverage data models, foundational datasets and scalable infrastructure that enables analytics, modeling, and experimentation. Your responsibilities includes:
* Build and optimize high\-quality ergonomic foundational datasets and the relevant data pipelines
* Establish data quality management processes at scale
* Build analytical dashboards
**Qualifications**
* Bachelors’ or above in quantitative discipline: Statistics, Applied Mathematics, Economics, Computer Science, Engineering, or related field
* A minimum of 2 years of work experience in data engineering
* Hands\-on experience in building robust data models and data pipelines
* A self\-starter with a bias for action and excellent communication skills, with ability to explain complex technical concepts in easy\-to\-understand ways
* Expert knowledge of SQL, and popular data engineering tools such as snowflake, dbt, Dagster etc
* Experience working with DS team
* A humble collaborative can\-do attitude and natural curiosity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 Medical, dental, and vision coverage \- Kikoff covers the full cost of health insurance for the employee!
 📈 Stock Options
 🏝 Flexible vacation policy to help you recharge
 💰 US salary range for this full\-time position consists of base \+ equity \+ benefits
 Location: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t>
        </is>
      </c>
    </row>
    <row r="94">
      <c r="A94" t="inlineStr">
        <is>
          <t>li-4354416032</t>
        </is>
      </c>
      <c r="B94" t="inlineStr">
        <is>
          <t>Backend &amp; Data Engineer</t>
        </is>
      </c>
      <c r="C94" t="inlineStr">
        <is>
          <t>BOND (YCX25)</t>
        </is>
      </c>
      <c r="D94" t="inlineStr">
        <is>
          <t>linkedin</t>
        </is>
      </c>
      <c r="E94">
        <f>HYPERLINK("https://www.linkedin.com/jobs/view/4354416032", "https://www.linkedin.com/jobs/view/4354416032")</f>
        <v/>
      </c>
      <c r="F94">
        <f>HYPERLINK("https://www.ycombinator.com/companies/bond/jobs/BN2wj8T-backend-data-engineer?utm_source=syn_li&amp;urlHash=o_TF", "https://www.ycombinator.com/companies/bond/jobs/BN2wj8T-backend-data-engineer?utm_source=syn_li&amp;urlHash=o_TF")</f>
        <v/>
      </c>
      <c r="G94" t="inlineStr">
        <is>
          <t>San Francisco, CA</t>
        </is>
      </c>
      <c r="H94" t="inlineStr"/>
      <c r="I94" t="inlineStr">
        <is>
          <t>* Evolve the foundation: You will help us transform our data layer into a mature and battle\-tested system. You will build pipelines to extract context from third\-party tools and normalize it into a queryable organizational knowledge base.
* Build "Agent\-Ready" interfaces: You aren't just building APIs for a frontend; you are building tools for AI agents. You will abstract away the complexities of external platforms into reliable, clean interfaces that our AI agents can control autonomously.
* Orchestrate async workflows: We use sleep\-time compute cycles to analyze data when users aren't looking. You will manage the worker infrastructure that allows agents to plan cycles, execute sub\-tasks, and sync data in the background.
* Semantic search \&amp; RAG: You will ensure that as soon as data flows in, it is vector\-embedded and ready for retrieval, keeping our AI's context window fresh.
* Ship for the user: We don't optimize code just for the sake of code. You will build with a relentless focus on how the end\-user experiences the product: speed, reliability, and magic.</t>
        </is>
      </c>
    </row>
    <row r="95">
      <c r="A95" t="inlineStr">
        <is>
          <t>li-4346030005</t>
        </is>
      </c>
      <c r="B95" t="inlineStr">
        <is>
          <t>Data Engineer</t>
        </is>
      </c>
      <c r="C95" t="inlineStr">
        <is>
          <t>Services for the UnderServed</t>
        </is>
      </c>
      <c r="D95" t="inlineStr">
        <is>
          <t>linkedin</t>
        </is>
      </c>
      <c r="E95">
        <f>HYPERLINK("https://www.linkedin.com/jobs/view/4346030005", "https://www.linkedin.com/jobs/view/4346030005")</f>
        <v/>
      </c>
      <c r="F95">
        <f>HYPERLINK("https://careers-sus.icims.com/jobs/18021/data-engineer/job&amp;urlHash=es0Q", "https://careers-sus.icims.com/jobs/18021/data-engineer/job&amp;urlHash=es0Q")</f>
        <v/>
      </c>
      <c r="G95" t="inlineStr">
        <is>
          <t>New York, NY</t>
        </is>
      </c>
      <c r="H95" t="inlineStr"/>
      <c r="I95" t="inlineStr">
        <is>
          <t>**Min**
 USD $135,000\.00/Yr.
**Max**
 USD $145,000\.00/Yr.
**Position Overview**
* SCOPE OF ROLE :
 The Data Engineer is responsible for building and maintaining a governed, analytics\-ready data environment within Microsoft Fabric. This role designs and supports modern data pipelines that ingest, transform, and migrate data for enterprise analytics while ensuring high standards of data quality, metadata management, lineage, and cataloging. The Data Engineer plays a key role in establishing trust in data through strong governance practices and clear documentation.
 In addition, the role focuses on analytics and BI enablement, including the development and optimization of semantic models and close collaboration with BI teams to support Power BI reporting and self\-service analytics. The ideal candidate brings strong SQL and data modeling skills, hands\-on experience with Microsoft Fabric and related cloud data platforms, and the ability to work cross\-functionally with technical and business stakeholders to deliver reliable, well\-governed data solutions that support the organization’s analytics strategy.
* ESSENTIAL DUTIES \&amp; RESPONSIBILITIES:
* Support and uphold the organization’s data governance framework, ensuring compliance with enterprise standards.
* Collect, organize, and manage metadata for enterprise datasets to support analytics, governance, and Microsoft Fabric migration initiatives.
* Design and implement data pipelines that enable data ingestion, transformation, and migration into Microsoft Fabric.
* Build, maintain, and optimize semantic models for analytics, reporting, and self\-service BI.
* Collaborate with BI teams to support Power BI report development, including dataset optimization and performance tuning.
* Ensure data quality, lineage, and cataloging practices are consistently implemented and maintained.
* Contribute to documentation, standards, and governance processes that support data literacy and platform sustainability.
* Work cross\-functionally with analytics, governance, business owners, and application teams to deliver high\-quality, governed data solutions.
**Qualifications**
* REQUIREMENTS:
**Required Qualifications**
* Bachelor’s degree in Information Systems, Computer Science, or 5\+ years of equivalent experience.
* Proficiency in SQL, Python, or other scripting languages for data engineering tasks.
* Proven experience with metadata collection and management.
* Experience building scalable ETL/ELT data pipelines.
* Hands\-on experience developing semantic models for analytics and reporting.
* Experience supporting Power BI report development and optimization.
* Strong understanding of Microsoft Fabric architecture and components.
* Familiarity with data governance principles including quality, lineage, and stewardship.
* Hands\-on experience with data modeling (star and snowflake schemas).
* Ability to collaborate effectively across technical and business teams.
**Preferred Qualifications**
* Experience with Microsoft Purview for metadata management and governance workflows.
* Knowledge of data security, compliance, and privacy standards.
* Experience with Fabric Data Factory, Azure Databricks, Synapse Analytics, or similar tools.
* Understanding of Azure Data Lake Storage and cloud\-based analytics platforms.
* Experience contributing to data governance documentation or data literacy initiatives
**Soft Skills**
* Strong analytical and problem\-solving abilities.
* Excellent communication and collaboration skills.
* Ability to manage multiple priorities in a fast\-paced environment.
* Attention to detail with a focus on data quality and consistency.
**Company Overview**
**S:US IS AN EQUAL OPPORTUNITY EMPLOYER**
 Join a team of employees who cares about the wellbeing of others. We’re proud to offer a comprehensive benefits package designed to support your wellbeing and development. From health and wellness resources to generous PTO, professional development, and more, explore all that we offer on our
 **Benefits Page** 
 and see how S:US invests in you.
 We believe in fostering a culture built on our core values: respect, integrity, support, maximizing individual potential and continuous quality improvement.
 S:US is an affirmative action and equal opportunity employer. All qualified applicants will receive consideration for employment without regard to race, color, religion, sex, disability, age, sexual orientation, gender identity, national origin, veteran status, or genetic information. S:US is committed to providing access, equal opportunity and reasonable accommodation for individuals with disabilities in employment, its services, programs, and activities, including allowance of the use of services animals. To request reasonable accommodation or if you believe such a request was improperly handled or denied, contact the Leave Team at MyMedicalLeave@sus.org .
**ID**
 2025\-18021</t>
        </is>
      </c>
    </row>
    <row r="96">
      <c r="A96" t="inlineStr">
        <is>
          <t>li-4354851775</t>
        </is>
      </c>
      <c r="B96" t="inlineStr">
        <is>
          <t>Senior Data Engineer</t>
        </is>
      </c>
      <c r="C96" t="inlineStr">
        <is>
          <t>Cipher7</t>
        </is>
      </c>
      <c r="D96" t="inlineStr">
        <is>
          <t>linkedin</t>
        </is>
      </c>
      <c r="E96">
        <f>HYPERLINK("https://www.linkedin.com/jobs/view/4354851775", "https://www.linkedin.com/jobs/view/4354851775")</f>
        <v/>
      </c>
      <c r="F96" t="inlineStr"/>
      <c r="G96" t="inlineStr">
        <is>
          <t>Wilmington, DE</t>
        </is>
      </c>
      <c r="H96" t="inlineStr"/>
      <c r="I96" t="inlineStr">
        <is>
          <t>Job Title: Snr Data Engineer (AWS, Java/Python and Big Data experience)
**Employment Type:** 
 Full\-Time, Permanent
**Location:** 
 Philadelphia, PA / Wilmington, DE
**Work Model:** 
**Onsite – 5 Days per Week** 
**Candidate Requirement:** 
**Local profiles only** 
 Experience: 6 \-10 Years of experience.
**Job Summary** 
 We are seeking an experienced
 **Data Engineer** 
 to design, build, and support scalable data solutions in a cloud\-based environment. The ideal candidate will have strong hands\-on experience with
 **AWS** 
 ,
 **Java and/or Python** 
 , and
 **Big Data technologies** 
 , and must be able to work onsite five days a week.
**Primary Skill Set (Must Have)** 
* AWS (cloud\-native data services and architectures)
* Java and/or Python
* Big Data technologies and frameworks
 Nice to Have
* Snowflake
* Databricks
**Roles \&amp; Responsibilities**
* Acquire, ingest, and manage data from multiple sources and storage systems
* Transform and migrate existing ETL logic to
 **AWS, Databricks, or equivalent cloud platforms**
* Implement and enhance services using
 **object\-oriented and functional programming** 
 approaches
* Establish and enforce standards to ensure
 **data quality, consistency, and completeness**
* Design, develop, and troubleshoot software solutions across the data ecosystem
* Write secure, high\-quality, and maintainable code with limited supervision
* Design solutions with awareness of
 **upstream and downstream dependencies**
* Utilize SDLC tools and automation to improve development efficiency and reliability
* Ensure operational stability, performance, and scalability of data pipelines</t>
        </is>
      </c>
    </row>
    <row r="97">
      <c r="A97" t="inlineStr">
        <is>
          <t>li-4348233506</t>
        </is>
      </c>
      <c r="B97" t="inlineStr">
        <is>
          <t>Senior Data Engineer</t>
        </is>
      </c>
      <c r="C97" t="inlineStr">
        <is>
          <t>Quantum Health</t>
        </is>
      </c>
      <c r="D97" t="inlineStr">
        <is>
          <t>linkedin</t>
        </is>
      </c>
      <c r="E97">
        <f>HYPERLINK("https://www.linkedin.com/jobs/view/4348233506", "https://www.linkedin.com/jobs/view/4348233506")</f>
        <v/>
      </c>
      <c r="F97" t="inlineStr"/>
      <c r="G97" t="inlineStr">
        <is>
          <t>Dublin, OH</t>
        </is>
      </c>
      <c r="H97" t="inlineStr"/>
      <c r="I97" t="inlineStr">
        <is>
          <t>**Who we are** 
 Founded in 1999 and headquartered in Central Ohio, we’re a privately\-owned, independent healthcare navigation organization. We believe that no one should have to navigate the cost and complexity of healthcare alone, and we’re on a mission to make healthcare simpler and more effective for our millions of members. Our big\-hearted, tech\-savvy team fights to ensure that our members get the care they need, when they need it, at the most affordable cost – that’s why we call ourselves Healthcare Warriors®.
 We’re committed to building diverse and inclusive teams – more than 2,000 of us and counting – so if you’re excited about this position, we encourage you to apply – even if your experience doesn’t match every requirement.
**About the role** 
 As a
 **Senior Data Engineer** 
 , this individual contributes to architecture and design discussions, supports best practices in data quality, governance, and security, and helps strengthen overall data delivery processes. The Senior Data Engineer also mentors peers and drives continuous improvement in engineering standards and automation across the team.
**Location:** 
 This position is located at our Dublin, OH campus with hybrid flexibility or may work remotely anywhere in the United States of America.
**What you’ll do (Essential Responsibilities)** 
* Create, maintain, and optimize robust data pipelines and associated data services to ensure scalability, reliability, and performance.
* Partner with data, analytics, and design teams to define scalable data solutions and support evolving business requirements; contribute to data architecture discussions and design decisions to align with long\-term enterprise data strategy.
* Provide input into data modeling, integration design, and data lifecycle management to ensure alignment with best practices in data governance, metadata management, and security.
* Collaborate across the organization to embed data quality, lineage, and stewardship principles into engineering and delivery processes.
* Mentor peers, share best practices, and drive continuous improvement in data engineering standards, automation, and architecture awareness within the team.
* All other duties as assigned.
**What you’ll bring (Qualifications)** 
* **Education:** 
 Bachelor’s degree in Computer Science, Engineering, Mathematics, Statistics, or a related field or equivalent experience and training.
* **Experience:** 
 5\+ years of experience in technical data roles such as ETL development, data engineering, BI reporting, or related disciplines.
* Strong SQL expertise with hands\-on experience designing and optimizing complex queries, relational databases, and data models.
* Proven experience building, scaling, and maintaining data pipelines, data lakes, and data integration frameworks.
* Understanding of data architecture concepts (data modeling, integration patterns, schema design, storage optimization) and ability to collaborate with architects to translate strategy into implementation.
* Proficiency with cloud technologies including AWS (S3, EC2, EMR, DynamoDB, Aurora, Athena, Glue, etc.) and platforms such as Snowflake and dbt.
* (Preferred) Familiarity with data orchestration and integration tools (SSIS, SnapLogic, Kestra, Airflow, etc.) and streaming technologies (Kafka, Spark, Kinesis).
* Experience with data governance, metadata management, and data quality frameworks.
* Strong analytical and problem\-solving skills, with the ability to balance technical detail and strategic context.
* Experience supporting and working with cross\-functional teams in a dynamic environment.
* Working knowledge of object\-oriented and functional scripting languages (Python, Java, Scala, etc.).
* Strong organizational and project management skills, with an ability to prioritize and align technical work to business strategy.
* Strong administrative/technical skills; Comfort working on a PC using Microsoft Office (Outlook, Word, Excel, PowerPoint), IM/video conferencing (Teams \&amp; Zoom), and telephones efficiently.
* Trustworthy and accountable behavior, capable of viewing and maintaining confidential information daily.</t>
        </is>
      </c>
    </row>
    <row r="98">
      <c r="A98" t="inlineStr">
        <is>
          <t>li-4345837667</t>
        </is>
      </c>
      <c r="B98" t="inlineStr">
        <is>
          <t>Senior Analytics Engineer</t>
        </is>
      </c>
      <c r="C98" t="inlineStr">
        <is>
          <t>Maven Clinic</t>
        </is>
      </c>
      <c r="D98" t="inlineStr">
        <is>
          <t>linkedin</t>
        </is>
      </c>
      <c r="E98">
        <f>HYPERLINK("https://www.linkedin.com/jobs/view/4345837667", "https://www.linkedin.com/jobs/view/4345837667")</f>
        <v/>
      </c>
      <c r="F98" t="inlineStr"/>
      <c r="G98" t="inlineStr">
        <is>
          <t>New York, NY</t>
        </is>
      </c>
      <c r="H98" t="inlineStr"/>
      <c r="I98" t="inlineStr">
        <is>
          <t>Maven is the world's largest virtual clinic for women and families on a mission to make healthcare work for all of us. Maven's award\-winning digital programs provide clinical, emotional, and financial support all in one platform, spanning fertility \&amp; family building, maternity \&amp; newborn care, parenting \&amp; pediatrics, and menopause \&amp;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
**An award\-winning culture working towards an important mission – Maven Clinic is a recipient of over 30 workplace and innovation awards, including:**
* Fortune Change the World (2024\)
* CNBC Disruptor 50 List (2022, 2023, 2024\)
* Fortune Best Workplaces for Millennials (2024\)
* Fortune Best Workplaces in Health Care (2024\)
* TIME 100 Most Influential Companies (2023\)
* Fast Company Most Innovative Companies (2020, 2023\)
* Built In Best Places to Work (2023\)
* Fortune Best Workplaces NY (2020, 2021, 2022, 2023, 2024\)
* Great Place to Work certified (2020, 2021, 2022, 2023, 2024\)
* Fast Company Best Workplaces for Innovators (2022\)
* Built In LGBTQIA\+ Advocacy Award (2022\)
 Maven is looking for an experienced Senior Analytics Engineer to join our Core Analytics team to help drive the technical vision and the strategic projects to build and maintain the modeled data layer and semantic layer that power data\-driven decision\-making as our business scales. As a part of Maven’s Data organization, you will sit at the intersection of Data Engineering and Analytics, transforming raw data into clean, reliable, well\-documented datasets and metrics that our Client Success, Finance, Sales, and Marketing teams rely on everyday. You will be a key partner in the design, development, and maintenance of highly scalable data models and reporting layers that enable key cross\-functional teams to self\-serve critical business metrics with confidence.
**As a Senior Analytics Engineer at Maven, you will:**
* Design, build, and maintain data models in our cloud data warehouse (e.g., BigQuery) using dbt (or similar tooling), applying strong dimensional and domain modeling practices to support core domains
* Own the transformation layer from raw and staged data to curated marts, including implementation of dbt models, tests, documentation, and model ownership conventions that enable a consistent “single source of truth” across stakeholders
* Increase operational efficiency by proactively and rigorously diagnosing pain points in data and reporting workflows and implementing scalable, long\-term fixes
* Promote and exemplify development standards and data quality for analytics engineering work, including Git\-based workflows, code review, CI/CD for dbt and BI, clear documentation, and robust testing (dbt tests and other checks) to keep key tables and metrics stable and trustworthy
* Explore and evaluate new tools and patterns (within the modern data stack, data quality, observability, and BI) that can improve developer productivity, data reliability, and the scalability of Maven’s analytics ecosystem
**We're looking for you to bring:**
* 5\-7 years of relevant analytics or data science experience
* Fluency in SQL and a strong background in data visualization
* Hands\-on experience with Python or R
* An ability to juggle both long\-term, strategic projects and ad hoc, urgent requests as needed
* Excellent collaboration and communication skills, with a demonstrated ability to work effectively with cross\-functional teams and mentor junior analysts
**Preferred Qualifications:**
* Experience working with Financial and Sales data
* Experience with at least on BI tool (Tableau, Looker), and/or dbt
 The base salary range for this role is $170,000 \- $200,000 per year. You will also be entitled to receive equity and benefits. Individual pay decisions are based on a number of factors, including qualifications for the role, experience level, and skillset.
 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
 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
**Benefits That Work For You**
 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
* Maven for Mavens: access to the full platform and specialists, including care for mental health, reproductive health, family planning and pediatrics.
* Whole\-self care through wellness partnerships
* Hybrid work, in office meals, and work together days
* 16 weeks 100% paid parental leave and new parent stipend (for Mavens who've been with us for 1 year\+)
* Annual professional development stipend and access to a personal career coach through Maven for Mavens
* 401K matching for US\-based employees, with immediate vesting
**These benefits are applicable to Maven Clinic Co., US\-based, full\-time employees only. 1099/Contract Providers are ineligible for these benefits.**
 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If you receive a scam issue or a security issue involving Maven Clinic please notify us at: security@mavenclinic.com. For general and additional inquiries, please contact us at careers@mavenclinic.com.</t>
        </is>
      </c>
    </row>
    <row r="99">
      <c r="A99" t="inlineStr">
        <is>
          <t>li-4314050598</t>
        </is>
      </c>
      <c r="B99" t="inlineStr">
        <is>
          <t>Senior Analytics Engineer I</t>
        </is>
      </c>
      <c r="C99" t="inlineStr">
        <is>
          <t>Upside</t>
        </is>
      </c>
      <c r="D99" t="inlineStr">
        <is>
          <t>linkedin</t>
        </is>
      </c>
      <c r="E99">
        <f>HYPERLINK("https://www.linkedin.com/jobs/view/4314050598", "https://www.linkedin.com/jobs/view/4314050598")</f>
        <v/>
      </c>
      <c r="F99" t="inlineStr"/>
      <c r="G99" t="inlineStr">
        <is>
          <t>Chicago, IL</t>
        </is>
      </c>
      <c r="H99" t="inlineStr"/>
      <c r="I99"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2\+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100">
      <c r="A100" t="inlineStr">
        <is>
          <t>li-4314047645</t>
        </is>
      </c>
      <c r="B100" t="inlineStr">
        <is>
          <t>Senior Analytics Engineer I</t>
        </is>
      </c>
      <c r="C100" t="inlineStr">
        <is>
          <t>Upside</t>
        </is>
      </c>
      <c r="D100" t="inlineStr">
        <is>
          <t>linkedin</t>
        </is>
      </c>
      <c r="E100">
        <f>HYPERLINK("https://www.linkedin.com/jobs/view/4314047645", "https://www.linkedin.com/jobs/view/4314047645")</f>
        <v/>
      </c>
      <c r="F100" t="inlineStr"/>
      <c r="G100" t="inlineStr">
        <is>
          <t>Washington, DC</t>
        </is>
      </c>
      <c r="H100" t="inlineStr"/>
      <c r="I100"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an
 **Analytics Engineer** 
 to join the team responsible for Upside’s core data platform. You’ll play a key role in building trusted data products that serve both internal teams and customer\-facing features, while also improving the analytics platform and enabling others to do their best data work.
 This is a great opportunity for someone who’s confident working with large datasets and complex business logic, thrives in a fast\-moving environment, and wants to grow as a technical contributor while collaborating closely with product managers, analysts, data scientists, and engineers across the company.
 Here are some ways we have seen analytics engineers drive impact at Upside:
* Design and build complex, scalable data products that support internal analytics and power product features, using tools like dbt, Snowflake, and Dagster.
* Translate ambiguous business needs into structured, trustworthy data assets—owning development end\-to\-end, from design through deployment and monitoring.
* Contribute to shared platform tooling that improves pipeline orchestration, testing, access control, and observability for both engineers and analysts.
* Evaluate and implement new platform capabilities, such as Semantic Views, Cortex, or SnowML, to improve performance, maintainability, and user experience.
* Support and enable teammates across the org, including onboarding new users, resolving data issues, and documenting patterns and best practices.
* Maintain reliability and data quality through shield support rotations, strong monitoring, alerting, and test coverage.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2\+ years of experience working in data or analytics engineering roles, preferably in a modern data stack environment (e.g., Snowflake, dbt, Dagster, Airflow).
* Are fluent in SQL, and comfortable writing performant, modular transformations at scale.
* Have working knowledge of Python, particularly in the context of data orchestration, transformations, and testing.
* Understand tradeoffs between different modeling approaches (e.g., Kimball vs. OBT), and can choose appropriate techniques based on data volume and business needs.
* Can independently communicate technical concepts to both engineers and non\-technical stakeholders.
* Think critically about ROI, know when to automate, and understand how to balance long\-term quality with short\-term delivery.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$130,000 \- $180,000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$130K \- $180K</t>
        </is>
      </c>
    </row>
    <row r="101">
      <c r="A101" t="inlineStr">
        <is>
          <t>li-4348065475</t>
        </is>
      </c>
      <c r="B101" t="inlineStr">
        <is>
          <t>Staff Data Engineer</t>
        </is>
      </c>
      <c r="C101" t="inlineStr">
        <is>
          <t>Gridware</t>
        </is>
      </c>
      <c r="D101" t="inlineStr">
        <is>
          <t>linkedin</t>
        </is>
      </c>
      <c r="E101">
        <f>HYPERLINK("https://www.linkedin.com/jobs/view/4348065475", "https://www.linkedin.com/jobs/view/4348065475")</f>
        <v/>
      </c>
      <c r="F101" t="inlineStr"/>
      <c r="G101" t="inlineStr">
        <is>
          <t>San Francisco, CA</t>
        </is>
      </c>
      <c r="H101" t="inlineStr"/>
      <c r="I101"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As a Staff Data Engineer / Data Architect at Gridware, you will define and build the architecture of our most critical data systems, spanning real\-time streaming pipelines, Lakehouse governance, telemetry ingestion, and cross\-domain data models. This role sits at the top of the technical IC track and requires deep expertise in distributed data systems, IoT telemetry flows, and architectural strategy.
 You will partner across Firmware, Software, DevOps, and Data Science to establish Gridware’s long\-term data platform vision. Your work will directly shape how sensor and grid event data flows through our system, enabling fault detection, wildfire risk mitigation, and real\-time grid intelligence at scale.
**Responsibilities** 
* Architect and scale high\-throughput ingestion systems for sensor telemetry, device metadata, and real\-time grid events.
* Design end\-to\-end data platform architecture, including Lakehouse structures, governance layers, data domains, and lineage standards.
* Lead the evolution of our Event Streaming Platform, including schema strategy, Protobuf evolution, retention policies, and reliability models.
* Develop fault\-tolerant, self\-healing data services that maintain availability during storms, outages, and high\-volume event bursts.
* Drive multi\-quarter, multi\-team data initiatives and partner across engineering to establish consistent ingestion contracts, schemas, and standards.
**Required Skills** 
* 10\+ years of experience in Data Engineering, Data Architecture, or Distributed Systems roles.
* Expert\-level knowledge of event streaming (Kafka/Kinesis), distributed compute (Spark/Databricks), and Lakehouse architectures.
* Demonstrated experience designing large\-scale, real\-time telemetry or IoT data pipelines with strong reliability requirements.
* Deep understanding of partitioning, backpressure, consistency models, and distributed system internals.
* Proven ability to own complex systems end\-to\-end and influence technical strategy across teams.
**Bonus Skills** 
* Experience with industrial IoT, sensor networks, or utility/energy data.
* Expertise in Kubernetes, service mesh patterns, or cloud infrastructure for data\-intensive systems.
* Background designing data governance frameworks or domain ownership models.
* Open\-source contributions, publications, or talks in distributed systems or data platform architecture.
* Experience building high\-SLA ingestion platforms for real\-time monitoring or alerting systems.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102">
      <c r="A102" t="inlineStr">
        <is>
          <t>li-4361292282</t>
        </is>
      </c>
      <c r="B102" t="inlineStr">
        <is>
          <t>Data Engineer</t>
        </is>
      </c>
      <c r="C102" t="inlineStr">
        <is>
          <t>Akkodis Group Nordics</t>
        </is>
      </c>
      <c r="D102" t="inlineStr">
        <is>
          <t>linkedin</t>
        </is>
      </c>
      <c r="E102">
        <f>HYPERLINK("https://www.linkedin.com/jobs/view/4361292282", "https://www.linkedin.com/jobs/view/4361292282")</f>
        <v/>
      </c>
      <c r="F102">
        <f>HYPERLINK("https://www.akkodis.com/en-us/careers/jobs/data-engineer-bellevue/US_EN_6_973631_1611813&amp;urlHash=6_ma", "https://www.akkodis.com/en-us/careers/jobs/data-engineer-bellevue/US_EN_6_973631_1611813&amp;urlHash=6_ma")</f>
        <v/>
      </c>
      <c r="G102" t="inlineStr">
        <is>
          <t>Bellevue, WA</t>
        </is>
      </c>
      <c r="H102" t="inlineStr"/>
      <c r="I102" t="inlineStr">
        <is>
          <t>Akkodis is seeking a
 **Data Engineer** 
 for a
 **Contract** 
 with a client in
 **Bellevue, WA.** 
 You will be responsible for designing and maintaining robust data pipelines and monitoring frameworks.
**Rate Range:** 
 $43/hour to $44/hour; The rate may be negotiable based on experience, education, geographic location, and other factors.
**Data Engineer Job Responsibilities Include**
* Design, develop, and maintain data pipelines using Azure Data Factory and Databricks to support analytics and monitoring requirements.
* Implement and enforce data governance and security best practices across all data platforms and processes.
* Manage and optimize data storage solutions in Azure Data Lake Storage (ADLS) for efficient data retrieval and processing.
* Develop and maintain dashboards and reports using Power BI to provide actionable insights to stakeholders.
* Write and optimize queries using Kusto and PL/SQL for data analysis and monitoring purposes.
* Monitor data workflows and troubleshoot issues to ensure high availability, reliability, and performance of data systems.
**Required Qualifications**
* Bachelor’s degree in computer science, Data Engineering, or a related field (master’s preferred).
* 5\+ years of experience in data engineering and analytics.
* Proven expertise in Azure Data Factory, Databricks, and ADLS for building and managing data pipelines.
* Strong knowledge of data governance, security best practices, and proficiency in Power BI, Kusto, and PL/SQL.
 If you are interested in this role, then please click APPLY NOW. For other opportunities available at Akkodis, or any questions, feel free to contact me at
 **Deep.Kumar@** 
**akkodisgroup.com.**
**Pay Details:** 
 $43\.00 to $44\.00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03">
      <c r="A103" t="inlineStr">
        <is>
          <t>li-4361320789</t>
        </is>
      </c>
      <c r="B103" t="inlineStr">
        <is>
          <t>Sr Data Engineer - Cloud / Systems Administrator</t>
        </is>
      </c>
      <c r="C103" t="inlineStr">
        <is>
          <t>Disney Experiences</t>
        </is>
      </c>
      <c r="D103" t="inlineStr">
        <is>
          <t>linkedin</t>
        </is>
      </c>
      <c r="E103">
        <f>HYPERLINK("https://www.linkedin.com/jobs/view/4361320789", "https://www.linkedin.com/jobs/view/4361320789")</f>
        <v/>
      </c>
      <c r="F103" t="inlineStr"/>
      <c r="G103" t="inlineStr">
        <is>
          <t>Celebration, FL</t>
        </is>
      </c>
      <c r="H103" t="inlineStr"/>
      <c r="I103" t="inlineStr">
        <is>
          <t>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**About The Role**
 We’re looking for a Senior Data Engineer \- Cloud Engineer / Systems Administrator to join the Data Analytics \&amp; Innovation Team within Consumer Insight, Measurement \&amp; Analytics (CIMA). In this role, you’ll design, manage, and evolve AWS cloud infrastructure and other cloud technologies that power analytics, automation, and enterprise\-scale platforms across Disney Experiences.
 You’ll play a key role in architecting and securing the foundation of Disney’s data and cloud ecosystem, supporting Cloudera Data Platform (CDP) and other big data environments. This position blends cloud infrastructure expertise, DevOps practices, and security\-first practices to ensure scalability, reliability, and compliance across Disney’s global technology landscape.
 What You’ll Do
* Architect, deploy, and maintain AWS cloud infrastructure and other cloud platforms (S3, EC2, Lambda, ECS, RDS, CloudFormation, VPCs, IAM, etc.) supporting enterprise\-scale data and application workloads
* Build, deploy, and manage containerized environments using Docker, ensuring portability, reliability, and consistent deployments across systems
* Lead the administration and operation of CI/CD platforms such as Jenkins, GitHub Actions, and related automation tools, including pipeline development, configuration, plugin management, and integration with source control
* Support and optimize Cloudera Data Platform (CDP) environments within the cloud ecosystem, ensuring stability, scalability, and secure connectivity with data services and applications
* Develop \&amp; support Infrastructure as Code (IaC) using Terraform and CloudFormation to automate provisioning and configuration management
* Oversee certificate management—including SSL/TLS lifecycle management, PKI integration, and secure communication protocols across services
* Champion security\-first practices, such as IAM governance, KMS encryption, network segmentation, and adherence to Disney Information Security standards
* Monitor and optimize system health through CloudWatch, Datadog, and other observability tools to ensure reliability, performance, and cost efficiency
* Collaborate across CIMA and Disney Experiences to deliver high\-availability, compliant, and cost\-optimized cloud and data systems
* Contribute to Disney’s DevOps culture, emphasizing automation, continuous improvement, and secure infrastructure delivery
**Required Qualifications \&amp; Skills**
* 5\+ years of experience in cloud infrastructure engineering, systems administration, or DevOps roles
* Expertise in AWS services (S3, EC2, Lambda, ECS, RDS, CloudFormation, IAM) and familiarity with other cloud technologies (e.g., GCP or Azure)
* Experience supporting or integrating with Cloudera Data Platform (CDP) or similar large\-scale data platforms
* Proven experience in Jenkins administration or equivalent CI/CD systems—managing users, plugins, jobs, and automation frameworks
* Strong proficiency with Docker and container deployment \&amp; orchestration (ECS, EKS, Kubernetes, or similar technologies)
* Deep understanding of security best practices, including SSL/TLS, certificate management, encryption standards, and secure system design
* Hands\-on experience with Terraform and scripting languages such as Python, Bash, or PowerShell
* Strong communication, troubleshooting, and collaboration skills in an agile, cross\-functional environment
**Preferred Qualifications**
* Experience managing multi\-cloud or hybrid architectures
* Familiarity with big data and analytics ecosystems (Snowflake, Databricks, Spark, Cloudera)
* AWS certifications such as Solutions Architect, SysOps Administrator, or DevOps Engineer
* Understanding of Zero Trust architecture, CSPM tools, or cloud compliance frameworks (Tanium, Splunk, Crowdstrike, wiz.io)
* Strong understanding of Object Oriented Engineering Principles
**Education**
* Bachelor’s degree in computer science, Information Systems, Software, Electrical or Electronics Engineering, or comparable field of study and/or equivalent work experience</t>
        </is>
      </c>
    </row>
    <row r="104">
      <c r="A104" t="inlineStr">
        <is>
          <t>li-4349587164</t>
        </is>
      </c>
      <c r="B104" t="inlineStr">
        <is>
          <t>Lead Data Engineer</t>
        </is>
      </c>
      <c r="C104" t="inlineStr">
        <is>
          <t>Benepass</t>
        </is>
      </c>
      <c r="D104" t="inlineStr">
        <is>
          <t>linkedin</t>
        </is>
      </c>
      <c r="E104">
        <f>HYPERLINK("https://www.linkedin.com/jobs/view/4349587164", "https://www.linkedin.com/jobs/view/4349587164")</f>
        <v/>
      </c>
      <c r="F104" t="inlineStr"/>
      <c r="G104" t="inlineStr"/>
      <c r="H104" t="inlineStr"/>
      <c r="I104" t="inlineStr">
        <is>
          <t>**About Us**
 At Benepass we're making benefits easy. We believe people are the most important asset to any company. Traditional one\-size\-fits\-all benefits packages no longer cut it in today's hybrid and remote\-first environment. With Benepass, companies can tailor their benefits to the unique needs of their workforce.
 Through our easy\-to\-use and highly customizable fintech platform, People teams can implement, administer, and track the benefits that meet employees where they are. Employers design their benefits and perks plan by setting a contribution amount and eligible spend categories. Every employee has their own individual definition of wellness and needs different things to help them be their most productive, fulfilled self.
**Our Mission**
 Helping companies reimagine how companies take care of their people.
**Our Investors**
 We are backed by leading investors, including Portage Ventures, Threshold Ventures, Gradient Ventures, Workday Ventures, and Clocktower Technology Ventures. To date, the company has raised $35 million of equity capital.
**Articles**
* Founder Story \- Jaclyn Chen
* Benepass Raises $20M
**Candidate Resources**
* Benepass \| Candidate Resource Page
* Benepass Listed on Inc. Magazine's Best Workplaces of 2023
**Role Summary**
 Benepass is hiring a
 **Lead Data Engineer** 
 to become the end\-to\-end owner of our data engineering function. This is a foundational, hands\-on, high\-ownership individual contributor role where you will design, build, and scale the next generation of Benepass’s data infrastructure—pipelines, warehousing, transformations, data quality, and tooling. This is a foundational role where you will serve as the first and primary Data Engineer at Benepass, responsible for building the platform, defining standards, and establishing the patterns that future data engineering hires will follow. This role is focused on data engineering and platform ownership, not analytics or data science — you should identify as an engineer who builds systems, pipelines, and frameworks, not dashboards or reports.
 You will partner closely with Engineering, Product, Finance, People, Sales, Operations, and the Executive Team to deliver high\-quality, reliable data that powers our products, business intelligence, financial reporting, internal tooling, and decision\-making. You will partner deeply with Finance, Operations, Product, Engineering, and our Executive Team to deliver the core datasets powering revenue reporting, margin analysis, compliance workflows, customer\-facing features, and internal operational tooling. You will also work heavily with our Operations “Data” team to provide the infrastructure, workflows, and tools they need to deliver dashboards, reporting, and operational insights.
 Nothing will be handed to you—you will define the roadmap, technical direction, standards, and architecture for data engineering at Benepass. You will ensure data governance, privacy, and compliance across sensitive financial, payments, and benefits datasets and will establish testing, auditability, and monitoring practices appropriate for regulated environments. You will design for scaling volume and complexity across millions of transactions, multi\-program benefit configurations, and financial system integrations. This role is ideal for someone who has successfully built or significantly scaled a data platform at a similar\-stage, high\-growth company and wants broad ownership as an IC.
 ROLE LOCATION \&amp; TRAVEL
 You will be expected to attend company\-wide on\-site events three times per year.
**What You’ll Do**
 Own \&amp; Evolve the Benepass Data Platform
* Serve as the primary architect and builder of our data infrastructure across our AWS stack (RDS, Redshift, S3, etc.).
* Evaluate and lead the evolution of our data stack, including decisions around warehousing, orchestration, transformations, ingestion, and observability.
* Define ingestion, modeling, testing, and monitoring frameworks to ensure data is accurate, reliable, and easy to use.
 Deliver Business\-Impacting Data Capabilities
* Partner with Engineering, Product, Finance, People, Sales, Operations, and the Executive Team to understand data needs and deliver high\-value pipelines, models, and datasets.
* Support financial and people analytics, revenue and margin reporting, operational workflows, and compliance/audit needs.
* Provide tooling, infrastructure, and best practices to empower the Operations Data team and other internal data consumers.
 Hands\-On Technical Ownership
* Design and implement ETL/ELT pipelines, schemas, and transformations in our AWS environment.
* Debug complex data issues, especially those spanning our payments, benefits, and financial systems.
* Establish standards for data reliability, testing, documentation, privacy, and governance.
 Set Vision \&amp; Roadmap for Data Engineering
* Create clarity where none exists—define architectural direction, roadmap, SLAs, data contracts, and cross\-team processes.
* Anticipate scaling needs and prepare the platform for increased volume, complexity, and product usage.
* Influence product and engineering teams on event instrumentation, schema design, and logging to ensure downstream data is structured and reliable.
 Prepare for Future Team Growth (Without Immediate Hiring)
* While we do not plan to hire additional data engineers on this team in the next year, you will:
+ define the future data engineering team structure,
+ establish foundational patterns, tooling, and documentation, and
+ position Benepass to scale efficiently once we do grow the team.
**About You**
 Technical Expertise
* \~5\+ years of data engineering experience with increasing scope and ownership.
* Strong background with AWS (RDS, Redshift, S3, Lambda, IAM) and Python.
* Deep experience building and maintaining scalable ETL/ELT pipelines, data models, event schemas, and orchestration.
* Strong command of SQL, warehousing concepts, dimensional modeling, and performance optimization.
 0→1 and Scale Experience
* You have built or significantly overhauled a data platform at a high\-growth startup (e.g., Series A–C) or similar environment.
* Comfortable owning the entire data ecosystem without existing mature processes or structure.
 Cross\-Functional Partner \&amp; Communicator
* Able to translate ambiguous business questions into clear, prioritized technical work.
* Experienced in partnering with non\-technical stakeholders (Finance, Sales, People, Operations) who depend on timely and accurate data.
 Ownership \&amp; Autonomy
* High sense of ownership and accountability for data reliability and clarity.
* Bias toward action, with strong judgment on when to build for now vs. build for scale.
 Nice\-to\-Haves
* Experience in fintech, payments, benefits, or other regulated domains with high data integrity requirements.
* Familiarity with tools such as dbt, Dagster/Airflow, Kafka/Kinesis, and data quality / observability tooling.
* Experience supporting both internal BI/reporting and data\-for\-product use cases (e.g., analytics, personalization, fraud/risk).
**Compensation**
* Base salary of $180,000 to $200,000 \+ equity.
*Range(s) is subject to change. Benepass takes a number of factors into account when determining individual starting pay, including market comparables, interview performance, peer compensation, and years of experience.*
**What We Offer**
* 95% coverage of medical, dental, and vision
* Fantastic benefits (of course 😃), including:
+ $250 WFH setup
+ $150/month cell phone \+ internet
+ $100/month Wellness
* We offer several team onsites a year
* Flexible PTO
 At Benepass, we are working towards reimaging how companies take care of their people. We are committed to creating an inclusive environment for all our employees and are seeking to build a team that reflects the diversity of the people we hope to serve with our revolutionary products. Benepass is proud to be an equal\-opportunity employer.</t>
        </is>
      </c>
    </row>
    <row r="105">
      <c r="A105" t="inlineStr">
        <is>
          <t>li-4354815375</t>
        </is>
      </c>
      <c r="B105" t="inlineStr">
        <is>
          <t>Data Engineer, New College Grad - 2026, Foster City, CA</t>
        </is>
      </c>
      <c r="C105" t="inlineStr">
        <is>
          <t>Visa</t>
        </is>
      </c>
      <c r="D105" t="inlineStr">
        <is>
          <t>linkedin</t>
        </is>
      </c>
      <c r="E105">
        <f>HYPERLINK("https://www.linkedin.com/jobs/view/4354815375", "https://www.linkedin.com/jobs/view/4354815375")</f>
        <v/>
      </c>
      <c r="F105">
        <f>HYPERLINK("https://jobs.smartrecruiters.com/Visa/744000103272594-data-engineer-new-college-grad-2026-foster-city-ca?source=LinkedIn&amp;urlHash=1spF", "https://jobs.smartrecruiters.com/Visa/744000103272594-data-engineer-new-college-grad-2026-foster-city-ca?source=LinkedIn&amp;urlHash=1spF")</f>
        <v/>
      </c>
      <c r="G105" t="inlineStr">
        <is>
          <t>Foster City, CA</t>
        </is>
      </c>
      <c r="H105" t="inlineStr"/>
      <c r="I105" t="inlineStr">
        <is>
          <t>Visa is a world leader in digital payments, facilitating more than 215 billion payments transactions between consumers, merchants, financial institutions and government entities across more than 200 countries and territories each year. Our mission is to connect the world through the most innovative, convenient, reliable and secure payments network, enabling individuals, businesses and economies to thrive.
 When you join Visa, you join a culture of purpose and belonging – where your growth is priority, your identity is embraced, and the work you do matters. We believe that economies that include everyone everywhere, uplift everyone everywhere. Your work will have a direct impact on billions of people around the world – helping unlock financial access to enable the future of money movement.
**Join Visa: A Network Working for Everyone.**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a versatile, curious, and energetic Data Engineer who embrace solving complex challenges on a global scale. As a Visa Data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 Create and maintain optimal data pipeline architecture for validating and certifying payment workflows
* Assemble large, complex data sets that meet functional / non\-functional business requirements
* Present technical solutions, capabilities, considerations, and features in business terms. Effectively communicate status, issues, and risks in a precise and timely manner.
**Qualifications**
**Basic Qualifications**
* Bachelor's or Master's degree in Computer Science, Computer Engineering, CIS/MIS, Cybersecurity, Business or a related field, graduating May 2025 \- August 2026\.
**Preferred Qualifications**
* Experience with programming languages such as Python, Java, Scala, C\+\+, Rust, Golang,
* Basic knowledge of Distributed Systems, and Data Structures
* Knowledge or experience with Big Data and the Cloud platform services: Apache Hadoop, Apache Spark.
* Passion for exploring emerging data engineering technologies and GenAI, including modern data pipelines, distributed processing (e.g., Spark), cloud platforms, containerization, and AI\-driven tools.
* Basic Knowledge in ETL, Data Pipelines using Python, Shell Scripts, Apache Airflow, and Apache Kafka; Building \&amp; Populating Data Warehouses, and Querying with BI tools.
* Basic Knowledge in RDBMS fundamentals: Design \&amp; Creation of Databases, Schemas, Tables; DB Administration, Security \&amp; working with MySQL \&amp; IBM Db2\.
* Basic Knowledge in SQL query language, database functions, stored procs, working with multiple tables, joins, \&amp; transactions.
* Basic Knowledge in NoSQL \&amp; Big Data concepts: MongoDB, Cassandra
* Knowledge of best practices and IT operations in an always\-up, always\-available service
* Experience with or knowledge of Agile Software Development methodologies
* The ability to take on challenges and address problems head\-on
* Strong ability to collaborate
* Highly driven, resourceful and results oriented
* Good team player and excellent interpersonal skills
* Good analytical and problem\-solving skills
* Demonstrated ability to lead and navigate through ambiguity.
**Additional Information**
**U.S. APPLICANTS ONLY:** 
 The estimated salary for a new hire into this position is $120,000 USD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Authorization:** 
 Permanent Authorization to work in the U.S. is a precondition of employment for this position. Visa will not sponsor applicants for work visas in connection with this position. Future sponsorship will not be considered.
**Work Hours:**
 Varies upon the needs of the department.
**This is a hybrid position:** 
 Expectation of days in office will be confirmed by your hiring manager.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t>
        </is>
      </c>
    </row>
    <row r="106">
      <c r="A106" t="inlineStr">
        <is>
          <t>li-4328802366</t>
        </is>
      </c>
      <c r="B106" t="inlineStr">
        <is>
          <t>Data Engineer, Junior</t>
        </is>
      </c>
      <c r="C106" t="inlineStr">
        <is>
          <t>Booz Allen Hamilton</t>
        </is>
      </c>
      <c r="D106" t="inlineStr">
        <is>
          <t>linkedin</t>
        </is>
      </c>
      <c r="E106">
        <f>HYPERLINK("https://www.linkedin.com/jobs/view/4328802366", "https://www.linkedin.com/jobs/view/4328802366")</f>
        <v/>
      </c>
      <c r="F106">
        <f>HYPERLINK("https://careers.boozallen.com/careers/JobDetail?jobId=117803&amp;source=JB-16280&amp;urlHash=Tj8b", "https://careers.boozallen.com/careers/JobDetail?jobId=117803&amp;source=JB-16280&amp;urlHash=Tj8b")</f>
        <v/>
      </c>
      <c r="G106" t="inlineStr">
        <is>
          <t>Huntsville, AL</t>
        </is>
      </c>
      <c r="H106" t="inlineStr"/>
      <c r="I106" t="inlineStr">
        <is>
          <t>**Job Number: R0229548**
 Data Engineer, Junior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 from fraud detection to cancer research, to national intelligence.
 As a data engineer at Booz Allen, you’ll use your skills to help build advanced technology solutions and implement data engineering activities on some of the most mission\-driven projects in the industry. You’ll help develop and deploy the pipelines and platforms that organize and make disparate data meaningful.
 Here, you’ll learn from a multi\-disciplinary team of analysts, data engineers, developers, and data consumers in a fast\-paced, agile environment. You’ll grow your skills in analytical exploration and data examination while you support the assessment, design, building, and maintenance of scalable platforms for your clients.
 Work with us to use data for good.
 Join us. The world can’t wait.
**You Have:**
* Experience with data engineering concepts, including data collection, storage, processing, cleaning, or transforming
* Knowledge of AWS cloud services, Azure, Google, or AWS cloud
* Knowledge of search indexes
* Ability to obtain a Top Secret clearance
* Scheduled to obtain a Bachelor's degree by Summer 2026 or Winter 2026
**Nice If You Have:**
* Active TS/SCI clearance; willingness to take a polygraph exam
* AWS Cloud Certifications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$48,000\.00 to $98,000\.00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7">
      <c r="A107" t="inlineStr">
        <is>
          <t>li-4345991389</t>
        </is>
      </c>
      <c r="B107" t="inlineStr">
        <is>
          <t>Senior Data Engineer (Azure Databricks)</t>
        </is>
      </c>
      <c r="C107" t="inlineStr">
        <is>
          <t>UST</t>
        </is>
      </c>
      <c r="D107" t="inlineStr">
        <is>
          <t>linkedin</t>
        </is>
      </c>
      <c r="E107">
        <f>HYPERLINK("https://www.linkedin.com/jobs/view/4345991389", "https://www.linkedin.com/jobs/view/4345991389")</f>
        <v/>
      </c>
      <c r="F107">
        <f>HYPERLINK("https://usource.ripplehire.com/candidate/?token=8YxWjpwDhdL62DFYUIcQ&amp;lang=en&amp;source=USTLINKEDIN&amp;ref=USTLINKEDIN#detail/job/49885&amp;urlHash=TcRa", "https://usource.ripplehire.com/candidate/?token=8YxWjpwDhdL62DFYUIcQ&amp;lang=en&amp;source=USTLINKEDIN&amp;ref=USTLINKEDIN#detail/job/49885&amp;urlHash=TcRa")</f>
        <v/>
      </c>
      <c r="G107" t="inlineStr">
        <is>
          <t>Alpharetta, GA</t>
        </is>
      </c>
      <c r="H107" t="inlineStr"/>
      <c r="I107" t="inlineStr">
        <is>
          <t>**Role Description**
**Senior Data Engineer (Azure Databricks)**
**Lead II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UST is searching for a Senior Data Engineer (Azure Databricks) with 5\+ years building batch and/or streaming pipelines with Spark.
**The Opportunity**
* Python packaging, code quality, testing (pytest, chispa), code reviews
* Documentation and stakeholder communication
* Software engineering practices CI/CD for Databricks (Repos, asset bundles/wheels), artifact versioning
* Large\-scale data processing
* Governance, security, and compliance
 This position description identifies the responsibilities and tasks typically associated with the performance of the position. Other relevant essential functions may be required.
**What You Need**
* (Nice to have) Lakehouse design trade\-offs and table constraints cluster sizing, autoscaling, and cost optimization (spot, pools)
* Observability: Spark UI, metrics, event logs, Delta logs
* (Nice to have) Handling TB\-scale datasets, throughput vs. latency trade\-offs
* (Nice to have) Privilege model in Unity Catalog; table, row, and column\-level security patterns
* (Nice to have) PII handling, masking/anonymization, auditability, lineage
* Nice to have (optional): Scala, dbt, Kafka/Event Hubs, ADF/Airflow, Terraform, Power BI, data mesh concepts, SCD Pattern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Georgia**
**Compensation Range** 
 : $76,500\-$112,500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\#CB
**Skills**
 spark,pyspark,databricks,azure devops,sql</t>
        </is>
      </c>
    </row>
    <row r="108">
      <c r="A108" t="inlineStr">
        <is>
          <t>li-4311468962</t>
        </is>
      </c>
      <c r="B108" t="inlineStr">
        <is>
          <t>Staff Data Engineer</t>
        </is>
      </c>
      <c r="C108" t="inlineStr">
        <is>
          <t>Upside</t>
        </is>
      </c>
      <c r="D108" t="inlineStr">
        <is>
          <t>linkedin</t>
        </is>
      </c>
      <c r="E108">
        <f>HYPERLINK("https://www.linkedin.com/jobs/view/4311468962", "https://www.linkedin.com/jobs/view/4311468962")</f>
        <v/>
      </c>
      <c r="F108" t="inlineStr"/>
      <c r="G108" t="inlineStr">
        <is>
          <t>Austin, TX</t>
        </is>
      </c>
      <c r="H108" t="inlineStr"/>
      <c r="I108"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
 **Staff Data Engineer** 
 to serve as a technical leader on the Analytics Engineering team. In this role, you'll drive the design and implementation of foundational data products and analytics platform capabilities that power Upside’s most critical product and business use cases. You’ll lead cross\-functional workstreams, shape patterns and architecture across teams, and elevate the overall quality and impact of data work at Upside.
 This role is ideal for someone who enjoys deep technical problem\-solving, cares about quality and long\-term maintainability, and is motivated by helping others work more effectively with data.
 Here are some ways we have seen analytics engineers drive impact at Upside:
* Design and deliver highly complex, domain\-critical data products used by analysts, data scientists, and product teams to unlock new product features, ML models, and strategic decisions.
* Architect scalable, extensible patterns for modeling, orchestration, and data transformation—balancing flexibility, reusability, and cost\-efficiency.
* Own platform evolution projects such as migrating the data platform to Snowflake Semantic Views, extending Cortex, or improving orchestration tooling for analytics workflows.
* Lead technical planning and delivery across cross\-functional teams, breaking down complex data initiatives into scoped, sequenced workstreams implemented by you and others.
* Drive platform adoption and best practices, mentoring other engineers, building internal documentation and tooling, and raising the overall bar for analytics engineering across the company.
* Influence upstream and downstream teams, partnering with engineering, product, data science, and business stakeholders to align on requirements and deliver end\-to\-end solutions.
* Represent Analytics Engineering in technical design forums and contribute to roadmap discussions that shape the future of data at Upside.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6\+ years of experience in data or analytics engineering, with a track record of owning complex, business\-critical data systems end to end.
* Have deep expertise in SQL and Python, particularly for transforming, testing, and orchestrating very large datasets.
* Are fluent with platforms like AWS, Snowflake, dbt, and Dagster, and can design extensible patterns to be used across teams.
* Experience with DevOps practices (e.g., CI/CD for data), data governance, or FinOps (cost\-conscious design).
* Can break down ambiguous, cross\-functional data problems and lead the implementation from design to deployment, collaborating across technical and non\-technical teams.
* Proactively identify opportunities to improve the analytics platform and are comfortable designing and implementing impactful, reusable solutions.
* Communicate clearly across audiences, from engineers and analysts to product managers and business leaders.
* Understand how to balance business value, maintainability, and platform standards in your design decisions.
* Are excited about the opportunity to mentor others, set standards, and leave systems better than you found them.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$215,000 \- $250,000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t>
        </is>
      </c>
    </row>
    <row r="109">
      <c r="A109" t="inlineStr">
        <is>
          <t>li-4340964837</t>
        </is>
      </c>
      <c r="B109" t="inlineStr">
        <is>
          <t>Sr. Data Engineer with Financial domain</t>
        </is>
      </c>
      <c r="C109" t="inlineStr">
        <is>
          <t>Synechron</t>
        </is>
      </c>
      <c r="D109" t="inlineStr">
        <is>
          <t>linkedin</t>
        </is>
      </c>
      <c r="E109">
        <f>HYPERLINK("https://www.linkedin.com/jobs/view/4340964837", "https://www.linkedin.com/jobs/view/4340964837")</f>
        <v/>
      </c>
      <c r="F109" t="inlineStr"/>
      <c r="G109" t="inlineStr">
        <is>
          <t>New York, NY</t>
        </is>
      </c>
      <c r="H109" t="inlineStr"/>
      <c r="I109"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looking for a highly skilled Senior Data Engineer with a strong background in the Financial and Risk domain to join our data team. The ideal candidate will be responsible for designing, developing, and maintaining scalable data pipelines and architectures to support risk analytics, financial data analysis, and reporting needs. This role offers an opportunity to work on complex financial datasets, implement data solutions, and enable data\-driven decision\-making within a dynamic banking environment.
 Additional Information\*
 The base salary for this position will vary based on geography and other factors. In accordance with law, the base salary for this role if filled within NYC, NY is $110k \- $150k/year \&amp; benefits (see below).
**The Role**
**Responsibilities:**
* Understand technical specifications.
* Business requirements discussion with business analyst and business users.
* Python/SQL Server/Snowflake/Databricks application development and system design.
* Develop and maintain data models and schemas to support data integration and analysis.
* Implement data quality and validation checks to ensure accuracy and consistency of data.
* Execution of UT and SIT with business analysts to ensure of high\-quality testing.
* Support for UAT with business users.
* Production support and maintenance of application platform.
**Requirements:**
* Around 15 years IT industry experience.
* Strong communication skills.
* Agile methodology and SDLC processes.
* Design and Architecture experience.
* Experience working in global delivery model (onshore/offshore/nearshore).
* Strong problem\-solving and analytical skills.
* Self\-starter, collaborative team player and works with minimal guidance.
 Technical Skills:
* Mandatory (Strong)
* Python, SQL server and relational database concepts, Azure Databricks, Snowflake, Scheduler (Autosys/Control\-M), ETL, CI/CD
**Preferred skills:** 
 PySpark
 Financial systems/capital markets/credit risk/regulatory application development experience.
**We offer:**
* A multinational organization with 60 offices in 20 countries and the possibility to work abroad.
* 10 days of paid annual leave plus an additional 10 days of personal leave (floating days and sick days).
* A comprehensive insurance plan including medical, dental, vision, life insurance, and long\-term disability.
* Flexible hybrid policy.
* RRSP with employer’s contribution up to 4%.
* A higher education certification policy.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110">
      <c r="A110" t="inlineStr">
        <is>
          <t>li-4344062243</t>
        </is>
      </c>
      <c r="B110" t="inlineStr">
        <is>
          <t>Senior Data Engineer</t>
        </is>
      </c>
      <c r="C110" t="inlineStr">
        <is>
          <t>NinjaOne</t>
        </is>
      </c>
      <c r="D110" t="inlineStr">
        <is>
          <t>linkedin</t>
        </is>
      </c>
      <c r="E110">
        <f>HYPERLINK("https://www.linkedin.com/jobs/view/4344062243", "https://www.linkedin.com/jobs/view/4344062243")</f>
        <v/>
      </c>
      <c r="F110" t="inlineStr"/>
      <c r="G110" t="inlineStr">
        <is>
          <t>Texas, United States</t>
        </is>
      </c>
      <c r="H110" t="inlineStr"/>
      <c r="I110" t="inlineStr">
        <is>
          <t>**Description**
 About the Role
 At NinjaOne, we’re looking for a skilled Senior Data Engineer to join our team and help drive the future of our data infrastructure. You’ll play a critical role in building, maintaining, and scaling our systems to ensure smooth data flow, accuracy, and security across the organization. This is an exciting opportunity to work on innovative projects, collaborate with cross\-functional teams, and help shape how we leverage data to fuel growth, optimize products, and drive business decisions.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Data Pipeline Development: Design and implement scalable data pipelines that move and transform large volumes of data from multiple sources to central data warehouses, transforming data to enable business reporting and advanced analytics.
* Database Management: Manage and optimize the performance of relational databases, ensuring data availability, reliability, and consistency.
* Automation \&amp; Optimization: Automate and optimize data workflows to reduce manual processes and improve efficiency in data collection, storage, and processing.
* Monitoring \&amp; Maintenance: Ensure the integrity and security of data across systems, monitor performance, and troubleshoot any issues that arise within the data pipeline.
* Data Visualization: Build dashboards and reports in Tableau and Databricks to expose key data points and trends to business stakeholders.
* Collaboration: Work closely with data scientists, analysts, and other teams to gather requirements, understand data needs, and provide solutions that support data\-driven decision\-making.
* Other duties as needed.
**About You**
* Bachelor’s degree in Computer Science, Computer Engineering, Information Technology or equivalent work experience preferred.
* 10\+ years of experience in software development, with a strong focus on data engineering and data science.
* Experience in building data pipelines and managing large\-scale data systems using technologies like SQL and Python.
* Expertise in Python.
* Experience in cloud platforms like AWS, GCP, or Azure, and experience with tools like Airflow, Kafka or dbt for orchestrating data workflows.
* Mastery with both relational databases including MySQL, PostgreSQL and NoSQL databases like MongoDB, Cassandra.
* Experience with data warehousing concepts and tools such as Redshift, BigQuery, Snowflake.
* Solid understanding of Microservices Architecture and DevOps principles.
* Experience that will make you a standout candidate:
* Previous experience working with large\-scale data pipelines and machine learning models.
* Understanding of Generative AI and Deep Learning frameworks.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federal government security requirements associated with our FedRAMP\-authorized environment, candidates must be U.S. citizens or lawful permanent residents.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$110,000 to $200,000 per year.
 For roles based in New York, the base salary hiring range for this position is $110,000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111">
      <c r="A111" t="inlineStr">
        <is>
          <t>li-4314048668</t>
        </is>
      </c>
      <c r="B111" t="inlineStr">
        <is>
          <t>Staff Data Engineer</t>
        </is>
      </c>
      <c r="C111" t="inlineStr">
        <is>
          <t>Upside</t>
        </is>
      </c>
      <c r="D111" t="inlineStr">
        <is>
          <t>linkedin</t>
        </is>
      </c>
      <c r="E111">
        <f>HYPERLINK("https://www.linkedin.com/jobs/view/4314048668", "https://www.linkedin.com/jobs/view/4314048668")</f>
        <v/>
      </c>
      <c r="F111" t="inlineStr"/>
      <c r="G111" t="inlineStr">
        <is>
          <t>New York, NY</t>
        </is>
      </c>
      <c r="H111" t="inlineStr"/>
      <c r="I111"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We're looking for a
 **Staff Data Engineer** 
 to serve as a technical leader on the Analytics Engineering team. In this role, you'll drive the design and implementation of foundational data products and analytics platform capabilities that power Upside’s most critical product and business use cases. You’ll lead cross\-functional workstreams, shape patterns and architecture across teams, and elevate the overall quality and impact of data work at Upside.
 This role is ideal for someone who enjoys deep technical problem\-solving, cares about quality and long\-term maintainability, and is motivated by helping others work more effectively with data.
 Here are some ways we have seen analytics engineers drive impact at Upside:
* Design and deliver highly complex, domain\-critical data products used by analysts, data scientists, and product teams to unlock new product features, ML models, and strategic decisions.
* Architect scalable, extensible patterns for modeling, orchestration, and data transformation—balancing flexibility, reusability, and cost\-efficiency.
* Own platform evolution projects such as migrating the data platform to Snowflake Semantic Views, extending Cortex, or improving orchestration tooling for analytics workflows.
* Lead technical planning and delivery across cross\-functional teams, breaking down complex data initiatives into scoped, sequenced workstreams implemented by you and others.
* Drive platform adoption and best practices, mentoring other engineers, building internal documentation and tooling, and raising the overall bar for analytics engineering across the company.
* Influence upstream and downstream teams, partnering with engineering, product, data science, and business stakeholders to align on requirements and deliver end\-to\-end solutions.
* Represent Analytics Engineering in technical design forums and contribute to roadmap discussions that shape the future of data at Upside.
**Why You Should Apply**
**This Role Is a Good Fit For You If**
* You aren’t afraid to challenge the status quo when it makes the team and business better. You learn from those around you while utilizing data to advocate for informed change.
* You thrive at the intersection of systems and storytelling, not only building robust solutions but also communicating their purpose, impact and rationale, so teams can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**Ideal Qualifications**
* Have 6\+ years of experience in data or analytics engineering, with a track record of owning complex, business\-critical data systems end to end.
* Have deep expertise in SQL and Python, particularly for transforming, testing, and orchestrating very large datasets.
* Are fluent with platforms like AWS, Snowflake, dbt, and Dagster, and can design extensible patterns to be used across teams.
* Experience with DevOps practices (e.g., CI/CD for data), data governance, or FinOps (cost\-conscious design).
* Can break down ambiguous, cross\-functional data problems and lead the implementation from design to deployment, collaborating across technical and non\-technical teams.
* Proactively identify opportunities to improve the analytics platform and are comfortable designing and implementing impactful, reusable solutions.
* Communicate clearly across audiences, from engineers and analysts to product managers and business leaders.
* Understand how to balance business value, maintainability, and platform standards in your design decisions.
* Are excited about the opportunity to mentor others, set standards, and leave systems better than you found them.
**Preferred Qualifications**
* Experience supporting machine learning workflows, such as building features or monitoring model inputs and outputs.
* Familiarity with DevOps practices (e.g., CI/CD for data), data governance, or FinOps (cost\-conscious design).
* Experience working in a fast\-growing startup environment or on platform\-style teams that serve internal customers.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$215,000 \- $250,000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$215K \- $250K</t>
        </is>
      </c>
    </row>
    <row r="112">
      <c r="A112" t="inlineStr">
        <is>
          <t>li-4275749066</t>
        </is>
      </c>
      <c r="B112" t="inlineStr">
        <is>
          <t>Staff Data Engineer</t>
        </is>
      </c>
      <c r="C112" t="inlineStr">
        <is>
          <t>Life360</t>
        </is>
      </c>
      <c r="D112" t="inlineStr">
        <is>
          <t>linkedin</t>
        </is>
      </c>
      <c r="E112">
        <f>HYPERLINK("https://www.linkedin.com/jobs/view/4275749066", "https://www.linkedin.com/jobs/view/4275749066")</f>
        <v/>
      </c>
      <c r="F112">
        <f>HYPERLINK("https://job-boards.greenhouse.io/life360/jobs/8092933002&amp;urlHash=Z92W", "https://job-boards.greenhouse.io/life360/jobs/8092933002&amp;urlHash=Z92W")</f>
        <v/>
      </c>
      <c r="G112" t="inlineStr"/>
      <c r="H112" t="inlineStr"/>
      <c r="I112"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750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regardless of any specified location above.***
**About The Team**
 The Data Platform team’s purpose is to design, build, and maintain scalable and efficient data infrastructure that empowers Life360 teams to make data\-driven decisions. We transform raw data into reliable, accessible, and actionable insights, ensuring data quality, compliance, security, costs and performance at every step. By leveraging innovative technologies and best practices, we enable Product, Analytics and Partners to unlock the full potential of data, driving operational excellence and strategic growth.
**For candidates based in the US, the salary range for this position is $166,500 to 245,000 USD. For candidates based out of Canada, the salary range for this position is 195,500 to 230,000 CAD.** 
**Note: Please be aware that the job title for positions in Canada will be "Developer" in lieu of "Engineer."**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**About The Job**
 At Life360, we collect a lot of data: 60 billion unique location points, 12 billion user actions, 8 billion miles driven every single month, and so much more. As a Staff Data Engineer, you will contribute to enhancing and modernizing our data platform infrastructure towards a robust and secure data system. You should have a strong engineering background and even more importantly a desire to take ownership of our data systems to make them world class.
**What You’ll Do**
 Primary responsibilities include, but are not limited to:
* Design, implement, and manage scalable data processing platforms used for real\-time analytics and exploratory data analysis.
* Build and Manage our core data infrastructure from ingestion through ETL to storage and batch and real\-time processing utilizing the latest tools and tech in the industry.
* Automate, test and harden all data workflows.
* Architect logical and physical data models to ensure the needs of the business are met.
* Collaborate with multiple stakeholders like mobile app, cloud, product, data science and analytics teams, in recommendation and applying best practices
* Architect and develop systems and algorithms for distributed real\-time analytics and data processing
* Implement strategies for acquiring data to develop new insights
* Mentor junior engineers, imparting best practices and institutionalizing efficient processes to foster growth and innovation within the team
**What We’re Looking For**
 Experiences required for success in this role include:
* Minimum 8\+ years of experience working with high volume data infrastructure.
* Experience with Databricks, AWS, ETL and Job orchestration tooling.
* Extensive experience programming in one of the following languages: Python / Java.
* Experience in data security, data governance, data contracts, data quality, cost management, optimizing SQL queries, and system performance tuning.
* You are proficient with SQL, AWS, Databases, Apache Spark, Spark Streaming, EMR, and Kinesis/Kafka
* Experience in modern data engineering SDLC including Agile methodology, CI/CD, automated deployments using Terraform, GitHub Actions etc.
* Knowledge and proficiency in the latest open source and data frameworks, lakehouse architecture, open table format, modern data platform tech stacks and tools.
* Always be learning and staying up to speed with the fast moving data world.
* You have good communication skills and can work independently
* BS in Computer Science, Software Engineering, Mathematics, or equivalent experience
**Our Benefits**
* Competitive pay and benefits
* Medical, dental, vision, life, and disability insurance plans (100% paid for US employees). We offer supplemental medical and dental plans for Canadian employees.
* RRSP plan with DPSP company matching program
* Employee Assistance Program (EAP) for mental wellness.
* Flexible PTO and 12 company\-wide days off throughout the year
* Learning \&amp; Development programs
* Equipment, tools, and reimbursement support for a productive remote environment
* Free Life360 Platinum Membership for your preferred circle
**Life360 Values**
 Our company’s mission\-driven culture is guided by our shared values to create a trusted work environment where you can bring your authentic self to work and make a positive difference.
* Be a Good Person \- We have a team of people with high integrity who you can trust.
* Be Direct With Respect \- We communicate directly, even when it’s hard.
* Members Before Metrics \- We focus on building an exceptional experience for families.
* High\-Intensity High Impact \- We do whatever it takes to get the job done.</t>
        </is>
      </c>
    </row>
    <row r="113">
      <c r="A113" t="inlineStr">
        <is>
          <t>li-4325232893</t>
        </is>
      </c>
      <c r="B113" t="inlineStr">
        <is>
          <t>Principal Data Engineer</t>
        </is>
      </c>
      <c r="C113" t="inlineStr">
        <is>
          <t>Autodesk</t>
        </is>
      </c>
      <c r="D113" t="inlineStr">
        <is>
          <t>linkedin</t>
        </is>
      </c>
      <c r="E113">
        <f>HYPERLINK("https://www.linkedin.com/jobs/view/4325232893", "https://www.linkedin.com/jobs/view/4325232893")</f>
        <v/>
      </c>
      <c r="F113" t="inlineStr"/>
      <c r="G113" t="inlineStr"/>
      <c r="H113" t="inlineStr"/>
      <c r="I113" t="inlineStr">
        <is>
          <t>**Job Requisition ID \#**
 25WD90545
 Position Overview
 We are seeking a Principal Data Engineer to provide technical leadership in designing, building, and scaling data infrastructure that powers machine learning, personalization, and search experiences. You will architect scalable data pipelines in production, drive technical strategy, and mentor engineering teams while partnering with Machine Learning Engineering, Platform Engineering, and Data Science.
 Your work will be critical to strategic initiatives including optimization of digital conversion metrics, development of Autodesk Assistant (an LLM\-driven chatbot), RAG (Retrieval\-Augmented Generation) systems, eCommerce personalization engines, and intelligent search capabilities. As a Principal Engineer, you will set technical direction, establish best practices, and drive innovation across the data engineering organization.
 Our team culture is built on collaboration, mutual support, and continuous learning. We emphasize an agile, hands\-on, and technical approach at all levels of the team.
 Key Responsibilities
* Define and drive technical architecture for data platforms supporting ML and personalization at scale.
* Design, build, and maintain highly scalable, low\-latency data pipelines supporting real\-time ML inference and personalization.
* Build data pipelines for RAG systems, including vector embeddings and semantic search.
* Design real\-time feature engineering and event processing systems for eCommerce personalization and recommendation engines.
* Develop sophisticated data models optimized for ML training, real\-time inference, and analytics workloads.
* Implement complex stream processing architectures using technologies like Kafka and Flink.
* Oversee and optimize database systems (SQL, NoSQL, vector databases) ensuring high performance and scalability.
* Establish data engineering standards, patterns, and best practices across the organization.
* Provide technical leadership, guidance, and mentorship to senior and mid\-level data engineers.
* Lead cross\-functional teams to deliver complex data engineering solutions in production.
**Minimum Qualifications**
* 8\+ years of data engineering experience with at least 3\+ years in a senior or lead capacity.
* Expert\-level proficiency in Python, Java, or Scala
* Deep knowledge of SQL and extensive experience with relational and NoSQL databases
* Strong expertise in big data technologies (Kafka, Flink, Spark, Parquet, Iceberg, Delta Lake)
* Advanced experience with ETL orchestration tools like Apache Airflow
* Extensive experience with cloud platforms (AWS, Azure, or GCP) and their data services
* Deep understanding of data warehousing solutions like Snowflake, Redshift, or BigQuery
* Proven expertise in data modeling, data architecture design, and ETL/ELT processes at scale
* Demonstrated ability to lead technical initiatives and mentor engineering talent
* Strong communication skills with ability to explain complex technical concepts to diverse audiences.
* Bachelor’s degree in computer science, or related field (Master's/PhD strongly preferred)
**Preferred Skills \&amp; Experience**
* Experience building data pipelines for Retrieval\-Augmented Generation, vector databases (Pinecone, Weaviate, Milvus), and semantic search
* Experience with real\-time personalization engines, recommendation systems, feature stores, and A/B testing infrastructure
* Experience building ML data pipelines, feature engineering systems, and model serving infrastructure
* Knowledge of search technologies (Elasticsearch, Solr, OpenSearch), relevance tuning, and search analytics
* Deep experience with event streaming, behavioral analytics, and customer data platforms
* Experience with A/B testing infrastructure and metrics computation at scale
* Knowledge of MLOps, model monitoring, and ML pipeline orchestration
* Knowledge of eCommerce metrics, conversion optimization, and digital analytics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$130,600 and $211,200\.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14">
      <c r="A114" t="inlineStr">
        <is>
          <t>li-4352568480</t>
        </is>
      </c>
      <c r="B114" t="inlineStr">
        <is>
          <t>Data Engineer</t>
        </is>
      </c>
      <c r="C114" t="inlineStr">
        <is>
          <t>Jobot</t>
        </is>
      </c>
      <c r="D114" t="inlineStr">
        <is>
          <t>linkedin</t>
        </is>
      </c>
      <c r="E114">
        <f>HYPERLINK("https://www.linkedin.com/jobs/view/4352568480", "https://www.linkedin.com/jobs/view/4352568480")</f>
        <v/>
      </c>
      <c r="F114" t="inlineStr"/>
      <c r="G114" t="inlineStr">
        <is>
          <t>New York, NY</t>
        </is>
      </c>
      <c r="H114" t="inlineStr"/>
      <c r="I114" t="inlineStr">
        <is>
          <t>Want to learn more about this role and Jobot? Click our Jobot logo and follow our LinkedIn page!
 Job details
 This Jobot Job is hosted by Amanda Preston
 Are you a fit? Easy Apply now by clicking the "Easy Apply" button and sending us your resume.
 Salary $155,000 \- $175,000 per year
**A Bit About Us**
 We are a global organization operating at the intersection of technology, data, and digital platforms, supporting products and services used by millions worldwide. Our teams build and operate highly scalable, cloud\-native systems that power data\-driven decision\-making, advanced analytics, and machine learning across a diverse and complex ecosystem. With a strong emphasis on modern engineering practices, automation, and innovation, we invest heavily in the people and platforms that enable long\-term growth and technical excellence.
****Why join us?****
 Work at scale Build and operate production systems that support large, globally distributed platforms and high\-impact use cases.
 Technical ownership Play a key role in shaping MLOps, DevOps, and cloud architecture standards across the organization.
 Modern stack Work with Kubernetes, GCP, Terraform, CI/CD, and production machine learning systems.
 Real\-world impact Deploy and operationalize machine learning models that directly support business\-critical workflows.
 Collaborative culture Partner closely with experienced engineers, data scientists, and product leaders who value strong technical judgment.
 Growth and stability Join a mature, well\-funded environment that offers long\-term career growth and technical depth without startup volatility.
**Job Details**
 Role Summary
 Join an elite engineering team at a large, globally distributed organization building next\-generation, data\-driven platforms at scale. We are seeking a highly motivated and skilled Senior MLOps/DevOps Engineer to lead the architecture, deployment, and operation of modern machine learning and cloud\-native systems.
 This role is critical in bridging Data Science and Platform Operations, ensuring machine learning models and core services are deployed reliably, scalably, and securely in production cloud environments. The position requires deep expertise in automation, cloud infrastructure, and the full machine learning lifecycle.
 Key Responsibilities
 MLOps Pipeline Ownership Design, implement, and manage end\-to\-end MLOps pipelines for continuous training, deployment, monitoring, and versioning of production ML models (e.g., recommendation systems, content intelligence, or analytics platforms).
 Data Pipeline Design \&amp; Orchestration Design, build, and maintain robust data ingestion and transformation pipelines using modern orchestration tools such as Dagster or Airflow.
 Kubernetes \&amp; Cloud Architecture Architect, deploy, and maintain highly scalable, fault\-tolerant infrastructure using Kubernetes (GKE) within Google Cloud Platform (GCP).
 DevOps \&amp; Automation Champion DevOps best practices, including Infrastructure as Code (IaC) using Terraform or similar tools, and establish reliable CI/CD workflows.
 CI/CD Implementation Configure and manage automated deployment and testing pipelines using GitHub Actions and related tooling to ensure fast, reliable releases.
 Core Development Write clean, efficient, and well\-tested Python code for automation, infrastructure tooling, and service integration.
 API \&amp; Service Deployment Design, develop, and deploy high\-performance Python APIs (FastAPI, Flask, or similar) to serve ML predictions and application services in production.
 Monitoring \&amp; Observability Implement comprehensive monitoring, logging, and alerting solutions (e.g., Prometheus, Grafana, cloud\-native logging tools) to maintain system reliability.
 Security \&amp; Compliance Implement security best practices, access controls, and compliance requirements appropriate for large\-scale, enterprise environments.
 Collaboration \&amp; Mentorship Partner closely with data scientists, software engineers, and product teams while providing technical guidance and mentorship to junior engineers.
**Required Qualifications**
 5\+ years of experience in DevOps, Cloud Engineering, or related roles, including 2\+ years focused on MLOps in production environments
 Advanced proficiency in Python for development, automation, and scripting
 Proven experience building and deploying production\-grade APIs and backend services (FastAPI, Flask, Django)
 Strong SQL skills and experience designing and optimizing data models for relational and NoSQL systems (e.g., BigQuery, Cloud SQL)
 Hands\-on experience with workflow orchestration tools (Dagster, Airflow)
 Expert knowledge of Docker and Kubernetes, including Helm and Kubernetes\-native IaC tools (e.g., Crossplane); GKE experience strongly preferred
 Extensive experience within the Google Cloud Platform (GCP) ecosystem (Compute Engine, Cloud Storage, BigQuery, Pub/Sub, Vertex AI)
 Strong GitHub\-based development workflows (branching, pull requests, code reviews)
 Solid understanding of network architecture, security principles, and large\-scale data processing
 Excellent communication, collaboration, and problem\-solving skills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15">
      <c r="A115" t="inlineStr">
        <is>
          <t>li-4323348099</t>
        </is>
      </c>
      <c r="B115" t="inlineStr">
        <is>
          <t>Senior Business Intelligence Analytics Engineer - Healthcare</t>
        </is>
      </c>
      <c r="C115" t="inlineStr">
        <is>
          <t>PRO-spectus</t>
        </is>
      </c>
      <c r="D115" t="inlineStr">
        <is>
          <t>linkedin</t>
        </is>
      </c>
      <c r="E115">
        <f>HYPERLINK("https://www.linkedin.com/jobs/view/4323348099", "https://www.linkedin.com/jobs/view/4323348099")</f>
        <v/>
      </c>
      <c r="F115">
        <f>HYPERLINK("https://workforcenow.adp.com/mascsr/default/mdf/recruitment/recruitment.html?cid=8f0c9405-5204-4f24-a7b7-6ebf7b1370dc&amp;ccId=19000101_000001&amp;jobId=569837&amp;source=LI&amp;lang=en_US&amp;urlHash=djP-", "https://workforcenow.adp.com/mascsr/default/mdf/recruitment/recruitment.html?cid=8f0c9405-5204-4f24-a7b7-6ebf7b1370dc&amp;ccId=19000101_000001&amp;jobId=569837&amp;source=LI&amp;lang=en_US&amp;urlHash=djP-")</f>
        <v/>
      </c>
      <c r="G115" t="inlineStr"/>
      <c r="H115" t="inlineStr"/>
      <c r="I115" t="inlineStr">
        <is>
          <t>The Senior BI \&amp; Analytics Engineer will be the bridge between our business teams and data engineering. This fully remote role blends Business Intelligence and Analytics Engineering, focusing on delivering actionable insights through Salesforce and Tableau dashboards. This role supports scalable data infrastructure in collaboration with our Solution Architect and contributes directly to improving patient outcomes and operational efficiency.
**Core Duties/Responsibilities**
* Lead strategic partnerships with business leaders to define reporting needs, success metrics, and data\-driven decision frameworks.
* Architect, implement, and optimize Salesforce reports and dashboards that drive visibility and accountability across teams.
* Design Tableau dashboards and visualizations for patient services, operations, finance, and executive teams.
* Develop and execute complex SQL queries to extract, transform, and analyze data within Snowflake, ensuring accuracy and performance.
* Translate data into actionable insights by producing clear, stakeholder\-ready reports that inform decision\-making and operational strategy.
* Establish data definitions, documentations, and promote self\-service analytics across PRO\-spectus.
* Configure, monitor, and optimize data delivery methods, including APIs and SFTP automated delivery, to ensure secure and reliable access to business\-critical data.
**Skills \&amp; Requirements**
* Demonstrated expertise with 5\+ years of hands\-on experience in Business Intelligence, Data Analytics, or Analytics Engineering, delivering scalable solutions.
* Proven mastery in Salesforce reporting and dashboard development, with a track record of enabling business visibility and performance tracking.
* Advanced proficiency in Tableau, including calculated fields, level\-of\-detail (LOD) expressions, parameters, and interactive dashboard design to support executive decision\-making.
* Strong command of SQL for data transformation and analysis, with practical experience in Snowflake or comparable cloud\-based data warehouse platforms.
* Working knowledge of dbt and ELT workflows, with experience in FiveTran or similar data integration tools.
* Experience configuring and supporting automated data delivery pipelines using APIs and/or SFTP, including troubleshooting connectivity and ensuring compliance with security protocols.
* Exceptional communication and stakeholder engagement skills, with the ability to translate complex data into clear, actionable insights for diverse audiences.
* Self\-directed and impact\-driven, with the ability to manage competing priorities, meet deadlines, and deliver high\-value outcomes in a fully remote, fast\-paced and growth\-oriented organization.
**Education, Certifications And Experience**
* Bachelor’s degree in computer science, Data Science, Information Systems, Business Analytics, or a related field required.
* Master’s degree preferred.
* Proven track record of delivering BI solutions and analytics in a cross\-functional business environment.
* Experience working with healthcare, patient services, or operational data is a plus.
* At least two of the following Certifications preferred: Tableau Desktop Specialist or Certified Associate, Salesforce Certified Administrator, dbt Fundamentals or Advanced Certification, Snowflake SnowPro Core or Advanced Certification.
**Physical Requirements**
* Ability to work remotely with reliable internet access.
* No significant physical demands: standard remote office setup required.
**Our PRO\-spectus Culture Philosophy**
 At PRO\-spectus we have created a culture that is supportive, dedicated, and teamwork driven. We celebrate each other’s joys in personal life and professional accomplishments, promoting meaningful relationships and friendships.
 Our employees bring strength of mind and spirit to make the extraordinary happen every day. With humility and compassion at our core, PRO\-spectus is proud of our relentless focus towards the higher purpose of improving the lives of patients we support.
 We recognize it takes a lot of people working together with a common goal to make spectacular happen, and we never forget that at the heart of our company are the people who make it work.
 PRO\-spectus is an Equal Opportunity / Affirmative Action employer. All qualified individuals will receive consideration for employment without regard to race, color, religion, sex, sexual orientation, gender identity, national origin, ancestry, age, disability, protected veteran status, marital status or other protected status under federal, state or local laws.
 At PRO\-spectus, we are deeply committed to pay transparency and equity. The hourly range for this position is
 **$105,000 – 115,000 based on experience and qualifications** 
 , with the final offer reflecting skills and other job\-related factors. Beyond competitive pay, we offer a comprehensive and generous benefits package designed to support your well\-being and work\-life balance.
 Our benefits include robust medical, dental, and vision plans; life insurance and disability coverage; and tax\-advantaged savings accounts. We also provide an Employee Assistance Program, home office benefits, and unique perks like an Employee Ownership Program. With paid time off, holidays, bereavement leave, and a 401(k)\-retirement plan with employer matching, PRO\-spectus prioritizes your financial and personal security. Plus, you may be eligible for a performance\-based bonus opportunity.
 Join PRO\-spectus, where your career growth, well\-being, and contributions truly matter!</t>
        </is>
      </c>
    </row>
    <row r="116">
      <c r="A116" t="inlineStr">
        <is>
          <t>li-4340346112</t>
        </is>
      </c>
      <c r="B116" t="inlineStr">
        <is>
          <t>Data Engineer and Application Developer</t>
        </is>
      </c>
      <c r="C116" t="inlineStr">
        <is>
          <t>Booz Allen Hamilton</t>
        </is>
      </c>
      <c r="D116" t="inlineStr">
        <is>
          <t>linkedin</t>
        </is>
      </c>
      <c r="E116">
        <f>HYPERLINK("https://www.linkedin.com/jobs/view/4340346112", "https://www.linkedin.com/jobs/view/4340346112")</f>
        <v/>
      </c>
      <c r="F116">
        <f>HYPERLINK("https://careers.boozallen.com/careers/JobDetail?jobId=118171&amp;source=JB-16500&amp;urlHash=gt5r", "https://careers.boozallen.com/careers/JobDetail?jobId=118171&amp;source=JB-16500&amp;urlHash=gt5r")</f>
        <v/>
      </c>
      <c r="G116" t="inlineStr">
        <is>
          <t>Honolulu, HI</t>
        </is>
      </c>
      <c r="H116" t="inlineStr"/>
      <c r="I116" t="inlineStr">
        <is>
          <t>**Job Number: R0230079**
 Data Engineer and Application Developer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with developing scalable ETL or ELT workflows for reporting and analytics
* Experience creating solutions within a collaborative, cross\-functional team environment
* Experience developing scripts and programs for converting various types of data into usable formats and supporting project team to scale, monitor, and operate data platforms
* Experience developing solutions that maximize data and AI value across analytical, operational, and policy‑support workflows, including applying DevSecOps practices, CI/CD pipelines, and automated quality controls in AWS environments
* TS/SCI clearance
* Bachelor’s degree
**Nice If You Have:** 
* Experience in application development utilizing SQL or Scala
* Experience with Palantir Foundry
* Experience working with Maven Smart Systems, such as Foundry and AIP
* Experience with distributed data and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advanced automation of software delivery, including infrastructure‑as‑code, such as Terraform or AWS CloudFormation, containerization, such as Docker, and orchestration, such as Kubernetes or EKS, aligned to DevSecOps practices
**Clearance** 
**:**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7">
      <c r="A117" t="inlineStr">
        <is>
          <t>li-4282846219</t>
        </is>
      </c>
      <c r="B117" t="inlineStr">
        <is>
          <t>Databricks Data Engineer - Manager - Consulting - Location Open</t>
        </is>
      </c>
      <c r="C117" t="inlineStr">
        <is>
          <t>EY</t>
        </is>
      </c>
      <c r="D117" t="inlineStr">
        <is>
          <t>linkedin</t>
        </is>
      </c>
      <c r="E117">
        <f>HYPERLINK("https://www.linkedin.com/jobs/view/4282846219", "https://www.linkedin.com/jobs/view/4282846219")</f>
        <v/>
      </c>
      <c r="F117" t="inlineStr"/>
      <c r="G117" t="inlineStr">
        <is>
          <t>Hoboken, NJ</t>
        </is>
      </c>
      <c r="H117" t="inlineStr"/>
      <c r="I11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8">
      <c r="A118" t="inlineStr">
        <is>
          <t>li-4282843556</t>
        </is>
      </c>
      <c r="B118" t="inlineStr">
        <is>
          <t>Databricks Data Engineer - Senior - Consulting - Location Open</t>
        </is>
      </c>
      <c r="C118" t="inlineStr">
        <is>
          <t>EY</t>
        </is>
      </c>
      <c r="D118" t="inlineStr">
        <is>
          <t>linkedin</t>
        </is>
      </c>
      <c r="E118">
        <f>HYPERLINK("https://www.linkedin.com/jobs/view/4282843556", "https://www.linkedin.com/jobs/view/4282843556")</f>
        <v/>
      </c>
      <c r="F118" t="inlineStr"/>
      <c r="G118" t="inlineStr">
        <is>
          <t>San Diego, CA</t>
        </is>
      </c>
      <c r="H118" t="inlineStr"/>
      <c r="I11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9">
      <c r="A119" t="inlineStr">
        <is>
          <t>li-4282849107</t>
        </is>
      </c>
      <c r="B119" t="inlineStr">
        <is>
          <t>Databricks Data Engineer - Senior - Consulting - Location Open</t>
        </is>
      </c>
      <c r="C119" t="inlineStr">
        <is>
          <t>EY</t>
        </is>
      </c>
      <c r="D119" t="inlineStr">
        <is>
          <t>linkedin</t>
        </is>
      </c>
      <c r="E119">
        <f>HYPERLINK("https://www.linkedin.com/jobs/view/4282849107", "https://www.linkedin.com/jobs/view/4282849107")</f>
        <v/>
      </c>
      <c r="F119" t="inlineStr"/>
      <c r="G119" t="inlineStr">
        <is>
          <t>Philadelphia, PA</t>
        </is>
      </c>
      <c r="H119" t="inlineStr"/>
      <c r="I11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0">
      <c r="A120" t="inlineStr">
        <is>
          <t>li-4282843549</t>
        </is>
      </c>
      <c r="B120" t="inlineStr">
        <is>
          <t>Databricks Data Engineer - Senior - Consulting - Location Open</t>
        </is>
      </c>
      <c r="C120" t="inlineStr">
        <is>
          <t>EY</t>
        </is>
      </c>
      <c r="D120" t="inlineStr">
        <is>
          <t>linkedin</t>
        </is>
      </c>
      <c r="E120">
        <f>HYPERLINK("https://www.linkedin.com/jobs/view/4282843549", "https://www.linkedin.com/jobs/view/4282843549")</f>
        <v/>
      </c>
      <c r="F120" t="inlineStr"/>
      <c r="G120" t="inlineStr">
        <is>
          <t>Cleveland, OH</t>
        </is>
      </c>
      <c r="H120" t="inlineStr"/>
      <c r="I12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1">
      <c r="A121" t="inlineStr">
        <is>
          <t>li-4282847170</t>
        </is>
      </c>
      <c r="B121" t="inlineStr">
        <is>
          <t>Databricks Data Engineer - Senior - Consulting - Location Open</t>
        </is>
      </c>
      <c r="C121" t="inlineStr">
        <is>
          <t>EY</t>
        </is>
      </c>
      <c r="D121" t="inlineStr">
        <is>
          <t>linkedin</t>
        </is>
      </c>
      <c r="E121">
        <f>HYPERLINK("https://www.linkedin.com/jobs/view/4282847170", "https://www.linkedin.com/jobs/view/4282847170")</f>
        <v/>
      </c>
      <c r="F121">
        <f>HYPERLINK("https://careers.ey.com/ey/job/New-York-Databricks-Data-Engineer-Senior-Consulting-Location-Open-NY-10001-8604/1236648701/?feedId=337401&amp;utm_source=LinkedInJobPostings&amp;utm_campaign=j2w_linkedin&amp;urlHash=uaVi", "https://careers.ey.com/ey/job/New-York-Databricks-Data-Engineer-Senior-Consulting-Location-Open-NY-10001-8604/1236648701/?feedId=337401&amp;utm_source=LinkedInJobPostings&amp;utm_campaign=j2w_linkedin&amp;urlHash=uaVi")</f>
        <v/>
      </c>
      <c r="G121" t="inlineStr">
        <is>
          <t>Sacramento, CA</t>
        </is>
      </c>
      <c r="H121" t="inlineStr"/>
      <c r="I12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2">
      <c r="A122" t="inlineStr">
        <is>
          <t>li-4282842620</t>
        </is>
      </c>
      <c r="B122" t="inlineStr">
        <is>
          <t>Databricks Data Engineer - Senior - Consulting - Location Open</t>
        </is>
      </c>
      <c r="C122" t="inlineStr">
        <is>
          <t>EY</t>
        </is>
      </c>
      <c r="D122" t="inlineStr">
        <is>
          <t>linkedin</t>
        </is>
      </c>
      <c r="E122">
        <f>HYPERLINK("https://www.linkedin.com/jobs/view/4282842620", "https://www.linkedin.com/jobs/view/4282842620")</f>
        <v/>
      </c>
      <c r="F122" t="inlineStr"/>
      <c r="G122" t="inlineStr">
        <is>
          <t>Englewood, CO</t>
        </is>
      </c>
      <c r="H122" t="inlineStr"/>
      <c r="I12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3">
      <c r="A123" t="inlineStr">
        <is>
          <t>li-4282842626</t>
        </is>
      </c>
      <c r="B123" t="inlineStr">
        <is>
          <t>Databricks Data Engineer - Senior - Consulting - Location Open</t>
        </is>
      </c>
      <c r="C123" t="inlineStr">
        <is>
          <t>EY</t>
        </is>
      </c>
      <c r="D123" t="inlineStr">
        <is>
          <t>linkedin</t>
        </is>
      </c>
      <c r="E123">
        <f>HYPERLINK("https://www.linkedin.com/jobs/view/4282842626", "https://www.linkedin.com/jobs/view/4282842626")</f>
        <v/>
      </c>
      <c r="F123" t="inlineStr"/>
      <c r="G123" t="inlineStr">
        <is>
          <t>Irvine, CA</t>
        </is>
      </c>
      <c r="H123" t="inlineStr"/>
      <c r="I12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4">
      <c r="A124" t="inlineStr">
        <is>
          <t>li-4282847164</t>
        </is>
      </c>
      <c r="B124" t="inlineStr">
        <is>
          <t>Databricks Data Engineer - Senior - Consulting - Location Open</t>
        </is>
      </c>
      <c r="C124" t="inlineStr">
        <is>
          <t>EY</t>
        </is>
      </c>
      <c r="D124" t="inlineStr">
        <is>
          <t>linkedin</t>
        </is>
      </c>
      <c r="E124">
        <f>HYPERLINK("https://www.linkedin.com/jobs/view/4282847164", "https://www.linkedin.com/jobs/view/4282847164")</f>
        <v/>
      </c>
      <c r="F124" t="inlineStr"/>
      <c r="G124" t="inlineStr">
        <is>
          <t>Miami, FL</t>
        </is>
      </c>
      <c r="H124" t="inlineStr"/>
      <c r="I12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5">
      <c r="A125" t="inlineStr">
        <is>
          <t>li-4282841809</t>
        </is>
      </c>
      <c r="B125" t="inlineStr">
        <is>
          <t>Databricks Data Engineer - Senior - Consulting - Location Open</t>
        </is>
      </c>
      <c r="C125" t="inlineStr">
        <is>
          <t>EY</t>
        </is>
      </c>
      <c r="D125" t="inlineStr">
        <is>
          <t>linkedin</t>
        </is>
      </c>
      <c r="E125">
        <f>HYPERLINK("https://www.linkedin.com/jobs/view/4282841809", "https://www.linkedin.com/jobs/view/4282841809")</f>
        <v/>
      </c>
      <c r="F125" t="inlineStr"/>
      <c r="G125" t="inlineStr">
        <is>
          <t>Fort Worth, TX</t>
        </is>
      </c>
      <c r="H125" t="inlineStr"/>
      <c r="I12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6">
      <c r="A126" t="inlineStr">
        <is>
          <t>li-4361530701</t>
        </is>
      </c>
      <c r="B126" t="inlineStr">
        <is>
          <t>Senior Data Engineer</t>
        </is>
      </c>
      <c r="C126" t="inlineStr">
        <is>
          <t>Capital One</t>
        </is>
      </c>
      <c r="D126" t="inlineStr">
        <is>
          <t>linkedin</t>
        </is>
      </c>
      <c r="E126">
        <f>HYPERLINK("https://www.linkedin.com/jobs/view/4361530701", "https://www.linkedin.com/jobs/view/4361530701")</f>
        <v/>
      </c>
      <c r="F126" t="inlineStr"/>
      <c r="G126" t="inlineStr">
        <is>
          <t>McLean, VA</t>
        </is>
      </c>
      <c r="H126" t="inlineStr"/>
      <c r="I12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7">
      <c r="A127" t="inlineStr">
        <is>
          <t>li-4282843558</t>
        </is>
      </c>
      <c r="B127" t="inlineStr">
        <is>
          <t>Databricks Data Engineer - Senior - Consulting - Location Open</t>
        </is>
      </c>
      <c r="C127" t="inlineStr">
        <is>
          <t>EY</t>
        </is>
      </c>
      <c r="D127" t="inlineStr">
        <is>
          <t>linkedin</t>
        </is>
      </c>
      <c r="E127">
        <f>HYPERLINK("https://www.linkedin.com/jobs/view/4282843558", "https://www.linkedin.com/jobs/view/4282843558")</f>
        <v/>
      </c>
      <c r="F127" t="inlineStr"/>
      <c r="G127" t="inlineStr">
        <is>
          <t>Louisville, KY</t>
        </is>
      </c>
      <c r="H127" t="inlineStr"/>
      <c r="I12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8">
      <c r="A128" t="inlineStr">
        <is>
          <t>li-4282843550</t>
        </is>
      </c>
      <c r="B128" t="inlineStr">
        <is>
          <t>Databricks Data Engineer - Senior - Consulting - Location Open</t>
        </is>
      </c>
      <c r="C128" t="inlineStr">
        <is>
          <t>EY</t>
        </is>
      </c>
      <c r="D128" t="inlineStr">
        <is>
          <t>linkedin</t>
        </is>
      </c>
      <c r="E128">
        <f>HYPERLINK("https://www.linkedin.com/jobs/view/4282843550", "https://www.linkedin.com/jobs/view/4282843550")</f>
        <v/>
      </c>
      <c r="F128">
        <f>HYPERLINK("https://careers.ey.com/ey/job/New-York-Databricks-Data-Engineer-Senior-Consulting-Location-Open-NY-10001-8604/1236648701/?feedId=337401&amp;utm_source=LinkedInJobPostings&amp;utm_campaign=j2w_linkedin&amp;urlHash=uaVi", "https://careers.ey.com/ey/job/New-York-Databricks-Data-Engineer-Senior-Consulting-Location-Open-NY-10001-8604/1236648701/?feedId=337401&amp;utm_source=LinkedInJobPostings&amp;utm_campaign=j2w_linkedin&amp;urlHash=uaVi")</f>
        <v/>
      </c>
      <c r="G128" t="inlineStr">
        <is>
          <t>Oklahoma City, OK</t>
        </is>
      </c>
      <c r="H128" t="inlineStr"/>
      <c r="I12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9">
      <c r="A129" t="inlineStr">
        <is>
          <t>li-4282849079</t>
        </is>
      </c>
      <c r="B129" t="inlineStr">
        <is>
          <t>Databricks Data Engineer - Manager - Consulting - Location Open</t>
        </is>
      </c>
      <c r="C129" t="inlineStr">
        <is>
          <t>EY</t>
        </is>
      </c>
      <c r="D129" t="inlineStr">
        <is>
          <t>linkedin</t>
        </is>
      </c>
      <c r="E129">
        <f>HYPERLINK("https://www.linkedin.com/jobs/view/4282849079", "https://www.linkedin.com/jobs/view/4282849079")</f>
        <v/>
      </c>
      <c r="F129">
        <f>HYPERLINK("https://careers.ey.com/ey/job/New-York-Databricks-Data-Engineer-Manager-Consulting-Location-Open-NY-10001-8604/1236648001/?feedId=337401&amp;utm_source=LinkedInJobPostings&amp;utm_campaign=j2w_linkedin&amp;urlHash=ZnPB", "https://careers.ey.com/ey/job/New-York-Databricks-Data-Engineer-Manager-Consulting-Location-Open-NY-10001-8604/1236648001/?feedId=337401&amp;utm_source=LinkedInJobPostings&amp;utm_campaign=j2w_linkedin&amp;urlHash=ZnPB")</f>
        <v/>
      </c>
      <c r="G129" t="inlineStr">
        <is>
          <t>Pittsburgh, PA</t>
        </is>
      </c>
      <c r="H129" t="inlineStr"/>
      <c r="I12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0">
      <c r="A130" t="inlineStr">
        <is>
          <t>li-4282849082</t>
        </is>
      </c>
      <c r="B130" t="inlineStr">
        <is>
          <t>Databricks Data Engineer - Manager - Consulting - Location Open</t>
        </is>
      </c>
      <c r="C130" t="inlineStr">
        <is>
          <t>EY</t>
        </is>
      </c>
      <c r="D130" t="inlineStr">
        <is>
          <t>linkedin</t>
        </is>
      </c>
      <c r="E130">
        <f>HYPERLINK("https://www.linkedin.com/jobs/view/4282849082", "https://www.linkedin.com/jobs/view/4282849082")</f>
        <v/>
      </c>
      <c r="F130" t="inlineStr"/>
      <c r="G130" t="inlineStr">
        <is>
          <t>Toledo, OH</t>
        </is>
      </c>
      <c r="H130" t="inlineStr"/>
      <c r="I13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1">
      <c r="A131" t="inlineStr">
        <is>
          <t>li-4282845258</t>
        </is>
      </c>
      <c r="B131" t="inlineStr">
        <is>
          <t>Databricks Data Engineer - Senior - Consulting - Location Open</t>
        </is>
      </c>
      <c r="C131" t="inlineStr">
        <is>
          <t>EY</t>
        </is>
      </c>
      <c r="D131" t="inlineStr">
        <is>
          <t>linkedin</t>
        </is>
      </c>
      <c r="E131">
        <f>HYPERLINK("https://www.linkedin.com/jobs/view/4282845258", "https://www.linkedin.com/jobs/view/4282845258")</f>
        <v/>
      </c>
      <c r="F131">
        <f>HYPERLINK("https://careers.ey.com/ey/job/New-York-Databricks-Data-Engineer-Senior-Consulting-Location-Open-NY-10001-8604/1236648701/?feedId=337401&amp;utm_source=LinkedInJobPostings&amp;utm_campaign=j2w_linkedin&amp;urlHash=uaVi", "https://careers.ey.com/ey/job/New-York-Databricks-Data-Engineer-Senior-Consulting-Location-Open-NY-10001-8604/1236648701/?feedId=337401&amp;utm_source=LinkedInJobPostings&amp;utm_campaign=j2w_linkedin&amp;urlHash=uaVi")</f>
        <v/>
      </c>
      <c r="G131" t="inlineStr">
        <is>
          <t>New Orleans, LA</t>
        </is>
      </c>
      <c r="H131" t="inlineStr"/>
      <c r="I13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2">
      <c r="A132" t="inlineStr">
        <is>
          <t>li-4282846221</t>
        </is>
      </c>
      <c r="B132" t="inlineStr">
        <is>
          <t>Databricks Data Engineer - Manager - Consulting - Location Open</t>
        </is>
      </c>
      <c r="C132" t="inlineStr">
        <is>
          <t>EY</t>
        </is>
      </c>
      <c r="D132" t="inlineStr">
        <is>
          <t>linkedin</t>
        </is>
      </c>
      <c r="E132">
        <f>HYPERLINK("https://www.linkedin.com/jobs/view/4282846221", "https://www.linkedin.com/jobs/view/4282846221")</f>
        <v/>
      </c>
      <c r="F132">
        <f>HYPERLINK("https://careers.ey.com/ey/job/New-York-Databricks-Data-Engineer-Manager-Consulting-Location-Open-NY-10001-8604/1236648001/?feedId=337401&amp;utm_source=LinkedInJobPostings&amp;utm_campaign=j2w_linkedin&amp;urlHash=ZnPB", "https://careers.ey.com/ey/job/New-York-Databricks-Data-Engineer-Manager-Consulting-Location-Open-NY-10001-8604/1236648001/?feedId=337401&amp;utm_source=LinkedInJobPostings&amp;utm_campaign=j2w_linkedin&amp;urlHash=ZnPB")</f>
        <v/>
      </c>
      <c r="G132" t="inlineStr">
        <is>
          <t>Cleveland, OH</t>
        </is>
      </c>
      <c r="H132" t="inlineStr"/>
      <c r="I13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3">
      <c r="A133" t="inlineStr">
        <is>
          <t>li-4219705189</t>
        </is>
      </c>
      <c r="B133" t="inlineStr">
        <is>
          <t>Forward Deployed Data Engineer (TS/SCI)</t>
        </is>
      </c>
      <c r="C133" t="inlineStr">
        <is>
          <t>TRM Labs</t>
        </is>
      </c>
      <c r="D133" t="inlineStr">
        <is>
          <t>linkedin</t>
        </is>
      </c>
      <c r="E133">
        <f>HYPERLINK("https://www.linkedin.com/jobs/view/4219705189", "https://www.linkedin.com/jobs/view/4219705189")</f>
        <v/>
      </c>
      <c r="F133">
        <f>HYPERLINK("https://job-boards.greenhouse.io/trmlabs/jobs/5530711004?gh_src=21d21f294us&amp;urlHash=9ORk", "https://job-boards.greenhouse.io/trmlabs/jobs/5530711004?gh_src=21d21f294us&amp;urlHash=9ORk")</f>
        <v/>
      </c>
      <c r="G133" t="inlineStr">
        <is>
          <t>Washington, DC</t>
        </is>
      </c>
      <c r="H133" t="inlineStr"/>
      <c r="I133"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As a Forward Deployed Engineer, you will work directly with TRM’s government customers. This includes bridging our SaaS offering with federated capabilities and cloud architectures from the initial setup and implementation to configuration and maintenance.
 A successful mission will enable TRM’s government customers to securely leverage TRM in regulated industries and also scale with maturity. As an early member of the Forward Deployed Engineering team, you will be deeply involved in the technical details and ultimately champion your team to build a safer financial system for billions of people.
 The impact you’ll have here:
* Partner directly with mission\-focused customers to design and deploy secure, scalable cloud\-based data lakehouse solutions on AWS (e.g., S3, EMR/EKS, Iceberg or Delta Lake).
* Own and deliver production\-ready ETL/ELT pipelines using Python, Apache Airflow, Spark, and SQL—optimized for petabyte\-scale workloads.
* Containerize and deploy services on Kubernetes (EKS), using Terraform or CloudFormation for Infrastructure\-as\-Code and repeatable environments.
* Design integrations that ingest data from message buses, APIs, and relational databases, embedding real\-time analytics capabilities into client workflows.
* Actively participate in all phases of the software development lifecycle: requirements gathering, architecture, implementation, testing, and secure deployment.
* Implement observability solutions (e.g., Prometheus, Datadog, NewRelic) to uphold SLAs and drive continuous improvement.
* Support mission\-critical systems in production environments—resolving incidents alongside customer operations teams.
 What we’re looking for:
* Bachelor's degree (or equivalent) in Computer Science, Engineering, or a related field.
* 4\+ years of hands\-on experience building and deploying data pipelines in Python.
* Proven expertise with Apache Airflow (DAG development, scheduler tuning, custom operators).
* Strong knowledge of Apache Spark (Spark SQL, DataFrames, performance tuning).
* Deep SQL skills—able to optimize queries with window functions, CTEs, and large datasets.
* Professional experience deploying cloud\-native architectures on AWS, including services like S3, EMR, EKS, IAM, and Redshift.
* Familiarity with secure cloud environments and experience implementing FedRAMP/FISMA controls.
* Experience deploying applications and data workflows on Kubernetes, preferably EKS.
* Infrastructure\-as\-Code proficiency with Terraform or CloudFormation.
* Skilled in GitOps and CI/CD practices using Jenkins, GitLab CI, or similar tools.
* Excellent verbal and written communication skills—able to interface confidently with both technical and non\-technical stakeholders.
* Willingness and ability to travel up to 25% to client sites as needed.
* Active TS/SCI clearance required (Polygraph strongly preferred).
**About the Team:**
* The FDE team is made up of experienced professionals with direct customer knowledge and deep experience with technology, we leverage this to provide impactful outcomes and clear communication both internally and externally.
* The FDE team aligns to the US\-eastern timezone, both onsite and remotely. Wee communicate across numerous channels (highside chat, highside/lowside email, slack, phone calls, signal, google meets) and ensure we are able to rapidly switch between appropriate channels as necessary.
* We have weekly team syncs as well as project check\-ins, we keep project tracking tools up to date and directly communicate issues as they arise.
* We always put the customer first – The FDE team is uniquely close among other teams at TRM to our customers and will develop close relationships with them. We do whatever it takes to ensure their mission success.
**Learn about TRM Speed in this position:**
* Rapid Issue Resolution: Forward Deployed Engineers identify and diagnose critical onsite issues, set up incident channels or virtual war rooms with the remote team, and implement fixes in mintues to hours. FDEs also conduct retros and shares lessons with both internal teams and customer stakeholders within 48 hours of resolution.
* Navigating Bureaucratic Hurdles: Engineer anticipates and proactively addresses potential customer\-side delays. They build relationships with customer stakeholders (COTR, Enterprise technical lead, etc.), identify procedural bottlenecks, and seek alternative pathways for approvals. This approach reduces wait times for critical decisions and keeps projects on track despite complex customer processes.
* Efficient Knowledge Transfer: Conducts knowledge sharing sessions and maintains up\-to\-date documentation in Notion and issue tracking in Jira for the remote team. All milestone\-impacting issues are flagged within 24 hours, reducing problem\-solving time and ensuring remote team is always aware of any updates to the plans.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The estimated base salary range for this role is $200,000 \- $260,000\.
* Additionally, this role may be eligible to participate in TRM’s equity plan.
* Please note – we factor in the different costs for geographies outside the United States.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134">
      <c r="A134" t="inlineStr">
        <is>
          <t>li-4307113190</t>
        </is>
      </c>
      <c r="B134" t="inlineStr">
        <is>
          <t>Lead Software Engineer - Data Engineer</t>
        </is>
      </c>
      <c r="C134" t="inlineStr">
        <is>
          <t>JPMorganChase</t>
        </is>
      </c>
      <c r="D134" t="inlineStr">
        <is>
          <t>linkedin</t>
        </is>
      </c>
      <c r="E134">
        <f>HYPERLINK("https://www.linkedin.com/jobs/view/4307113190", "https://www.linkedin.com/jobs/view/4307113190")</f>
        <v/>
      </c>
      <c r="F134">
        <f>HYPERLINK("https://JPMorganChase.contacthr.com/149227160&amp;urlHash=ZNtS", "https://JPMorganChase.contacthr.com/149227160&amp;urlHash=ZNtS")</f>
        <v/>
      </c>
      <c r="G134" t="inlineStr">
        <is>
          <t>Jersey City, NJ</t>
        </is>
      </c>
      <c r="H134" t="inlineStr"/>
      <c r="I134" t="inlineStr">
        <is>
          <t>**Job Description**
 We have an opportunity to impact your career and provide an adventure where you can push the limits of what's possible.
 As a Lead Software Engineer at JPMorgan Chase within the Corporate Sector's Finance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Join us as a Lead Software Engineer and play a pivotal role in building the next\-generation platform designed specifically for our Financial Planning and Analysis teams. You’ll empower finance professionals across the bank—from strategic planners to forecasting experts and business analysts—to model, consult, forecast, and plan with unprecedented agility and insight.
 This is your opportunity to transform how our FP\&amp;A teams operate, enabling smarter decision\-making, deeper analysis, and more effective financial strategies at one of the world’s most innovative financial institutions.
**Job Responsibilities**
* Architect and Build: Design and develop robust, scalable, and high\-performance platforms for finance users, enabling advanced analysis, modeling, forecasting, and planning capabilities.
* Lead and Inspire: Guide a talented team of engineers, fostering a culture of innovation, collaboration, and technical excellence.
* Drive Transformation: Work closely with product managers, finance experts, and stakeholders to deliver solutions that redefine how financial data is leveraged across the organization.
* Innovate: Leverage the latest technologies in cloud, data engineering, and AI/ML to create tools that set new standards in the industry.
* Mentor: Share your expertise and help grow the next generation of engineering talent within JPMorgan Chase.
**Required Qualifications, Capabilities, And Skills**
* Formal training or certification on software engineering concepts and 5\+ years applied experience
* Experience as a software engineer, with a track record of leading complex projects and engineering teams to successful delivery.
* Experience in building large\-scale platforms, with deep knowledge of data quality, observability, and entitlement management to ensure robust, secure, and reliable solutions.
* Expertise in modern programming languages such as Java, Python, or Scala.
* Experience with the AWS platform, including its core services, architecture best practices, and security features.
* Experience with big data technologies, including Apache Spark, for large\-scale data processing and analytics.
* Expertise in building data\-driven applications, ideally within finance, banking, or related domains, with an understanding of financial planning and analysis workflows.
* Experience collaborating with other platform teams to design and build common, reusable frameworks that drive standardization and enable wider adoption across the organization.
* Passion for solving complex problems and delivering impactful, scalable solutions that drive business value.
* Excellent communication and leadership skills, with the ability to collaborate effectively with cross\-functional teams, mentor junior engineers, and engage with stakeholders across the organization.
**Preferred Qualifications, Capabilities, And Skills**
* Exposure to Databricks
* Experience with data visualization and business intelligence platforms.
* Bachelor's degree in Finance, Technology, Data Science, or a related field;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2026-01-13T15:39:04Z</dcterms:created>
  <dcterms:modified xsi:type="dcterms:W3CDTF">2026-01-13T15:39:04Z</dcterms:modified>
</cp:coreProperties>
</file>