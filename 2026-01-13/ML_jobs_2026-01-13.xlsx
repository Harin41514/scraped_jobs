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in-fe1f06425104a411</t>
        </is>
      </c>
      <c r="B2" t="inlineStr">
        <is>
          <t>Principal Applied Scientist, Amazon Special Projects</t>
        </is>
      </c>
      <c r="C2" t="inlineStr">
        <is>
          <t>Amazon.com</t>
        </is>
      </c>
      <c r="D2" t="inlineStr">
        <is>
          <t>indeed</t>
        </is>
      </c>
      <c r="E2" t="inlineStr"/>
      <c r="F2" t="inlineStr"/>
      <c r="G2" t="inlineStr">
        <is>
          <t>Seattle, WA, US</t>
        </is>
      </c>
      <c r="H2" s="2" t="n">
        <v>45982</v>
      </c>
      <c r="I2"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in-1de75458e4428191</t>
        </is>
      </c>
      <c r="B3" t="inlineStr">
        <is>
          <t>Principal Applied Scientist, Amazon Special Projects</t>
        </is>
      </c>
      <c r="C3" t="inlineStr">
        <is>
          <t>Amazon.com</t>
        </is>
      </c>
      <c r="D3" t="inlineStr">
        <is>
          <t>indeed</t>
        </is>
      </c>
      <c r="E3" t="inlineStr"/>
      <c r="F3" t="inlineStr"/>
      <c r="G3" t="inlineStr">
        <is>
          <t>Boston, MA, US</t>
        </is>
      </c>
      <c r="H3" s="2" t="n">
        <v>45982</v>
      </c>
      <c r="I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in-2d7a13274f29a01a</t>
        </is>
      </c>
      <c r="B4" t="inlineStr">
        <is>
          <t>Senior Applied Scientist, Sponsored Products and Brands</t>
        </is>
      </c>
      <c r="C4" t="inlineStr">
        <is>
          <t>Amazon.com</t>
        </is>
      </c>
      <c r="D4" t="inlineStr">
        <is>
          <t>indeed</t>
        </is>
      </c>
      <c r="E4" t="inlineStr"/>
      <c r="F4" t="inlineStr"/>
      <c r="G4" t="inlineStr">
        <is>
          <t>Seattle, WA, US</t>
        </is>
      </c>
      <c r="H4" s="2" t="n">
        <v>45979</v>
      </c>
      <c r="I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in-80cabda1b97f8cdc</t>
        </is>
      </c>
      <c r="B5" t="inlineStr">
        <is>
          <t>Senior Applied Scientist, Sponsored Products and Brands</t>
        </is>
      </c>
      <c r="C5" t="inlineStr">
        <is>
          <t>Amazon.com</t>
        </is>
      </c>
      <c r="D5" t="inlineStr">
        <is>
          <t>indeed</t>
        </is>
      </c>
      <c r="E5" t="inlineStr"/>
      <c r="F5" t="inlineStr"/>
      <c r="G5" t="inlineStr">
        <is>
          <t>New York, NY, US</t>
        </is>
      </c>
      <c r="H5" s="2" t="n">
        <v>45979</v>
      </c>
      <c r="I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in-f82f448d2aed24cb</t>
        </is>
      </c>
      <c r="B6" t="inlineStr">
        <is>
          <t>Sr. Applied Scientist, AGI Foundations</t>
        </is>
      </c>
      <c r="C6" t="inlineStr">
        <is>
          <t>Amazon.com</t>
        </is>
      </c>
      <c r="D6" t="inlineStr">
        <is>
          <t>indeed</t>
        </is>
      </c>
      <c r="E6" t="inlineStr"/>
      <c r="F6" t="inlineStr"/>
      <c r="G6" t="inlineStr">
        <is>
          <t>Bellevue, WA, US</t>
        </is>
      </c>
      <c r="H6" s="2" t="n">
        <v>45978</v>
      </c>
      <c r="I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in-7d7511edb655845a</t>
        </is>
      </c>
      <c r="B7" t="inlineStr">
        <is>
          <t>Sr. Applied Scientist, AGI Foundations</t>
        </is>
      </c>
      <c r="C7" t="inlineStr">
        <is>
          <t>Amazon.com</t>
        </is>
      </c>
      <c r="D7" t="inlineStr">
        <is>
          <t>indeed</t>
        </is>
      </c>
      <c r="E7" t="inlineStr"/>
      <c r="F7" t="inlineStr"/>
      <c r="G7" t="inlineStr">
        <is>
          <t>New York, NY, US</t>
        </is>
      </c>
      <c r="H7" s="2" t="n">
        <v>45978</v>
      </c>
      <c r="I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in-d99877ecf1d0f9e3</t>
        </is>
      </c>
      <c r="B8" t="inlineStr">
        <is>
          <t>Sr. Applied Scientist, AGI Foundations</t>
        </is>
      </c>
      <c r="C8" t="inlineStr">
        <is>
          <t>Amazon.com</t>
        </is>
      </c>
      <c r="D8" t="inlineStr">
        <is>
          <t>indeed</t>
        </is>
      </c>
      <c r="E8" t="inlineStr"/>
      <c r="F8" t="inlineStr"/>
      <c r="G8" t="inlineStr">
        <is>
          <t>Boston, MA, US</t>
        </is>
      </c>
      <c r="H8" s="2" t="n">
        <v>45978</v>
      </c>
      <c r="I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in-0a6edd5e0205e823</t>
        </is>
      </c>
      <c r="B9" t="inlineStr">
        <is>
          <t>Sr. Applied Scientist, AGI Foundations</t>
        </is>
      </c>
      <c r="C9" t="inlineStr">
        <is>
          <t>Amazon.com</t>
        </is>
      </c>
      <c r="D9" t="inlineStr">
        <is>
          <t>indeed</t>
        </is>
      </c>
      <c r="E9" t="inlineStr"/>
      <c r="F9" t="inlineStr"/>
      <c r="G9" t="inlineStr">
        <is>
          <t>Sunnyvale, CA, US</t>
        </is>
      </c>
      <c r="H9" s="2" t="n">
        <v>45978</v>
      </c>
      <c r="I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in-9e3d6e22360f9684</t>
        </is>
      </c>
      <c r="B10" t="inlineStr">
        <is>
          <t>Sr. Applied Scientist, AGI Foundations</t>
        </is>
      </c>
      <c r="C10" t="inlineStr">
        <is>
          <t>Amazon.com</t>
        </is>
      </c>
      <c r="D10" t="inlineStr">
        <is>
          <t>indeed</t>
        </is>
      </c>
      <c r="E10" t="inlineStr"/>
      <c r="F10" t="inlineStr"/>
      <c r="G10" t="inlineStr">
        <is>
          <t>Bellevue, WA, US</t>
        </is>
      </c>
      <c r="H10" s="2" t="n">
        <v>45963</v>
      </c>
      <c r="I1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in-12f113eee8e4bdd5</t>
        </is>
      </c>
      <c r="B11" t="inlineStr">
        <is>
          <t>Sr. Applied Scientist, AGI Foundations</t>
        </is>
      </c>
      <c r="C11" t="inlineStr">
        <is>
          <t>Amazon.com</t>
        </is>
      </c>
      <c r="D11" t="inlineStr">
        <is>
          <t>indeed</t>
        </is>
      </c>
      <c r="E11" t="inlineStr"/>
      <c r="F11" t="inlineStr"/>
      <c r="G11" t="inlineStr">
        <is>
          <t>Boston, MA, US</t>
        </is>
      </c>
      <c r="H11" s="2" t="n">
        <v>45963</v>
      </c>
      <c r="I1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in-fbdfd9d12ff28ff1</t>
        </is>
      </c>
      <c r="B12" t="inlineStr">
        <is>
          <t>Sr. Applied Scientist, AGI Foundations</t>
        </is>
      </c>
      <c r="C12" t="inlineStr">
        <is>
          <t>Amazon.com</t>
        </is>
      </c>
      <c r="D12" t="inlineStr">
        <is>
          <t>indeed</t>
        </is>
      </c>
      <c r="E12" t="inlineStr"/>
      <c r="F12" t="inlineStr"/>
      <c r="G12" t="inlineStr">
        <is>
          <t>New York, NY, US</t>
        </is>
      </c>
      <c r="H12" s="2" t="n">
        <v>45963</v>
      </c>
      <c r="I1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in-d4a7ead3637f35c4</t>
        </is>
      </c>
      <c r="B13" t="inlineStr">
        <is>
          <t>Applied Scientist II, Prime Video - Personalization and Discovery Science, Personalization and Discovery Science</t>
        </is>
      </c>
      <c r="C13" t="inlineStr">
        <is>
          <t>Amazon.com</t>
        </is>
      </c>
      <c r="D13" t="inlineStr">
        <is>
          <t>indeed</t>
        </is>
      </c>
      <c r="E13" t="inlineStr"/>
      <c r="F13" t="inlineStr"/>
      <c r="G13" t="inlineStr">
        <is>
          <t>New York, NY, US</t>
        </is>
      </c>
      <c r="H13" s="2" t="n">
        <v>45930</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in-a6e73d83cc4e409e</t>
        </is>
      </c>
      <c r="B14" t="inlineStr">
        <is>
          <t>Applied Scientist II, Prime Video - Personalization and Discovery Science, Personalization and Discovery Science</t>
        </is>
      </c>
      <c r="C14" t="inlineStr">
        <is>
          <t>Amazon.com</t>
        </is>
      </c>
      <c r="D14" t="inlineStr">
        <is>
          <t>indeed</t>
        </is>
      </c>
      <c r="E14" t="inlineStr"/>
      <c r="F14" t="inlineStr"/>
      <c r="G14" t="inlineStr">
        <is>
          <t>Sunnyvale, CA, US</t>
        </is>
      </c>
      <c r="H14" s="2" t="n">
        <v>45930</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in-48107e9ebf566db6</t>
        </is>
      </c>
      <c r="B15" t="inlineStr">
        <is>
          <t>Applied Scientist II, Prime Video - Personalization and Discovery Science</t>
        </is>
      </c>
      <c r="C15" t="inlineStr">
        <is>
          <t>Amazon.com</t>
        </is>
      </c>
      <c r="D15" t="inlineStr">
        <is>
          <t>indeed</t>
        </is>
      </c>
      <c r="E15" t="inlineStr"/>
      <c r="F15" t="inlineStr"/>
      <c r="G15" t="inlineStr">
        <is>
          <t>Sunnyvale, CA, US</t>
        </is>
      </c>
      <c r="H15" s="2" t="n">
        <v>45915</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in-7a7606e75d5533de</t>
        </is>
      </c>
      <c r="B16" t="inlineStr">
        <is>
          <t>Applied Scientist II, Prime Video - Personalization and Discovery Science</t>
        </is>
      </c>
      <c r="C16" t="inlineStr">
        <is>
          <t>Amazon.com</t>
        </is>
      </c>
      <c r="D16" t="inlineStr">
        <is>
          <t>indeed</t>
        </is>
      </c>
      <c r="E16" t="inlineStr"/>
      <c r="F16" t="inlineStr"/>
      <c r="G16" t="inlineStr">
        <is>
          <t>Seattle, WA, US</t>
        </is>
      </c>
      <c r="H16" s="2" t="n">
        <v>45915</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in-948b22f4d3212336</t>
        </is>
      </c>
      <c r="B17" t="inlineStr">
        <is>
          <t>Sr. Applied Scientist, Prime Video - Personalization and Discovery Science</t>
        </is>
      </c>
      <c r="C17" t="inlineStr">
        <is>
          <t>Amazon.com</t>
        </is>
      </c>
      <c r="D17" t="inlineStr">
        <is>
          <t>indeed</t>
        </is>
      </c>
      <c r="E17" t="inlineStr"/>
      <c r="F17" t="inlineStr"/>
      <c r="G17" t="inlineStr">
        <is>
          <t>Sunnyvale, CA, US</t>
        </is>
      </c>
      <c r="H17" s="2" t="n">
        <v>45914</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in-50b16a74d1ab212c</t>
        </is>
      </c>
      <c r="B18" t="inlineStr">
        <is>
          <t>Senior Applied Scientist, Artificial General Intelligence</t>
        </is>
      </c>
      <c r="C18" t="inlineStr">
        <is>
          <t>Amazon.com</t>
        </is>
      </c>
      <c r="D18" t="inlineStr">
        <is>
          <t>indeed</t>
        </is>
      </c>
      <c r="E18" t="inlineStr"/>
      <c r="F18" t="inlineStr"/>
      <c r="G18" t="inlineStr">
        <is>
          <t>Bellevue, WA, US</t>
        </is>
      </c>
      <c r="H18" s="2" t="n">
        <v>45907</v>
      </c>
      <c r="I1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in-0ec8ee6b91d16e73</t>
        </is>
      </c>
      <c r="B19" t="inlineStr">
        <is>
          <t>Senior Applied Scientist, Artificial General Intelligence</t>
        </is>
      </c>
      <c r="C19" t="inlineStr">
        <is>
          <t>Amazon.com</t>
        </is>
      </c>
      <c r="D19" t="inlineStr">
        <is>
          <t>indeed</t>
        </is>
      </c>
      <c r="E19" t="inlineStr"/>
      <c r="F19" t="inlineStr"/>
      <c r="G19" t="inlineStr">
        <is>
          <t>Cambridge, MA, US</t>
        </is>
      </c>
      <c r="H19" s="2" t="n">
        <v>45907</v>
      </c>
      <c r="I1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in-f7fe4dcc98a5c3fc</t>
        </is>
      </c>
      <c r="B20" t="inlineStr">
        <is>
          <t>Senior Applied Scientist, Artificial General Intelligence</t>
        </is>
      </c>
      <c r="C20" t="inlineStr">
        <is>
          <t>Amazon.com</t>
        </is>
      </c>
      <c r="D20" t="inlineStr">
        <is>
          <t>indeed</t>
        </is>
      </c>
      <c r="E20" t="inlineStr"/>
      <c r="F20" t="inlineStr"/>
      <c r="G20" t="inlineStr">
        <is>
          <t>Sunnyvale, CA, US</t>
        </is>
      </c>
      <c r="H20" s="2" t="n">
        <v>45907</v>
      </c>
      <c r="I2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in-25492bdfceb64384</t>
        </is>
      </c>
      <c r="B21" t="inlineStr">
        <is>
          <t>Senior Applied Scientist, Artificial General Intelligence</t>
        </is>
      </c>
      <c r="C21" t="inlineStr">
        <is>
          <t>Amazon.com</t>
        </is>
      </c>
      <c r="D21" t="inlineStr">
        <is>
          <t>indeed</t>
        </is>
      </c>
      <c r="E21" t="inlineStr"/>
      <c r="F21" t="inlineStr"/>
      <c r="G21" t="inlineStr">
        <is>
          <t>New York, NY, US</t>
        </is>
      </c>
      <c r="H21" s="2" t="n">
        <v>45907</v>
      </c>
      <c r="I2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in-fd980f33c01a4d28</t>
        </is>
      </c>
      <c r="B22" t="inlineStr">
        <is>
          <t>Applied Scientist II, Prime Video - Personalization and Discovery Science, Personalization and Discovery Science</t>
        </is>
      </c>
      <c r="C22" t="inlineStr">
        <is>
          <t>Amazon.com</t>
        </is>
      </c>
      <c r="D22" t="inlineStr">
        <is>
          <t>indeed</t>
        </is>
      </c>
      <c r="E22" t="inlineStr"/>
      <c r="F22" t="inlineStr"/>
      <c r="G22" t="inlineStr">
        <is>
          <t>Seattle, WA, US</t>
        </is>
      </c>
      <c r="H22" s="2" t="n">
        <v>45886</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in-55e1833485f24e28</t>
        </is>
      </c>
      <c r="B23" t="inlineStr">
        <is>
          <t>Applied Scientist II, Prime Video - Personalization and Discovery Science, Personalization and Discovery Science</t>
        </is>
      </c>
      <c r="C23" t="inlineStr">
        <is>
          <t>Amazon.com</t>
        </is>
      </c>
      <c r="D23" t="inlineStr">
        <is>
          <t>indeed</t>
        </is>
      </c>
      <c r="E23" t="inlineStr"/>
      <c r="F23" t="inlineStr"/>
      <c r="G23" t="inlineStr">
        <is>
          <t>Sunnyvale, CA, US</t>
        </is>
      </c>
      <c r="H23" s="2" t="n">
        <v>45886</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in-74c1973ce787c313</t>
        </is>
      </c>
      <c r="B24" t="inlineStr">
        <is>
          <t>Sr. Applied Scientist, Prime Video - Personalization and Discovery Science</t>
        </is>
      </c>
      <c r="C24" t="inlineStr">
        <is>
          <t>Amazon.com</t>
        </is>
      </c>
      <c r="D24" t="inlineStr">
        <is>
          <t>indeed</t>
        </is>
      </c>
      <c r="E24" t="inlineStr"/>
      <c r="F24" t="inlineStr"/>
      <c r="G24" t="inlineStr">
        <is>
          <t>Sunnyvale, CA, US</t>
        </is>
      </c>
      <c r="H24" s="2" t="n">
        <v>45886</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in-aa39e01f1c4e176a</t>
        </is>
      </c>
      <c r="B25" t="inlineStr">
        <is>
          <t>Applied Scientist II, Prime Video - Personalization and Discovery Science, Personalization and Discovery Science</t>
        </is>
      </c>
      <c r="C25" t="inlineStr">
        <is>
          <t>Amazon.com</t>
        </is>
      </c>
      <c r="D25" t="inlineStr">
        <is>
          <t>indeed</t>
        </is>
      </c>
      <c r="E25" t="inlineStr"/>
      <c r="F25" t="inlineStr"/>
      <c r="G25" t="inlineStr">
        <is>
          <t>New York, NY, US</t>
        </is>
      </c>
      <c r="H25" s="2" t="n">
        <v>45886</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in-91c3b699480f1c10</t>
        </is>
      </c>
      <c r="B26" t="inlineStr">
        <is>
          <t>Sr. Applied Scientist, Prime Video - Personalization and Discovery Science</t>
        </is>
      </c>
      <c r="C26" t="inlineStr">
        <is>
          <t>Amazon.com</t>
        </is>
      </c>
      <c r="D26" t="inlineStr">
        <is>
          <t>indeed</t>
        </is>
      </c>
      <c r="E26" t="inlineStr"/>
      <c r="F26" t="inlineStr"/>
      <c r="G26" t="inlineStr">
        <is>
          <t>Seattle, WA, US</t>
        </is>
      </c>
      <c r="H26" s="2" t="n">
        <v>45886</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in-bfbc55c2ba997e5e</t>
        </is>
      </c>
      <c r="B27" t="inlineStr">
        <is>
          <t>Sr. Applied Scientist, Prime Video - Personalization and Discovery Science</t>
        </is>
      </c>
      <c r="C27" t="inlineStr">
        <is>
          <t>Amazon.com</t>
        </is>
      </c>
      <c r="D27" t="inlineStr">
        <is>
          <t>indeed</t>
        </is>
      </c>
      <c r="E27" t="inlineStr"/>
      <c r="F27" t="inlineStr"/>
      <c r="G27" t="inlineStr">
        <is>
          <t>New York, NY, US</t>
        </is>
      </c>
      <c r="H27" s="2" t="n">
        <v>45886</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in-46804c931240c895</t>
        </is>
      </c>
      <c r="B28" t="inlineStr">
        <is>
          <t>Sr. Applied Scientist, Prime Video - Personalization and Discovery Science</t>
        </is>
      </c>
      <c r="C28" t="inlineStr">
        <is>
          <t>Amazon.com</t>
        </is>
      </c>
      <c r="D28" t="inlineStr">
        <is>
          <t>indeed</t>
        </is>
      </c>
      <c r="E28" t="inlineStr"/>
      <c r="F28" t="inlineStr"/>
      <c r="G28" t="inlineStr">
        <is>
          <t>New York, NY, US</t>
        </is>
      </c>
      <c r="H28" s="2" t="n">
        <v>45881</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in-e72a48b5949635e8</t>
        </is>
      </c>
      <c r="B29" t="inlineStr">
        <is>
          <t>Applied Scientist II, Prime Video - Personalization and Discovery Science</t>
        </is>
      </c>
      <c r="C29" t="inlineStr">
        <is>
          <t>Amazon.com</t>
        </is>
      </c>
      <c r="D29" t="inlineStr">
        <is>
          <t>indeed</t>
        </is>
      </c>
      <c r="E29" t="inlineStr"/>
      <c r="F29" t="inlineStr"/>
      <c r="G29" t="inlineStr">
        <is>
          <t>New York, NY, US</t>
        </is>
      </c>
      <c r="H29" s="2" t="n">
        <v>45881</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in-5d6712530e07aa41</t>
        </is>
      </c>
      <c r="B30" t="inlineStr">
        <is>
          <t>Applied Scientist, Prime Video - Personalization and Discovery Science</t>
        </is>
      </c>
      <c r="C30" t="inlineStr">
        <is>
          <t>Amazon.com</t>
        </is>
      </c>
      <c r="D30" t="inlineStr">
        <is>
          <t>indeed</t>
        </is>
      </c>
      <c r="E30" t="inlineStr"/>
      <c r="F30" t="inlineStr"/>
      <c r="G30" t="inlineStr">
        <is>
          <t>Sunnyvale, CA, US</t>
        </is>
      </c>
      <c r="H30" s="2" t="n">
        <v>45845</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in-efa688fd5a47f8db</t>
        </is>
      </c>
      <c r="B31" t="inlineStr">
        <is>
          <t>Applied Scientist, Prime Video - Personalization and Discovery Science</t>
        </is>
      </c>
      <c r="C31" t="inlineStr">
        <is>
          <t>Amazon.com</t>
        </is>
      </c>
      <c r="D31" t="inlineStr">
        <is>
          <t>indeed</t>
        </is>
      </c>
      <c r="E31" t="inlineStr"/>
      <c r="F31" t="inlineStr"/>
      <c r="G31" t="inlineStr">
        <is>
          <t>New York, NY, US</t>
        </is>
      </c>
      <c r="H31" s="2" t="n">
        <v>45845</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in-d182c63c7154e5b6</t>
        </is>
      </c>
      <c r="B32" t="inlineStr">
        <is>
          <t>Applied Scientist, Prime Video - Personalization and Discovery Science</t>
        </is>
      </c>
      <c r="C32" t="inlineStr">
        <is>
          <t>Amazon.com</t>
        </is>
      </c>
      <c r="D32" t="inlineStr">
        <is>
          <t>indeed</t>
        </is>
      </c>
      <c r="E32" t="inlineStr"/>
      <c r="F32" t="inlineStr"/>
      <c r="G32" t="inlineStr">
        <is>
          <t>Seattle, WA, US</t>
        </is>
      </c>
      <c r="H32" s="2" t="n">
        <v>45845</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in-8aa8ffdeac60d1ef</t>
        </is>
      </c>
      <c r="B33" t="inlineStr">
        <is>
          <t>Sr. Applied Scientist, Prime Video - Personalization and Discovery Science</t>
        </is>
      </c>
      <c r="C33" t="inlineStr">
        <is>
          <t>Amazon.com</t>
        </is>
      </c>
      <c r="D33" t="inlineStr">
        <is>
          <t>indeed</t>
        </is>
      </c>
      <c r="E33" t="inlineStr"/>
      <c r="F33" t="inlineStr"/>
      <c r="G33" t="inlineStr">
        <is>
          <t>Seattle, WA, US</t>
        </is>
      </c>
      <c r="H33" s="2" t="n">
        <v>45819</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in-56d36db83861f386</t>
        </is>
      </c>
      <c r="B34" t="inlineStr">
        <is>
          <t>Sr. Applied Scientist, Prime Video - Personalization and Discovery Science</t>
        </is>
      </c>
      <c r="C34" t="inlineStr">
        <is>
          <t>Amazon.com</t>
        </is>
      </c>
      <c r="D34" t="inlineStr">
        <is>
          <t>indeed</t>
        </is>
      </c>
      <c r="E34" t="inlineStr"/>
      <c r="F34" t="inlineStr"/>
      <c r="G34" t="inlineStr">
        <is>
          <t>Sunnyvale, CA, US</t>
        </is>
      </c>
      <c r="H34" s="2" t="n">
        <v>45819</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in-06477b704658846f</t>
        </is>
      </c>
      <c r="B35" t="inlineStr">
        <is>
          <t>Applied Scientist, ML Compiler</t>
        </is>
      </c>
      <c r="C35" t="inlineStr">
        <is>
          <t>Amazon Web Services</t>
        </is>
      </c>
      <c r="D35" t="inlineStr">
        <is>
          <t>indeed</t>
        </is>
      </c>
      <c r="E35" t="inlineStr"/>
      <c r="F35" t="inlineStr"/>
      <c r="G35" t="inlineStr">
        <is>
          <t>Cupertino, CA, US</t>
        </is>
      </c>
      <c r="H35" s="2" t="n">
        <v>45993</v>
      </c>
      <c r="I35"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in-ff90efab40858eae</t>
        </is>
      </c>
      <c r="B36" t="inlineStr">
        <is>
          <t>Applied Scientist, ML Compiler</t>
        </is>
      </c>
      <c r="C36" t="inlineStr">
        <is>
          <t>Amazon Web Services</t>
        </is>
      </c>
      <c r="D36" t="inlineStr">
        <is>
          <t>indeed</t>
        </is>
      </c>
      <c r="E36" t="inlineStr"/>
      <c r="F36" t="inlineStr"/>
      <c r="G36" t="inlineStr">
        <is>
          <t>Seattle, WA, US</t>
        </is>
      </c>
      <c r="H36" s="2" t="n">
        <v>45993</v>
      </c>
      <c r="I36"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in-8bfbd5ca6aa5d641</t>
        </is>
      </c>
      <c r="B37" t="inlineStr">
        <is>
          <t>Applied Scientist, Model Customization, Generative AI Innovation Center, Model Customization</t>
        </is>
      </c>
      <c r="C37" t="inlineStr">
        <is>
          <t>Amazon Web Services</t>
        </is>
      </c>
      <c r="D37" t="inlineStr">
        <is>
          <t>indeed</t>
        </is>
      </c>
      <c r="E37" t="inlineStr"/>
      <c r="F37" t="inlineStr"/>
      <c r="G37" t="inlineStr">
        <is>
          <t>New York, NY, US</t>
        </is>
      </c>
      <c r="H37" s="2" t="n">
        <v>45993</v>
      </c>
      <c r="I3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in-e09d8e6c073064aa</t>
        </is>
      </c>
      <c r="B38" t="inlineStr">
        <is>
          <t>Senior Applied Scientist, Artificial General Intelligence</t>
        </is>
      </c>
      <c r="C38" t="inlineStr">
        <is>
          <t>Amazon.com</t>
        </is>
      </c>
      <c r="D38" t="inlineStr">
        <is>
          <t>indeed</t>
        </is>
      </c>
      <c r="E38" t="inlineStr"/>
      <c r="F38" t="inlineStr"/>
      <c r="G38" t="inlineStr">
        <is>
          <t>Boston, MA, US</t>
        </is>
      </c>
      <c r="H38" s="2" t="n">
        <v>45980</v>
      </c>
      <c r="I3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in-8205a2e33436fd2b</t>
        </is>
      </c>
      <c r="B39" t="inlineStr">
        <is>
          <t>Senior Applied Scientist, Artificial General Intelligence</t>
        </is>
      </c>
      <c r="C39" t="inlineStr">
        <is>
          <t>Amazon.com</t>
        </is>
      </c>
      <c r="D39" t="inlineStr">
        <is>
          <t>indeed</t>
        </is>
      </c>
      <c r="E39" t="inlineStr"/>
      <c r="F39" t="inlineStr"/>
      <c r="G39" t="inlineStr">
        <is>
          <t>New York, NY, US</t>
        </is>
      </c>
      <c r="H39" s="2" t="n">
        <v>45980</v>
      </c>
      <c r="I3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in-786ccb2020b1ab89</t>
        </is>
      </c>
      <c r="B40" t="inlineStr">
        <is>
          <t>Senior Applied Scientist, Artificial General Intelligence</t>
        </is>
      </c>
      <c r="C40" t="inlineStr">
        <is>
          <t>Amazon.com</t>
        </is>
      </c>
      <c r="D40" t="inlineStr">
        <is>
          <t>indeed</t>
        </is>
      </c>
      <c r="E40" t="inlineStr"/>
      <c r="F40" t="inlineStr"/>
      <c r="G40" t="inlineStr">
        <is>
          <t>Sunnyvale, CA, US</t>
        </is>
      </c>
      <c r="H40" s="2" t="n">
        <v>45980</v>
      </c>
      <c r="I4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in-26932f3c791dd973</t>
        </is>
      </c>
      <c r="B41" t="inlineStr">
        <is>
          <t>Senior Applied Scientist, Artificial General Intelligence</t>
        </is>
      </c>
      <c r="C41" t="inlineStr">
        <is>
          <t>Amazon.com</t>
        </is>
      </c>
      <c r="D41" t="inlineStr">
        <is>
          <t>indeed</t>
        </is>
      </c>
      <c r="E41" t="inlineStr"/>
      <c r="F41" t="inlineStr"/>
      <c r="G41" t="inlineStr">
        <is>
          <t>Seattle, WA, US</t>
        </is>
      </c>
      <c r="H41" s="2" t="n">
        <v>45980</v>
      </c>
      <c r="I4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in-159ebf3b759e3180</t>
        </is>
      </c>
      <c r="B42" t="inlineStr">
        <is>
          <t>Principal Applied Scientist, Sponsored Products and Brands</t>
        </is>
      </c>
      <c r="C42" t="inlineStr">
        <is>
          <t>Amazon.com</t>
        </is>
      </c>
      <c r="D42" t="inlineStr">
        <is>
          <t>indeed</t>
        </is>
      </c>
      <c r="E42" t="inlineStr"/>
      <c r="F42" t="inlineStr"/>
      <c r="G42" t="inlineStr">
        <is>
          <t>New York, NY, US</t>
        </is>
      </c>
      <c r="H42" s="2" t="n">
        <v>45979</v>
      </c>
      <c r="I4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in-8621a201b5d9a8ef</t>
        </is>
      </c>
      <c r="B43" t="inlineStr">
        <is>
          <t>Principal Applied Scientist, Sponsored Products and Brands</t>
        </is>
      </c>
      <c r="C43" t="inlineStr">
        <is>
          <t>Amazon.com</t>
        </is>
      </c>
      <c r="D43" t="inlineStr">
        <is>
          <t>indeed</t>
        </is>
      </c>
      <c r="E43" t="inlineStr"/>
      <c r="F43" t="inlineStr"/>
      <c r="G43" t="inlineStr">
        <is>
          <t>Seattle, WA, US</t>
        </is>
      </c>
      <c r="H43" s="2" t="n">
        <v>45979</v>
      </c>
      <c r="I4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in-992d4c8c128a3190</t>
        </is>
      </c>
      <c r="B44" t="inlineStr">
        <is>
          <t>Applied Scientist, Personalization, DTx Science</t>
        </is>
      </c>
      <c r="C44" t="inlineStr">
        <is>
          <t>Amazon.com</t>
        </is>
      </c>
      <c r="D44" t="inlineStr">
        <is>
          <t>indeed</t>
        </is>
      </c>
      <c r="E44" t="inlineStr"/>
      <c r="F44" t="inlineStr"/>
      <c r="G44" t="inlineStr">
        <is>
          <t>New York, NY, US</t>
        </is>
      </c>
      <c r="H44" s="2" t="n">
        <v>45979</v>
      </c>
      <c r="I44"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in-c62f6ef4a149e8f0</t>
        </is>
      </c>
      <c r="B45" t="inlineStr">
        <is>
          <t>Applied Scientist, Personalization, DTx Science</t>
        </is>
      </c>
      <c r="C45" t="inlineStr">
        <is>
          <t>Amazon.com</t>
        </is>
      </c>
      <c r="D45" t="inlineStr">
        <is>
          <t>indeed</t>
        </is>
      </c>
      <c r="E45" t="inlineStr"/>
      <c r="F45" t="inlineStr"/>
      <c r="G45" t="inlineStr">
        <is>
          <t>Seattle, WA, US</t>
        </is>
      </c>
      <c r="H45" s="2" t="n">
        <v>45979</v>
      </c>
      <c r="I4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in-384aeb74ae853c49</t>
        </is>
      </c>
      <c r="B46" t="inlineStr">
        <is>
          <t>Principal Applied Scientist, Artificial General Intelligence</t>
        </is>
      </c>
      <c r="C46" t="inlineStr">
        <is>
          <t>Amazon.com</t>
        </is>
      </c>
      <c r="D46" t="inlineStr">
        <is>
          <t>indeed</t>
        </is>
      </c>
      <c r="E46" t="inlineStr"/>
      <c r="F46" t="inlineStr"/>
      <c r="G46" t="inlineStr">
        <is>
          <t>Sunnyvale, CA, US</t>
        </is>
      </c>
      <c r="H46" s="2" t="n">
        <v>45978</v>
      </c>
      <c r="I46"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in-2604ea10c5edbd88</t>
        </is>
      </c>
      <c r="B47" t="inlineStr">
        <is>
          <t>Principal Applied Scientist, AGI Foundations, AGI Foundations</t>
        </is>
      </c>
      <c r="C47" t="inlineStr">
        <is>
          <t>Amazon.com</t>
        </is>
      </c>
      <c r="D47" t="inlineStr">
        <is>
          <t>indeed</t>
        </is>
      </c>
      <c r="E47" t="inlineStr"/>
      <c r="F47" t="inlineStr"/>
      <c r="G47" t="inlineStr">
        <is>
          <t>Boston, MA, US</t>
        </is>
      </c>
      <c r="H47" s="2" t="n">
        <v>45978</v>
      </c>
      <c r="I47"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in-5578967f1d7bb369</t>
        </is>
      </c>
      <c r="B48" t="inlineStr">
        <is>
          <t>Principal Applied Scientist, AGI Foundations, AGI Foundations</t>
        </is>
      </c>
      <c r="C48" t="inlineStr">
        <is>
          <t>Amazon.com</t>
        </is>
      </c>
      <c r="D48" t="inlineStr">
        <is>
          <t>indeed</t>
        </is>
      </c>
      <c r="E48" t="inlineStr"/>
      <c r="F48" t="inlineStr"/>
      <c r="G48" t="inlineStr">
        <is>
          <t>New York, NY, US</t>
        </is>
      </c>
      <c r="H48" s="2" t="n">
        <v>45978</v>
      </c>
      <c r="I48"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in-1a58389fe1d5f5d1</t>
        </is>
      </c>
      <c r="B49" t="inlineStr">
        <is>
          <t>Principal Applied Scientist, Artificial General Intelligence</t>
        </is>
      </c>
      <c r="C49" t="inlineStr">
        <is>
          <t>Amazon.com</t>
        </is>
      </c>
      <c r="D49" t="inlineStr">
        <is>
          <t>indeed</t>
        </is>
      </c>
      <c r="E49" t="inlineStr"/>
      <c r="F49" t="inlineStr"/>
      <c r="G49" t="inlineStr">
        <is>
          <t>Bellevue, WA, US</t>
        </is>
      </c>
      <c r="H49" s="2" t="n">
        <v>45978</v>
      </c>
      <c r="I49"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in-8edf7834824caf65</t>
        </is>
      </c>
      <c r="B50" t="inlineStr">
        <is>
          <t>Principal Applied Scientist, Artificial General Intelligence</t>
        </is>
      </c>
      <c r="C50" t="inlineStr">
        <is>
          <t>Amazon.com</t>
        </is>
      </c>
      <c r="D50" t="inlineStr">
        <is>
          <t>indeed</t>
        </is>
      </c>
      <c r="E50" t="inlineStr"/>
      <c r="F50" t="inlineStr"/>
      <c r="G50" t="inlineStr">
        <is>
          <t>Seattle, WA, US</t>
        </is>
      </c>
      <c r="H50" s="2" t="n">
        <v>45978</v>
      </c>
      <c r="I50"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in-7268cfd9af269a24</t>
        </is>
      </c>
      <c r="B51" t="inlineStr">
        <is>
          <t>Principal Applied Scientist, AGI Foundations, AGI Foundations</t>
        </is>
      </c>
      <c r="C51" t="inlineStr">
        <is>
          <t>Amazon.com</t>
        </is>
      </c>
      <c r="D51" t="inlineStr">
        <is>
          <t>indeed</t>
        </is>
      </c>
      <c r="E51" t="inlineStr"/>
      <c r="F51" t="inlineStr"/>
      <c r="G51" t="inlineStr">
        <is>
          <t>Sunnyvale, CA, US</t>
        </is>
      </c>
      <c r="H51" s="2" t="n">
        <v>45978</v>
      </c>
      <c r="I51"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in-5edea83fe5ba4f5c</t>
        </is>
      </c>
      <c r="B52" t="inlineStr">
        <is>
          <t>Principal Applied Scientist, Artificial General Intelligence</t>
        </is>
      </c>
      <c r="C52" t="inlineStr">
        <is>
          <t>Amazon.com</t>
        </is>
      </c>
      <c r="D52" t="inlineStr">
        <is>
          <t>indeed</t>
        </is>
      </c>
      <c r="E52" t="inlineStr"/>
      <c r="F52" t="inlineStr"/>
      <c r="G52" t="inlineStr">
        <is>
          <t>San Francisco, CA, US</t>
        </is>
      </c>
      <c r="H52" s="2" t="n">
        <v>45978</v>
      </c>
      <c r="I52"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in-3a5b546a1e8dcae3</t>
        </is>
      </c>
      <c r="B53" t="inlineStr">
        <is>
          <t>Principal Applied Scientist, AGI Foundations, AGI Foundations</t>
        </is>
      </c>
      <c r="C53" t="inlineStr">
        <is>
          <t>Amazon.com</t>
        </is>
      </c>
      <c r="D53" t="inlineStr">
        <is>
          <t>indeed</t>
        </is>
      </c>
      <c r="E53" t="inlineStr"/>
      <c r="F53" t="inlineStr"/>
      <c r="G53" t="inlineStr">
        <is>
          <t>Bellevue, WA, US</t>
        </is>
      </c>
      <c r="H53" s="2" t="n">
        <v>45978</v>
      </c>
      <c r="I53"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in-aff3a0875d4558eb</t>
        </is>
      </c>
      <c r="B54" t="inlineStr">
        <is>
          <t>Sr. Applied Scientist, Sponsored Products</t>
        </is>
      </c>
      <c r="C54" t="inlineStr">
        <is>
          <t>Amazon.com</t>
        </is>
      </c>
      <c r="D54" t="inlineStr">
        <is>
          <t>indeed</t>
        </is>
      </c>
      <c r="E54" t="inlineStr"/>
      <c r="F54" t="inlineStr"/>
      <c r="G54" t="inlineStr">
        <is>
          <t>New York, NY, US</t>
        </is>
      </c>
      <c r="H54" s="2" t="n">
        <v>45976</v>
      </c>
      <c r="I54"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in-c23087ee15a730e3</t>
        </is>
      </c>
      <c r="B55" t="inlineStr">
        <is>
          <t>Sr. Applied Scientist, Sponsored Products</t>
        </is>
      </c>
      <c r="C55" t="inlineStr">
        <is>
          <t>Amazon.com</t>
        </is>
      </c>
      <c r="D55" t="inlineStr">
        <is>
          <t>indeed</t>
        </is>
      </c>
      <c r="E55" t="inlineStr"/>
      <c r="F55" t="inlineStr"/>
      <c r="G55" t="inlineStr">
        <is>
          <t>Seattle, WA, US</t>
        </is>
      </c>
      <c r="H55" s="2" t="n">
        <v>45976</v>
      </c>
      <c r="I55"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in-cbdd3580f567c3c9</t>
        </is>
      </c>
      <c r="B56" t="inlineStr">
        <is>
          <t>Sr. Applied Scientist, Sponsored Products</t>
        </is>
      </c>
      <c r="C56" t="inlineStr">
        <is>
          <t>Amazon.com</t>
        </is>
      </c>
      <c r="D56" t="inlineStr">
        <is>
          <t>indeed</t>
        </is>
      </c>
      <c r="E56" t="inlineStr"/>
      <c r="F56" t="inlineStr"/>
      <c r="G56" t="inlineStr">
        <is>
          <t>Arlington, VA, US</t>
        </is>
      </c>
      <c r="H56" s="2" t="n">
        <v>45976</v>
      </c>
      <c r="I56"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in-a2bd1474daa67ef9</t>
        </is>
      </c>
      <c r="B57" t="inlineStr">
        <is>
          <t>Applied Scientist, Artificial General Intelligence</t>
        </is>
      </c>
      <c r="C57" t="inlineStr">
        <is>
          <t>Amazon.com</t>
        </is>
      </c>
      <c r="D57" t="inlineStr">
        <is>
          <t>indeed</t>
        </is>
      </c>
      <c r="E57" t="inlineStr"/>
      <c r="F57" t="inlineStr"/>
      <c r="G57" t="inlineStr">
        <is>
          <t>Seattle, WA, US</t>
        </is>
      </c>
      <c r="H57" s="2" t="n">
        <v>45974</v>
      </c>
      <c r="I57"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in-a692ff56a7f26717</t>
        </is>
      </c>
      <c r="B58" t="inlineStr">
        <is>
          <t>Applied Scientist, Artificial General Intelligence</t>
        </is>
      </c>
      <c r="C58" t="inlineStr">
        <is>
          <t>Amazon.com</t>
        </is>
      </c>
      <c r="D58" t="inlineStr">
        <is>
          <t>indeed</t>
        </is>
      </c>
      <c r="E58" t="inlineStr"/>
      <c r="F58" t="inlineStr"/>
      <c r="G58" t="inlineStr">
        <is>
          <t>Sunnyvale, CA, US</t>
        </is>
      </c>
      <c r="H58" s="2" t="n">
        <v>45974</v>
      </c>
      <c r="I58"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in-f6b0e18a0851ac51</t>
        </is>
      </c>
      <c r="B59" t="inlineStr">
        <is>
          <t>Applied Scientist, Artificial General Intelligence</t>
        </is>
      </c>
      <c r="C59" t="inlineStr">
        <is>
          <t>Amazon.com</t>
        </is>
      </c>
      <c r="D59" t="inlineStr">
        <is>
          <t>indeed</t>
        </is>
      </c>
      <c r="E59" t="inlineStr"/>
      <c r="F59" t="inlineStr"/>
      <c r="G59" t="inlineStr">
        <is>
          <t>Boston, MA, US</t>
        </is>
      </c>
      <c r="H59" s="2" t="n">
        <v>45974</v>
      </c>
      <c r="I59"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in-4bfb322281332343</t>
        </is>
      </c>
      <c r="B60" t="inlineStr">
        <is>
          <t>Senior Applied Scientist, Creative X - RAPID</t>
        </is>
      </c>
      <c r="C60" t="inlineStr">
        <is>
          <t>Amazon.com</t>
        </is>
      </c>
      <c r="D60" t="inlineStr">
        <is>
          <t>indeed</t>
        </is>
      </c>
      <c r="E60" t="inlineStr"/>
      <c r="F60" t="inlineStr"/>
      <c r="G60" t="inlineStr">
        <is>
          <t>Seattle, WA, US</t>
        </is>
      </c>
      <c r="H60" s="2" t="n">
        <v>45971</v>
      </c>
      <c r="I60"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in-7d086bae2f07d52d</t>
        </is>
      </c>
      <c r="B61" t="inlineStr">
        <is>
          <t>Senior Applied Scientist, Creative X - RAPID</t>
        </is>
      </c>
      <c r="C61" t="inlineStr">
        <is>
          <t>Amazon.com</t>
        </is>
      </c>
      <c r="D61" t="inlineStr">
        <is>
          <t>indeed</t>
        </is>
      </c>
      <c r="E61" t="inlineStr"/>
      <c r="F61" t="inlineStr"/>
      <c r="G61" t="inlineStr">
        <is>
          <t>New York, NY, US</t>
        </is>
      </c>
      <c r="H61" s="2" t="n">
        <v>45971</v>
      </c>
      <c r="I61"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in-942f93e5112e30f1</t>
        </is>
      </c>
      <c r="B62" t="inlineStr">
        <is>
          <t>Applied Scientist, Sponsored Products and Brands</t>
        </is>
      </c>
      <c r="C62" t="inlineStr">
        <is>
          <t>Amazon.com</t>
        </is>
      </c>
      <c r="D62" t="inlineStr">
        <is>
          <t>indeed</t>
        </is>
      </c>
      <c r="E62" t="inlineStr"/>
      <c r="F62" t="inlineStr"/>
      <c r="G62" t="inlineStr">
        <is>
          <t>New York, NY, US</t>
        </is>
      </c>
      <c r="H62" s="2" t="n">
        <v>45965</v>
      </c>
      <c r="I6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in-6b3adcc45548b015</t>
        </is>
      </c>
      <c r="B63" t="inlineStr">
        <is>
          <t>Applied Scientist, Sponsored Products and Brands</t>
        </is>
      </c>
      <c r="C63" t="inlineStr">
        <is>
          <t>Amazon.com</t>
        </is>
      </c>
      <c r="D63" t="inlineStr">
        <is>
          <t>indeed</t>
        </is>
      </c>
      <c r="E63" t="inlineStr"/>
      <c r="F63" t="inlineStr"/>
      <c r="G63" t="inlineStr">
        <is>
          <t>Seattle, WA, US</t>
        </is>
      </c>
      <c r="H63" s="2" t="n">
        <v>45965</v>
      </c>
      <c r="I6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in-9f1625f0ea170cd6</t>
        </is>
      </c>
      <c r="B64" t="inlineStr">
        <is>
          <t>Principal Applied Scientist, Amazon AGI</t>
        </is>
      </c>
      <c r="C64" t="inlineStr">
        <is>
          <t>Amazon.com</t>
        </is>
      </c>
      <c r="D64" t="inlineStr">
        <is>
          <t>indeed</t>
        </is>
      </c>
      <c r="E64" t="inlineStr"/>
      <c r="F64" t="inlineStr"/>
      <c r="G64" t="inlineStr">
        <is>
          <t>San Francisco, CA, US</t>
        </is>
      </c>
      <c r="H64" s="2" t="n">
        <v>45964</v>
      </c>
      <c r="I64"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in-571c64cf101624a2</t>
        </is>
      </c>
      <c r="B65" t="inlineStr">
        <is>
          <t>Principal Applied Scientist, Amazon AGI</t>
        </is>
      </c>
      <c r="C65" t="inlineStr">
        <is>
          <t>Amazon.com</t>
        </is>
      </c>
      <c r="D65" t="inlineStr">
        <is>
          <t>indeed</t>
        </is>
      </c>
      <c r="E65" t="inlineStr"/>
      <c r="F65" t="inlineStr"/>
      <c r="G65" t="inlineStr">
        <is>
          <t>Boston, MA, US</t>
        </is>
      </c>
      <c r="H65" s="2" t="n">
        <v>45964</v>
      </c>
      <c r="I65"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in-0b9c2c2b2f997fc6</t>
        </is>
      </c>
      <c r="B66" t="inlineStr">
        <is>
          <t>Principal Applied Scientist, Advertiser Growth, Amazon Sponsored Products &amp; Brands</t>
        </is>
      </c>
      <c r="C66" t="inlineStr">
        <is>
          <t>Amazon.com</t>
        </is>
      </c>
      <c r="D66" t="inlineStr">
        <is>
          <t>indeed</t>
        </is>
      </c>
      <c r="E66" t="inlineStr"/>
      <c r="F66" t="inlineStr"/>
      <c r="G66" t="inlineStr">
        <is>
          <t>Palo Alto, CA, US</t>
        </is>
      </c>
      <c r="H66" s="2" t="n">
        <v>45942</v>
      </c>
      <c r="I6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in-4179e95f3cbfabc5</t>
        </is>
      </c>
      <c r="B67" t="inlineStr">
        <is>
          <t>Principal Applied Scientist, Advertiser Growth, Amazon Sponsored Products &amp; Brands</t>
        </is>
      </c>
      <c r="C67" t="inlineStr">
        <is>
          <t>Amazon.com</t>
        </is>
      </c>
      <c r="D67" t="inlineStr">
        <is>
          <t>indeed</t>
        </is>
      </c>
      <c r="E67" t="inlineStr"/>
      <c r="F67" t="inlineStr"/>
      <c r="G67" t="inlineStr">
        <is>
          <t>New York, NY, US</t>
        </is>
      </c>
      <c r="H67" s="2" t="n">
        <v>45942</v>
      </c>
      <c r="I6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in-ca698a5bb75c9987</t>
        </is>
      </c>
      <c r="B68" t="inlineStr">
        <is>
          <t>Principal Applied Scientist, Advertiser Growth, Amazon Sponsored Products &amp; Brands</t>
        </is>
      </c>
      <c r="C68" t="inlineStr">
        <is>
          <t>Amazon.com</t>
        </is>
      </c>
      <c r="D68" t="inlineStr">
        <is>
          <t>indeed</t>
        </is>
      </c>
      <c r="E68" t="inlineStr"/>
      <c r="F68" t="inlineStr"/>
      <c r="G68" t="inlineStr">
        <is>
          <t>Seattle, WA, US</t>
        </is>
      </c>
      <c r="H68" s="2" t="n">
        <v>45942</v>
      </c>
      <c r="I6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in-9fc73fa61732ed45</t>
        </is>
      </c>
      <c r="B69" t="inlineStr">
        <is>
          <t>Applied Scientist, Artificial General Intelligence</t>
        </is>
      </c>
      <c r="C69" t="inlineStr">
        <is>
          <t>Amazon.com</t>
        </is>
      </c>
      <c r="D69" t="inlineStr">
        <is>
          <t>indeed</t>
        </is>
      </c>
      <c r="E69" t="inlineStr"/>
      <c r="F69" t="inlineStr"/>
      <c r="G69" t="inlineStr">
        <is>
          <t>Seattle, WA, US</t>
        </is>
      </c>
      <c r="H69" s="2" t="n">
        <v>45937</v>
      </c>
      <c r="I6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in-c0c13badf59106ce</t>
        </is>
      </c>
      <c r="B70" t="inlineStr">
        <is>
          <t>Applied Scientist, Artificial General Intelligence</t>
        </is>
      </c>
      <c r="C70" t="inlineStr">
        <is>
          <t>Amazon.com</t>
        </is>
      </c>
      <c r="D70" t="inlineStr">
        <is>
          <t>indeed</t>
        </is>
      </c>
      <c r="E70" t="inlineStr"/>
      <c r="F70" t="inlineStr"/>
      <c r="G70" t="inlineStr">
        <is>
          <t>New York, NY, US</t>
        </is>
      </c>
      <c r="H70" s="2" t="n">
        <v>45937</v>
      </c>
      <c r="I7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in-0feeef7736e1700a</t>
        </is>
      </c>
      <c r="B71" t="inlineStr">
        <is>
          <t>Applied Scientist, Artificial General Intelligence</t>
        </is>
      </c>
      <c r="C71" t="inlineStr">
        <is>
          <t>Amazon.com</t>
        </is>
      </c>
      <c r="D71" t="inlineStr">
        <is>
          <t>indeed</t>
        </is>
      </c>
      <c r="E71" t="inlineStr"/>
      <c r="F71" t="inlineStr"/>
      <c r="G71" t="inlineStr">
        <is>
          <t>Bellevue, WA, US</t>
        </is>
      </c>
      <c r="H71" s="2" t="n">
        <v>45937</v>
      </c>
      <c r="I7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in-9a5a0ea89a488646</t>
        </is>
      </c>
      <c r="B72" t="inlineStr">
        <is>
          <t>Applied Scientist, Artificial General Intelligence</t>
        </is>
      </c>
      <c r="C72" t="inlineStr">
        <is>
          <t>Amazon.com</t>
        </is>
      </c>
      <c r="D72" t="inlineStr">
        <is>
          <t>indeed</t>
        </is>
      </c>
      <c r="E72" t="inlineStr"/>
      <c r="F72" t="inlineStr"/>
      <c r="G72" t="inlineStr">
        <is>
          <t>Sunnyvale, CA, US</t>
        </is>
      </c>
      <c r="H72" s="2" t="n">
        <v>45937</v>
      </c>
      <c r="I7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in-8a4679e92f08a4e4</t>
        </is>
      </c>
      <c r="B73" t="inlineStr">
        <is>
          <t>Principal Applied Scientist, Artificial General Intelligence</t>
        </is>
      </c>
      <c r="C73" t="inlineStr">
        <is>
          <t>Amazon.com</t>
        </is>
      </c>
      <c r="D73" t="inlineStr">
        <is>
          <t>indeed</t>
        </is>
      </c>
      <c r="E73" t="inlineStr"/>
      <c r="F73" t="inlineStr"/>
      <c r="G73" t="inlineStr">
        <is>
          <t>Boston, MA, US</t>
        </is>
      </c>
      <c r="H73" s="2" t="n">
        <v>45923</v>
      </c>
      <c r="I7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in-5219cd0e928287fe</t>
        </is>
      </c>
      <c r="B74" t="inlineStr">
        <is>
          <t>Principal Applied Scientist, Artificial General Intelligence</t>
        </is>
      </c>
      <c r="C74" t="inlineStr">
        <is>
          <t>Amazon.com</t>
        </is>
      </c>
      <c r="D74" t="inlineStr">
        <is>
          <t>indeed</t>
        </is>
      </c>
      <c r="E74" t="inlineStr"/>
      <c r="F74" t="inlineStr"/>
      <c r="G74" t="inlineStr">
        <is>
          <t>Sunnyvale, CA, US</t>
        </is>
      </c>
      <c r="H74" s="2" t="n">
        <v>45923</v>
      </c>
      <c r="I7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in-df9bc8d20e3affec</t>
        </is>
      </c>
      <c r="B75" t="inlineStr">
        <is>
          <t>Principal Applied Scientist, Artificial General Intelligence</t>
        </is>
      </c>
      <c r="C75" t="inlineStr">
        <is>
          <t>Amazon.com</t>
        </is>
      </c>
      <c r="D75" t="inlineStr">
        <is>
          <t>indeed</t>
        </is>
      </c>
      <c r="E75" t="inlineStr"/>
      <c r="F75" t="inlineStr"/>
      <c r="G75" t="inlineStr">
        <is>
          <t>New York, NY, US</t>
        </is>
      </c>
      <c r="H75" s="2" t="n">
        <v>45923</v>
      </c>
      <c r="I7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in-0deed334c12841c0</t>
        </is>
      </c>
      <c r="B76" t="inlineStr">
        <is>
          <t>Senior Applied Scientist, Artificial General Intelligence</t>
        </is>
      </c>
      <c r="C76" t="inlineStr">
        <is>
          <t>Amazon.com</t>
        </is>
      </c>
      <c r="D76" t="inlineStr">
        <is>
          <t>indeed</t>
        </is>
      </c>
      <c r="E76" t="inlineStr"/>
      <c r="F76" t="inlineStr"/>
      <c r="G76" t="inlineStr">
        <is>
          <t>Boston, MA, US</t>
        </is>
      </c>
      <c r="H76" s="2" t="n">
        <v>45922</v>
      </c>
      <c r="I7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in-ff56ac0c9d63b813</t>
        </is>
      </c>
      <c r="B77" t="inlineStr">
        <is>
          <t>Senior Applied Scientist, Artificial General Intelligence</t>
        </is>
      </c>
      <c r="C77" t="inlineStr">
        <is>
          <t>Amazon.com</t>
        </is>
      </c>
      <c r="D77" t="inlineStr">
        <is>
          <t>indeed</t>
        </is>
      </c>
      <c r="E77" t="inlineStr"/>
      <c r="F77" t="inlineStr"/>
      <c r="G77" t="inlineStr">
        <is>
          <t>Seattle, WA, US</t>
        </is>
      </c>
      <c r="H77" s="2" t="n">
        <v>45922</v>
      </c>
      <c r="I7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in-0b844a4b43bd2c1c</t>
        </is>
      </c>
      <c r="B78" t="inlineStr">
        <is>
          <t>Senior Applied Scientist, Artificial General Intelligence</t>
        </is>
      </c>
      <c r="C78" t="inlineStr">
        <is>
          <t>Amazon.com</t>
        </is>
      </c>
      <c r="D78" t="inlineStr">
        <is>
          <t>indeed</t>
        </is>
      </c>
      <c r="E78" t="inlineStr"/>
      <c r="F78" t="inlineStr"/>
      <c r="G78" t="inlineStr">
        <is>
          <t>Sunnyvale, CA, US</t>
        </is>
      </c>
      <c r="H78" s="2" t="n">
        <v>45922</v>
      </c>
      <c r="I7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in-c7f01e3cae19a750</t>
        </is>
      </c>
      <c r="B79" t="inlineStr">
        <is>
          <t>Applied Scientist, Artificial General Intelligence</t>
        </is>
      </c>
      <c r="C79" t="inlineStr">
        <is>
          <t>Amazon.com</t>
        </is>
      </c>
      <c r="D79" t="inlineStr">
        <is>
          <t>indeed</t>
        </is>
      </c>
      <c r="E79" t="inlineStr"/>
      <c r="F79" t="inlineStr"/>
      <c r="G79" t="inlineStr">
        <is>
          <t>Bellevue, WA, US</t>
        </is>
      </c>
      <c r="H79" s="2" t="n">
        <v>45921</v>
      </c>
      <c r="I7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in-96a861aa63da874e</t>
        </is>
      </c>
      <c r="B80" t="inlineStr">
        <is>
          <t>Applied Scientist, Artificial General Intelligence</t>
        </is>
      </c>
      <c r="C80" t="inlineStr">
        <is>
          <t>Amazon.com</t>
        </is>
      </c>
      <c r="D80" t="inlineStr">
        <is>
          <t>indeed</t>
        </is>
      </c>
      <c r="E80" t="inlineStr"/>
      <c r="F80" t="inlineStr"/>
      <c r="G80" t="inlineStr">
        <is>
          <t>Seattle, WA, US</t>
        </is>
      </c>
      <c r="H80" s="2" t="n">
        <v>45921</v>
      </c>
      <c r="I8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in-caaa25b3122e9e64</t>
        </is>
      </c>
      <c r="B81" t="inlineStr">
        <is>
          <t>Senior Applied Scientist, Model Customization, Generative AI Innovation Center</t>
        </is>
      </c>
      <c r="C81" t="inlineStr">
        <is>
          <t>Amazon Web Services</t>
        </is>
      </c>
      <c r="D81" t="inlineStr">
        <is>
          <t>indeed</t>
        </is>
      </c>
      <c r="E81" t="inlineStr"/>
      <c r="F81" t="inlineStr"/>
      <c r="G81" t="inlineStr">
        <is>
          <t>New York, NY, US</t>
        </is>
      </c>
      <c r="H81" s="2" t="n">
        <v>45908</v>
      </c>
      <c r="I8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in-951d4ad8fe943103</t>
        </is>
      </c>
      <c r="B82" t="inlineStr">
        <is>
          <t>Senior Applied Scientist, Model Customization, Generative AI Innovation Center</t>
        </is>
      </c>
      <c r="C82" t="inlineStr">
        <is>
          <t>Amazon Web Services</t>
        </is>
      </c>
      <c r="D82" t="inlineStr">
        <is>
          <t>indeed</t>
        </is>
      </c>
      <c r="E82" t="inlineStr"/>
      <c r="F82" t="inlineStr"/>
      <c r="G82" t="inlineStr">
        <is>
          <t>Arlington, VA, US</t>
        </is>
      </c>
      <c r="H82" s="2" t="n">
        <v>45908</v>
      </c>
      <c r="I8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in-44da918e1d91ff1d</t>
        </is>
      </c>
      <c r="B83" t="inlineStr">
        <is>
          <t>Senior Applied Scientist, Model Customization, Generative AI Innovation Center</t>
        </is>
      </c>
      <c r="C83" t="inlineStr">
        <is>
          <t>Amazon Web Services</t>
        </is>
      </c>
      <c r="D83" t="inlineStr">
        <is>
          <t>indeed</t>
        </is>
      </c>
      <c r="E83" t="inlineStr"/>
      <c r="F83" t="inlineStr"/>
      <c r="G83" t="inlineStr">
        <is>
          <t>Bellevue, WA, US</t>
        </is>
      </c>
      <c r="H83" s="2" t="n">
        <v>45908</v>
      </c>
      <c r="I8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in-bec1db62dfe30be0</t>
        </is>
      </c>
      <c r="B84" t="inlineStr">
        <is>
          <t>Applied Scientist II, Creative X - RAPID</t>
        </is>
      </c>
      <c r="C84" t="inlineStr">
        <is>
          <t>Amazon.com</t>
        </is>
      </c>
      <c r="D84" t="inlineStr">
        <is>
          <t>indeed</t>
        </is>
      </c>
      <c r="E84" t="inlineStr"/>
      <c r="F84" t="inlineStr"/>
      <c r="G84" t="inlineStr">
        <is>
          <t>Seattle, WA, US</t>
        </is>
      </c>
      <c r="H84" s="2" t="n">
        <v>45908</v>
      </c>
      <c r="I84"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in-6eeac68afba7e3cd</t>
        </is>
      </c>
      <c r="B85" t="inlineStr">
        <is>
          <t>Applied Scientist II, Creative X - RAPID</t>
        </is>
      </c>
      <c r="C85" t="inlineStr">
        <is>
          <t>Amazon.com</t>
        </is>
      </c>
      <c r="D85" t="inlineStr">
        <is>
          <t>indeed</t>
        </is>
      </c>
      <c r="E85" t="inlineStr"/>
      <c r="F85" t="inlineStr"/>
      <c r="G85" t="inlineStr">
        <is>
          <t>New York, NY, US</t>
        </is>
      </c>
      <c r="H85" s="2" t="n">
        <v>45908</v>
      </c>
      <c r="I85"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in-871fcbe6f623c78e</t>
        </is>
      </c>
      <c r="B86" t="inlineStr">
        <is>
          <t>Senior Applied Scientist, Artificial General Intelligence</t>
        </is>
      </c>
      <c r="C86" t="inlineStr">
        <is>
          <t>Amazon.com</t>
        </is>
      </c>
      <c r="D86" t="inlineStr">
        <is>
          <t>indeed</t>
        </is>
      </c>
      <c r="E86" t="inlineStr"/>
      <c r="F86" t="inlineStr"/>
      <c r="G86" t="inlineStr">
        <is>
          <t>Sunnyvale, CA, US</t>
        </is>
      </c>
      <c r="H86" s="2" t="n">
        <v>45907</v>
      </c>
      <c r="I8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in-afab98b1f9dfc47a</t>
        </is>
      </c>
      <c r="B87" t="inlineStr">
        <is>
          <t>Senior Applied Scientist, Artificial General Intelligence</t>
        </is>
      </c>
      <c r="C87" t="inlineStr">
        <is>
          <t>Amazon.com</t>
        </is>
      </c>
      <c r="D87" t="inlineStr">
        <is>
          <t>indeed</t>
        </is>
      </c>
      <c r="E87" t="inlineStr"/>
      <c r="F87" t="inlineStr"/>
      <c r="G87" t="inlineStr">
        <is>
          <t>Bellevue, WA, US</t>
        </is>
      </c>
      <c r="H87" s="2" t="n">
        <v>45907</v>
      </c>
      <c r="I8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in-fb4ad531c8514c18</t>
        </is>
      </c>
      <c r="B88" t="inlineStr">
        <is>
          <t>Principal Applied Scientist, AGI Foundations, AGI Foundations</t>
        </is>
      </c>
      <c r="C88" t="inlineStr">
        <is>
          <t>Amazon.com</t>
        </is>
      </c>
      <c r="D88" t="inlineStr">
        <is>
          <t>indeed</t>
        </is>
      </c>
      <c r="E88" t="inlineStr"/>
      <c r="F88" t="inlineStr"/>
      <c r="G88" t="inlineStr">
        <is>
          <t>New York, NY, US</t>
        </is>
      </c>
      <c r="H88" s="2" t="n">
        <v>45856</v>
      </c>
      <c r="I8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in-fe685500b7e3b40a</t>
        </is>
      </c>
      <c r="B89" t="inlineStr">
        <is>
          <t>Principal Applied Scientist, AGI Foundations, AGI Foundations</t>
        </is>
      </c>
      <c r="C89" t="inlineStr">
        <is>
          <t>Amazon.com</t>
        </is>
      </c>
      <c r="D89" t="inlineStr">
        <is>
          <t>indeed</t>
        </is>
      </c>
      <c r="E89" t="inlineStr"/>
      <c r="F89" t="inlineStr"/>
      <c r="G89" t="inlineStr">
        <is>
          <t>Boston, MA, US</t>
        </is>
      </c>
      <c r="H89" s="2" t="n">
        <v>45856</v>
      </c>
      <c r="I8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in-f67ce8cfdcb99de3</t>
        </is>
      </c>
      <c r="B90" t="inlineStr">
        <is>
          <t>Principal Applied Scientist, AGI Foundations, AGI Foundations</t>
        </is>
      </c>
      <c r="C90" t="inlineStr">
        <is>
          <t>Amazon.com</t>
        </is>
      </c>
      <c r="D90" t="inlineStr">
        <is>
          <t>indeed</t>
        </is>
      </c>
      <c r="E90" t="inlineStr"/>
      <c r="F90" t="inlineStr"/>
      <c r="G90" t="inlineStr">
        <is>
          <t>Sunnyvale, CA, US</t>
        </is>
      </c>
      <c r="H90" s="2" t="n">
        <v>45856</v>
      </c>
      <c r="I9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in-f110579038a16b99</t>
        </is>
      </c>
      <c r="B91" t="inlineStr">
        <is>
          <t>Principal Applied Scientist, AGI Foundations, AGI Foundations</t>
        </is>
      </c>
      <c r="C91" t="inlineStr">
        <is>
          <t>Amazon.com</t>
        </is>
      </c>
      <c r="D91" t="inlineStr">
        <is>
          <t>indeed</t>
        </is>
      </c>
      <c r="E91" t="inlineStr"/>
      <c r="F91" t="inlineStr"/>
      <c r="G91" t="inlineStr">
        <is>
          <t>Bellevue, WA, US</t>
        </is>
      </c>
      <c r="H91" s="2" t="n">
        <v>45856</v>
      </c>
      <c r="I9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in-32fceba7a5dbf55d</t>
        </is>
      </c>
      <c r="B92" t="inlineStr">
        <is>
          <t>Sr. Applied Scientist, Amazon Advertising</t>
        </is>
      </c>
      <c r="C92" t="inlineStr">
        <is>
          <t>Amazon.com</t>
        </is>
      </c>
      <c r="D92" t="inlineStr">
        <is>
          <t>indeed</t>
        </is>
      </c>
      <c r="E92" t="inlineStr"/>
      <c r="F92" t="inlineStr"/>
      <c r="G92" t="inlineStr">
        <is>
          <t>West Hollywood, CA, US</t>
        </is>
      </c>
      <c r="H92" s="2" t="n">
        <v>45851</v>
      </c>
      <c r="I9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in-8cb3db85f3c69893</t>
        </is>
      </c>
      <c r="B93" t="inlineStr">
        <is>
          <t>Sr. Applied Scientist, Amazon Advertising</t>
        </is>
      </c>
      <c r="C93" t="inlineStr">
        <is>
          <t>Amazon.com</t>
        </is>
      </c>
      <c r="D93" t="inlineStr">
        <is>
          <t>indeed</t>
        </is>
      </c>
      <c r="E93" t="inlineStr"/>
      <c r="F93" t="inlineStr"/>
      <c r="G93" t="inlineStr">
        <is>
          <t>Seattle, WA, US</t>
        </is>
      </c>
      <c r="H93" s="2" t="n">
        <v>45851</v>
      </c>
      <c r="I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in-8783f4ed9a3c0037</t>
        </is>
      </c>
      <c r="B94" t="inlineStr">
        <is>
          <t>Sr. Applied Scientist, Amazon Advertising</t>
        </is>
      </c>
      <c r="C94" t="inlineStr">
        <is>
          <t>Amazon.com</t>
        </is>
      </c>
      <c r="D94" t="inlineStr">
        <is>
          <t>indeed</t>
        </is>
      </c>
      <c r="E94" t="inlineStr"/>
      <c r="F94" t="inlineStr"/>
      <c r="G94" t="inlineStr">
        <is>
          <t>Los Angeles, CA, US</t>
        </is>
      </c>
      <c r="H94" s="2" t="n">
        <v>45851</v>
      </c>
      <c r="I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in-ec2749c170954dbe</t>
        </is>
      </c>
      <c r="B95" t="inlineStr">
        <is>
          <t>Sr. Applied Scientist, Amazon Advertising</t>
        </is>
      </c>
      <c r="C95" t="inlineStr">
        <is>
          <t>Amazon.com</t>
        </is>
      </c>
      <c r="D95" t="inlineStr">
        <is>
          <t>indeed</t>
        </is>
      </c>
      <c r="E95" t="inlineStr"/>
      <c r="F95" t="inlineStr"/>
      <c r="G95" t="inlineStr">
        <is>
          <t>New York, NY, US</t>
        </is>
      </c>
      <c r="H95" s="2" t="n">
        <v>45851</v>
      </c>
      <c r="I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in-3371224ad1500feb</t>
        </is>
      </c>
      <c r="B96" t="inlineStr">
        <is>
          <t>Sr. Applied Scientist, Amazon Advertising</t>
        </is>
      </c>
      <c r="C96" t="inlineStr">
        <is>
          <t>Amazon.com</t>
        </is>
      </c>
      <c r="D96" t="inlineStr">
        <is>
          <t>indeed</t>
        </is>
      </c>
      <c r="E96" t="inlineStr"/>
      <c r="F96" t="inlineStr"/>
      <c r="G96" t="inlineStr">
        <is>
          <t>Austin, TX, US</t>
        </is>
      </c>
      <c r="H96" s="2" t="n">
        <v>45851</v>
      </c>
      <c r="I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in-bb59add37ddc8e2e</t>
        </is>
      </c>
      <c r="B97" t="inlineStr">
        <is>
          <t>Sr. Applied Scientist, Amazon Advertising</t>
        </is>
      </c>
      <c r="C97" t="inlineStr">
        <is>
          <t>Amazon.com</t>
        </is>
      </c>
      <c r="D97" t="inlineStr">
        <is>
          <t>indeed</t>
        </is>
      </c>
      <c r="E97" t="inlineStr"/>
      <c r="F97" t="inlineStr"/>
      <c r="G97" t="inlineStr">
        <is>
          <t>Palo Alto, CA, US</t>
        </is>
      </c>
      <c r="H97" s="2" t="n">
        <v>45851</v>
      </c>
      <c r="I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in-8f85ef50b5a37686</t>
        </is>
      </c>
      <c r="B98" t="inlineStr">
        <is>
          <t>Sr. Applied Scientist, Amazon Advertising</t>
        </is>
      </c>
      <c r="C98" t="inlineStr">
        <is>
          <t>Amazon.com</t>
        </is>
      </c>
      <c r="D98" t="inlineStr">
        <is>
          <t>indeed</t>
        </is>
      </c>
      <c r="E98" t="inlineStr"/>
      <c r="F98" t="inlineStr"/>
      <c r="G98" t="inlineStr">
        <is>
          <t>Simi Valley, CA, US</t>
        </is>
      </c>
      <c r="H98" s="2" t="n">
        <v>45851</v>
      </c>
      <c r="I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in-a66159ce7bcf91be</t>
        </is>
      </c>
      <c r="B99" t="inlineStr">
        <is>
          <t>Sr. Applied Scientist, Amazon Advertising</t>
        </is>
      </c>
      <c r="C99" t="inlineStr">
        <is>
          <t>Amazon.com</t>
        </is>
      </c>
      <c r="D99" t="inlineStr">
        <is>
          <t>indeed</t>
        </is>
      </c>
      <c r="E99" t="inlineStr"/>
      <c r="F99" t="inlineStr"/>
      <c r="G99" t="inlineStr">
        <is>
          <t>Arlington, VA, US</t>
        </is>
      </c>
      <c r="H99" s="2" t="n">
        <v>45851</v>
      </c>
      <c r="I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in-b1118ae2586d6517</t>
        </is>
      </c>
      <c r="B100" t="inlineStr">
        <is>
          <t>Sr. Applied Scientist, Sales AI</t>
        </is>
      </c>
      <c r="C100" t="inlineStr">
        <is>
          <t>Amazon.com</t>
        </is>
      </c>
      <c r="D100" t="inlineStr">
        <is>
          <t>indeed</t>
        </is>
      </c>
      <c r="E100" t="inlineStr"/>
      <c r="F100" t="inlineStr"/>
      <c r="G100" t="inlineStr">
        <is>
          <t>Seattle, WA, US</t>
        </is>
      </c>
      <c r="H100" s="2" t="n">
        <v>45830</v>
      </c>
      <c r="I10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in-690821735aff1aa1</t>
        </is>
      </c>
      <c r="B101" t="inlineStr">
        <is>
          <t>Sr. Applied Scientist, Sales AI</t>
        </is>
      </c>
      <c r="C101" t="inlineStr">
        <is>
          <t>Amazon.com</t>
        </is>
      </c>
      <c r="D101" t="inlineStr">
        <is>
          <t>indeed</t>
        </is>
      </c>
      <c r="E101" t="inlineStr"/>
      <c r="F101" t="inlineStr"/>
      <c r="G101" t="inlineStr">
        <is>
          <t>New York, NY, US</t>
        </is>
      </c>
      <c r="H101" s="2" t="n">
        <v>45830</v>
      </c>
      <c r="I10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in-a93830bdff0b1794</t>
        </is>
      </c>
      <c r="B102" t="inlineStr">
        <is>
          <t>Sr. Applied Scientist, Sales AI</t>
        </is>
      </c>
      <c r="C102" t="inlineStr">
        <is>
          <t>Amazon.com</t>
        </is>
      </c>
      <c r="D102" t="inlineStr">
        <is>
          <t>indeed</t>
        </is>
      </c>
      <c r="E102" t="inlineStr"/>
      <c r="F102" t="inlineStr"/>
      <c r="G102" t="inlineStr">
        <is>
          <t>Sunnyvale, CA, US</t>
        </is>
      </c>
      <c r="H102" s="2" t="n">
        <v>45830</v>
      </c>
      <c r="I10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in-907adf25372b7492</t>
        </is>
      </c>
      <c r="B103" t="inlineStr">
        <is>
          <t>Machine Learning Engineer, Amazon General Intelligence (AGI)</t>
        </is>
      </c>
      <c r="C103" t="inlineStr">
        <is>
          <t>Amazon.com</t>
        </is>
      </c>
      <c r="D103" t="inlineStr">
        <is>
          <t>indeed</t>
        </is>
      </c>
      <c r="E103" t="inlineStr"/>
      <c r="F103" t="inlineStr"/>
      <c r="G103" t="inlineStr">
        <is>
          <t>Bellevue, WA, US</t>
        </is>
      </c>
      <c r="H103" s="2" t="n">
        <v>45813</v>
      </c>
      <c r="I103"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in-9da844e90f1cfb69</t>
        </is>
      </c>
      <c r="B104" t="inlineStr">
        <is>
          <t>Machine Learning Engineer, Amazon General Intelligence (AGI)</t>
        </is>
      </c>
      <c r="C104" t="inlineStr">
        <is>
          <t>Amazon.com</t>
        </is>
      </c>
      <c r="D104" t="inlineStr">
        <is>
          <t>indeed</t>
        </is>
      </c>
      <c r="E104" t="inlineStr"/>
      <c r="F104" t="inlineStr"/>
      <c r="G104" t="inlineStr">
        <is>
          <t>Seattle, WA, US</t>
        </is>
      </c>
      <c r="H104" s="2" t="n">
        <v>45813</v>
      </c>
      <c r="I104"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in-dfe81ea33751543b</t>
        </is>
      </c>
      <c r="B105" t="inlineStr">
        <is>
          <t>Sr. Applied Scientist, AGI Info</t>
        </is>
      </c>
      <c r="C105" t="inlineStr">
        <is>
          <t>Amazon.com</t>
        </is>
      </c>
      <c r="D105" t="inlineStr">
        <is>
          <t>indeed</t>
        </is>
      </c>
      <c r="E105" t="inlineStr"/>
      <c r="F105" t="inlineStr"/>
      <c r="G105" t="inlineStr">
        <is>
          <t>Bellevue, WA, US</t>
        </is>
      </c>
      <c r="H105" s="2" t="n">
        <v>45811</v>
      </c>
      <c r="I105"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in-77ab7307d95e83b5</t>
        </is>
      </c>
      <c r="B106" t="inlineStr">
        <is>
          <t>Sr. Applied Scientist, AGI Info</t>
        </is>
      </c>
      <c r="C106" t="inlineStr">
        <is>
          <t>Amazon.com</t>
        </is>
      </c>
      <c r="D106" t="inlineStr">
        <is>
          <t>indeed</t>
        </is>
      </c>
      <c r="E106" t="inlineStr"/>
      <c r="F106" t="inlineStr"/>
      <c r="G106" t="inlineStr">
        <is>
          <t>Sunnyvale, CA, US</t>
        </is>
      </c>
      <c r="H106" s="2" t="n">
        <v>45811</v>
      </c>
      <c r="I106"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in-657b1f198e6b921d</t>
        </is>
      </c>
      <c r="B107" t="inlineStr">
        <is>
          <t>AI / ML Engineer</t>
        </is>
      </c>
      <c r="C107" t="inlineStr">
        <is>
          <t>Accenture Federal Services</t>
        </is>
      </c>
      <c r="D107" t="inlineStr">
        <is>
          <t>indeed</t>
        </is>
      </c>
      <c r="E107" t="inlineStr"/>
      <c r="F107" t="inlineStr"/>
      <c r="G107" t="inlineStr">
        <is>
          <t>Chantilly, VA, US</t>
        </is>
      </c>
      <c r="H107" s="2" t="n">
        <v>46034</v>
      </c>
      <c r="I107"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and part of global Accenture, to do work that matters in a collaborative and caring community, where you feel like you belong and are empowered to grow, learn and thrive through hands\-on experience, certifications, industry training and more.  
Join us to drive positive, lasting change that moves missions and the government forward! **Job Description**
This role is to support the hands\-on development and support for integrating an Agentic AI system with existing data platforms. The role will focus on data integrations, the query execution layer, as well as implementation of the agentic workflows and orchestration logic.
**Responsibilities:**
* Develop retrieval pipelines (metadata indexing, embeddings, hybrid search).
* Package the system into deployable services.
* Develops agent tools for structured queries, semantic search, and workflow actions.
* Build ingestion and indexing pipelines into the data lake and vector store.
* Implement APIs, microservices, and backend logic.
* Optimize query routing, caching, and grounding strategies.
* Integrate authentication, authorization, and auditing.
* Support prototyping, demos, and pilot deployments.
**Must have:**
* 4 years of experience with data \&amp; AI
* Experience with Python, APIs/microservices, cloud services
* Understanding of DevOps tools and principals
**Nice to have:**
* Experience with Model Context Protocol
* Experience with agent frameworks, data engineering, vector databases, SQL engines, distributed systems, RAG
* Bachelors degree
**Security Clearance:**
* Active TS/SCI with polygraph clearance
***What We Believe****As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t>
        </is>
      </c>
    </row>
    <row r="108">
      <c r="A108" t="inlineStr">
        <is>
          <t>in-77dcb4868a5414ab</t>
        </is>
      </c>
      <c r="B108" t="inlineStr">
        <is>
          <t>Distinguished Machine Learning Engineer</t>
        </is>
      </c>
      <c r="C108" t="inlineStr">
        <is>
          <t>Capital One</t>
        </is>
      </c>
      <c r="D108" t="inlineStr">
        <is>
          <t>indeed</t>
        </is>
      </c>
      <c r="E108" t="inlineStr"/>
      <c r="F108" t="inlineStr"/>
      <c r="G108" t="inlineStr">
        <is>
          <t>McLean, VA, US</t>
        </is>
      </c>
      <c r="H108" s="2" t="n">
        <v>46033</v>
      </c>
      <c r="I108" t="inlineStr">
        <is>
          <t>Distinguished Machine Learning Engineer
As a Capital One Machine Learning Engineer, you'll be providing technical leadership to engineering teams dedicated to productionizing machine learning applications and systems at scale. You’ll participate in the detailed technical design, development, and implementation of machine learning applications using existing and emerging technology platforms. You’ll serve as a technical domain expert in machine learning, guiding machine learning architectural design decisions, developing and reviewing model and application code, and ensuring high availability and performance of our machine learning applications. You'll have the opportunity to continuously learn and apply the latest innovations and best practices in machine learning engineering. You’ll also mentor other engineers and further develop your technical knowledge and skills to keep Capital One at the cutting edge of technology.
**What you’ll do in the role:**
* Deliver ML models and software components that solve challenging business problems in the financial services industry, working in collaboration with the Product, Architecture, Engineering, and Data Science teams
* Drive the creation and evolution of ML models and software that enable state\-of\-the\-art intelligent systems
* Lead large\-scale ML initiatives with the customer in mind
* Leverage cloud\-based architectures and technologies to deliver optimized ML models at scale
* Optimize data pipelines to feed ML models
* Use programming languages like Python, Scala, C/C\+\+
* Leverage compute technologies such as Dask and RAPIDS
* Evangelize best practices in all aspects of the engineering and modeling lifecycles
* Help recruit, nurture, and retain top engineering talent
**Basic Qualifications:**
* Bachelor’s degree
* At least 10 years of experience designing and building data\-intensive solutions using distributed computing
* At least 6 years of experience programming in C, C\+\+, Python, or Scala
* At least 3 years of experience with the full ML development lifecycle using modern technology in a business critical setting
**Preferred Qualifications:**
* Master's Degree
* 3\+ years of experience designing, implementing, and scaling production\-ready data pipelines that feed ML models
* 2\+ years of experience using Dask, RAPIDS, or in High Performance Computing
* 2\+ years of experience with the PyData ecosystem (NumPy, Pandas, and Scikit\-learn)
* Ability to communicate complex technical concepts clearly to a variety of audiences
* ML industry impact through conference presentations, papers, blog posts, or open source contributions
* Ability to attract and develop high\-performing software engineers with an inspiring leadership style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Distinguished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9">
      <c r="A109" t="inlineStr">
        <is>
          <t>in-cc61b2cc070515f9</t>
        </is>
      </c>
      <c r="B109" t="inlineStr">
        <is>
          <t>Distinguished AI Engineer (Agentic AI Platform Infrastructure)</t>
        </is>
      </c>
      <c r="C109" t="inlineStr">
        <is>
          <t>Capital One</t>
        </is>
      </c>
      <c r="D109" t="inlineStr">
        <is>
          <t>indeed</t>
        </is>
      </c>
      <c r="E109" t="inlineStr"/>
      <c r="F109" t="inlineStr"/>
      <c r="G109" t="inlineStr">
        <is>
          <t>San Jose, CA, US</t>
        </is>
      </c>
      <c r="H109" s="2" t="n">
        <v>46033</v>
      </c>
      <c r="I109" t="inlineStr">
        <is>
          <t>Distinguished AI Engineer (Agentic AI Platform Infrastructure)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 2\+ years of experience supporting Agentic Frameworks (LangChain, CrewAI, Semantic Kernel (Microsoft), or AutoGen)
* 2\+ years of experience with LLMOps (Google Cloud Vertex AI, Amazon SageMaker, Azure Machine Learning
* Experience developing AI and ML algorithms or technologies (e.g. LLM Inference, Similarity Search and VectorDBs, Guardrails, Memory) using Python, C\+\+, C\#, Java, or Golang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$269,100 \- $307,200 for Distinguished AI Engineer  
McLean, VA: $269,100 \- $307,200 for Distinguished AI Engineer  
New York, NY: $293,600 \- $335,100 for Distinguished AI Engineer  
San Francisco, CA: $293,600 \- $335,100 for Distinguished AI Engineer  
San Jose, CA: $293,600 \- $335,100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0">
      <c r="A110" t="inlineStr">
        <is>
          <t>in-67a79ae085ff3246</t>
        </is>
      </c>
      <c r="B110" t="inlineStr">
        <is>
          <t>Senior AI Engineer - Teams Messaging AI</t>
        </is>
      </c>
      <c r="C110" t="inlineStr">
        <is>
          <t>Microsoft</t>
        </is>
      </c>
      <c r="D110" t="inlineStr">
        <is>
          <t>indeed</t>
        </is>
      </c>
      <c r="E110" t="inlineStr"/>
      <c r="F110" t="inlineStr"/>
      <c r="G110" t="inlineStr">
        <is>
          <t>Mountain View, CA, US</t>
        </is>
      </c>
      <c r="H110" s="2" t="n">
        <v>46030</v>
      </c>
      <c r="I110" t="inlineStr">
        <is>
          <t>**Overview**  
Are you interested in joining one of the most exciting teams and working on the fastest growing enterprise product in Microsoft? Then look no further than Microsoft Teams Messaging and AI team based in Silicon Valley. You will be building innovative solutions that leverage state of the art Web and GenAI technologies and models to deliver the next evolution of collaboration and productivity features for Microsoft Teams.
The SVC Messaging and AI team provides exciting opportunities in building messaging and large language models (LLM) features that meet the needs of hundreds of millions of engaging users of the fastest growing product in Microsoft's history. This is a unique opportunity to grow and apply your knowledge of innovative web and frontier AI technologies and agentic application architecture in a broad scope to have a significant impact.  
We are looking for creative problem solvers and diverse thinkers — people who care about culture as well as developing features and engaging the communities they serve. We believe that why we do things is as important as what we do. Big vision, an inclusive purpose, a passion for quality, curiosity as well as grit, and an investment in fun and collaboration are what lead to remarkable results.  
As a Senior Software Engineer, you will be an integral part of our tight\-knit group of dedicated problem solvers. The ideal candidate should be able to quickly make an impact on the team and work with the larger Teams engineering and Microsoft Search, Assistant, and Intelligence (MSAI) organizations to deliver an innovative experience to hundreds of millions of Microsoft Teams users.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implementation, and shipping of multiple new messaging and large language models (LLM) agentic features.
* Building end\-to\-end user experiences that work across multiple devices and browsers.
* Writing and maintaining unit tests, large language models (LLM) eval and automated integration or end\-to\-end tests.
* Building web and AI applications in enterprise and/or consumer markets.
* Collaborating with partner teams to meet engineering goals.
* Managing individual projects or feature priorities, deadlines, and deliverables.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3\+ years engineering experience with large scale complex modern web development stacks like React with Typescript.
* 2\+ years ability to navigate complex problems with a thorough design and collaborate with multiple partners on common goals.
* 1\+ year experience with GenAI and large language models (LLM) flow development.
* Proven skills in software system design and architecture.
* Experience with unit\-test, continuous integration, and test\-driven client and service development.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1">
      <c r="A111" t="inlineStr">
        <is>
          <t>in-5d071493b3b7fe67</t>
        </is>
      </c>
      <c r="B111" t="inlineStr">
        <is>
          <t>AI Machine Learning Engineer</t>
        </is>
      </c>
      <c r="C111" t="inlineStr">
        <is>
          <t>VSE Corporation</t>
        </is>
      </c>
      <c r="D111" t="inlineStr">
        <is>
          <t>indeed</t>
        </is>
      </c>
      <c r="E111" t="inlineStr"/>
      <c r="F111" t="inlineStr"/>
      <c r="G111" t="inlineStr">
        <is>
          <t>Miramar, FL, US</t>
        </is>
      </c>
      <c r="H111" s="2" t="n">
        <v>46029</v>
      </c>
      <c r="I111" t="inlineStr">
        <is>
          <t>**SUMMARY:** The AI Machine Learning Engineer will help build, deploy, and operationalize AI solutions within our Microsoft\-based technology ecosystem. The ideal candidate has hands\-on experience developing machine learning models, integrating AI capabilities into enterprise applications, leveraging Microsoft Azure’s AI and data services. This role will work closely with VP Corporate IT, cyber security, engineering, development, and business stakeholders to translate use cases into workable solution designs, developing, and optimizing models and pipelines that scale across the organization.
**DUTIES \&amp; RESPONSIBILITIES:**
Responsibilities include, but are not limited to:
**AI/ML Solution Development:**
* Design, build, and deploy ML models using Azure Machine Learning, Azure OpenAI, and other Microsoft AI services.
* Develop data preprocessing, feature engineering, model training, and evaluation pipelines.
* Implement prompt engineering, fine\-tuning, and model orchestration for LLM\-driven applications.
**Azure Cloud Engineering:**
* Use Azure Machine Learning, Copilot, Data Warehouse, Azure Databricks, Azure Synapse, and related services to build and manage ML workflows.
* Create scalable model endpoints and integrate them into internal or customer\-facing applications.
* Optimize model performance and cost efficiency within Azure.
**ML Operations \&amp; Deployment:**
* Build and maintain CI/CD pipelines for ML models using Azure DevOps or GitHub Actions.
* Monitor deployed models, retrain as needed, and ensure production reliability.
* Implement logging, telemetry, and monitoring using Azure Monitor and related tools.
**Collaboration \&amp; Strategy:**
* Partner with the AI Initiative Lead to define solution architecture, constraints, and success metrics.
* Work with cross\-functional teams to identify new AI opportunities and evaluate feasibility.
* Create documentation, model cards, and technical guides for internal teams.
* Other duties as assigned.
**MINIMUM REQUIREMENTS:**
* Bachelor’s degree in computer science or related field
	+ or a combination of relevant Specialized Technical Certifications in related field.
	+ or an additional 3 years of relevant work experience in lieu of degree.
* 5 years of experience building and deploying AI/ML models in production environments.
* Hands\-on experience with Microsoft technologies, including:
	+ Azure Machine Learning (pipelines, workspaces, endpoints)
	+ Azure OpenAI Service
	+ Azure Cognitive Services
	+ Data Warehouse / Azure Data Lake / Synapse / Databricks
	+ Azure DevOps or GitHub Actions
* Proficiency in Python, R and common ML frameworks (Microsoft Azure Machine Learning, TensorFlow, scikit\-learn).
**PREFERRED REQUIREMENTS:**
* Strong knowledge of data engineering fundamentals, feature engineering, and model evaluation.
* Experience building APIs using FastAPI, Flask, or Azure Functions.
* Understanding of best practices for security, governance, and responsible AI (Microsoft Responsible AI Framework a plus).
* Experience with LLM application design (RAG patterns, vector databases, prompt engineering).
* Experience with Copilot, Azure AI Search, Azure Cognitive Search, Azure Cosmos DB, or Redis Enterprise for retrieval systems.
* Experience deploying containerized applications using Azure Kubernetes Service (AKS).
* Familiarity with enterprise integrations (Power Platform, Microsoft Graph).
* Experience supporting end\-to\-end AI product lifecycle in a corporate environment.
**OTHER:**
* The selected applicant will be subject to a background check and drug testing.</t>
        </is>
      </c>
    </row>
    <row r="112">
      <c r="A112" t="inlineStr">
        <is>
          <t>in-8f061ff00c16e7a2</t>
        </is>
      </c>
      <c r="B112" t="inlineStr">
        <is>
          <t>Machine Learning Engineer, Model Customization, Generative AI Innovation Center</t>
        </is>
      </c>
      <c r="C112" t="inlineStr">
        <is>
          <t>Amazon Web Services</t>
        </is>
      </c>
      <c r="D112" t="inlineStr">
        <is>
          <t>indeed</t>
        </is>
      </c>
      <c r="E112" t="inlineStr"/>
      <c r="F112" t="inlineStr"/>
      <c r="G112" t="inlineStr">
        <is>
          <t>Seattle, WA, US</t>
        </is>
      </c>
      <c r="H112" s="2" t="n">
        <v>46008</v>
      </c>
      <c r="I112"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in-67e9abbaeda0af72</t>
        </is>
      </c>
      <c r="B113" t="inlineStr">
        <is>
          <t>Machine Learning Engineer, Model Customization, Generative AI Innovation Center</t>
        </is>
      </c>
      <c r="C113" t="inlineStr">
        <is>
          <t>Amazon Web Services</t>
        </is>
      </c>
      <c r="D113" t="inlineStr">
        <is>
          <t>indeed</t>
        </is>
      </c>
      <c r="E113" t="inlineStr"/>
      <c r="F113" t="inlineStr"/>
      <c r="G113" t="inlineStr">
        <is>
          <t>Mountain View, CA, US</t>
        </is>
      </c>
      <c r="H113" s="2" t="n">
        <v>46008</v>
      </c>
      <c r="I113"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in-d227c3aeab4a4a83</t>
        </is>
      </c>
      <c r="B114" t="inlineStr">
        <is>
          <t>Sr. Machine Learning Engineer, AGIF | Finetuning</t>
        </is>
      </c>
      <c r="C114" t="inlineStr">
        <is>
          <t>Amazon.com</t>
        </is>
      </c>
      <c r="D114" t="inlineStr">
        <is>
          <t>indeed</t>
        </is>
      </c>
      <c r="E114" t="inlineStr"/>
      <c r="F114" t="inlineStr"/>
      <c r="G114" t="inlineStr">
        <is>
          <t>Bellevue, WA, US</t>
        </is>
      </c>
      <c r="H114" s="2" t="n">
        <v>45984</v>
      </c>
      <c r="I114"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in-3dcbc9596445637c</t>
        </is>
      </c>
      <c r="B115" t="inlineStr">
        <is>
          <t>Sr. Machine Learning Engineer, AGIF | Finetuning</t>
        </is>
      </c>
      <c r="C115" t="inlineStr">
        <is>
          <t>Amazon.com</t>
        </is>
      </c>
      <c r="D115" t="inlineStr">
        <is>
          <t>indeed</t>
        </is>
      </c>
      <c r="E115" t="inlineStr"/>
      <c r="F115" t="inlineStr"/>
      <c r="G115" t="inlineStr">
        <is>
          <t>Sunnyvale, CA, US</t>
        </is>
      </c>
      <c r="H115" s="2" t="n">
        <v>45984</v>
      </c>
      <c r="I115"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in-1bc02828c13b7611</t>
        </is>
      </c>
      <c r="B116" t="inlineStr">
        <is>
          <t>Sr. Machine Learning Engineer, AGIF | Finetuning</t>
        </is>
      </c>
      <c r="C116" t="inlineStr">
        <is>
          <t>Amazon.com</t>
        </is>
      </c>
      <c r="D116" t="inlineStr">
        <is>
          <t>indeed</t>
        </is>
      </c>
      <c r="E116" t="inlineStr"/>
      <c r="F116" t="inlineStr"/>
      <c r="G116" t="inlineStr">
        <is>
          <t>New York, NY, US</t>
        </is>
      </c>
      <c r="H116" s="2" t="n">
        <v>45984</v>
      </c>
      <c r="I116"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in-1fce8643f25e70e9</t>
        </is>
      </c>
      <c r="B117" t="inlineStr">
        <is>
          <t>Senior Applied AI Engineer - Security for AI</t>
        </is>
      </c>
      <c r="C117" t="inlineStr">
        <is>
          <t>Microsoft</t>
        </is>
      </c>
      <c r="D117" t="inlineStr">
        <is>
          <t>indeed</t>
        </is>
      </c>
      <c r="E117" t="inlineStr"/>
      <c r="F117" t="inlineStr"/>
      <c r="G117" t="inlineStr">
        <is>
          <t>Redmond, WA, US</t>
        </is>
      </c>
      <c r="H117" s="2" t="n">
        <v>45981</v>
      </c>
      <c r="I117"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a product research team of dedicated and innovative experts specializing in machine learning and artificial intelligence research for cybersecurity, looking for a **Senior Applied ML Engineer \- Security for AI**. We stand at the forefront of revolutionizing cybersecurity solutions in a rapidly evolving digital landscape where cyber threats persistently challenge the boundaries of security. Come and work with a team of world\-class researchers and engineers who are passionate about advancing the state\-of\-the\-art in cybersecurity and creating impactful solutions for customers. Help us build a culture of learning, growth, and inclusion, where everyone thrives and makes a difference in the security domain.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 and execute cutting\-edge research projects in machine learning and artificial intelligence for cybersecurity, with a focus on cloud security challenges and opportunities.
* Serve as an expert within team on changes in industry/market trends, products, industry advances, and opportunities in applied technologies across a broad range of applied research areas.
* Communicate the results and impact of your research and development to senior leadership and external audiences through publications, presentations, and demos.
* Drive high\-stakes negotiations across teams to ensure cutting edge technology is being applied to products in a practical way that meets key business objectives.
* Write production\-ready code to successfully deliver research project into AI product.
**Qualifications** **Required/Minimum Qualifications:**
*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Master's Degree in Computer Science, Artificial Intelligence, Mathematics, Physics, or related field AND 6\+ year(s) related industry experience (e.g., statistics, predictive analytics, research) OR Doctorate in Computer Science, Artificial Intelligence, Mathematics, Physics, or related field AND 5\+ years related industry experience
* 5\+ years of hands\-on experience in programming language such as C\#, Python.
* Ability to problem solve architecture design and coding problems
* Understanding of statistics, machine learning algorithms and data visualization.
* Knowledge in large language model, deep learning, transformer models, data engineering, cloud stack technologies, information fusion, large\-scale machine learning models.
* Prior experience in AI product development is preferred not required
* Experience in working with cross\-functional teams, such as product managers, designers, researchers, engineers, and stakeholders, with strong communication, collaboration, and leadership skills, for translating research into a production service.
* Ability to deal with ambiguity at work; identify research areas independently; shape the direction of research to product in a practical way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8">
      <c r="A118" t="inlineStr">
        <is>
          <t>in-8003b8d317f330b4</t>
        </is>
      </c>
      <c r="B118" t="inlineStr">
        <is>
          <t>Senior Delivery Consultant - Senior Machine Learning Engineer, AWS Professional Services, AWS Professional Services</t>
        </is>
      </c>
      <c r="C118" t="inlineStr">
        <is>
          <t>Amazon Web Services</t>
        </is>
      </c>
      <c r="D118" t="inlineStr">
        <is>
          <t>indeed</t>
        </is>
      </c>
      <c r="E118" t="inlineStr"/>
      <c r="F118" t="inlineStr"/>
      <c r="G118" t="inlineStr">
        <is>
          <t>Dallas, TX, US</t>
        </is>
      </c>
      <c r="H118" s="2" t="n">
        <v>45825</v>
      </c>
      <c r="I11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in-c3666b2b1cf2a3d2</t>
        </is>
      </c>
      <c r="B119" t="inlineStr">
        <is>
          <t>Senior Delivery Consultant - Senior Machine Learning Engineer, AWS Professional Services, AWS Professional Services</t>
        </is>
      </c>
      <c r="C119" t="inlineStr">
        <is>
          <t>Amazon Web Services</t>
        </is>
      </c>
      <c r="D119" t="inlineStr">
        <is>
          <t>indeed</t>
        </is>
      </c>
      <c r="E119" t="inlineStr"/>
      <c r="F119" t="inlineStr"/>
      <c r="G119" t="inlineStr">
        <is>
          <t>Seattle, WA, US</t>
        </is>
      </c>
      <c r="H119" s="2" t="n">
        <v>45825</v>
      </c>
      <c r="I11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in-84a4d5633160e92f</t>
        </is>
      </c>
      <c r="B120" t="inlineStr">
        <is>
          <t>Senior Delivery Consultant - Senior Machine Learning Engineer, AWS Professional Services, AWS Professional Services</t>
        </is>
      </c>
      <c r="C120" t="inlineStr">
        <is>
          <t>Amazon Web Services</t>
        </is>
      </c>
      <c r="D120" t="inlineStr">
        <is>
          <t>indeed</t>
        </is>
      </c>
      <c r="E120" t="inlineStr"/>
      <c r="F120" t="inlineStr"/>
      <c r="G120" t="inlineStr">
        <is>
          <t>New York, NY, US</t>
        </is>
      </c>
      <c r="H120" s="2" t="n">
        <v>45825</v>
      </c>
      <c r="I12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in-46cd41cfa4f89a61</t>
        </is>
      </c>
      <c r="B121" t="inlineStr">
        <is>
          <t>Senior Delivery Consultant - Senior Machine Learning Engineer, AWS Professional Services, AWS Professional Services</t>
        </is>
      </c>
      <c r="C121" t="inlineStr">
        <is>
          <t>Amazon Web Services</t>
        </is>
      </c>
      <c r="D121" t="inlineStr">
        <is>
          <t>indeed</t>
        </is>
      </c>
      <c r="E121" t="inlineStr"/>
      <c r="F121" t="inlineStr"/>
      <c r="G121" t="inlineStr">
        <is>
          <t>Atlanta, GA, US</t>
        </is>
      </c>
      <c r="H121" s="2" t="n">
        <v>45825</v>
      </c>
      <c r="I12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in-6a7e01072706b4b0</t>
        </is>
      </c>
      <c r="B122" t="inlineStr">
        <is>
          <t>Senior Delivery Consultant - Senior Machine Learning Engineer, AWS Professional Services, AWS Professional Services</t>
        </is>
      </c>
      <c r="C122" t="inlineStr">
        <is>
          <t>Amazon Web Services</t>
        </is>
      </c>
      <c r="D122" t="inlineStr">
        <is>
          <t>indeed</t>
        </is>
      </c>
      <c r="E122" t="inlineStr"/>
      <c r="F122" t="inlineStr"/>
      <c r="G122" t="inlineStr">
        <is>
          <t>Chicago, IL, US</t>
        </is>
      </c>
      <c r="H122" s="2" t="n">
        <v>45825</v>
      </c>
      <c r="I12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in-6b220eb1974a3a78</t>
        </is>
      </c>
      <c r="B123" t="inlineStr">
        <is>
          <t>Senior Delivery Consultant - Senior Machine Learning Engineer, AWS Professional Services, AWS Professional Services</t>
        </is>
      </c>
      <c r="C123" t="inlineStr">
        <is>
          <t>Amazon Web Services</t>
        </is>
      </c>
      <c r="D123" t="inlineStr">
        <is>
          <t>indeed</t>
        </is>
      </c>
      <c r="E123" t="inlineStr"/>
      <c r="F123" t="inlineStr"/>
      <c r="G123" t="inlineStr">
        <is>
          <t>Herndon, VA, US</t>
        </is>
      </c>
      <c r="H123" s="2" t="n">
        <v>45825</v>
      </c>
      <c r="I12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in-ddffff3e0209a48e</t>
        </is>
      </c>
      <c r="B124" t="inlineStr">
        <is>
          <t>Senior Delivery Consultant - Senior Machine Learning Engineer, AWS Professional Services, AWS Professional Services</t>
        </is>
      </c>
      <c r="C124" t="inlineStr">
        <is>
          <t>Amazon Web Services</t>
        </is>
      </c>
      <c r="D124" t="inlineStr">
        <is>
          <t>indeed</t>
        </is>
      </c>
      <c r="E124" t="inlineStr"/>
      <c r="F124" t="inlineStr"/>
      <c r="G124" t="inlineStr">
        <is>
          <t>Austin, TX, US</t>
        </is>
      </c>
      <c r="H124" s="2" t="n">
        <v>45825</v>
      </c>
      <c r="I12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in-6aa2137f5f507d61</t>
        </is>
      </c>
      <c r="B125" t="inlineStr">
        <is>
          <t>Senior Delivery Consultant - Senior Machine Learning Engineer, AWS Professional Services, AWS Professional Services</t>
        </is>
      </c>
      <c r="C125" t="inlineStr">
        <is>
          <t>Amazon Web Services</t>
        </is>
      </c>
      <c r="D125" t="inlineStr">
        <is>
          <t>indeed</t>
        </is>
      </c>
      <c r="E125" t="inlineStr"/>
      <c r="F125" t="inlineStr"/>
      <c r="G125" t="inlineStr">
        <is>
          <t>Boston, MA, US</t>
        </is>
      </c>
      <c r="H125" s="2" t="n">
        <v>45825</v>
      </c>
      <c r="I12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in-d5ecd45cae3e9ab2</t>
        </is>
      </c>
      <c r="B126" t="inlineStr">
        <is>
          <t>Senior Delivery Consultant - Senior Machine Learning Engineer, AWS Professional Services, AWS Professional Services</t>
        </is>
      </c>
      <c r="C126" t="inlineStr">
        <is>
          <t>Amazon Web Services</t>
        </is>
      </c>
      <c r="D126" t="inlineStr">
        <is>
          <t>indeed</t>
        </is>
      </c>
      <c r="E126" t="inlineStr"/>
      <c r="F126" t="inlineStr"/>
      <c r="G126" t="inlineStr">
        <is>
          <t>Arlington, VA, US</t>
        </is>
      </c>
      <c r="H126" s="2" t="n">
        <v>45825</v>
      </c>
      <c r="I12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in-8fd59c8f90b94038</t>
        </is>
      </c>
      <c r="B127" t="inlineStr">
        <is>
          <t>Sr. Machine Learning Engineer, Amazon General Intelligence (AGI)</t>
        </is>
      </c>
      <c r="C127" t="inlineStr">
        <is>
          <t>Amazon.com</t>
        </is>
      </c>
      <c r="D127" t="inlineStr">
        <is>
          <t>indeed</t>
        </is>
      </c>
      <c r="E127" t="inlineStr"/>
      <c r="F127" t="inlineStr"/>
      <c r="G127" t="inlineStr">
        <is>
          <t>Bellevue, WA, US</t>
        </is>
      </c>
      <c r="H127" s="2" t="n">
        <v>45813</v>
      </c>
      <c r="I127"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in-9bee2e25995324bb</t>
        </is>
      </c>
      <c r="B128" t="inlineStr">
        <is>
          <t>Sr. Machine Learning Engineer, Amazon General Intelligence (AGI)</t>
        </is>
      </c>
      <c r="C128" t="inlineStr">
        <is>
          <t>Amazon.com</t>
        </is>
      </c>
      <c r="D128" t="inlineStr">
        <is>
          <t>indeed</t>
        </is>
      </c>
      <c r="E128" t="inlineStr"/>
      <c r="F128" t="inlineStr"/>
      <c r="G128" t="inlineStr">
        <is>
          <t>Seattle, WA, US</t>
        </is>
      </c>
      <c r="H128" s="2" t="n">
        <v>45813</v>
      </c>
      <c r="I128"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in-472e65265f74ebdd</t>
        </is>
      </c>
      <c r="B129" t="inlineStr">
        <is>
          <t>Machine Learning Engineer, AWS Neuron Inference, AWS Neuron</t>
        </is>
      </c>
      <c r="C129" t="inlineStr">
        <is>
          <t>Amazon Web Services</t>
        </is>
      </c>
      <c r="D129" t="inlineStr">
        <is>
          <t>indeed</t>
        </is>
      </c>
      <c r="E129" t="inlineStr"/>
      <c r="F129" t="inlineStr"/>
      <c r="G129" t="inlineStr">
        <is>
          <t>Cupertino, CA, US</t>
        </is>
      </c>
      <c r="H129" s="2" t="n">
        <v>45797</v>
      </c>
      <c r="I129" t="inlineStr">
        <is>
          <t>**DESCRIPTION**
---------------
AWS Neuron is the complete software stack for the AWS Inferentia and Trainium cloud\-scale machine  
learning accelerators and the Trn1 and Inf1 servers that use them. This role is for a software engineer in the Machine Learning Applications (ML Apps) team for AWS Neuron.  
This role is responsible for development, enablement and performance tuning of a wide variety of ML model families, including massive scale large language models like Llama2, GPT2, GPT3 and beyond, as well as stable diffusion, Vision Transformers and many more.  
The ML Apps team works side by side with compiler engineers and runtime engineers to create, build and tune distributed inference solutions with Trn1\. Experience optimizing inference performance for both latency and throughput on these large models using Python, Pytorch or JAX is a must. Deepspeed and other distributed inference libraries are central to this and extending all of this for the Neuron based system is key.  
Key job responsibilities  
This role will help lead the efforts building distributed inference support into Pytorch, Tensorflow using XLA and the Neuron compiler and runtime stacks. This role will help tune these models to ensure highest performance and maximize the efficiency of them running on the customer AWS Trainium and Inferentia silicon and the TRn1 , Trn2 servers. Strong software development using Python/C\+\+ and ML knowledge are both critical to this role.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\- 143,700\.00 \- 194,400\.00 USD annually</t>
        </is>
      </c>
    </row>
    <row r="130">
      <c r="A130" t="inlineStr">
        <is>
          <t>in-eacbefad7c1eef27</t>
        </is>
      </c>
      <c r="B130" t="inlineStr">
        <is>
          <t>Machine Learning Engineer, AWS Neuron Inference, AWS Neuron</t>
        </is>
      </c>
      <c r="C130" t="inlineStr">
        <is>
          <t>Amazon Web Services</t>
        </is>
      </c>
      <c r="D130" t="inlineStr">
        <is>
          <t>indeed</t>
        </is>
      </c>
      <c r="E130" t="inlineStr"/>
      <c r="F130" t="inlineStr"/>
      <c r="G130" t="inlineStr">
        <is>
          <t>Seattle, WA, US</t>
        </is>
      </c>
      <c r="H130" s="2" t="n">
        <v>45797</v>
      </c>
      <c r="I130" t="inlineStr">
        <is>
          <t>**DESCRIPTION**
---------------
AWS Neuron is the complete software stack for the AWS Inferentia and Trainium cloud\-scale machine  
learning accelerators and the Trn1 and Inf1 servers that use them. This role is for a software engineer in the Machine Learning Applications (ML Apps) team for AWS Neuron.  
This role is responsible for development, enablement and performance tuning of a wide variety of ML model families, including massive scale large language models like Llama2, GPT2, GPT3 and beyond, as well as stable diffusion, Vision Transformers and many more.  
The ML Apps team works side by side with compiler engineers and runtime engineers to create, build and tune distributed inference solutions with Trn1\. Experience optimizing inference performance for both latency and throughput on these large models using Python, Pytorch or JAX is a must. Deepspeed and other distributed inference libraries are central to this and extending all of this for the Neuron based system is key.  
Key job responsibilities  
This role will help lead the efforts building distributed inference support into Pytorch, Tensorflow using XLA and the Neuron compiler and runtime stacks. This role will help tune these models to ensure highest performance and maximize the efficiency of them running on the customer AWS Trainium and Inferentia silicon and the TRn1 , Trn2 servers. Strong software development using Python/C\+\+ and ML knowledge are both critical to this role.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\- 143,700\.00 \- 194,400\.00 USD annually</t>
        </is>
      </c>
    </row>
    <row r="131">
      <c r="A131" t="inlineStr">
        <is>
          <t>in-3b2d213ac1cd0d52</t>
        </is>
      </c>
      <c r="B131" t="inlineStr">
        <is>
          <t>Applied Scientist, Sponsored Products</t>
        </is>
      </c>
      <c r="C131" t="inlineStr">
        <is>
          <t>Amazon.com</t>
        </is>
      </c>
      <c r="D131" t="inlineStr">
        <is>
          <t>indeed</t>
        </is>
      </c>
      <c r="E131" t="inlineStr"/>
      <c r="F131" t="inlineStr"/>
      <c r="G131" t="inlineStr">
        <is>
          <t>Seattle, WA, US</t>
        </is>
      </c>
      <c r="H131" s="2" t="n">
        <v>45971</v>
      </c>
      <c r="I13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in-858b0624f883e883</t>
        </is>
      </c>
      <c r="B132" t="inlineStr">
        <is>
          <t>Applied Scientist, Sponsored Products</t>
        </is>
      </c>
      <c r="C132" t="inlineStr">
        <is>
          <t>Amazon.com</t>
        </is>
      </c>
      <c r="D132" t="inlineStr">
        <is>
          <t>indeed</t>
        </is>
      </c>
      <c r="E132" t="inlineStr"/>
      <c r="F132" t="inlineStr"/>
      <c r="G132" t="inlineStr">
        <is>
          <t>Arlington, VA, US</t>
        </is>
      </c>
      <c r="H132" s="2" t="n">
        <v>45971</v>
      </c>
      <c r="I13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in-b2dc0978df84065a</t>
        </is>
      </c>
      <c r="B133" t="inlineStr">
        <is>
          <t>Applied Scientist, AWS Agentic AI</t>
        </is>
      </c>
      <c r="C133" t="inlineStr">
        <is>
          <t>Amazon Web Services</t>
        </is>
      </c>
      <c r="D133" t="inlineStr">
        <is>
          <t>indeed</t>
        </is>
      </c>
      <c r="E133" t="inlineStr"/>
      <c r="F133" t="inlineStr"/>
      <c r="G133" t="inlineStr">
        <is>
          <t>New York, NY, US</t>
        </is>
      </c>
      <c r="H133" s="2" t="n">
        <v>45962</v>
      </c>
      <c r="I13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in-66bfef252cc44fc2</t>
        </is>
      </c>
      <c r="B134" t="inlineStr">
        <is>
          <t>Applied Scientist, AWS Agentic AI</t>
        </is>
      </c>
      <c r="C134" t="inlineStr">
        <is>
          <t>Amazon Web Services</t>
        </is>
      </c>
      <c r="D134" t="inlineStr">
        <is>
          <t>indeed</t>
        </is>
      </c>
      <c r="E134" t="inlineStr"/>
      <c r="F134" t="inlineStr"/>
      <c r="G134" t="inlineStr">
        <is>
          <t>Santa Clara, CA, US</t>
        </is>
      </c>
      <c r="H134" s="2" t="n">
        <v>45962</v>
      </c>
      <c r="I13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in-4a6ce8ecface9f0d</t>
        </is>
      </c>
      <c r="B135" t="inlineStr">
        <is>
          <t>Applied Scientist, AWS Agentic AI</t>
        </is>
      </c>
      <c r="C135" t="inlineStr">
        <is>
          <t>Amazon Web Services</t>
        </is>
      </c>
      <c r="D135" t="inlineStr">
        <is>
          <t>indeed</t>
        </is>
      </c>
      <c r="E135" t="inlineStr"/>
      <c r="F135" t="inlineStr"/>
      <c r="G135" t="inlineStr">
        <is>
          <t>Seattle, WA, US</t>
        </is>
      </c>
      <c r="H135" s="2" t="n">
        <v>45962</v>
      </c>
      <c r="I13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in-1db1c61d137f5820</t>
        </is>
      </c>
      <c r="B136" t="inlineStr">
        <is>
          <t>Applied Scientist, Workplace Health &amp; Safety</t>
        </is>
      </c>
      <c r="C136" t="inlineStr">
        <is>
          <t>Amazon.com</t>
        </is>
      </c>
      <c r="D136" t="inlineStr">
        <is>
          <t>indeed</t>
        </is>
      </c>
      <c r="E136" t="inlineStr"/>
      <c r="F136" t="inlineStr"/>
      <c r="G136" t="inlineStr">
        <is>
          <t>Nashville, TN, US</t>
        </is>
      </c>
      <c r="H136" s="2" t="n">
        <v>45917</v>
      </c>
      <c r="I13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in-f5aaa2c9b0bf596d</t>
        </is>
      </c>
      <c r="B137" t="inlineStr">
        <is>
          <t>Applied Scientist, Workplace Health &amp; Safety</t>
        </is>
      </c>
      <c r="C137" t="inlineStr">
        <is>
          <t>Amazon.com</t>
        </is>
      </c>
      <c r="D137" t="inlineStr">
        <is>
          <t>indeed</t>
        </is>
      </c>
      <c r="E137" t="inlineStr"/>
      <c r="F137" t="inlineStr"/>
      <c r="G137" t="inlineStr">
        <is>
          <t>Bellevue, WA, US</t>
        </is>
      </c>
      <c r="H137" s="2" t="n">
        <v>45917</v>
      </c>
      <c r="I13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in-fe1f06425104a411</t>
        </is>
      </c>
      <c r="B138" t="inlineStr">
        <is>
          <t>Principal Applied Scientist, Amazon Special Projects</t>
        </is>
      </c>
      <c r="C138" t="inlineStr">
        <is>
          <t>Amazon.com</t>
        </is>
      </c>
      <c r="D138" t="inlineStr">
        <is>
          <t>indeed</t>
        </is>
      </c>
      <c r="E138">
        <f>HYPERLINK("https://www.indeed.com/viewjob?jk=fe1f06425104a411", "https://www.indeed.com/viewjob?jk=fe1f06425104a411")</f>
        <v/>
      </c>
      <c r="F138">
        <f>HYPERLINK("https://www.amazon.jobs/jobs/3132566/principal-applied-scientist-amazon-special-projects?cmpid=DA_INAD200785B", "https://www.amazon.jobs/jobs/3132566/principal-applied-scientist-amazon-special-projects?cmpid=DA_INAD200785B")</f>
        <v/>
      </c>
      <c r="G138" t="inlineStr">
        <is>
          <t>Seattle, WA, US</t>
        </is>
      </c>
      <c r="H138" s="3" t="n">
        <v>45982</v>
      </c>
      <c r="I138"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in-1de75458e4428191</t>
        </is>
      </c>
      <c r="B139" t="inlineStr">
        <is>
          <t>Principal Applied Scientist, Amazon Special Projects</t>
        </is>
      </c>
      <c r="C139" t="inlineStr">
        <is>
          <t>Amazon.com</t>
        </is>
      </c>
      <c r="D139" t="inlineStr">
        <is>
          <t>indeed</t>
        </is>
      </c>
      <c r="E139">
        <f>HYPERLINK("https://www.indeed.com/viewjob?jk=1de75458e4428191", "https://www.indeed.com/viewjob?jk=1de75458e4428191")</f>
        <v/>
      </c>
      <c r="F139">
        <f>HYPERLINK("https://www.amazon.jobs/jobs/3132566/principal-applied-scientist-amazon-special-projects?cmpid=DA_INAD200785B", "https://www.amazon.jobs/jobs/3132566/principal-applied-scientist-amazon-special-projects?cmpid=DA_INAD200785B")</f>
        <v/>
      </c>
      <c r="G139" t="inlineStr">
        <is>
          <t>Boston, MA, US</t>
        </is>
      </c>
      <c r="H139" s="3" t="n">
        <v>45982</v>
      </c>
      <c r="I139"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in-2d7a13274f29a01a</t>
        </is>
      </c>
      <c r="B140" t="inlineStr">
        <is>
          <t>Senior Applied Scientist, Sponsored Products and Brands</t>
        </is>
      </c>
      <c r="C140" t="inlineStr">
        <is>
          <t>Amazon.com</t>
        </is>
      </c>
      <c r="D140" t="inlineStr">
        <is>
          <t>indeed</t>
        </is>
      </c>
      <c r="E140">
        <f>HYPERLINK("https://www.indeed.com/viewjob?jk=2d7a13274f29a01a", "https://www.indeed.com/viewjob?jk=2d7a13274f29a01a")</f>
        <v/>
      </c>
      <c r="F140">
        <f>HYPERLINK("https://www.amazon.jobs/jobs/3130062/senior-applied-scientist-sponsored-products-and-brands?cmpid=DA_INAD200785B", "https://www.amazon.jobs/jobs/3130062/senior-applied-scientist-sponsored-products-and-brands?cmpid=DA_INAD200785B")</f>
        <v/>
      </c>
      <c r="G140" t="inlineStr">
        <is>
          <t>Seattle, WA, US</t>
        </is>
      </c>
      <c r="H140" s="3" t="n">
        <v>45979</v>
      </c>
      <c r="I14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in-80cabda1b97f8cdc</t>
        </is>
      </c>
      <c r="B141" t="inlineStr">
        <is>
          <t>Senior Applied Scientist, Sponsored Products and Brands</t>
        </is>
      </c>
      <c r="C141" t="inlineStr">
        <is>
          <t>Amazon.com</t>
        </is>
      </c>
      <c r="D141" t="inlineStr">
        <is>
          <t>indeed</t>
        </is>
      </c>
      <c r="E141">
        <f>HYPERLINK("https://www.indeed.com/viewjob?jk=80cabda1b97f8cdc", "https://www.indeed.com/viewjob?jk=80cabda1b97f8cdc")</f>
        <v/>
      </c>
      <c r="F141">
        <f>HYPERLINK("https://www.amazon.jobs/jobs/3130062/senior-applied-scientist-sponsored-products-and-brands?cmpid=DA_INAD200785B", "https://www.amazon.jobs/jobs/3130062/senior-applied-scientist-sponsored-products-and-brands?cmpid=DA_INAD200785B")</f>
        <v/>
      </c>
      <c r="G141" t="inlineStr">
        <is>
          <t>New York, NY, US</t>
        </is>
      </c>
      <c r="H141" s="3" t="n">
        <v>45979</v>
      </c>
      <c r="I14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in-f82f448d2aed24cb</t>
        </is>
      </c>
      <c r="B142" t="inlineStr">
        <is>
          <t>Sr. Applied Scientist, AGI Foundations</t>
        </is>
      </c>
      <c r="C142" t="inlineStr">
        <is>
          <t>Amazon.com</t>
        </is>
      </c>
      <c r="D142" t="inlineStr">
        <is>
          <t>indeed</t>
        </is>
      </c>
      <c r="E142">
        <f>HYPERLINK("https://www.indeed.com/viewjob?jk=f82f448d2aed24cb", "https://www.indeed.com/viewjob?jk=f82f448d2aed24cb")</f>
        <v/>
      </c>
      <c r="F142">
        <f>HYPERLINK("https://www.amazon.jobs/jobs/3128807/sr-applied-scientist-agi-foundations?cmpid=DA_INAD200785B", "https://www.amazon.jobs/jobs/3128807/sr-applied-scientist-agi-foundations?cmpid=DA_INAD200785B")</f>
        <v/>
      </c>
      <c r="G142" t="inlineStr">
        <is>
          <t>Bellevue, WA, US</t>
        </is>
      </c>
      <c r="H142" s="3" t="n">
        <v>45978</v>
      </c>
      <c r="I14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in-7d7511edb655845a</t>
        </is>
      </c>
      <c r="B143" t="inlineStr">
        <is>
          <t>Sr. Applied Scientist, AGI Foundations</t>
        </is>
      </c>
      <c r="C143" t="inlineStr">
        <is>
          <t>Amazon.com</t>
        </is>
      </c>
      <c r="D143" t="inlineStr">
        <is>
          <t>indeed</t>
        </is>
      </c>
      <c r="E143">
        <f>HYPERLINK("https://www.indeed.com/viewjob?jk=7d7511edb655845a", "https://www.indeed.com/viewjob?jk=7d7511edb655845a")</f>
        <v/>
      </c>
      <c r="F143">
        <f>HYPERLINK("https://www.amazon.jobs/jobs/3128807/sr-applied-scientist-agi-foundations?cmpid=DA_INAD200785B", "https://www.amazon.jobs/jobs/3128807/sr-applied-scientist-agi-foundations?cmpid=DA_INAD200785B")</f>
        <v/>
      </c>
      <c r="G143" t="inlineStr">
        <is>
          <t>New York, NY, US</t>
        </is>
      </c>
      <c r="H143" s="3" t="n">
        <v>45978</v>
      </c>
      <c r="I14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in-d99877ecf1d0f9e3</t>
        </is>
      </c>
      <c r="B144" t="inlineStr">
        <is>
          <t>Sr. Applied Scientist, AGI Foundations</t>
        </is>
      </c>
      <c r="C144" t="inlineStr">
        <is>
          <t>Amazon.com</t>
        </is>
      </c>
      <c r="D144" t="inlineStr">
        <is>
          <t>indeed</t>
        </is>
      </c>
      <c r="E144">
        <f>HYPERLINK("https://www.indeed.com/viewjob?jk=d99877ecf1d0f9e3", "https://www.indeed.com/viewjob?jk=d99877ecf1d0f9e3")</f>
        <v/>
      </c>
      <c r="F144">
        <f>HYPERLINK("https://www.amazon.jobs/jobs/3128807/sr-applied-scientist-agi-foundations?cmpid=DA_INAD200785B", "https://www.amazon.jobs/jobs/3128807/sr-applied-scientist-agi-foundations?cmpid=DA_INAD200785B")</f>
        <v/>
      </c>
      <c r="G144" t="inlineStr">
        <is>
          <t>Boston, MA, US</t>
        </is>
      </c>
      <c r="H144" s="3" t="n">
        <v>45978</v>
      </c>
      <c r="I14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in-0a6edd5e0205e823</t>
        </is>
      </c>
      <c r="B145" t="inlineStr">
        <is>
          <t>Sr. Applied Scientist, AGI Foundations</t>
        </is>
      </c>
      <c r="C145" t="inlineStr">
        <is>
          <t>Amazon.com</t>
        </is>
      </c>
      <c r="D145" t="inlineStr">
        <is>
          <t>indeed</t>
        </is>
      </c>
      <c r="E145">
        <f>HYPERLINK("https://www.indeed.com/viewjob?jk=0a6edd5e0205e823", "https://www.indeed.com/viewjob?jk=0a6edd5e0205e823")</f>
        <v/>
      </c>
      <c r="F145">
        <f>HYPERLINK("https://www.amazon.jobs/jobs/3128807/sr-applied-scientist-agi-foundations?cmpid=DA_INAD200785B", "https://www.amazon.jobs/jobs/3128807/sr-applied-scientist-agi-foundations?cmpid=DA_INAD200785B")</f>
        <v/>
      </c>
      <c r="G145" t="inlineStr">
        <is>
          <t>Sunnyvale, CA, US</t>
        </is>
      </c>
      <c r="H145" s="3" t="n">
        <v>45978</v>
      </c>
      <c r="I14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in-9e3d6e22360f9684</t>
        </is>
      </c>
      <c r="B146" t="inlineStr">
        <is>
          <t>Sr. Applied Scientist, AGI Foundations</t>
        </is>
      </c>
      <c r="C146" t="inlineStr">
        <is>
          <t>Amazon.com</t>
        </is>
      </c>
      <c r="D146" t="inlineStr">
        <is>
          <t>indeed</t>
        </is>
      </c>
      <c r="E146">
        <f>HYPERLINK("https://www.indeed.com/viewjob?jk=9e3d6e22360f9684", "https://www.indeed.com/viewjob?jk=9e3d6e22360f9684")</f>
        <v/>
      </c>
      <c r="F146">
        <f>HYPERLINK("https://www.amazon.jobs/jobs/3123268/sr-applied-scientist-agi-foundations?cmpid=DA_INAD200785B", "https://www.amazon.jobs/jobs/3123268/sr-applied-scientist-agi-foundations?cmpid=DA_INAD200785B")</f>
        <v/>
      </c>
      <c r="G146" t="inlineStr">
        <is>
          <t>Bellevue, WA, US</t>
        </is>
      </c>
      <c r="H146" s="3" t="n">
        <v>45963</v>
      </c>
      <c r="I14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in-12f113eee8e4bdd5</t>
        </is>
      </c>
      <c r="B147" t="inlineStr">
        <is>
          <t>Sr. Applied Scientist, AGI Foundations</t>
        </is>
      </c>
      <c r="C147" t="inlineStr">
        <is>
          <t>Amazon.com</t>
        </is>
      </c>
      <c r="D147" t="inlineStr">
        <is>
          <t>indeed</t>
        </is>
      </c>
      <c r="E147">
        <f>HYPERLINK("https://www.indeed.com/viewjob?jk=12f113eee8e4bdd5", "https://www.indeed.com/viewjob?jk=12f113eee8e4bdd5")</f>
        <v/>
      </c>
      <c r="F147">
        <f>HYPERLINK("https://www.amazon.jobs/jobs/3123268/sr-applied-scientist-agi-foundations?cmpid=DA_INAD200785B", "https://www.amazon.jobs/jobs/3123268/sr-applied-scientist-agi-foundations?cmpid=DA_INAD200785B")</f>
        <v/>
      </c>
      <c r="G147" t="inlineStr">
        <is>
          <t>Boston, MA, US</t>
        </is>
      </c>
      <c r="H147" s="3" t="n">
        <v>45963</v>
      </c>
      <c r="I14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in-fbdfd9d12ff28ff1</t>
        </is>
      </c>
      <c r="B148" t="inlineStr">
        <is>
          <t>Sr. Applied Scientist, AGI Foundations</t>
        </is>
      </c>
      <c r="C148" t="inlineStr">
        <is>
          <t>Amazon.com</t>
        </is>
      </c>
      <c r="D148" t="inlineStr">
        <is>
          <t>indeed</t>
        </is>
      </c>
      <c r="E148">
        <f>HYPERLINK("https://www.indeed.com/viewjob?jk=fbdfd9d12ff28ff1", "https://www.indeed.com/viewjob?jk=fbdfd9d12ff28ff1")</f>
        <v/>
      </c>
      <c r="F148">
        <f>HYPERLINK("https://www.amazon.jobs/jobs/3123268/sr-applied-scientist-agi-foundations?cmpid=DA_INAD200785B", "https://www.amazon.jobs/jobs/3123268/sr-applied-scientist-agi-foundations?cmpid=DA_INAD200785B")</f>
        <v/>
      </c>
      <c r="G148" t="inlineStr">
        <is>
          <t>New York, NY, US</t>
        </is>
      </c>
      <c r="H148" s="3" t="n">
        <v>45963</v>
      </c>
      <c r="I14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in-d4a7ead3637f35c4</t>
        </is>
      </c>
      <c r="B149" t="inlineStr">
        <is>
          <t>Applied Scientist II, Prime Video - Personalization and Discovery Science, Personalization and Discovery Science</t>
        </is>
      </c>
      <c r="C149" t="inlineStr">
        <is>
          <t>Amazon.com</t>
        </is>
      </c>
      <c r="D149" t="inlineStr">
        <is>
          <t>indeed</t>
        </is>
      </c>
      <c r="E149">
        <f>HYPERLINK("https://www.indeed.com/viewjob?jk=d4a7ead3637f35c4", "https://www.indeed.com/viewjob?jk=d4a7ead3637f35c4")</f>
        <v/>
      </c>
      <c r="F149">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49" t="inlineStr">
        <is>
          <t>New York, NY, US</t>
        </is>
      </c>
      <c r="H149" s="3" t="n">
        <v>45930</v>
      </c>
      <c r="I1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in-a6e73d83cc4e409e</t>
        </is>
      </c>
      <c r="B150" t="inlineStr">
        <is>
          <t>Applied Scientist II, Prime Video - Personalization and Discovery Science, Personalization and Discovery Science</t>
        </is>
      </c>
      <c r="C150" t="inlineStr">
        <is>
          <t>Amazon.com</t>
        </is>
      </c>
      <c r="D150" t="inlineStr">
        <is>
          <t>indeed</t>
        </is>
      </c>
      <c r="E150">
        <f>HYPERLINK("https://www.indeed.com/viewjob?jk=a6e73d83cc4e409e", "https://www.indeed.com/viewjob?jk=a6e73d83cc4e409e")</f>
        <v/>
      </c>
      <c r="F150">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50" t="inlineStr">
        <is>
          <t>Sunnyvale, CA, US</t>
        </is>
      </c>
      <c r="H150" s="3" t="n">
        <v>45930</v>
      </c>
      <c r="I1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in-48107e9ebf566db6</t>
        </is>
      </c>
      <c r="B151" t="inlineStr">
        <is>
          <t>Applied Scientist II, Prime Video - Personalization and Discovery Science</t>
        </is>
      </c>
      <c r="C151" t="inlineStr">
        <is>
          <t>Amazon.com</t>
        </is>
      </c>
      <c r="D151" t="inlineStr">
        <is>
          <t>indeed</t>
        </is>
      </c>
      <c r="E151">
        <f>HYPERLINK("https://www.indeed.com/viewjob?jk=48107e9ebf566db6", "https://www.indeed.com/viewjob?jk=48107e9ebf566db6")</f>
        <v/>
      </c>
      <c r="F151">
        <f>HYPERLINK("https://www.amazon.jobs/jobs/3086060/applied-scientist-ii-prime-video--personalization-and-discovery-science?cmpid=DA_INAD200785B", "https://www.amazon.jobs/jobs/3086060/applied-scientist-ii-prime-video--personalization-and-discovery-science?cmpid=DA_INAD200785B")</f>
        <v/>
      </c>
      <c r="G151" t="inlineStr">
        <is>
          <t>Sunnyvale, CA, US</t>
        </is>
      </c>
      <c r="H151" s="3" t="n">
        <v>45915</v>
      </c>
      <c r="I1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in-7a7606e75d5533de</t>
        </is>
      </c>
      <c r="B152" t="inlineStr">
        <is>
          <t>Applied Scientist II, Prime Video - Personalization and Discovery Science</t>
        </is>
      </c>
      <c r="C152" t="inlineStr">
        <is>
          <t>Amazon.com</t>
        </is>
      </c>
      <c r="D152" t="inlineStr">
        <is>
          <t>indeed</t>
        </is>
      </c>
      <c r="E152">
        <f>HYPERLINK("https://www.indeed.com/viewjob?jk=7a7606e75d5533de", "https://www.indeed.com/viewjob?jk=7a7606e75d5533de")</f>
        <v/>
      </c>
      <c r="F152">
        <f>HYPERLINK("https://www.amazon.jobs/jobs/3086060/applied-scientist-ii-prime-video--personalization-and-discovery-science?cmpid=DA_INAD200785B", "https://www.amazon.jobs/jobs/3086060/applied-scientist-ii-prime-video--personalization-and-discovery-science?cmpid=DA_INAD200785B")</f>
        <v/>
      </c>
      <c r="G152" t="inlineStr">
        <is>
          <t>Seattle, WA, US</t>
        </is>
      </c>
      <c r="H152" s="3" t="n">
        <v>45915</v>
      </c>
      <c r="I1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in-948b22f4d3212336</t>
        </is>
      </c>
      <c r="B153" t="inlineStr">
        <is>
          <t>Sr. Applied Scientist, Prime Video - Personalization and Discovery Science</t>
        </is>
      </c>
      <c r="C153" t="inlineStr">
        <is>
          <t>Amazon.com</t>
        </is>
      </c>
      <c r="D153" t="inlineStr">
        <is>
          <t>indeed</t>
        </is>
      </c>
      <c r="E153">
        <f>HYPERLINK("https://www.indeed.com/viewjob?jk=948b22f4d3212336", "https://www.indeed.com/viewjob?jk=948b22f4d3212336")</f>
        <v/>
      </c>
      <c r="F153">
        <f>HYPERLINK("https://www.amazon.jobs/jobs/3083564/sr-applied-scientist-prime-video--personalization-and-discovery-science?cmpid=DA_INAD200785B", "https://www.amazon.jobs/jobs/3083564/sr-applied-scientist-prime-video--personalization-and-discovery-science?cmpid=DA_INAD200785B")</f>
        <v/>
      </c>
      <c r="G153" t="inlineStr">
        <is>
          <t>Sunnyvale, CA, US</t>
        </is>
      </c>
      <c r="H153" s="3" t="n">
        <v>45914</v>
      </c>
      <c r="I1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in-50b16a74d1ab212c</t>
        </is>
      </c>
      <c r="B154" t="inlineStr">
        <is>
          <t>Senior Applied Scientist, Artificial General Intelligence</t>
        </is>
      </c>
      <c r="C154" t="inlineStr">
        <is>
          <t>Amazon.com</t>
        </is>
      </c>
      <c r="D154" t="inlineStr">
        <is>
          <t>indeed</t>
        </is>
      </c>
      <c r="E154">
        <f>HYPERLINK("https://www.indeed.com/viewjob?jk=50b16a74d1ab212c", "https://www.indeed.com/viewjob?jk=50b16a74d1ab212c")</f>
        <v/>
      </c>
      <c r="F154">
        <f>HYPERLINK("https://www.amazon.jobs/jobs/3078137/senior-applied-scientist-artificial-general-intelligence?cmpid=DA_INAD200785B", "https://www.amazon.jobs/jobs/3078137/senior-applied-scientist-artificial-general-intelligence?cmpid=DA_INAD200785B")</f>
        <v/>
      </c>
      <c r="G154" t="inlineStr">
        <is>
          <t>Bellevue, WA, US</t>
        </is>
      </c>
      <c r="H154" s="3" t="n">
        <v>45907</v>
      </c>
      <c r="I154"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in-0ec8ee6b91d16e73</t>
        </is>
      </c>
      <c r="B155" t="inlineStr">
        <is>
          <t>Senior Applied Scientist, Artificial General Intelligence</t>
        </is>
      </c>
      <c r="C155" t="inlineStr">
        <is>
          <t>Amazon.com</t>
        </is>
      </c>
      <c r="D155" t="inlineStr">
        <is>
          <t>indeed</t>
        </is>
      </c>
      <c r="E155">
        <f>HYPERLINK("https://www.indeed.com/viewjob?jk=0ec8ee6b91d16e73", "https://www.indeed.com/viewjob?jk=0ec8ee6b91d16e73")</f>
        <v/>
      </c>
      <c r="F155">
        <f>HYPERLINK("https://www.amazon.jobs/jobs/3078137/senior-applied-scientist-artificial-general-intelligence?cmpid=DA_INAD200785B", "https://www.amazon.jobs/jobs/3078137/senior-applied-scientist-artificial-general-intelligence?cmpid=DA_INAD200785B")</f>
        <v/>
      </c>
      <c r="G155" t="inlineStr">
        <is>
          <t>Cambridge, MA, US</t>
        </is>
      </c>
      <c r="H155" s="3" t="n">
        <v>45907</v>
      </c>
      <c r="I15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in-f7fe4dcc98a5c3fc</t>
        </is>
      </c>
      <c r="B156" t="inlineStr">
        <is>
          <t>Senior Applied Scientist, Artificial General Intelligence</t>
        </is>
      </c>
      <c r="C156" t="inlineStr">
        <is>
          <t>Amazon.com</t>
        </is>
      </c>
      <c r="D156" t="inlineStr">
        <is>
          <t>indeed</t>
        </is>
      </c>
      <c r="E156">
        <f>HYPERLINK("https://www.indeed.com/viewjob?jk=f7fe4dcc98a5c3fc", "https://www.indeed.com/viewjob?jk=f7fe4dcc98a5c3fc")</f>
        <v/>
      </c>
      <c r="F156">
        <f>HYPERLINK("https://www.amazon.jobs/jobs/3078137/senior-applied-scientist-artificial-general-intelligence?cmpid=DA_INAD200785B", "https://www.amazon.jobs/jobs/3078137/senior-applied-scientist-artificial-general-intelligence?cmpid=DA_INAD200785B")</f>
        <v/>
      </c>
      <c r="G156" t="inlineStr">
        <is>
          <t>Sunnyvale, CA, US</t>
        </is>
      </c>
      <c r="H156" s="3" t="n">
        <v>45907</v>
      </c>
      <c r="I15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in-25492bdfceb64384</t>
        </is>
      </c>
      <c r="B157" t="inlineStr">
        <is>
          <t>Senior Applied Scientist, Artificial General Intelligence</t>
        </is>
      </c>
      <c r="C157" t="inlineStr">
        <is>
          <t>Amazon.com</t>
        </is>
      </c>
      <c r="D157" t="inlineStr">
        <is>
          <t>indeed</t>
        </is>
      </c>
      <c r="E157">
        <f>HYPERLINK("https://www.indeed.com/viewjob?jk=25492bdfceb64384", "https://www.indeed.com/viewjob?jk=25492bdfceb64384")</f>
        <v/>
      </c>
      <c r="F157">
        <f>HYPERLINK("https://www.amazon.jobs/jobs/3078137/senior-applied-scientist-artificial-general-intelligence?cmpid=DA_INAD200785B", "https://www.amazon.jobs/jobs/3078137/senior-applied-scientist-artificial-general-intelligence?cmpid=DA_INAD200785B")</f>
        <v/>
      </c>
      <c r="G157" t="inlineStr">
        <is>
          <t>New York, NY, US</t>
        </is>
      </c>
      <c r="H157" s="3" t="n">
        <v>45907</v>
      </c>
      <c r="I15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in-fd980f33c01a4d28</t>
        </is>
      </c>
      <c r="B158" t="inlineStr">
        <is>
          <t>Applied Scientist II, Prime Video - Personalization and Discovery Science, Personalization and Discovery Science</t>
        </is>
      </c>
      <c r="C158" t="inlineStr">
        <is>
          <t>Amazon.com</t>
        </is>
      </c>
      <c r="D158" t="inlineStr">
        <is>
          <t>indeed</t>
        </is>
      </c>
      <c r="E158">
        <f>HYPERLINK("https://www.indeed.com/viewjob?jk=fd980f33c01a4d28", "https://www.indeed.com/viewjob?jk=fd980f33c01a4d28")</f>
        <v/>
      </c>
      <c r="F158">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158" t="inlineStr">
        <is>
          <t>Seattle, WA, US</t>
        </is>
      </c>
      <c r="H158" s="3" t="n">
        <v>45886</v>
      </c>
      <c r="I1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in-55e1833485f24e28</t>
        </is>
      </c>
      <c r="B159" t="inlineStr">
        <is>
          <t>Applied Scientist II, Prime Video - Personalization and Discovery Science, Personalization and Discovery Science</t>
        </is>
      </c>
      <c r="C159" t="inlineStr">
        <is>
          <t>Amazon.com</t>
        </is>
      </c>
      <c r="D159" t="inlineStr">
        <is>
          <t>indeed</t>
        </is>
      </c>
      <c r="E159">
        <f>HYPERLINK("https://www.indeed.com/viewjob?jk=55e1833485f24e28", "https://www.indeed.com/viewjob?jk=55e1833485f24e28")</f>
        <v/>
      </c>
      <c r="F159">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159" t="inlineStr">
        <is>
          <t>Sunnyvale, CA, US</t>
        </is>
      </c>
      <c r="H159" s="3" t="n">
        <v>45886</v>
      </c>
      <c r="I1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in-74c1973ce787c313</t>
        </is>
      </c>
      <c r="B160" t="inlineStr">
        <is>
          <t>Sr. Applied Scientist, Prime Video - Personalization and Discovery Science</t>
        </is>
      </c>
      <c r="C160" t="inlineStr">
        <is>
          <t>Amazon.com</t>
        </is>
      </c>
      <c r="D160" t="inlineStr">
        <is>
          <t>indeed</t>
        </is>
      </c>
      <c r="E160">
        <f>HYPERLINK("https://www.indeed.com/viewjob?jk=74c1973ce787c313", "https://www.indeed.com/viewjob?jk=74c1973ce787c313")</f>
        <v/>
      </c>
      <c r="F160">
        <f>HYPERLINK("https://www.amazon.jobs/jobs/3061266/sr-applied-scientist-prime-video--personalization-and-discovery-science?cmpid=DA_INAD200785B", "https://www.amazon.jobs/jobs/3061266/sr-applied-scientist-prime-video--personalization-and-discovery-science?cmpid=DA_INAD200785B")</f>
        <v/>
      </c>
      <c r="G160" t="inlineStr">
        <is>
          <t>Sunnyvale, CA, US</t>
        </is>
      </c>
      <c r="H160" s="3" t="n">
        <v>45886</v>
      </c>
      <c r="I1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in-aa39e01f1c4e176a</t>
        </is>
      </c>
      <c r="B161" t="inlineStr">
        <is>
          <t>Applied Scientist II, Prime Video - Personalization and Discovery Science, Personalization and Discovery Science</t>
        </is>
      </c>
      <c r="C161" t="inlineStr">
        <is>
          <t>Amazon.com</t>
        </is>
      </c>
      <c r="D161" t="inlineStr">
        <is>
          <t>indeed</t>
        </is>
      </c>
      <c r="E161">
        <f>HYPERLINK("https://www.indeed.com/viewjob?jk=aa39e01f1c4e176a", "https://www.indeed.com/viewjob?jk=aa39e01f1c4e176a")</f>
        <v/>
      </c>
      <c r="F161">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161" t="inlineStr">
        <is>
          <t>New York, NY, US</t>
        </is>
      </c>
      <c r="H161" s="3" t="n">
        <v>45886</v>
      </c>
      <c r="I1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in-91c3b699480f1c10</t>
        </is>
      </c>
      <c r="B162" t="inlineStr">
        <is>
          <t>Sr. Applied Scientist, Prime Video - Personalization and Discovery Science</t>
        </is>
      </c>
      <c r="C162" t="inlineStr">
        <is>
          <t>Amazon.com</t>
        </is>
      </c>
      <c r="D162" t="inlineStr">
        <is>
          <t>indeed</t>
        </is>
      </c>
      <c r="E162">
        <f>HYPERLINK("https://www.indeed.com/viewjob?jk=91c3b699480f1c10", "https://www.indeed.com/viewjob?jk=91c3b699480f1c10")</f>
        <v/>
      </c>
      <c r="F162">
        <f>HYPERLINK("https://www.amazon.jobs/jobs/3061266/sr-applied-scientist-prime-video--personalization-and-discovery-science?cmpid=DA_INAD200785B", "https://www.amazon.jobs/jobs/3061266/sr-applied-scientist-prime-video--personalization-and-discovery-science?cmpid=DA_INAD200785B")</f>
        <v/>
      </c>
      <c r="G162" t="inlineStr">
        <is>
          <t>Seattle, WA, US</t>
        </is>
      </c>
      <c r="H162" s="3" t="n">
        <v>45886</v>
      </c>
      <c r="I1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in-bfbc55c2ba997e5e</t>
        </is>
      </c>
      <c r="B163" t="inlineStr">
        <is>
          <t>Sr. Applied Scientist, Prime Video - Personalization and Discovery Science</t>
        </is>
      </c>
      <c r="C163" t="inlineStr">
        <is>
          <t>Amazon.com</t>
        </is>
      </c>
      <c r="D163" t="inlineStr">
        <is>
          <t>indeed</t>
        </is>
      </c>
      <c r="E163">
        <f>HYPERLINK("https://www.indeed.com/viewjob?jk=bfbc55c2ba997e5e", "https://www.indeed.com/viewjob?jk=bfbc55c2ba997e5e")</f>
        <v/>
      </c>
      <c r="F163">
        <f>HYPERLINK("https://www.amazon.jobs/jobs/3061266/sr-applied-scientist-prime-video--personalization-and-discovery-science?cmpid=DA_INAD200785B", "https://www.amazon.jobs/jobs/3061266/sr-applied-scientist-prime-video--personalization-and-discovery-science?cmpid=DA_INAD200785B")</f>
        <v/>
      </c>
      <c r="G163" t="inlineStr">
        <is>
          <t>New York, NY, US</t>
        </is>
      </c>
      <c r="H163" s="3" t="n">
        <v>45886</v>
      </c>
      <c r="I1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in-46804c931240c895</t>
        </is>
      </c>
      <c r="B164" t="inlineStr">
        <is>
          <t>Sr. Applied Scientist, Prime Video - Personalization and Discovery Science</t>
        </is>
      </c>
      <c r="C164" t="inlineStr">
        <is>
          <t>Amazon.com</t>
        </is>
      </c>
      <c r="D164" t="inlineStr">
        <is>
          <t>indeed</t>
        </is>
      </c>
      <c r="E164">
        <f>HYPERLINK("https://www.indeed.com/viewjob?jk=46804c931240c895", "https://www.indeed.com/viewjob?jk=46804c931240c895")</f>
        <v/>
      </c>
      <c r="F164">
        <f>HYPERLINK("https://www.amazon.jobs/jobs/3059256/sr-applied-scientist-prime-video--personalization-and-discovery-science?cmpid=DA_INAD200785B", "https://www.amazon.jobs/jobs/3059256/sr-applied-scientist-prime-video--personalization-and-discovery-science?cmpid=DA_INAD200785B")</f>
        <v/>
      </c>
      <c r="G164" t="inlineStr">
        <is>
          <t>New York, NY, US</t>
        </is>
      </c>
      <c r="H164" s="3" t="n">
        <v>45881</v>
      </c>
      <c r="I1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in-e72a48b5949635e8</t>
        </is>
      </c>
      <c r="B165" t="inlineStr">
        <is>
          <t>Applied Scientist II, Prime Video - Personalization and Discovery Science</t>
        </is>
      </c>
      <c r="C165" t="inlineStr">
        <is>
          <t>Amazon.com</t>
        </is>
      </c>
      <c r="D165" t="inlineStr">
        <is>
          <t>indeed</t>
        </is>
      </c>
      <c r="E165">
        <f>HYPERLINK("https://www.indeed.com/viewjob?jk=e72a48b5949635e8", "https://www.indeed.com/viewjob?jk=e72a48b5949635e8")</f>
        <v/>
      </c>
      <c r="F165">
        <f>HYPERLINK("https://www.amazon.jobs/jobs/3059253/applied-scientist-ii-prime-video--personalization-and-discovery-science?cmpid=DA_INAD200785B", "https://www.amazon.jobs/jobs/3059253/applied-scientist-ii-prime-video--personalization-and-discovery-science?cmpid=DA_INAD200785B")</f>
        <v/>
      </c>
      <c r="G165" t="inlineStr">
        <is>
          <t>New York, NY, US</t>
        </is>
      </c>
      <c r="H165" s="3" t="n">
        <v>45881</v>
      </c>
      <c r="I1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in-5d6712530e07aa41</t>
        </is>
      </c>
      <c r="B166" t="inlineStr">
        <is>
          <t>Applied Scientist, Prime Video - Personalization and Discovery Science</t>
        </is>
      </c>
      <c r="C166" t="inlineStr">
        <is>
          <t>Amazon.com</t>
        </is>
      </c>
      <c r="D166" t="inlineStr">
        <is>
          <t>indeed</t>
        </is>
      </c>
      <c r="E166">
        <f>HYPERLINK("https://www.indeed.com/viewjob?jk=5d6712530e07aa41", "https://www.indeed.com/viewjob?jk=5d6712530e07aa41")</f>
        <v/>
      </c>
      <c r="F166">
        <f>HYPERLINK("https://www.amazon.jobs/jobs/3033050/applied-scientist-prime-video--personalization-and-discovery-science?cmpid=DA_INAD200785B", "https://www.amazon.jobs/jobs/3033050/applied-scientist-prime-video--personalization-and-discovery-science?cmpid=DA_INAD200785B")</f>
        <v/>
      </c>
      <c r="G166" t="inlineStr">
        <is>
          <t>Sunnyvale, CA, US</t>
        </is>
      </c>
      <c r="H166" s="3" t="n">
        <v>45845</v>
      </c>
      <c r="I1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in-efa688fd5a47f8db</t>
        </is>
      </c>
      <c r="B167" t="inlineStr">
        <is>
          <t>Applied Scientist, Prime Video - Personalization and Discovery Science</t>
        </is>
      </c>
      <c r="C167" t="inlineStr">
        <is>
          <t>Amazon.com</t>
        </is>
      </c>
      <c r="D167" t="inlineStr">
        <is>
          <t>indeed</t>
        </is>
      </c>
      <c r="E167">
        <f>HYPERLINK("https://www.indeed.com/viewjob?jk=efa688fd5a47f8db", "https://www.indeed.com/viewjob?jk=efa688fd5a47f8db")</f>
        <v/>
      </c>
      <c r="F167">
        <f>HYPERLINK("https://www.amazon.jobs/jobs/3033050/applied-scientist-prime-video--personalization-and-discovery-science?cmpid=DA_INAD200785B", "https://www.amazon.jobs/jobs/3033050/applied-scientist-prime-video--personalization-and-discovery-science?cmpid=DA_INAD200785B")</f>
        <v/>
      </c>
      <c r="G167" t="inlineStr">
        <is>
          <t>New York, NY, US</t>
        </is>
      </c>
      <c r="H167" s="3" t="n">
        <v>45845</v>
      </c>
      <c r="I1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in-d182c63c7154e5b6</t>
        </is>
      </c>
      <c r="B168" t="inlineStr">
        <is>
          <t>Applied Scientist, Prime Video - Personalization and Discovery Science</t>
        </is>
      </c>
      <c r="C168" t="inlineStr">
        <is>
          <t>Amazon.com</t>
        </is>
      </c>
      <c r="D168" t="inlineStr">
        <is>
          <t>indeed</t>
        </is>
      </c>
      <c r="E168">
        <f>HYPERLINK("https://www.indeed.com/viewjob?jk=d182c63c7154e5b6", "https://www.indeed.com/viewjob?jk=d182c63c7154e5b6")</f>
        <v/>
      </c>
      <c r="F168">
        <f>HYPERLINK("https://www.amazon.jobs/jobs/3033050/applied-scientist-prime-video--personalization-and-discovery-science?cmpid=DA_INAD200785B", "https://www.amazon.jobs/jobs/3033050/applied-scientist-prime-video--personalization-and-discovery-science?cmpid=DA_INAD200785B")</f>
        <v/>
      </c>
      <c r="G168" t="inlineStr">
        <is>
          <t>Seattle, WA, US</t>
        </is>
      </c>
      <c r="H168" s="3" t="n">
        <v>45845</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in-8aa8ffdeac60d1ef</t>
        </is>
      </c>
      <c r="B169" t="inlineStr">
        <is>
          <t>Sr. Applied Scientist, Prime Video - Personalization and Discovery Science</t>
        </is>
      </c>
      <c r="C169" t="inlineStr">
        <is>
          <t>Amazon.com</t>
        </is>
      </c>
      <c r="D169" t="inlineStr">
        <is>
          <t>indeed</t>
        </is>
      </c>
      <c r="E169">
        <f>HYPERLINK("https://www.indeed.com/viewjob?jk=8aa8ffdeac60d1ef", "https://www.indeed.com/viewjob?jk=8aa8ffdeac60d1ef")</f>
        <v/>
      </c>
      <c r="F169">
        <f>HYPERLINK("https://www.amazon.jobs/jobs/3011754/sr-applied-scientist-prime-video--personalization-and-discovery-science?cmpid=DA_INAD200785B", "https://www.amazon.jobs/jobs/3011754/sr-applied-scientist-prime-video--personalization-and-discovery-science?cmpid=DA_INAD200785B")</f>
        <v/>
      </c>
      <c r="G169" t="inlineStr">
        <is>
          <t>Seattle, WA, US</t>
        </is>
      </c>
      <c r="H169" s="3" t="n">
        <v>45819</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in-56d36db83861f386</t>
        </is>
      </c>
      <c r="B170" t="inlineStr">
        <is>
          <t>Sr. Applied Scientist, Prime Video - Personalization and Discovery Science</t>
        </is>
      </c>
      <c r="C170" t="inlineStr">
        <is>
          <t>Amazon.com</t>
        </is>
      </c>
      <c r="D170" t="inlineStr">
        <is>
          <t>indeed</t>
        </is>
      </c>
      <c r="E170">
        <f>HYPERLINK("https://www.indeed.com/viewjob?jk=56d36db83861f386", "https://www.indeed.com/viewjob?jk=56d36db83861f386")</f>
        <v/>
      </c>
      <c r="F170">
        <f>HYPERLINK("https://www.amazon.jobs/jobs/3011754/sr-applied-scientist-prime-video--personalization-and-discovery-science?cmpid=DA_INAD200785B", "https://www.amazon.jobs/jobs/3011754/sr-applied-scientist-prime-video--personalization-and-discovery-science?cmpid=DA_INAD200785B")</f>
        <v/>
      </c>
      <c r="G170" t="inlineStr">
        <is>
          <t>Sunnyvale, CA, US</t>
        </is>
      </c>
      <c r="H170" s="3" t="n">
        <v>45819</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in-06477b704658846f</t>
        </is>
      </c>
      <c r="B171" t="inlineStr">
        <is>
          <t>Applied Scientist, ML Compiler</t>
        </is>
      </c>
      <c r="C171" t="inlineStr">
        <is>
          <t>Amazon Web Services</t>
        </is>
      </c>
      <c r="D171" t="inlineStr">
        <is>
          <t>indeed</t>
        </is>
      </c>
      <c r="E171">
        <f>HYPERLINK("https://www.indeed.com/viewjob?jk=06477b704658846f", "https://www.indeed.com/viewjob?jk=06477b704658846f")</f>
        <v/>
      </c>
      <c r="F171">
        <f>HYPERLINK("https://www.amazon.jobs/jobs/3136884/applied-scientist-ml-compiler?cmpid=DA_INAD200785B", "https://www.amazon.jobs/jobs/3136884/applied-scientist-ml-compiler?cmpid=DA_INAD200785B")</f>
        <v/>
      </c>
      <c r="G171" t="inlineStr">
        <is>
          <t>Cupertino, CA, US</t>
        </is>
      </c>
      <c r="H171" s="3" t="n">
        <v>45993</v>
      </c>
      <c r="I171"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in-ff90efab40858eae</t>
        </is>
      </c>
      <c r="B172" t="inlineStr">
        <is>
          <t>Applied Scientist, ML Compiler</t>
        </is>
      </c>
      <c r="C172" t="inlineStr">
        <is>
          <t>Amazon Web Services</t>
        </is>
      </c>
      <c r="D172" t="inlineStr">
        <is>
          <t>indeed</t>
        </is>
      </c>
      <c r="E172">
        <f>HYPERLINK("https://www.indeed.com/viewjob?jk=ff90efab40858eae", "https://www.indeed.com/viewjob?jk=ff90efab40858eae")</f>
        <v/>
      </c>
      <c r="F172">
        <f>HYPERLINK("https://www.amazon.jobs/jobs/3136884/applied-scientist-ml-compiler?cmpid=DA_INAD200785B", "https://www.amazon.jobs/jobs/3136884/applied-scientist-ml-compiler?cmpid=DA_INAD200785B")</f>
        <v/>
      </c>
      <c r="G172" t="inlineStr">
        <is>
          <t>Seattle, WA, US</t>
        </is>
      </c>
      <c r="H172" s="3" t="n">
        <v>45993</v>
      </c>
      <c r="I172"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in-8bfbd5ca6aa5d641</t>
        </is>
      </c>
      <c r="B173" t="inlineStr">
        <is>
          <t>Applied Scientist, Model Customization, Generative AI Innovation Center, Model Customization</t>
        </is>
      </c>
      <c r="C173" t="inlineStr">
        <is>
          <t>Amazon Web Services</t>
        </is>
      </c>
      <c r="D173" t="inlineStr">
        <is>
          <t>indeed</t>
        </is>
      </c>
      <c r="E173">
        <f>HYPERLINK("https://www.indeed.com/viewjob?jk=8bfbd5ca6aa5d641", "https://www.indeed.com/viewjob?jk=8bfbd5ca6aa5d641")</f>
        <v/>
      </c>
      <c r="F173">
        <f>HYPERLINK("https://www.amazon.jobs/jobs/3137793/applied-scientist-model-customization-generative-ai-innovation-center-model-customization?cmpid=DA_INAD200785B", "https://www.amazon.jobs/jobs/3137793/applied-scientist-model-customization-generative-ai-innovation-center-model-customization?cmpid=DA_INAD200785B")</f>
        <v/>
      </c>
      <c r="G173" t="inlineStr">
        <is>
          <t>New York, NY, US</t>
        </is>
      </c>
      <c r="H173" s="3" t="n">
        <v>45993</v>
      </c>
      <c r="I17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in-e09d8e6c073064aa</t>
        </is>
      </c>
      <c r="B174" t="inlineStr">
        <is>
          <t>Senior Applied Scientist, Artificial General Intelligence</t>
        </is>
      </c>
      <c r="C174" t="inlineStr">
        <is>
          <t>Amazon.com</t>
        </is>
      </c>
      <c r="D174" t="inlineStr">
        <is>
          <t>indeed</t>
        </is>
      </c>
      <c r="E174">
        <f>HYPERLINK("https://www.indeed.com/viewjob?jk=e09d8e6c073064aa", "https://www.indeed.com/viewjob?jk=e09d8e6c073064aa")</f>
        <v/>
      </c>
      <c r="F174">
        <f>HYPERLINK("https://www.amazon.jobs/jobs/3131971/senior-applied-scientist-artificial-general-intelligence?cmpid=DA_INAD200785B", "https://www.amazon.jobs/jobs/3131971/senior-applied-scientist-artificial-general-intelligence?cmpid=DA_INAD200785B")</f>
        <v/>
      </c>
      <c r="G174" t="inlineStr">
        <is>
          <t>Boston, MA, US</t>
        </is>
      </c>
      <c r="H174" s="3" t="n">
        <v>45980</v>
      </c>
      <c r="I17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in-8205a2e33436fd2b</t>
        </is>
      </c>
      <c r="B175" t="inlineStr">
        <is>
          <t>Senior Applied Scientist, Artificial General Intelligence</t>
        </is>
      </c>
      <c r="C175" t="inlineStr">
        <is>
          <t>Amazon.com</t>
        </is>
      </c>
      <c r="D175" t="inlineStr">
        <is>
          <t>indeed</t>
        </is>
      </c>
      <c r="E175">
        <f>HYPERLINK("https://www.indeed.com/viewjob?jk=8205a2e33436fd2b", "https://www.indeed.com/viewjob?jk=8205a2e33436fd2b")</f>
        <v/>
      </c>
      <c r="F175">
        <f>HYPERLINK("https://www.amazon.jobs/jobs/3131971/senior-applied-scientist-artificial-general-intelligence?cmpid=DA_INAD200785B", "https://www.amazon.jobs/jobs/3131971/senior-applied-scientist-artificial-general-intelligence?cmpid=DA_INAD200785B")</f>
        <v/>
      </c>
      <c r="G175" t="inlineStr">
        <is>
          <t>New York, NY, US</t>
        </is>
      </c>
      <c r="H175" s="3" t="n">
        <v>45980</v>
      </c>
      <c r="I17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in-786ccb2020b1ab89</t>
        </is>
      </c>
      <c r="B176" t="inlineStr">
        <is>
          <t>Senior Applied Scientist, Artificial General Intelligence</t>
        </is>
      </c>
      <c r="C176" t="inlineStr">
        <is>
          <t>Amazon.com</t>
        </is>
      </c>
      <c r="D176" t="inlineStr">
        <is>
          <t>indeed</t>
        </is>
      </c>
      <c r="E176">
        <f>HYPERLINK("https://www.indeed.com/viewjob?jk=786ccb2020b1ab89", "https://www.indeed.com/viewjob?jk=786ccb2020b1ab89")</f>
        <v/>
      </c>
      <c r="F176">
        <f>HYPERLINK("https://www.amazon.jobs/jobs/3131971/senior-applied-scientist-artificial-general-intelligence?cmpid=DA_INAD200785B", "https://www.amazon.jobs/jobs/3131971/senior-applied-scientist-artificial-general-intelligence?cmpid=DA_INAD200785B")</f>
        <v/>
      </c>
      <c r="G176" t="inlineStr">
        <is>
          <t>Sunnyvale, CA, US</t>
        </is>
      </c>
      <c r="H176" s="3" t="n">
        <v>45980</v>
      </c>
      <c r="I17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in-26932f3c791dd973</t>
        </is>
      </c>
      <c r="B177" t="inlineStr">
        <is>
          <t>Senior Applied Scientist, Artificial General Intelligence</t>
        </is>
      </c>
      <c r="C177" t="inlineStr">
        <is>
          <t>Amazon.com</t>
        </is>
      </c>
      <c r="D177" t="inlineStr">
        <is>
          <t>indeed</t>
        </is>
      </c>
      <c r="E177">
        <f>HYPERLINK("https://www.indeed.com/viewjob?jk=26932f3c791dd973", "https://www.indeed.com/viewjob?jk=26932f3c791dd973")</f>
        <v/>
      </c>
      <c r="F177">
        <f>HYPERLINK("https://www.amazon.jobs/jobs/3131971/senior-applied-scientist-artificial-general-intelligence?cmpid=DA_INAD200785B", "https://www.amazon.jobs/jobs/3131971/senior-applied-scientist-artificial-general-intelligence?cmpid=DA_INAD200785B")</f>
        <v/>
      </c>
      <c r="G177" t="inlineStr">
        <is>
          <t>Seattle, WA, US</t>
        </is>
      </c>
      <c r="H177" s="3" t="n">
        <v>45980</v>
      </c>
      <c r="I17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in-159ebf3b759e3180</t>
        </is>
      </c>
      <c r="B178" t="inlineStr">
        <is>
          <t>Principal Applied Scientist, Sponsored Products and Brands</t>
        </is>
      </c>
      <c r="C178" t="inlineStr">
        <is>
          <t>Amazon.com</t>
        </is>
      </c>
      <c r="D178" t="inlineStr">
        <is>
          <t>indeed</t>
        </is>
      </c>
      <c r="E178">
        <f>HYPERLINK("https://www.indeed.com/viewjob?jk=159ebf3b759e3180", "https://www.indeed.com/viewjob?jk=159ebf3b759e3180")</f>
        <v/>
      </c>
      <c r="F178">
        <f>HYPERLINK("https://www.amazon.jobs/jobs/3130855/principal-applied-scientist-sponsored-products-and-brands?cmpid=DA_INAD200785B", "https://www.amazon.jobs/jobs/3130855/principal-applied-scientist-sponsored-products-and-brands?cmpid=DA_INAD200785B")</f>
        <v/>
      </c>
      <c r="G178" t="inlineStr">
        <is>
          <t>New York, NY, US</t>
        </is>
      </c>
      <c r="H178" s="3" t="n">
        <v>45979</v>
      </c>
      <c r="I17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in-8621a201b5d9a8ef</t>
        </is>
      </c>
      <c r="B179" t="inlineStr">
        <is>
          <t>Principal Applied Scientist, Sponsored Products and Brands</t>
        </is>
      </c>
      <c r="C179" t="inlineStr">
        <is>
          <t>Amazon.com</t>
        </is>
      </c>
      <c r="D179" t="inlineStr">
        <is>
          <t>indeed</t>
        </is>
      </c>
      <c r="E179">
        <f>HYPERLINK("https://www.indeed.com/viewjob?jk=8621a201b5d9a8ef", "https://www.indeed.com/viewjob?jk=8621a201b5d9a8ef")</f>
        <v/>
      </c>
      <c r="F179">
        <f>HYPERLINK("https://www.amazon.jobs/jobs/3130855/principal-applied-scientist-sponsored-products-and-brands?cmpid=DA_INAD200785B", "https://www.amazon.jobs/jobs/3130855/principal-applied-scientist-sponsored-products-and-brands?cmpid=DA_INAD200785B")</f>
        <v/>
      </c>
      <c r="G179" t="inlineStr">
        <is>
          <t>Seattle, WA, US</t>
        </is>
      </c>
      <c r="H179" s="3" t="n">
        <v>45979</v>
      </c>
      <c r="I17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in-992d4c8c128a3190</t>
        </is>
      </c>
      <c r="B180" t="inlineStr">
        <is>
          <t>Applied Scientist, Personalization, DTx Science</t>
        </is>
      </c>
      <c r="C180" t="inlineStr">
        <is>
          <t>Amazon.com</t>
        </is>
      </c>
      <c r="D180" t="inlineStr">
        <is>
          <t>indeed</t>
        </is>
      </c>
      <c r="E180">
        <f>HYPERLINK("https://www.indeed.com/viewjob?jk=992d4c8c128a3190", "https://www.indeed.com/viewjob?jk=992d4c8c128a3190")</f>
        <v/>
      </c>
      <c r="F180">
        <f>HYPERLINK("https://www.amazon.jobs/jobs/3136853/applied-scientist-personalization-dtx-science?cmpid=DA_INAD200785B", "https://www.amazon.jobs/jobs/3136853/applied-scientist-personalization-dtx-science?cmpid=DA_INAD200785B")</f>
        <v/>
      </c>
      <c r="G180" t="inlineStr">
        <is>
          <t>New York, NY, US</t>
        </is>
      </c>
      <c r="H180" s="3" t="n">
        <v>45979</v>
      </c>
      <c r="I18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in-c62f6ef4a149e8f0</t>
        </is>
      </c>
      <c r="B181" t="inlineStr">
        <is>
          <t>Applied Scientist, Personalization, DTx Science</t>
        </is>
      </c>
      <c r="C181" t="inlineStr">
        <is>
          <t>Amazon.com</t>
        </is>
      </c>
      <c r="D181" t="inlineStr">
        <is>
          <t>indeed</t>
        </is>
      </c>
      <c r="E181">
        <f>HYPERLINK("https://www.indeed.com/viewjob?jk=c62f6ef4a149e8f0", "https://www.indeed.com/viewjob?jk=c62f6ef4a149e8f0")</f>
        <v/>
      </c>
      <c r="F181">
        <f>HYPERLINK("https://www.amazon.jobs/jobs/3136853/applied-scientist-personalization-dtx-science?cmpid=DA_INAD200785B", "https://www.amazon.jobs/jobs/3136853/applied-scientist-personalization-dtx-science?cmpid=DA_INAD200785B")</f>
        <v/>
      </c>
      <c r="G181" t="inlineStr">
        <is>
          <t>Seattle, WA, US</t>
        </is>
      </c>
      <c r="H181" s="3" t="n">
        <v>45979</v>
      </c>
      <c r="I181"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in-384aeb74ae853c49</t>
        </is>
      </c>
      <c r="B182" t="inlineStr">
        <is>
          <t>Principal Applied Scientist, Artificial General Intelligence</t>
        </is>
      </c>
      <c r="C182" t="inlineStr">
        <is>
          <t>Amazon.com</t>
        </is>
      </c>
      <c r="D182" t="inlineStr">
        <is>
          <t>indeed</t>
        </is>
      </c>
      <c r="E182">
        <f>HYPERLINK("https://www.indeed.com/viewjob?jk=384aeb74ae853c49", "https://www.indeed.com/viewjob?jk=384aeb74ae853c49")</f>
        <v/>
      </c>
      <c r="F182">
        <f>HYPERLINK("https://www.amazon.jobs/jobs/3128477/principal-applied-scientist--artificial-general-intelligence?cmpid=DA_INAD200785B", "https://www.amazon.jobs/jobs/3128477/principal-applied-scientist--artificial-general-intelligence?cmpid=DA_INAD200785B")</f>
        <v/>
      </c>
      <c r="G182" t="inlineStr">
        <is>
          <t>Sunnyvale, CA, US</t>
        </is>
      </c>
      <c r="H182" s="3" t="n">
        <v>45978</v>
      </c>
      <c r="I182"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in-2604ea10c5edbd88</t>
        </is>
      </c>
      <c r="B183" t="inlineStr">
        <is>
          <t>Principal Applied Scientist, AGI Foundations, AGI Foundations</t>
        </is>
      </c>
      <c r="C183" t="inlineStr">
        <is>
          <t>Amazon.com</t>
        </is>
      </c>
      <c r="D183" t="inlineStr">
        <is>
          <t>indeed</t>
        </is>
      </c>
      <c r="E183">
        <f>HYPERLINK("https://www.indeed.com/viewjob?jk=2604ea10c5edbd88", "https://www.indeed.com/viewjob?jk=2604ea10c5edbd88")</f>
        <v/>
      </c>
      <c r="F183">
        <f>HYPERLINK("https://www.amazon.jobs/jobs/3127969/principal-applied-scientist-agi-foundations-agi-foundations?cmpid=DA_INAD200785B", "https://www.amazon.jobs/jobs/3127969/principal-applied-scientist-agi-foundations-agi-foundations?cmpid=DA_INAD200785B")</f>
        <v/>
      </c>
      <c r="G183" t="inlineStr">
        <is>
          <t>Boston, MA, US</t>
        </is>
      </c>
      <c r="H183" s="3" t="n">
        <v>45978</v>
      </c>
      <c r="I183"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in-5578967f1d7bb369</t>
        </is>
      </c>
      <c r="B184" t="inlineStr">
        <is>
          <t>Principal Applied Scientist, AGI Foundations, AGI Foundations</t>
        </is>
      </c>
      <c r="C184" t="inlineStr">
        <is>
          <t>Amazon.com</t>
        </is>
      </c>
      <c r="D184" t="inlineStr">
        <is>
          <t>indeed</t>
        </is>
      </c>
      <c r="E184">
        <f>HYPERLINK("https://www.indeed.com/viewjob?jk=5578967f1d7bb369", "https://www.indeed.com/viewjob?jk=5578967f1d7bb369")</f>
        <v/>
      </c>
      <c r="F184">
        <f>HYPERLINK("https://www.amazon.jobs/jobs/3127969/principal-applied-scientist-agi-foundations-agi-foundations?cmpid=DA_INAD200785B", "https://www.amazon.jobs/jobs/3127969/principal-applied-scientist-agi-foundations-agi-foundations?cmpid=DA_INAD200785B")</f>
        <v/>
      </c>
      <c r="G184" t="inlineStr">
        <is>
          <t>New York, NY, US</t>
        </is>
      </c>
      <c r="H184" s="3" t="n">
        <v>45978</v>
      </c>
      <c r="I184"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in-1a58389fe1d5f5d1</t>
        </is>
      </c>
      <c r="B185" t="inlineStr">
        <is>
          <t>Principal Applied Scientist, Artificial General Intelligence</t>
        </is>
      </c>
      <c r="C185" t="inlineStr">
        <is>
          <t>Amazon.com</t>
        </is>
      </c>
      <c r="D185" t="inlineStr">
        <is>
          <t>indeed</t>
        </is>
      </c>
      <c r="E185">
        <f>HYPERLINK("https://www.indeed.com/viewjob?jk=1a58389fe1d5f5d1", "https://www.indeed.com/viewjob?jk=1a58389fe1d5f5d1")</f>
        <v/>
      </c>
      <c r="F185">
        <f>HYPERLINK("https://www.amazon.jobs/jobs/3128477/principal-applied-scientist--artificial-general-intelligence?cmpid=DA_INAD200785B", "https://www.amazon.jobs/jobs/3128477/principal-applied-scientist--artificial-general-intelligence?cmpid=DA_INAD200785B")</f>
        <v/>
      </c>
      <c r="G185" t="inlineStr">
        <is>
          <t>Bellevue, WA, US</t>
        </is>
      </c>
      <c r="H185" s="3" t="n">
        <v>45978</v>
      </c>
      <c r="I185"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in-8edf7834824caf65</t>
        </is>
      </c>
      <c r="B186" t="inlineStr">
        <is>
          <t>Principal Applied Scientist, Artificial General Intelligence</t>
        </is>
      </c>
      <c r="C186" t="inlineStr">
        <is>
          <t>Amazon.com</t>
        </is>
      </c>
      <c r="D186" t="inlineStr">
        <is>
          <t>indeed</t>
        </is>
      </c>
      <c r="E186">
        <f>HYPERLINK("https://www.indeed.com/viewjob?jk=8edf7834824caf65", "https://www.indeed.com/viewjob?jk=8edf7834824caf65")</f>
        <v/>
      </c>
      <c r="F186">
        <f>HYPERLINK("https://www.amazon.jobs/jobs/3128477/principal-applied-scientist--artificial-general-intelligence?cmpid=DA_INAD200785B", "https://www.amazon.jobs/jobs/3128477/principal-applied-scientist--artificial-general-intelligence?cmpid=DA_INAD200785B")</f>
        <v/>
      </c>
      <c r="G186" t="inlineStr">
        <is>
          <t>Seattle, WA, US</t>
        </is>
      </c>
      <c r="H186" s="3" t="n">
        <v>45978</v>
      </c>
      <c r="I186"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in-7268cfd9af269a24</t>
        </is>
      </c>
      <c r="B187" t="inlineStr">
        <is>
          <t>Principal Applied Scientist, AGI Foundations, AGI Foundations</t>
        </is>
      </c>
      <c r="C187" t="inlineStr">
        <is>
          <t>Amazon.com</t>
        </is>
      </c>
      <c r="D187" t="inlineStr">
        <is>
          <t>indeed</t>
        </is>
      </c>
      <c r="E187">
        <f>HYPERLINK("https://www.indeed.com/viewjob?jk=7268cfd9af269a24", "https://www.indeed.com/viewjob?jk=7268cfd9af269a24")</f>
        <v/>
      </c>
      <c r="F187">
        <f>HYPERLINK("https://www.amazon.jobs/jobs/3127969/principal-applied-scientist-agi-foundations-agi-foundations?cmpid=DA_INAD200785B", "https://www.amazon.jobs/jobs/3127969/principal-applied-scientist-agi-foundations-agi-foundations?cmpid=DA_INAD200785B")</f>
        <v/>
      </c>
      <c r="G187" t="inlineStr">
        <is>
          <t>Sunnyvale, CA, US</t>
        </is>
      </c>
      <c r="H187" s="3" t="n">
        <v>45978</v>
      </c>
      <c r="I187"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in-5edea83fe5ba4f5c</t>
        </is>
      </c>
      <c r="B188" t="inlineStr">
        <is>
          <t>Principal Applied Scientist, Artificial General Intelligence</t>
        </is>
      </c>
      <c r="C188" t="inlineStr">
        <is>
          <t>Amazon.com</t>
        </is>
      </c>
      <c r="D188" t="inlineStr">
        <is>
          <t>indeed</t>
        </is>
      </c>
      <c r="E188">
        <f>HYPERLINK("https://www.indeed.com/viewjob?jk=5edea83fe5ba4f5c", "https://www.indeed.com/viewjob?jk=5edea83fe5ba4f5c")</f>
        <v/>
      </c>
      <c r="F188">
        <f>HYPERLINK("https://www.amazon.jobs/jobs/3128477/principal-applied-scientist--artificial-general-intelligence?cmpid=DA_INAD200785B", "https://www.amazon.jobs/jobs/3128477/principal-applied-scientist--artificial-general-intelligence?cmpid=DA_INAD200785B")</f>
        <v/>
      </c>
      <c r="G188" t="inlineStr">
        <is>
          <t>San Francisco, CA, US</t>
        </is>
      </c>
      <c r="H188" s="3" t="n">
        <v>45978</v>
      </c>
      <c r="I188"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in-3a5b546a1e8dcae3</t>
        </is>
      </c>
      <c r="B189" t="inlineStr">
        <is>
          <t>Principal Applied Scientist, AGI Foundations, AGI Foundations</t>
        </is>
      </c>
      <c r="C189" t="inlineStr">
        <is>
          <t>Amazon.com</t>
        </is>
      </c>
      <c r="D189" t="inlineStr">
        <is>
          <t>indeed</t>
        </is>
      </c>
      <c r="E189">
        <f>HYPERLINK("https://www.indeed.com/viewjob?jk=3a5b546a1e8dcae3", "https://www.indeed.com/viewjob?jk=3a5b546a1e8dcae3")</f>
        <v/>
      </c>
      <c r="F189">
        <f>HYPERLINK("https://www.amazon.jobs/jobs/3127969/principal-applied-scientist-agi-foundations-agi-foundations?cmpid=DA_INAD200785B", "https://www.amazon.jobs/jobs/3127969/principal-applied-scientist-agi-foundations-agi-foundations?cmpid=DA_INAD200785B")</f>
        <v/>
      </c>
      <c r="G189" t="inlineStr">
        <is>
          <t>Bellevue, WA, US</t>
        </is>
      </c>
      <c r="H189" s="3" t="n">
        <v>45978</v>
      </c>
      <c r="I189"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in-aff3a0875d4558eb</t>
        </is>
      </c>
      <c r="B190" t="inlineStr">
        <is>
          <t>Sr. Applied Scientist, Sponsored Products</t>
        </is>
      </c>
      <c r="C190" t="inlineStr">
        <is>
          <t>Amazon.com</t>
        </is>
      </c>
      <c r="D190" t="inlineStr">
        <is>
          <t>indeed</t>
        </is>
      </c>
      <c r="E190">
        <f>HYPERLINK("https://www.indeed.com/viewjob?jk=aff3a0875d4558eb", "https://www.indeed.com/viewjob?jk=aff3a0875d4558eb")</f>
        <v/>
      </c>
      <c r="F190">
        <f>HYPERLINK("https://www.amazon.jobs/jobs/3136156/sr-applied-scientist-sponsored-products?cmpid=DA_INAD200785B", "https://www.amazon.jobs/jobs/3136156/sr-applied-scientist-sponsored-products?cmpid=DA_INAD200785B")</f>
        <v/>
      </c>
      <c r="G190" t="inlineStr">
        <is>
          <t>New York, NY, US</t>
        </is>
      </c>
      <c r="H190" s="3" t="n">
        <v>45976</v>
      </c>
      <c r="I19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in-c23087ee15a730e3</t>
        </is>
      </c>
      <c r="B191" t="inlineStr">
        <is>
          <t>Sr. Applied Scientist, Sponsored Products</t>
        </is>
      </c>
      <c r="C191" t="inlineStr">
        <is>
          <t>Amazon.com</t>
        </is>
      </c>
      <c r="D191" t="inlineStr">
        <is>
          <t>indeed</t>
        </is>
      </c>
      <c r="E191">
        <f>HYPERLINK("https://www.indeed.com/viewjob?jk=c23087ee15a730e3", "https://www.indeed.com/viewjob?jk=c23087ee15a730e3")</f>
        <v/>
      </c>
      <c r="F191">
        <f>HYPERLINK("https://www.amazon.jobs/jobs/3136156/sr-applied-scientist-sponsored-products?cmpid=DA_INAD200785B", "https://www.amazon.jobs/jobs/3136156/sr-applied-scientist-sponsored-products?cmpid=DA_INAD200785B")</f>
        <v/>
      </c>
      <c r="G191" t="inlineStr">
        <is>
          <t>Seattle, WA, US</t>
        </is>
      </c>
      <c r="H191" s="3" t="n">
        <v>45976</v>
      </c>
      <c r="I19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in-cbdd3580f567c3c9</t>
        </is>
      </c>
      <c r="B192" t="inlineStr">
        <is>
          <t>Sr. Applied Scientist, Sponsored Products</t>
        </is>
      </c>
      <c r="C192" t="inlineStr">
        <is>
          <t>Amazon.com</t>
        </is>
      </c>
      <c r="D192" t="inlineStr">
        <is>
          <t>indeed</t>
        </is>
      </c>
      <c r="E192">
        <f>HYPERLINK("https://www.indeed.com/viewjob?jk=cbdd3580f567c3c9", "https://www.indeed.com/viewjob?jk=cbdd3580f567c3c9")</f>
        <v/>
      </c>
      <c r="F192">
        <f>HYPERLINK("https://www.amazon.jobs/jobs/3136156/sr-applied-scientist-sponsored-products?cmpid=DA_INAD200785B", "https://www.amazon.jobs/jobs/3136156/sr-applied-scientist-sponsored-products?cmpid=DA_INAD200785B")</f>
        <v/>
      </c>
      <c r="G192" t="inlineStr">
        <is>
          <t>Arlington, VA, US</t>
        </is>
      </c>
      <c r="H192" s="3" t="n">
        <v>45976</v>
      </c>
      <c r="I19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in-a2bd1474daa67ef9</t>
        </is>
      </c>
      <c r="B193" t="inlineStr">
        <is>
          <t>Applied Scientist, Artificial General Intelligence</t>
        </is>
      </c>
      <c r="C193" t="inlineStr">
        <is>
          <t>Amazon.com</t>
        </is>
      </c>
      <c r="D193" t="inlineStr">
        <is>
          <t>indeed</t>
        </is>
      </c>
      <c r="E193">
        <f>HYPERLINK("https://www.indeed.com/viewjob?jk=a2bd1474daa67ef9", "https://www.indeed.com/viewjob?jk=a2bd1474daa67ef9")</f>
        <v/>
      </c>
      <c r="F193">
        <f>HYPERLINK("https://www.amazon.jobs/jobs/3127075/applied-scientist-artificial-general-intelligence?cmpid=DA_INAD200785B", "https://www.amazon.jobs/jobs/3127075/applied-scientist-artificial-general-intelligence?cmpid=DA_INAD200785B")</f>
        <v/>
      </c>
      <c r="G193" t="inlineStr">
        <is>
          <t>Seattle, WA, US</t>
        </is>
      </c>
      <c r="H193" s="3" t="n">
        <v>45974</v>
      </c>
      <c r="I193"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in-a692ff56a7f26717</t>
        </is>
      </c>
      <c r="B194" t="inlineStr">
        <is>
          <t>Applied Scientist, Artificial General Intelligence</t>
        </is>
      </c>
      <c r="C194" t="inlineStr">
        <is>
          <t>Amazon.com</t>
        </is>
      </c>
      <c r="D194" t="inlineStr">
        <is>
          <t>indeed</t>
        </is>
      </c>
      <c r="E194">
        <f>HYPERLINK("https://www.indeed.com/viewjob?jk=a692ff56a7f26717", "https://www.indeed.com/viewjob?jk=a692ff56a7f26717")</f>
        <v/>
      </c>
      <c r="F194">
        <f>HYPERLINK("https://www.amazon.jobs/jobs/3127075/applied-scientist-artificial-general-intelligence?cmpid=DA_INAD200785B", "https://www.amazon.jobs/jobs/3127075/applied-scientist-artificial-general-intelligence?cmpid=DA_INAD200785B")</f>
        <v/>
      </c>
      <c r="G194" t="inlineStr">
        <is>
          <t>Sunnyvale, CA, US</t>
        </is>
      </c>
      <c r="H194" s="3" t="n">
        <v>45974</v>
      </c>
      <c r="I194"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in-f6b0e18a0851ac51</t>
        </is>
      </c>
      <c r="B195" t="inlineStr">
        <is>
          <t>Applied Scientist, Artificial General Intelligence</t>
        </is>
      </c>
      <c r="C195" t="inlineStr">
        <is>
          <t>Amazon.com</t>
        </is>
      </c>
      <c r="D195" t="inlineStr">
        <is>
          <t>indeed</t>
        </is>
      </c>
      <c r="E195">
        <f>HYPERLINK("https://www.indeed.com/viewjob?jk=f6b0e18a0851ac51", "https://www.indeed.com/viewjob?jk=f6b0e18a0851ac51")</f>
        <v/>
      </c>
      <c r="F195">
        <f>HYPERLINK("https://www.amazon.jobs/jobs/3127075/applied-scientist-artificial-general-intelligence?cmpid=DA_INAD200785B", "https://www.amazon.jobs/jobs/3127075/applied-scientist-artificial-general-intelligence?cmpid=DA_INAD200785B")</f>
        <v/>
      </c>
      <c r="G195" t="inlineStr">
        <is>
          <t>Boston, MA, US</t>
        </is>
      </c>
      <c r="H195" s="3" t="n">
        <v>45974</v>
      </c>
      <c r="I195"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in-4bfb322281332343</t>
        </is>
      </c>
      <c r="B196" t="inlineStr">
        <is>
          <t>Senior Applied Scientist, Creative X - RAPID</t>
        </is>
      </c>
      <c r="C196" t="inlineStr">
        <is>
          <t>Amazon.com</t>
        </is>
      </c>
      <c r="D196" t="inlineStr">
        <is>
          <t>indeed</t>
        </is>
      </c>
      <c r="E196">
        <f>HYPERLINK("https://www.indeed.com/viewjob?jk=4bfb322281332343", "https://www.indeed.com/viewjob?jk=4bfb322281332343")</f>
        <v/>
      </c>
      <c r="F196">
        <f>HYPERLINK("https://www.amazon.jobs/jobs/3128786/senior-applied-scientist-creative-x--rapid?cmpid=DA_INAD200785B", "https://www.amazon.jobs/jobs/3128786/senior-applied-scientist-creative-x--rapid?cmpid=DA_INAD200785B")</f>
        <v/>
      </c>
      <c r="G196" t="inlineStr">
        <is>
          <t>Seattle, WA, US</t>
        </is>
      </c>
      <c r="H196" s="3" t="n">
        <v>45971</v>
      </c>
      <c r="I196"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in-7d086bae2f07d52d</t>
        </is>
      </c>
      <c r="B197" t="inlineStr">
        <is>
          <t>Senior Applied Scientist, Creative X - RAPID</t>
        </is>
      </c>
      <c r="C197" t="inlineStr">
        <is>
          <t>Amazon.com</t>
        </is>
      </c>
      <c r="D197" t="inlineStr">
        <is>
          <t>indeed</t>
        </is>
      </c>
      <c r="E197">
        <f>HYPERLINK("https://www.indeed.com/viewjob?jk=7d086bae2f07d52d", "https://www.indeed.com/viewjob?jk=7d086bae2f07d52d")</f>
        <v/>
      </c>
      <c r="F197">
        <f>HYPERLINK("https://www.amazon.jobs/jobs/3128786/senior-applied-scientist-creative-x--rapid?cmpid=DA_INAD200785B", "https://www.amazon.jobs/jobs/3128786/senior-applied-scientist-creative-x--rapid?cmpid=DA_INAD200785B")</f>
        <v/>
      </c>
      <c r="G197" t="inlineStr">
        <is>
          <t>New York, NY, US</t>
        </is>
      </c>
      <c r="H197" s="3" t="n">
        <v>45971</v>
      </c>
      <c r="I197"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in-942f93e5112e30f1</t>
        </is>
      </c>
      <c r="B198" t="inlineStr">
        <is>
          <t>Applied Scientist, Sponsored Products and Brands</t>
        </is>
      </c>
      <c r="C198" t="inlineStr">
        <is>
          <t>Amazon.com</t>
        </is>
      </c>
      <c r="D198" t="inlineStr">
        <is>
          <t>indeed</t>
        </is>
      </c>
      <c r="E198">
        <f>HYPERLINK("https://www.indeed.com/viewjob?jk=942f93e5112e30f1", "https://www.indeed.com/viewjob?jk=942f93e5112e30f1")</f>
        <v/>
      </c>
      <c r="F198">
        <f>HYPERLINK("https://www.amazon.jobs/jobs/3122617/applied-scientist-sponsored-products-and-brands?cmpid=DA_INAD200785B", "https://www.amazon.jobs/jobs/3122617/applied-scientist-sponsored-products-and-brands?cmpid=DA_INAD200785B")</f>
        <v/>
      </c>
      <c r="G198" t="inlineStr">
        <is>
          <t>New York, NY, US</t>
        </is>
      </c>
      <c r="H198" s="3" t="n">
        <v>45965</v>
      </c>
      <c r="I19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in-6b3adcc45548b015</t>
        </is>
      </c>
      <c r="B199" t="inlineStr">
        <is>
          <t>Applied Scientist, Sponsored Products and Brands</t>
        </is>
      </c>
      <c r="C199" t="inlineStr">
        <is>
          <t>Amazon.com</t>
        </is>
      </c>
      <c r="D199" t="inlineStr">
        <is>
          <t>indeed</t>
        </is>
      </c>
      <c r="E199">
        <f>HYPERLINK("https://www.indeed.com/viewjob?jk=6b3adcc45548b015", "https://www.indeed.com/viewjob?jk=6b3adcc45548b015")</f>
        <v/>
      </c>
      <c r="F199">
        <f>HYPERLINK("https://www.amazon.jobs/jobs/3122617/applied-scientist-sponsored-products-and-brands?cmpid=DA_INAD200785B", "https://www.amazon.jobs/jobs/3122617/applied-scientist-sponsored-products-and-brands?cmpid=DA_INAD200785B")</f>
        <v/>
      </c>
      <c r="G199" t="inlineStr">
        <is>
          <t>Seattle, WA, US</t>
        </is>
      </c>
      <c r="H199" s="3" t="n">
        <v>45965</v>
      </c>
      <c r="I19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in-9f1625f0ea170cd6</t>
        </is>
      </c>
      <c r="B200" t="inlineStr">
        <is>
          <t>Principal Applied Scientist, Amazon AGI</t>
        </is>
      </c>
      <c r="C200" t="inlineStr">
        <is>
          <t>Amazon.com</t>
        </is>
      </c>
      <c r="D200" t="inlineStr">
        <is>
          <t>indeed</t>
        </is>
      </c>
      <c r="E200">
        <f>HYPERLINK("https://www.indeed.com/viewjob?jk=9f1625f0ea170cd6", "https://www.indeed.com/viewjob?jk=9f1625f0ea170cd6")</f>
        <v/>
      </c>
      <c r="F200">
        <f>HYPERLINK("https://www.amazon.jobs/jobs/3128808/principal-applied-scientist-amazon-agi?cmpid=DA_INAD200785B", "https://www.amazon.jobs/jobs/3128808/principal-applied-scientist-amazon-agi?cmpid=DA_INAD200785B")</f>
        <v/>
      </c>
      <c r="G200" t="inlineStr">
        <is>
          <t>San Francisco, CA, US</t>
        </is>
      </c>
      <c r="H200" s="3" t="n">
        <v>45964</v>
      </c>
      <c r="I20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in-571c64cf101624a2</t>
        </is>
      </c>
      <c r="B201" t="inlineStr">
        <is>
          <t>Principal Applied Scientist, Amazon AGI</t>
        </is>
      </c>
      <c r="C201" t="inlineStr">
        <is>
          <t>Amazon.com</t>
        </is>
      </c>
      <c r="D201" t="inlineStr">
        <is>
          <t>indeed</t>
        </is>
      </c>
      <c r="E201">
        <f>HYPERLINK("https://www.indeed.com/viewjob?jk=571c64cf101624a2", "https://www.indeed.com/viewjob?jk=571c64cf101624a2")</f>
        <v/>
      </c>
      <c r="F201">
        <f>HYPERLINK("https://www.amazon.jobs/jobs/3128808/principal-applied-scientist-amazon-agi?cmpid=DA_INAD200785B", "https://www.amazon.jobs/jobs/3128808/principal-applied-scientist-amazon-agi?cmpid=DA_INAD200785B")</f>
        <v/>
      </c>
      <c r="G201" t="inlineStr">
        <is>
          <t>Boston, MA, US</t>
        </is>
      </c>
      <c r="H201" s="3" t="n">
        <v>45964</v>
      </c>
      <c r="I201"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in-0b9c2c2b2f997fc6</t>
        </is>
      </c>
      <c r="B202" t="inlineStr">
        <is>
          <t>Principal Applied Scientist, Advertiser Growth, Amazon Sponsored Products &amp; Brands</t>
        </is>
      </c>
      <c r="C202" t="inlineStr">
        <is>
          <t>Amazon.com</t>
        </is>
      </c>
      <c r="D202" t="inlineStr">
        <is>
          <t>indeed</t>
        </is>
      </c>
      <c r="E202">
        <f>HYPERLINK("https://www.indeed.com/viewjob?jk=0b9c2c2b2f997fc6", "https://www.indeed.com/viewjob?jk=0b9c2c2b2f997fc6")</f>
        <v/>
      </c>
      <c r="F202">
        <f>HYPERLINK("https://www.amazon.jobs/jobs/3115279/principal-applied-scientist-advertiser-growth-amazon-sponsored-products--brands?cmpid=DA_INAD200785B", "https://www.amazon.jobs/jobs/3115279/principal-applied-scientist-advertiser-growth-amazon-sponsored-products--brands?cmpid=DA_INAD200785B")</f>
        <v/>
      </c>
      <c r="G202" t="inlineStr">
        <is>
          <t>Palo Alto, CA, US</t>
        </is>
      </c>
      <c r="H202" s="3" t="n">
        <v>45942</v>
      </c>
      <c r="I20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in-4179e95f3cbfabc5</t>
        </is>
      </c>
      <c r="B203" t="inlineStr">
        <is>
          <t>Principal Applied Scientist, Advertiser Growth, Amazon Sponsored Products &amp; Brands</t>
        </is>
      </c>
      <c r="C203" t="inlineStr">
        <is>
          <t>Amazon.com</t>
        </is>
      </c>
      <c r="D203" t="inlineStr">
        <is>
          <t>indeed</t>
        </is>
      </c>
      <c r="E203">
        <f>HYPERLINK("https://www.indeed.com/viewjob?jk=4179e95f3cbfabc5", "https://www.indeed.com/viewjob?jk=4179e95f3cbfabc5")</f>
        <v/>
      </c>
      <c r="F203">
        <f>HYPERLINK("https://www.amazon.jobs/jobs/3115279/principal-applied-scientist-advertiser-growth-amazon-sponsored-products--brands?cmpid=DA_INAD200785B", "https://www.amazon.jobs/jobs/3115279/principal-applied-scientist-advertiser-growth-amazon-sponsored-products--brands?cmpid=DA_INAD200785B")</f>
        <v/>
      </c>
      <c r="G203" t="inlineStr">
        <is>
          <t>New York, NY, US</t>
        </is>
      </c>
      <c r="H203" s="3" t="n">
        <v>45942</v>
      </c>
      <c r="I20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in-ca698a5bb75c9987</t>
        </is>
      </c>
      <c r="B204" t="inlineStr">
        <is>
          <t>Principal Applied Scientist, Advertiser Growth, Amazon Sponsored Products &amp; Brands</t>
        </is>
      </c>
      <c r="C204" t="inlineStr">
        <is>
          <t>Amazon.com</t>
        </is>
      </c>
      <c r="D204" t="inlineStr">
        <is>
          <t>indeed</t>
        </is>
      </c>
      <c r="E204">
        <f>HYPERLINK("https://www.indeed.com/viewjob?jk=ca698a5bb75c9987", "https://www.indeed.com/viewjob?jk=ca698a5bb75c9987")</f>
        <v/>
      </c>
      <c r="F204">
        <f>HYPERLINK("https://www.amazon.jobs/jobs/3115279/principal-applied-scientist-advertiser-growth-amazon-sponsored-products--brands?cmpid=DA_INAD200785B", "https://www.amazon.jobs/jobs/3115279/principal-applied-scientist-advertiser-growth-amazon-sponsored-products--brands?cmpid=DA_INAD200785B")</f>
        <v/>
      </c>
      <c r="G204" t="inlineStr">
        <is>
          <t>Seattle, WA, US</t>
        </is>
      </c>
      <c r="H204" s="3" t="n">
        <v>45942</v>
      </c>
      <c r="I20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in-9fc73fa61732ed45</t>
        </is>
      </c>
      <c r="B205" t="inlineStr">
        <is>
          <t>Applied Scientist, Artificial General Intelligence</t>
        </is>
      </c>
      <c r="C205" t="inlineStr">
        <is>
          <t>Amazon.com</t>
        </is>
      </c>
      <c r="D205" t="inlineStr">
        <is>
          <t>indeed</t>
        </is>
      </c>
      <c r="E205">
        <f>HYPERLINK("https://www.indeed.com/viewjob?jk=9fc73fa61732ed45", "https://www.indeed.com/viewjob?jk=9fc73fa61732ed45")</f>
        <v/>
      </c>
      <c r="F205">
        <f>HYPERLINK("https://www.amazon.jobs/jobs/3104517/applied-scientist-artificial-general-intelligence?cmpid=DA_INAD200785B", "https://www.amazon.jobs/jobs/3104517/applied-scientist-artificial-general-intelligence?cmpid=DA_INAD200785B")</f>
        <v/>
      </c>
      <c r="G205" t="inlineStr">
        <is>
          <t>Seattle, WA, US</t>
        </is>
      </c>
      <c r="H205" s="3" t="n">
        <v>45937</v>
      </c>
      <c r="I20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in-c0c13badf59106ce</t>
        </is>
      </c>
      <c r="B206" t="inlineStr">
        <is>
          <t>Applied Scientist, Artificial General Intelligence</t>
        </is>
      </c>
      <c r="C206" t="inlineStr">
        <is>
          <t>Amazon.com</t>
        </is>
      </c>
      <c r="D206" t="inlineStr">
        <is>
          <t>indeed</t>
        </is>
      </c>
      <c r="E206">
        <f>HYPERLINK("https://www.indeed.com/viewjob?jk=c0c13badf59106ce", "https://www.indeed.com/viewjob?jk=c0c13badf59106ce")</f>
        <v/>
      </c>
      <c r="F206">
        <f>HYPERLINK("https://www.amazon.jobs/jobs/3104517/applied-scientist-artificial-general-intelligence?cmpid=DA_INAD200785B", "https://www.amazon.jobs/jobs/3104517/applied-scientist-artificial-general-intelligence?cmpid=DA_INAD200785B")</f>
        <v/>
      </c>
      <c r="G206" t="inlineStr">
        <is>
          <t>New York, NY, US</t>
        </is>
      </c>
      <c r="H206" s="3" t="n">
        <v>45937</v>
      </c>
      <c r="I20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in-0feeef7736e1700a</t>
        </is>
      </c>
      <c r="B207" t="inlineStr">
        <is>
          <t>Applied Scientist, Artificial General Intelligence</t>
        </is>
      </c>
      <c r="C207" t="inlineStr">
        <is>
          <t>Amazon.com</t>
        </is>
      </c>
      <c r="D207" t="inlineStr">
        <is>
          <t>indeed</t>
        </is>
      </c>
      <c r="E207">
        <f>HYPERLINK("https://www.indeed.com/viewjob?jk=0feeef7736e1700a", "https://www.indeed.com/viewjob?jk=0feeef7736e1700a")</f>
        <v/>
      </c>
      <c r="F207">
        <f>HYPERLINK("https://www.amazon.jobs/jobs/3104517/applied-scientist-artificial-general-intelligence?cmpid=DA_INAD200785B", "https://www.amazon.jobs/jobs/3104517/applied-scientist-artificial-general-intelligence?cmpid=DA_INAD200785B")</f>
        <v/>
      </c>
      <c r="G207" t="inlineStr">
        <is>
          <t>Bellevue, WA, US</t>
        </is>
      </c>
      <c r="H207" s="3" t="n">
        <v>45937</v>
      </c>
      <c r="I20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in-9a5a0ea89a488646</t>
        </is>
      </c>
      <c r="B208" t="inlineStr">
        <is>
          <t>Applied Scientist, Artificial General Intelligence</t>
        </is>
      </c>
      <c r="C208" t="inlineStr">
        <is>
          <t>Amazon.com</t>
        </is>
      </c>
      <c r="D208" t="inlineStr">
        <is>
          <t>indeed</t>
        </is>
      </c>
      <c r="E208">
        <f>HYPERLINK("https://www.indeed.com/viewjob?jk=9a5a0ea89a488646", "https://www.indeed.com/viewjob?jk=9a5a0ea89a488646")</f>
        <v/>
      </c>
      <c r="F208">
        <f>HYPERLINK("https://www.amazon.jobs/jobs/3104517/applied-scientist-artificial-general-intelligence?cmpid=DA_INAD200785B", "https://www.amazon.jobs/jobs/3104517/applied-scientist-artificial-general-intelligence?cmpid=DA_INAD200785B")</f>
        <v/>
      </c>
      <c r="G208" t="inlineStr">
        <is>
          <t>Sunnyvale, CA, US</t>
        </is>
      </c>
      <c r="H208" s="3" t="n">
        <v>45937</v>
      </c>
      <c r="I20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in-8a4679e92f08a4e4</t>
        </is>
      </c>
      <c r="B209" t="inlineStr">
        <is>
          <t>Principal Applied Scientist, Artificial General Intelligence</t>
        </is>
      </c>
      <c r="C209" t="inlineStr">
        <is>
          <t>Amazon.com</t>
        </is>
      </c>
      <c r="D209" t="inlineStr">
        <is>
          <t>indeed</t>
        </is>
      </c>
      <c r="E209">
        <f>HYPERLINK("https://www.indeed.com/viewjob?jk=8a4679e92f08a4e4", "https://www.indeed.com/viewjob?jk=8a4679e92f08a4e4")</f>
        <v/>
      </c>
      <c r="F209">
        <f>HYPERLINK("https://www.amazon.jobs/jobs/3092462/principal-applied-scientist-artificial-general-intelligence?cmpid=DA_INAD200785B", "https://www.amazon.jobs/jobs/3092462/principal-applied-scientist-artificial-general-intelligence?cmpid=DA_INAD200785B")</f>
        <v/>
      </c>
      <c r="G209" t="inlineStr">
        <is>
          <t>Boston, MA, US</t>
        </is>
      </c>
      <c r="H209" s="3" t="n">
        <v>45923</v>
      </c>
      <c r="I20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in-5219cd0e928287fe</t>
        </is>
      </c>
      <c r="B210" t="inlineStr">
        <is>
          <t>Principal Applied Scientist, Artificial General Intelligence</t>
        </is>
      </c>
      <c r="C210" t="inlineStr">
        <is>
          <t>Amazon.com</t>
        </is>
      </c>
      <c r="D210" t="inlineStr">
        <is>
          <t>indeed</t>
        </is>
      </c>
      <c r="E210">
        <f>HYPERLINK("https://www.indeed.com/viewjob?jk=5219cd0e928287fe", "https://www.indeed.com/viewjob?jk=5219cd0e928287fe")</f>
        <v/>
      </c>
      <c r="F210">
        <f>HYPERLINK("https://www.amazon.jobs/jobs/3092462/principal-applied-scientist-artificial-general-intelligence?cmpid=DA_INAD200785B", "https://www.amazon.jobs/jobs/3092462/principal-applied-scientist-artificial-general-intelligence?cmpid=DA_INAD200785B")</f>
        <v/>
      </c>
      <c r="G210" t="inlineStr">
        <is>
          <t>Sunnyvale, CA, US</t>
        </is>
      </c>
      <c r="H210" s="3" t="n">
        <v>45923</v>
      </c>
      <c r="I21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in-df9bc8d20e3affec</t>
        </is>
      </c>
      <c r="B211" t="inlineStr">
        <is>
          <t>Principal Applied Scientist, Artificial General Intelligence</t>
        </is>
      </c>
      <c r="C211" t="inlineStr">
        <is>
          <t>Amazon.com</t>
        </is>
      </c>
      <c r="D211" t="inlineStr">
        <is>
          <t>indeed</t>
        </is>
      </c>
      <c r="E211">
        <f>HYPERLINK("https://www.indeed.com/viewjob?jk=df9bc8d20e3affec", "https://www.indeed.com/viewjob?jk=df9bc8d20e3affec")</f>
        <v/>
      </c>
      <c r="F211">
        <f>HYPERLINK("https://www.amazon.jobs/jobs/3092462/principal-applied-scientist-artificial-general-intelligence?cmpid=DA_INAD200785B", "https://www.amazon.jobs/jobs/3092462/principal-applied-scientist-artificial-general-intelligence?cmpid=DA_INAD200785B")</f>
        <v/>
      </c>
      <c r="G211" t="inlineStr">
        <is>
          <t>New York, NY, US</t>
        </is>
      </c>
      <c r="H211" s="3" t="n">
        <v>45923</v>
      </c>
      <c r="I21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in-0deed334c12841c0</t>
        </is>
      </c>
      <c r="B212" t="inlineStr">
        <is>
          <t>Senior Applied Scientist, Artificial General Intelligence</t>
        </is>
      </c>
      <c r="C212" t="inlineStr">
        <is>
          <t>Amazon.com</t>
        </is>
      </c>
      <c r="D212" t="inlineStr">
        <is>
          <t>indeed</t>
        </is>
      </c>
      <c r="E212">
        <f>HYPERLINK("https://www.indeed.com/viewjob?jk=0deed334c12841c0", "https://www.indeed.com/viewjob?jk=0deed334c12841c0")</f>
        <v/>
      </c>
      <c r="F212">
        <f>HYPERLINK("https://www.amazon.jobs/jobs/3091494/senior-applied-scientist-artificial-general-intelligence?cmpid=DA_INAD200785B", "https://www.amazon.jobs/jobs/3091494/senior-applied-scientist-artificial-general-intelligence?cmpid=DA_INAD200785B")</f>
        <v/>
      </c>
      <c r="G212" t="inlineStr">
        <is>
          <t>Boston, MA, US</t>
        </is>
      </c>
      <c r="H212" s="3" t="n">
        <v>45922</v>
      </c>
      <c r="I21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in-ff56ac0c9d63b813</t>
        </is>
      </c>
      <c r="B213" t="inlineStr">
        <is>
          <t>Senior Applied Scientist, Artificial General Intelligence</t>
        </is>
      </c>
      <c r="C213" t="inlineStr">
        <is>
          <t>Amazon.com</t>
        </is>
      </c>
      <c r="D213" t="inlineStr">
        <is>
          <t>indeed</t>
        </is>
      </c>
      <c r="E213">
        <f>HYPERLINK("https://www.indeed.com/viewjob?jk=ff56ac0c9d63b813", "https://www.indeed.com/viewjob?jk=ff56ac0c9d63b813")</f>
        <v/>
      </c>
      <c r="F213">
        <f>HYPERLINK("https://www.amazon.jobs/jobs/3091494/senior-applied-scientist-artificial-general-intelligence?cmpid=DA_INAD200785B", "https://www.amazon.jobs/jobs/3091494/senior-applied-scientist-artificial-general-intelligence?cmpid=DA_INAD200785B")</f>
        <v/>
      </c>
      <c r="G213" t="inlineStr">
        <is>
          <t>Seattle, WA, US</t>
        </is>
      </c>
      <c r="H213" s="3" t="n">
        <v>45922</v>
      </c>
      <c r="I21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in-0b844a4b43bd2c1c</t>
        </is>
      </c>
      <c r="B214" t="inlineStr">
        <is>
          <t>Senior Applied Scientist, Artificial General Intelligence</t>
        </is>
      </c>
      <c r="C214" t="inlineStr">
        <is>
          <t>Amazon.com</t>
        </is>
      </c>
      <c r="D214" t="inlineStr">
        <is>
          <t>indeed</t>
        </is>
      </c>
      <c r="E214">
        <f>HYPERLINK("https://www.indeed.com/viewjob?jk=0b844a4b43bd2c1c", "https://www.indeed.com/viewjob?jk=0b844a4b43bd2c1c")</f>
        <v/>
      </c>
      <c r="F214">
        <f>HYPERLINK("https://www.amazon.jobs/jobs/3091494/senior-applied-scientist-artificial-general-intelligence?cmpid=DA_INAD200785B", "https://www.amazon.jobs/jobs/3091494/senior-applied-scientist-artificial-general-intelligence?cmpid=DA_INAD200785B")</f>
        <v/>
      </c>
      <c r="G214" t="inlineStr">
        <is>
          <t>Sunnyvale, CA, US</t>
        </is>
      </c>
      <c r="H214" s="3" t="n">
        <v>45922</v>
      </c>
      <c r="I21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in-c7f01e3cae19a750</t>
        </is>
      </c>
      <c r="B215" t="inlineStr">
        <is>
          <t>Applied Scientist, Artificial General Intelligence</t>
        </is>
      </c>
      <c r="C215" t="inlineStr">
        <is>
          <t>Amazon.com</t>
        </is>
      </c>
      <c r="D215" t="inlineStr">
        <is>
          <t>indeed</t>
        </is>
      </c>
      <c r="E215">
        <f>HYPERLINK("https://www.indeed.com/viewjob?jk=c7f01e3cae19a750", "https://www.indeed.com/viewjob?jk=c7f01e3cae19a750")</f>
        <v/>
      </c>
      <c r="F215">
        <f>HYPERLINK("https://www.amazon.jobs/jobs/3090846/applied-scientist-artificial-general-intelligence?cmpid=DA_INAD200785B", "https://www.amazon.jobs/jobs/3090846/applied-scientist-artificial-general-intelligence?cmpid=DA_INAD200785B")</f>
        <v/>
      </c>
      <c r="G215" t="inlineStr">
        <is>
          <t>Bellevue, WA, US</t>
        </is>
      </c>
      <c r="H215" s="3" t="n">
        <v>45921</v>
      </c>
      <c r="I215"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in-96a861aa63da874e</t>
        </is>
      </c>
      <c r="B216" t="inlineStr">
        <is>
          <t>Applied Scientist, Artificial General Intelligence</t>
        </is>
      </c>
      <c r="C216" t="inlineStr">
        <is>
          <t>Amazon.com</t>
        </is>
      </c>
      <c r="D216" t="inlineStr">
        <is>
          <t>indeed</t>
        </is>
      </c>
      <c r="E216">
        <f>HYPERLINK("https://www.indeed.com/viewjob?jk=96a861aa63da874e", "https://www.indeed.com/viewjob?jk=96a861aa63da874e")</f>
        <v/>
      </c>
      <c r="F216">
        <f>HYPERLINK("https://www.amazon.jobs/jobs/3090846/applied-scientist-artificial-general-intelligence?cmpid=DA_INAD200785B", "https://www.amazon.jobs/jobs/3090846/applied-scientist-artificial-general-intelligence?cmpid=DA_INAD200785B")</f>
        <v/>
      </c>
      <c r="G216" t="inlineStr">
        <is>
          <t>Seattle, WA, US</t>
        </is>
      </c>
      <c r="H216" s="3" t="n">
        <v>45921</v>
      </c>
      <c r="I21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in-caaa25b3122e9e64</t>
        </is>
      </c>
      <c r="B217" t="inlineStr">
        <is>
          <t>Senior Applied Scientist, Model Customization, Generative AI Innovation Center</t>
        </is>
      </c>
      <c r="C217" t="inlineStr">
        <is>
          <t>Amazon Web Services</t>
        </is>
      </c>
      <c r="D217" t="inlineStr">
        <is>
          <t>indeed</t>
        </is>
      </c>
      <c r="E217">
        <f>HYPERLINK("https://www.indeed.com/viewjob?jk=caaa25b3122e9e64", "https://www.indeed.com/viewjob?jk=caaa25b3122e9e64")</f>
        <v/>
      </c>
      <c r="F217">
        <f>HYPERLINK("https://www.amazon.jobs/jobs/3088254/senior-applied-scientist-model-customization-generative-ai-innovation-center?cmpid=DA_INAD200785B", "https://www.amazon.jobs/jobs/3088254/senior-applied-scientist-model-customization-generative-ai-innovation-center?cmpid=DA_INAD200785B")</f>
        <v/>
      </c>
      <c r="G217" t="inlineStr">
        <is>
          <t>New York, NY, US</t>
        </is>
      </c>
      <c r="H217" s="3" t="n">
        <v>45908</v>
      </c>
      <c r="I21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in-951d4ad8fe943103</t>
        </is>
      </c>
      <c r="B218" t="inlineStr">
        <is>
          <t>Senior Applied Scientist, Model Customization, Generative AI Innovation Center</t>
        </is>
      </c>
      <c r="C218" t="inlineStr">
        <is>
          <t>Amazon Web Services</t>
        </is>
      </c>
      <c r="D218" t="inlineStr">
        <is>
          <t>indeed</t>
        </is>
      </c>
      <c r="E218">
        <f>HYPERLINK("https://www.indeed.com/viewjob?jk=951d4ad8fe943103", "https://www.indeed.com/viewjob?jk=951d4ad8fe943103")</f>
        <v/>
      </c>
      <c r="F218">
        <f>HYPERLINK("https://www.amazon.jobs/jobs/3088254/senior-applied-scientist-model-customization-generative-ai-innovation-center?cmpid=DA_INAD200785B", "https://www.amazon.jobs/jobs/3088254/senior-applied-scientist-model-customization-generative-ai-innovation-center?cmpid=DA_INAD200785B")</f>
        <v/>
      </c>
      <c r="G218" t="inlineStr">
        <is>
          <t>Arlington, VA, US</t>
        </is>
      </c>
      <c r="H218" s="3" t="n">
        <v>45908</v>
      </c>
      <c r="I21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in-44da918e1d91ff1d</t>
        </is>
      </c>
      <c r="B219" t="inlineStr">
        <is>
          <t>Senior Applied Scientist, Model Customization, Generative AI Innovation Center</t>
        </is>
      </c>
      <c r="C219" t="inlineStr">
        <is>
          <t>Amazon Web Services</t>
        </is>
      </c>
      <c r="D219" t="inlineStr">
        <is>
          <t>indeed</t>
        </is>
      </c>
      <c r="E219">
        <f>HYPERLINK("https://www.indeed.com/viewjob?jk=44da918e1d91ff1d", "https://www.indeed.com/viewjob?jk=44da918e1d91ff1d")</f>
        <v/>
      </c>
      <c r="F219">
        <f>HYPERLINK("https://www.amazon.jobs/jobs/3088254/senior-applied-scientist-model-customization-generative-ai-innovation-center?cmpid=DA_INAD200785B", "https://www.amazon.jobs/jobs/3088254/senior-applied-scientist-model-customization-generative-ai-innovation-center?cmpid=DA_INAD200785B")</f>
        <v/>
      </c>
      <c r="G219" t="inlineStr">
        <is>
          <t>Bellevue, WA, US</t>
        </is>
      </c>
      <c r="H219" s="3" t="n">
        <v>45908</v>
      </c>
      <c r="I21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in-bec1db62dfe30be0</t>
        </is>
      </c>
      <c r="B220" t="inlineStr">
        <is>
          <t>Applied Scientist II, Creative X - RAPID</t>
        </is>
      </c>
      <c r="C220" t="inlineStr">
        <is>
          <t>Amazon.com</t>
        </is>
      </c>
      <c r="D220" t="inlineStr">
        <is>
          <t>indeed</t>
        </is>
      </c>
      <c r="E220">
        <f>HYPERLINK("https://www.indeed.com/viewjob?jk=bec1db62dfe30be0", "https://www.indeed.com/viewjob?jk=bec1db62dfe30be0")</f>
        <v/>
      </c>
      <c r="F220">
        <f>HYPERLINK("https://www.amazon.jobs/jobs/3083576/applied-scientist-ii-creative-x--rapid?cmpid=DA_INAD200785B", "https://www.amazon.jobs/jobs/3083576/applied-scientist-ii-creative-x--rapid?cmpid=DA_INAD200785B")</f>
        <v/>
      </c>
      <c r="G220" t="inlineStr">
        <is>
          <t>Seattle, WA, US</t>
        </is>
      </c>
      <c r="H220" s="3" t="n">
        <v>45908</v>
      </c>
      <c r="I220"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in-6eeac68afba7e3cd</t>
        </is>
      </c>
      <c r="B221" t="inlineStr">
        <is>
          <t>Applied Scientist II, Creative X - RAPID</t>
        </is>
      </c>
      <c r="C221" t="inlineStr">
        <is>
          <t>Amazon.com</t>
        </is>
      </c>
      <c r="D221" t="inlineStr">
        <is>
          <t>indeed</t>
        </is>
      </c>
      <c r="E221">
        <f>HYPERLINK("https://www.indeed.com/viewjob?jk=6eeac68afba7e3cd", "https://www.indeed.com/viewjob?jk=6eeac68afba7e3cd")</f>
        <v/>
      </c>
      <c r="F221">
        <f>HYPERLINK("https://www.amazon.jobs/jobs/3083576/applied-scientist-ii-creative-x--rapid?cmpid=DA_INAD200785B", "https://www.amazon.jobs/jobs/3083576/applied-scientist-ii-creative-x--rapid?cmpid=DA_INAD200785B")</f>
        <v/>
      </c>
      <c r="G221" t="inlineStr">
        <is>
          <t>New York, NY, US</t>
        </is>
      </c>
      <c r="H221" s="3" t="n">
        <v>45908</v>
      </c>
      <c r="I221"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in-871fcbe6f623c78e</t>
        </is>
      </c>
      <c r="B222" t="inlineStr">
        <is>
          <t>Senior Applied Scientist, Artificial General Intelligence</t>
        </is>
      </c>
      <c r="C222" t="inlineStr">
        <is>
          <t>Amazon.com</t>
        </is>
      </c>
      <c r="D222" t="inlineStr">
        <is>
          <t>indeed</t>
        </is>
      </c>
      <c r="E222">
        <f>HYPERLINK("https://www.indeed.com/viewjob?jk=871fcbe6f623c78e", "https://www.indeed.com/viewjob?jk=871fcbe6f623c78e")</f>
        <v/>
      </c>
      <c r="F222">
        <f>HYPERLINK("https://www.amazon.jobs/jobs/3078169/senior-applied-scientist-artificial-general-intelligence?cmpid=DA_INAD200785B", "https://www.amazon.jobs/jobs/3078169/senior-applied-scientist-artificial-general-intelligence?cmpid=DA_INAD200785B")</f>
        <v/>
      </c>
      <c r="G222" t="inlineStr">
        <is>
          <t>Sunnyvale, CA, US</t>
        </is>
      </c>
      <c r="H222" s="3" t="n">
        <v>45907</v>
      </c>
      <c r="I22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in-afab98b1f9dfc47a</t>
        </is>
      </c>
      <c r="B223" t="inlineStr">
        <is>
          <t>Senior Applied Scientist, Artificial General Intelligence</t>
        </is>
      </c>
      <c r="C223" t="inlineStr">
        <is>
          <t>Amazon.com</t>
        </is>
      </c>
      <c r="D223" t="inlineStr">
        <is>
          <t>indeed</t>
        </is>
      </c>
      <c r="E223">
        <f>HYPERLINK("https://www.indeed.com/viewjob?jk=afab98b1f9dfc47a", "https://www.indeed.com/viewjob?jk=afab98b1f9dfc47a")</f>
        <v/>
      </c>
      <c r="F223">
        <f>HYPERLINK("https://www.amazon.jobs/jobs/3078169/senior-applied-scientist-artificial-general-intelligence?cmpid=DA_INAD200785B", "https://www.amazon.jobs/jobs/3078169/senior-applied-scientist-artificial-general-intelligence?cmpid=DA_INAD200785B")</f>
        <v/>
      </c>
      <c r="G223" t="inlineStr">
        <is>
          <t>Bellevue, WA, US</t>
        </is>
      </c>
      <c r="H223" s="3" t="n">
        <v>45907</v>
      </c>
      <c r="I223"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in-fb4ad531c8514c18</t>
        </is>
      </c>
      <c r="B224" t="inlineStr">
        <is>
          <t>Principal Applied Scientist, AGI Foundations, AGI Foundations</t>
        </is>
      </c>
      <c r="C224" t="inlineStr">
        <is>
          <t>Amazon.com</t>
        </is>
      </c>
      <c r="D224" t="inlineStr">
        <is>
          <t>indeed</t>
        </is>
      </c>
      <c r="E224">
        <f>HYPERLINK("https://www.indeed.com/viewjob?jk=fb4ad531c8514c18", "https://www.indeed.com/viewjob?jk=fb4ad531c8514c18")</f>
        <v/>
      </c>
      <c r="F224">
        <f>HYPERLINK("https://www.amazon.jobs/jobs/3047563/principal-applied-scientist-agi-foundations-agi-foundations?cmpid=DA_INAD200785B", "https://www.amazon.jobs/jobs/3047563/principal-applied-scientist-agi-foundations-agi-foundations?cmpid=DA_INAD200785B")</f>
        <v/>
      </c>
      <c r="G224" t="inlineStr">
        <is>
          <t>New York, NY, US</t>
        </is>
      </c>
      <c r="H224" s="3" t="n">
        <v>45856</v>
      </c>
      <c r="I22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in-fe685500b7e3b40a</t>
        </is>
      </c>
      <c r="B225" t="inlineStr">
        <is>
          <t>Principal Applied Scientist, AGI Foundations, AGI Foundations</t>
        </is>
      </c>
      <c r="C225" t="inlineStr">
        <is>
          <t>Amazon.com</t>
        </is>
      </c>
      <c r="D225" t="inlineStr">
        <is>
          <t>indeed</t>
        </is>
      </c>
      <c r="E225">
        <f>HYPERLINK("https://www.indeed.com/viewjob?jk=fe685500b7e3b40a", "https://www.indeed.com/viewjob?jk=fe685500b7e3b40a")</f>
        <v/>
      </c>
      <c r="F225">
        <f>HYPERLINK("https://www.amazon.jobs/jobs/3047563/principal-applied-scientist-agi-foundations-agi-foundations?cmpid=DA_INAD200785B", "https://www.amazon.jobs/jobs/3047563/principal-applied-scientist-agi-foundations-agi-foundations?cmpid=DA_INAD200785B")</f>
        <v/>
      </c>
      <c r="G225" t="inlineStr">
        <is>
          <t>Boston, MA, US</t>
        </is>
      </c>
      <c r="H225" s="3" t="n">
        <v>45856</v>
      </c>
      <c r="I22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in-f67ce8cfdcb99de3</t>
        </is>
      </c>
      <c r="B226" t="inlineStr">
        <is>
          <t>Principal Applied Scientist, AGI Foundations, AGI Foundations</t>
        </is>
      </c>
      <c r="C226" t="inlineStr">
        <is>
          <t>Amazon.com</t>
        </is>
      </c>
      <c r="D226" t="inlineStr">
        <is>
          <t>indeed</t>
        </is>
      </c>
      <c r="E226">
        <f>HYPERLINK("https://www.indeed.com/viewjob?jk=f67ce8cfdcb99de3", "https://www.indeed.com/viewjob?jk=f67ce8cfdcb99de3")</f>
        <v/>
      </c>
      <c r="F226">
        <f>HYPERLINK("https://www.amazon.jobs/jobs/3047563/principal-applied-scientist-agi-foundations-agi-foundations?cmpid=DA_INAD200785B", "https://www.amazon.jobs/jobs/3047563/principal-applied-scientist-agi-foundations-agi-foundations?cmpid=DA_INAD200785B")</f>
        <v/>
      </c>
      <c r="G226" t="inlineStr">
        <is>
          <t>Sunnyvale, CA, US</t>
        </is>
      </c>
      <c r="H226" s="3" t="n">
        <v>45856</v>
      </c>
      <c r="I22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in-f110579038a16b99</t>
        </is>
      </c>
      <c r="B227" t="inlineStr">
        <is>
          <t>Principal Applied Scientist, AGI Foundations, AGI Foundations</t>
        </is>
      </c>
      <c r="C227" t="inlineStr">
        <is>
          <t>Amazon.com</t>
        </is>
      </c>
      <c r="D227" t="inlineStr">
        <is>
          <t>indeed</t>
        </is>
      </c>
      <c r="E227">
        <f>HYPERLINK("https://www.indeed.com/viewjob?jk=f110579038a16b99", "https://www.indeed.com/viewjob?jk=f110579038a16b99")</f>
        <v/>
      </c>
      <c r="F227">
        <f>HYPERLINK("https://www.amazon.jobs/jobs/3047563/principal-applied-scientist-agi-foundations-agi-foundations?cmpid=DA_INAD200785B", "https://www.amazon.jobs/jobs/3047563/principal-applied-scientist-agi-foundations-agi-foundations?cmpid=DA_INAD200785B")</f>
        <v/>
      </c>
      <c r="G227" t="inlineStr">
        <is>
          <t>Bellevue, WA, US</t>
        </is>
      </c>
      <c r="H227" s="3" t="n">
        <v>45856</v>
      </c>
      <c r="I22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in-32fceba7a5dbf55d</t>
        </is>
      </c>
      <c r="B228" t="inlineStr">
        <is>
          <t>Sr. Applied Scientist, Amazon Advertising</t>
        </is>
      </c>
      <c r="C228" t="inlineStr">
        <is>
          <t>Amazon.com</t>
        </is>
      </c>
      <c r="D228" t="inlineStr">
        <is>
          <t>indeed</t>
        </is>
      </c>
      <c r="E228">
        <f>HYPERLINK("https://www.indeed.com/viewjob?jk=32fceba7a5dbf55d", "https://www.indeed.com/viewjob?jk=32fceba7a5dbf55d")</f>
        <v/>
      </c>
      <c r="F228">
        <f>HYPERLINK("https://www.amazon.jobs/jobs/3035686/sr-applied-scientist-amazon-advertising?cmpid=DA_INAD200785B", "https://www.amazon.jobs/jobs/3035686/sr-applied-scientist-amazon-advertising?cmpid=DA_INAD200785B")</f>
        <v/>
      </c>
      <c r="G228" t="inlineStr">
        <is>
          <t>West Hollywood, CA, US</t>
        </is>
      </c>
      <c r="H228" s="3" t="n">
        <v>45851</v>
      </c>
      <c r="I22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in-8cb3db85f3c69893</t>
        </is>
      </c>
      <c r="B229" t="inlineStr">
        <is>
          <t>Sr. Applied Scientist, Amazon Advertising</t>
        </is>
      </c>
      <c r="C229" t="inlineStr">
        <is>
          <t>Amazon.com</t>
        </is>
      </c>
      <c r="D229" t="inlineStr">
        <is>
          <t>indeed</t>
        </is>
      </c>
      <c r="E229">
        <f>HYPERLINK("https://www.indeed.com/viewjob?jk=8cb3db85f3c69893", "https://www.indeed.com/viewjob?jk=8cb3db85f3c69893")</f>
        <v/>
      </c>
      <c r="F229">
        <f>HYPERLINK("https://www.amazon.jobs/jobs/3035686/sr-applied-scientist-amazon-advertising?cmpid=DA_INAD200785B", "https://www.amazon.jobs/jobs/3035686/sr-applied-scientist-amazon-advertising?cmpid=DA_INAD200785B")</f>
        <v/>
      </c>
      <c r="G229" t="inlineStr">
        <is>
          <t>Seattle, WA, US</t>
        </is>
      </c>
      <c r="H229" s="3" t="n">
        <v>45851</v>
      </c>
      <c r="I22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in-8783f4ed9a3c0037</t>
        </is>
      </c>
      <c r="B230" t="inlineStr">
        <is>
          <t>Sr. Applied Scientist, Amazon Advertising</t>
        </is>
      </c>
      <c r="C230" t="inlineStr">
        <is>
          <t>Amazon.com</t>
        </is>
      </c>
      <c r="D230" t="inlineStr">
        <is>
          <t>indeed</t>
        </is>
      </c>
      <c r="E230">
        <f>HYPERLINK("https://www.indeed.com/viewjob?jk=8783f4ed9a3c0037", "https://www.indeed.com/viewjob?jk=8783f4ed9a3c0037")</f>
        <v/>
      </c>
      <c r="F230">
        <f>HYPERLINK("https://www.amazon.jobs/jobs/3035686/sr-applied-scientist-amazon-advertising?cmpid=DA_INAD200785B", "https://www.amazon.jobs/jobs/3035686/sr-applied-scientist-amazon-advertising?cmpid=DA_INAD200785B")</f>
        <v/>
      </c>
      <c r="G230" t="inlineStr">
        <is>
          <t>Los Angeles, CA, US</t>
        </is>
      </c>
      <c r="H230" s="3" t="n">
        <v>45851</v>
      </c>
      <c r="I23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in-ec2749c170954dbe</t>
        </is>
      </c>
      <c r="B231" t="inlineStr">
        <is>
          <t>Sr. Applied Scientist, Amazon Advertising</t>
        </is>
      </c>
      <c r="C231" t="inlineStr">
        <is>
          <t>Amazon.com</t>
        </is>
      </c>
      <c r="D231" t="inlineStr">
        <is>
          <t>indeed</t>
        </is>
      </c>
      <c r="E231">
        <f>HYPERLINK("https://www.indeed.com/viewjob?jk=ec2749c170954dbe", "https://www.indeed.com/viewjob?jk=ec2749c170954dbe")</f>
        <v/>
      </c>
      <c r="F231">
        <f>HYPERLINK("https://www.amazon.jobs/jobs/3035686/sr-applied-scientist-amazon-advertising?cmpid=DA_INAD200785B", "https://www.amazon.jobs/jobs/3035686/sr-applied-scientist-amazon-advertising?cmpid=DA_INAD200785B")</f>
        <v/>
      </c>
      <c r="G231" t="inlineStr">
        <is>
          <t>New York, NY, US</t>
        </is>
      </c>
      <c r="H231" s="3" t="n">
        <v>45851</v>
      </c>
      <c r="I23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in-3371224ad1500feb</t>
        </is>
      </c>
      <c r="B232" t="inlineStr">
        <is>
          <t>Sr. Applied Scientist, Amazon Advertising</t>
        </is>
      </c>
      <c r="C232" t="inlineStr">
        <is>
          <t>Amazon.com</t>
        </is>
      </c>
      <c r="D232" t="inlineStr">
        <is>
          <t>indeed</t>
        </is>
      </c>
      <c r="E232">
        <f>HYPERLINK("https://www.indeed.com/viewjob?jk=3371224ad1500feb", "https://www.indeed.com/viewjob?jk=3371224ad1500feb")</f>
        <v/>
      </c>
      <c r="F232">
        <f>HYPERLINK("https://www.amazon.jobs/jobs/3035686/sr-applied-scientist-amazon-advertising?cmpid=DA_INAD200785B", "https://www.amazon.jobs/jobs/3035686/sr-applied-scientist-amazon-advertising?cmpid=DA_INAD200785B")</f>
        <v/>
      </c>
      <c r="G232" t="inlineStr">
        <is>
          <t>Austin, TX, US</t>
        </is>
      </c>
      <c r="H232" s="3" t="n">
        <v>45851</v>
      </c>
      <c r="I23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in-bb59add37ddc8e2e</t>
        </is>
      </c>
      <c r="B233" t="inlineStr">
        <is>
          <t>Sr. Applied Scientist, Amazon Advertising</t>
        </is>
      </c>
      <c r="C233" t="inlineStr">
        <is>
          <t>Amazon.com</t>
        </is>
      </c>
      <c r="D233" t="inlineStr">
        <is>
          <t>indeed</t>
        </is>
      </c>
      <c r="E233">
        <f>HYPERLINK("https://www.indeed.com/viewjob?jk=bb59add37ddc8e2e", "https://www.indeed.com/viewjob?jk=bb59add37ddc8e2e")</f>
        <v/>
      </c>
      <c r="F233">
        <f>HYPERLINK("https://www.amazon.jobs/jobs/3035686/sr-applied-scientist-amazon-advertising?cmpid=DA_INAD200785B", "https://www.amazon.jobs/jobs/3035686/sr-applied-scientist-amazon-advertising?cmpid=DA_INAD200785B")</f>
        <v/>
      </c>
      <c r="G233" t="inlineStr">
        <is>
          <t>Palo Alto, CA, US</t>
        </is>
      </c>
      <c r="H233" s="3" t="n">
        <v>45851</v>
      </c>
      <c r="I23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in-8f85ef50b5a37686</t>
        </is>
      </c>
      <c r="B234" t="inlineStr">
        <is>
          <t>Sr. Applied Scientist, Amazon Advertising</t>
        </is>
      </c>
      <c r="C234" t="inlineStr">
        <is>
          <t>Amazon.com</t>
        </is>
      </c>
      <c r="D234" t="inlineStr">
        <is>
          <t>indeed</t>
        </is>
      </c>
      <c r="E234">
        <f>HYPERLINK("https://www.indeed.com/viewjob?jk=8f85ef50b5a37686", "https://www.indeed.com/viewjob?jk=8f85ef50b5a37686")</f>
        <v/>
      </c>
      <c r="F234">
        <f>HYPERLINK("https://www.amazon.jobs/jobs/3035686/sr-applied-scientist-amazon-advertising?cmpid=DA_INAD200785B", "https://www.amazon.jobs/jobs/3035686/sr-applied-scientist-amazon-advertising?cmpid=DA_INAD200785B")</f>
        <v/>
      </c>
      <c r="G234" t="inlineStr">
        <is>
          <t>Simi Valley, CA, US</t>
        </is>
      </c>
      <c r="H234" s="3" t="n">
        <v>45851</v>
      </c>
      <c r="I23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in-a66159ce7bcf91be</t>
        </is>
      </c>
      <c r="B235" t="inlineStr">
        <is>
          <t>Sr. Applied Scientist, Amazon Advertising</t>
        </is>
      </c>
      <c r="C235" t="inlineStr">
        <is>
          <t>Amazon.com</t>
        </is>
      </c>
      <c r="D235" t="inlineStr">
        <is>
          <t>indeed</t>
        </is>
      </c>
      <c r="E235">
        <f>HYPERLINK("https://www.indeed.com/viewjob?jk=a66159ce7bcf91be", "https://www.indeed.com/viewjob?jk=a66159ce7bcf91be")</f>
        <v/>
      </c>
      <c r="F235">
        <f>HYPERLINK("https://www.amazon.jobs/jobs/3035686/sr-applied-scientist-amazon-advertising?cmpid=DA_INAD200785B", "https://www.amazon.jobs/jobs/3035686/sr-applied-scientist-amazon-advertising?cmpid=DA_INAD200785B")</f>
        <v/>
      </c>
      <c r="G235" t="inlineStr">
        <is>
          <t>Arlington, VA, US</t>
        </is>
      </c>
      <c r="H235" s="3" t="n">
        <v>45851</v>
      </c>
      <c r="I23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in-b1118ae2586d6517</t>
        </is>
      </c>
      <c r="B236" t="inlineStr">
        <is>
          <t>Sr. Applied Scientist, Sales AI</t>
        </is>
      </c>
      <c r="C236" t="inlineStr">
        <is>
          <t>Amazon.com</t>
        </is>
      </c>
      <c r="D236" t="inlineStr">
        <is>
          <t>indeed</t>
        </is>
      </c>
      <c r="E236">
        <f>HYPERLINK("https://www.indeed.com/viewjob?jk=b1118ae2586d6517", "https://www.indeed.com/viewjob?jk=b1118ae2586d6517")</f>
        <v/>
      </c>
      <c r="F236">
        <f>HYPERLINK("https://www.amazon.jobs/jobs/3020528/sr-applied-scientist-sales-ai?cmpid=DA_INAD200785B", "https://www.amazon.jobs/jobs/3020528/sr-applied-scientist-sales-ai?cmpid=DA_INAD200785B")</f>
        <v/>
      </c>
      <c r="G236" t="inlineStr">
        <is>
          <t>Seattle, WA, US</t>
        </is>
      </c>
      <c r="H236" s="3" t="n">
        <v>45830</v>
      </c>
      <c r="I23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in-690821735aff1aa1</t>
        </is>
      </c>
      <c r="B237" t="inlineStr">
        <is>
          <t>Sr. Applied Scientist, Sales AI</t>
        </is>
      </c>
      <c r="C237" t="inlineStr">
        <is>
          <t>Amazon.com</t>
        </is>
      </c>
      <c r="D237" t="inlineStr">
        <is>
          <t>indeed</t>
        </is>
      </c>
      <c r="E237">
        <f>HYPERLINK("https://www.indeed.com/viewjob?jk=690821735aff1aa1", "https://www.indeed.com/viewjob?jk=690821735aff1aa1")</f>
        <v/>
      </c>
      <c r="F237">
        <f>HYPERLINK("https://www.amazon.jobs/jobs/3020528/sr-applied-scientist-sales-ai?cmpid=DA_INAD200785B", "https://www.amazon.jobs/jobs/3020528/sr-applied-scientist-sales-ai?cmpid=DA_INAD200785B")</f>
        <v/>
      </c>
      <c r="G237" t="inlineStr">
        <is>
          <t>New York, NY, US</t>
        </is>
      </c>
      <c r="H237" s="3" t="n">
        <v>45830</v>
      </c>
      <c r="I23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in-a93830bdff0b1794</t>
        </is>
      </c>
      <c r="B238" t="inlineStr">
        <is>
          <t>Sr. Applied Scientist, Sales AI</t>
        </is>
      </c>
      <c r="C238" t="inlineStr">
        <is>
          <t>Amazon.com</t>
        </is>
      </c>
      <c r="D238" t="inlineStr">
        <is>
          <t>indeed</t>
        </is>
      </c>
      <c r="E238">
        <f>HYPERLINK("https://www.indeed.com/viewjob?jk=a93830bdff0b1794", "https://www.indeed.com/viewjob?jk=a93830bdff0b1794")</f>
        <v/>
      </c>
      <c r="F238">
        <f>HYPERLINK("https://www.amazon.jobs/jobs/3020528/sr-applied-scientist-sales-ai?cmpid=DA_INAD200785B", "https://www.amazon.jobs/jobs/3020528/sr-applied-scientist-sales-ai?cmpid=DA_INAD200785B")</f>
        <v/>
      </c>
      <c r="G238" t="inlineStr">
        <is>
          <t>Sunnyvale, CA, US</t>
        </is>
      </c>
      <c r="H238" s="3" t="n">
        <v>45830</v>
      </c>
      <c r="I23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in-907adf25372b7492</t>
        </is>
      </c>
      <c r="B239" t="inlineStr">
        <is>
          <t>Machine Learning Engineer, Amazon General Intelligence (AGI)</t>
        </is>
      </c>
      <c r="C239" t="inlineStr">
        <is>
          <t>Amazon.com</t>
        </is>
      </c>
      <c r="D239" t="inlineStr">
        <is>
          <t>indeed</t>
        </is>
      </c>
      <c r="E239">
        <f>HYPERLINK("https://www.indeed.com/viewjob?jk=907adf25372b7492", "https://www.indeed.com/viewjob?jk=907adf25372b7492")</f>
        <v/>
      </c>
      <c r="F239">
        <f>HYPERLINK("https://www.amazon.jobs/jobs/3003288/machine-learning-engineer-amazon-general-intelligence-agi?cmpid=DA_INAD200785B", "https://www.amazon.jobs/jobs/3003288/machine-learning-engineer-amazon-general-intelligence-agi?cmpid=DA_INAD200785B")</f>
        <v/>
      </c>
      <c r="G239" t="inlineStr">
        <is>
          <t>Bellevue, WA, US</t>
        </is>
      </c>
      <c r="H239" s="3" t="n">
        <v>45813</v>
      </c>
      <c r="I239"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in-9da844e90f1cfb69</t>
        </is>
      </c>
      <c r="B240" t="inlineStr">
        <is>
          <t>Machine Learning Engineer, Amazon General Intelligence (AGI)</t>
        </is>
      </c>
      <c r="C240" t="inlineStr">
        <is>
          <t>Amazon.com</t>
        </is>
      </c>
      <c r="D240" t="inlineStr">
        <is>
          <t>indeed</t>
        </is>
      </c>
      <c r="E240">
        <f>HYPERLINK("https://www.indeed.com/viewjob?jk=9da844e90f1cfb69", "https://www.indeed.com/viewjob?jk=9da844e90f1cfb69")</f>
        <v/>
      </c>
      <c r="F240">
        <f>HYPERLINK("https://www.amazon.jobs/jobs/3003288/machine-learning-engineer-amazon-general-intelligence-agi?cmpid=DA_INAD200785B", "https://www.amazon.jobs/jobs/3003288/machine-learning-engineer-amazon-general-intelligence-agi?cmpid=DA_INAD200785B")</f>
        <v/>
      </c>
      <c r="G240" t="inlineStr">
        <is>
          <t>Seattle, WA, US</t>
        </is>
      </c>
      <c r="H240" s="3" t="n">
        <v>45813</v>
      </c>
      <c r="I240"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in-dfe81ea33751543b</t>
        </is>
      </c>
      <c r="B241" t="inlineStr">
        <is>
          <t>Sr. Applied Scientist, AGI Info</t>
        </is>
      </c>
      <c r="C241" t="inlineStr">
        <is>
          <t>Amazon.com</t>
        </is>
      </c>
      <c r="D241" t="inlineStr">
        <is>
          <t>indeed</t>
        </is>
      </c>
      <c r="E241">
        <f>HYPERLINK("https://www.indeed.com/viewjob?jk=dfe81ea33751543b", "https://www.indeed.com/viewjob?jk=dfe81ea33751543b")</f>
        <v/>
      </c>
      <c r="F241">
        <f>HYPERLINK("https://www.amazon.jobs/jobs/2999351/sr-applied-scientist-agi-info?cmpid=DA_INAD200785B", "https://www.amazon.jobs/jobs/2999351/sr-applied-scientist-agi-info?cmpid=DA_INAD200785B")</f>
        <v/>
      </c>
      <c r="G241" t="inlineStr">
        <is>
          <t>Bellevue, WA, US</t>
        </is>
      </c>
      <c r="H241" s="3" t="n">
        <v>45811</v>
      </c>
      <c r="I241"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in-77ab7307d95e83b5</t>
        </is>
      </c>
      <c r="B242" t="inlineStr">
        <is>
          <t>Sr. Applied Scientist, AGI Info</t>
        </is>
      </c>
      <c r="C242" t="inlineStr">
        <is>
          <t>Amazon.com</t>
        </is>
      </c>
      <c r="D242" t="inlineStr">
        <is>
          <t>indeed</t>
        </is>
      </c>
      <c r="E242">
        <f>HYPERLINK("https://www.indeed.com/viewjob?jk=77ab7307d95e83b5", "https://www.indeed.com/viewjob?jk=77ab7307d95e83b5")</f>
        <v/>
      </c>
      <c r="F242">
        <f>HYPERLINK("https://www.amazon.jobs/jobs/2999351/sr-applied-scientist-agi-info?cmpid=DA_INAD200785B", "https://www.amazon.jobs/jobs/2999351/sr-applied-scientist-agi-info?cmpid=DA_INAD200785B")</f>
        <v/>
      </c>
      <c r="G242" t="inlineStr">
        <is>
          <t>Sunnyvale, CA, US</t>
        </is>
      </c>
      <c r="H242" s="3" t="n">
        <v>45811</v>
      </c>
      <c r="I242"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in-657b1f198e6b921d</t>
        </is>
      </c>
      <c r="B243" t="inlineStr">
        <is>
          <t>AI / ML Engineer</t>
        </is>
      </c>
      <c r="C243" t="inlineStr">
        <is>
          <t>Accenture Federal Services</t>
        </is>
      </c>
      <c r="D243" t="inlineStr">
        <is>
          <t>indeed</t>
        </is>
      </c>
      <c r="E243">
        <f>HYPERLINK("https://www.indeed.com/viewjob?jk=657b1f198e6b921d", "https://www.indeed.com/viewjob?jk=657b1f198e6b921d")</f>
        <v/>
      </c>
      <c r="F243">
        <f>HYPERLINK("https://grnh.se/62y2ey3a6us", "https://grnh.se/62y2ey3a6us")</f>
        <v/>
      </c>
      <c r="G243" t="inlineStr">
        <is>
          <t>Chantilly, VA, US</t>
        </is>
      </c>
      <c r="H243" s="3" t="n">
        <v>46034</v>
      </c>
      <c r="I243"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and part of global Accenture, to do work that matters in a collaborative and caring community, where you feel like you belong and are empowered to grow, learn and thrive through hands\-on experience, certifications, industry training and more.  
Join us to drive positive, lasting change that moves missions and the government forward! **Job Description**
This role is to support the hands\-on development and support for integrating an Agentic AI system with existing data platforms. The role will focus on data integrations, the query execution layer, as well as implementation of the agentic workflows and orchestration logic.
**Responsibilities:**
* Develop retrieval pipelines (metadata indexing, embeddings, hybrid search).
* Package the system into deployable services.
* Develops agent tools for structured queries, semantic search, and workflow actions.
* Build ingestion and indexing pipelines into the data lake and vector store.
* Implement APIs, microservices, and backend logic.
* Optimize query routing, caching, and grounding strategies.
* Integrate authentication, authorization, and auditing.
* Support prototyping, demos, and pilot deployments.
**Must have:**
* 4 years of experience with data \&amp; AI
* Experience with Python, APIs/microservices, cloud services
* Understanding of DevOps tools and principals
**Nice to have:**
* Experience with Model Context Protocol
* Experience with agent frameworks, data engineering, vector databases, SQL engines, distributed systems, RAG
* Bachelors degree
**Security Clearance:**
* Active TS/SCI with polygraph clearance
***What We Believe****As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t>
        </is>
      </c>
    </row>
    <row r="244">
      <c r="A244" t="inlineStr">
        <is>
          <t>in-77dcb4868a5414ab</t>
        </is>
      </c>
      <c r="B244" t="inlineStr">
        <is>
          <t>Distinguished Machine Learning Engineer</t>
        </is>
      </c>
      <c r="C244" t="inlineStr">
        <is>
          <t>Capital One</t>
        </is>
      </c>
      <c r="D244" t="inlineStr">
        <is>
          <t>indeed</t>
        </is>
      </c>
      <c r="E244">
        <f>HYPERLINK("https://www.indeed.com/viewjob?jk=77dcb4868a5414ab", "https://www.indeed.com/viewjob?jk=77dcb4868a5414ab")</f>
        <v/>
      </c>
      <c r="F244">
        <f>HYPERLINK("https://www.capitalonecareers.com/job/-/-/1732/90527507488", "https://www.capitalonecareers.com/job/-/-/1732/90527507488")</f>
        <v/>
      </c>
      <c r="G244" t="inlineStr">
        <is>
          <t>McLean, VA, US</t>
        </is>
      </c>
      <c r="H244" s="3" t="n">
        <v>46033</v>
      </c>
      <c r="I244" t="inlineStr">
        <is>
          <t>Distinguished Machine Learning Engineer
As a Capital One Machine Learning Engineer, you'll be providing technical leadership to engineering teams dedicated to productionizing machine learning applications and systems at scale. You’ll participate in the detailed technical design, development, and implementation of machine learning applications using existing and emerging technology platforms. You’ll serve as a technical domain expert in machine learning, guiding machine learning architectural design decisions, developing and reviewing model and application code, and ensuring high availability and performance of our machine learning applications. You'll have the opportunity to continuously learn and apply the latest innovations and best practices in machine learning engineering. You’ll also mentor other engineers and further develop your technical knowledge and skills to keep Capital One at the cutting edge of technology.
**What you’ll do in the role:**
* Deliver ML models and software components that solve challenging business problems in the financial services industry, working in collaboration with the Product, Architecture, Engineering, and Data Science teams
* Drive the creation and evolution of ML models and software that enable state\-of\-the\-art intelligent systems
* Lead large\-scale ML initiatives with the customer in mind
* Leverage cloud\-based architectures and technologies to deliver optimized ML models at scale
* Optimize data pipelines to feed ML models
* Use programming languages like Python, Scala, C/C\+\+
* Leverage compute technologies such as Dask and RAPIDS
* Evangelize best practices in all aspects of the engineering and modeling lifecycles
* Help recruit, nurture, and retain top engineering talent
**Basic Qualifications:**
* Bachelor’s degree
* At least 10 years of experience designing and building data\-intensive solutions using distributed computing
* At least 6 years of experience programming in C, C\+\+, Python, or Scala
* At least 3 years of experience with the full ML development lifecycle using modern technology in a business critical setting
**Preferred Qualifications:**
* Master's Degree
* 3\+ years of experience designing, implementing, and scaling production\-ready data pipelines that feed ML models
* 2\+ years of experience using Dask, RAPIDS, or in High Performance Computing
* 2\+ years of experience with the PyData ecosystem (NumPy, Pandas, and Scikit\-learn)
* Ability to communicate complex technical concepts clearly to a variety of audiences
* ML industry impact through conference presentations, papers, blog posts, or open source contributions
* Ability to attract and develop high\-performing software engineers with an inspiring leadership style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Distinguished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45">
      <c r="A245" t="inlineStr">
        <is>
          <t>in-cc61b2cc070515f9</t>
        </is>
      </c>
      <c r="B245" t="inlineStr">
        <is>
          <t>Distinguished AI Engineer (Agentic AI Platform Infrastructure)</t>
        </is>
      </c>
      <c r="C245" t="inlineStr">
        <is>
          <t>Capital One</t>
        </is>
      </c>
      <c r="D245" t="inlineStr">
        <is>
          <t>indeed</t>
        </is>
      </c>
      <c r="E245">
        <f>HYPERLINK("https://www.indeed.com/viewjob?jk=cc61b2cc070515f9", "https://www.indeed.com/viewjob?jk=cc61b2cc070515f9")</f>
        <v/>
      </c>
      <c r="F245">
        <f>HYPERLINK("https://www.capitalonecareers.com/job/-/-/1732/90520314768", "https://www.capitalonecareers.com/job/-/-/1732/90520314768")</f>
        <v/>
      </c>
      <c r="G245" t="inlineStr">
        <is>
          <t>San Jose, CA, US</t>
        </is>
      </c>
      <c r="H245" s="3" t="n">
        <v>46033</v>
      </c>
      <c r="I245" t="inlineStr">
        <is>
          <t>Distinguished AI Engineer (Agentic AI Platform Infrastructure)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 2\+ years of experience supporting Agentic Frameworks (LangChain, CrewAI, Semantic Kernel (Microsoft), or AutoGen)
* 2\+ years of experience with LLMOps (Google Cloud Vertex AI, Amazon SageMaker, Azure Machine Learning
* Experience developing AI and ML algorithms or technologies (e.g. LLM Inference, Similarity Search and VectorDBs, Guardrails, Memory) using Python, C\+\+, C\#, Java, or Golang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$269,100 \- $307,200 for Distinguished AI Engineer  
McLean, VA: $269,100 \- $307,200 for Distinguished AI Engineer  
New York, NY: $293,600 \- $335,100 for Distinguished AI Engineer  
San Francisco, CA: $293,600 \- $335,100 for Distinguished AI Engineer  
San Jose, CA: $293,600 \- $335,100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46">
      <c r="A246" t="inlineStr">
        <is>
          <t>in-67a79ae085ff3246</t>
        </is>
      </c>
      <c r="B246" t="inlineStr">
        <is>
          <t>Senior AI Engineer - Teams Messaging AI</t>
        </is>
      </c>
      <c r="C246" t="inlineStr">
        <is>
          <t>Microsoft</t>
        </is>
      </c>
      <c r="D246" t="inlineStr">
        <is>
          <t>indeed</t>
        </is>
      </c>
      <c r="E246">
        <f>HYPERLINK("https://www.indeed.com/viewjob?jk=67a79ae085ff3246", "https://www.indeed.com/viewjob?jk=67a79ae085ff3246")</f>
        <v/>
      </c>
      <c r="F246">
        <f>HYPERLINK("https://apply.careers.microsoft.com/careers/job/1970393556658265?utm_source=indeed&amp;domain=microsoft.com", "https://apply.careers.microsoft.com/careers/job/1970393556658265?utm_source=indeed&amp;domain=microsoft.com")</f>
        <v/>
      </c>
      <c r="G246" t="inlineStr">
        <is>
          <t>Mountain View, CA, US</t>
        </is>
      </c>
      <c r="H246" s="3" t="n">
        <v>46030</v>
      </c>
      <c r="I246" t="inlineStr">
        <is>
          <t>**Overview**  
Are you interested in joining one of the most exciting teams and working on the fastest growing enterprise product in Microsoft? Then look no further than Microsoft Teams Messaging and AI team based in Silicon Valley. You will be building innovative solutions that leverage state of the art Web and GenAI technologies and models to deliver the next evolution of collaboration and productivity features for Microsoft Teams.
The SVC Messaging and AI team provides exciting opportunities in building messaging and large language models (LLM) features that meet the needs of hundreds of millions of engaging users of the fastest growing product in Microsoft's history. This is a unique opportunity to grow and apply your knowledge of innovative web and frontier AI technologies and agentic application architecture in a broad scope to have a significant impact.  
We are looking for creative problem solvers and diverse thinkers — people who care about culture as well as developing features and engaging the communities they serve. We believe that why we do things is as important as what we do. Big vision, an inclusive purpose, a passion for quality, curiosity as well as grit, and an investment in fun and collaboration are what lead to remarkable results.  
As a Senior Software Engineer, you will be an integral part of our tight\-knit group of dedicated problem solvers. The ideal candidate should be able to quickly make an impact on the team and work with the larger Teams engineering and Microsoft Search, Assistant, and Intelligence (MSAI) organizations to deliver an innovative experience to hundreds of millions of Microsoft Teams users.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implementation, and shipping of multiple new messaging and large language models (LLM) agentic features.
* Building end\-to\-end user experiences that work across multiple devices and browsers.
* Writing and maintaining unit tests, large language models (LLM) eval and automated integration or end\-to\-end tests.
* Building web and AI applications in enterprise and/or consumer markets.
* Collaborating with partner teams to meet engineering goals.
* Managing individual projects or feature priorities, deadlines, and deliverables.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3\+ years engineering experience with large scale complex modern web development stacks like React with Typescript.
* 2\+ years ability to navigate complex problems with a thorough design and collaborate with multiple partners on common goals.
* 1\+ year experience with GenAI and large language models (LLM) flow development.
* Proven skills in software system design and architecture.
* Experience with unit\-test, continuous integration, and test\-driven client and service development.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47">
      <c r="A247" t="inlineStr">
        <is>
          <t>in-5d071493b3b7fe67</t>
        </is>
      </c>
      <c r="B247" t="inlineStr">
        <is>
          <t>AI Machine Learning Engineer</t>
        </is>
      </c>
      <c r="C247" t="inlineStr">
        <is>
          <t>VSE Corporation</t>
        </is>
      </c>
      <c r="D247" t="inlineStr">
        <is>
          <t>indeed</t>
        </is>
      </c>
      <c r="E247">
        <f>HYPERLINK("https://www.indeed.com/viewjob?jk=5d071493b3b7fe67", "https://www.indeed.com/viewjob?jk=5d071493b3b7fe67")</f>
        <v/>
      </c>
      <c r="F247">
        <f>HYPERLINK("https://www.paycomonline.net/v4/ats/web.php/jobs/ViewJobDetails?job=8137&amp;clientkey=7A7D8CB1B4A3834F3944111BEBA64821&amp;source=Indeed", "https://www.paycomonline.net/v4/ats/web.php/jobs/ViewJobDetails?job=8137&amp;clientkey=7A7D8CB1B4A3834F3944111BEBA64821&amp;source=Indeed")</f>
        <v/>
      </c>
      <c r="G247" t="inlineStr">
        <is>
          <t>Miramar, FL, US</t>
        </is>
      </c>
      <c r="H247" s="3" t="n">
        <v>46029</v>
      </c>
      <c r="I247" t="inlineStr">
        <is>
          <t>**SUMMARY:** The AI Machine Learning Engineer will help build, deploy, and operationalize AI solutions within our Microsoft\-based technology ecosystem. The ideal candidate has hands\-on experience developing machine learning models, integrating AI capabilities into enterprise applications, leveraging Microsoft Azure’s AI and data services. This role will work closely with VP Corporate IT, cyber security, engineering, development, and business stakeholders to translate use cases into workable solution designs, developing, and optimizing models and pipelines that scale across the organization.
**DUTIES \&amp; RESPONSIBILITIES:**
Responsibilities include, but are not limited to:
**AI/ML Solution Development:**
* Design, build, and deploy ML models using Azure Machine Learning, Azure OpenAI, and other Microsoft AI services.
* Develop data preprocessing, feature engineering, model training, and evaluation pipelines.
* Implement prompt engineering, fine\-tuning, and model orchestration for LLM\-driven applications.
**Azure Cloud Engineering:**
* Use Azure Machine Learning, Copilot, Data Warehouse, Azure Databricks, Azure Synapse, and related services to build and manage ML workflows.
* Create scalable model endpoints and integrate them into internal or customer\-facing applications.
* Optimize model performance and cost efficiency within Azure.
**ML Operations \&amp; Deployment:**
* Build and maintain CI/CD pipelines for ML models using Azure DevOps or GitHub Actions.
* Monitor deployed models, retrain as needed, and ensure production reliability.
* Implement logging, telemetry, and monitoring using Azure Monitor and related tools.
**Collaboration \&amp; Strategy:**
* Partner with the AI Initiative Lead to define solution architecture, constraints, and success metrics.
* Work with cross\-functional teams to identify new AI opportunities and evaluate feasibility.
* Create documentation, model cards, and technical guides for internal teams.
* Other duties as assigned.
**MINIMUM REQUIREMENTS:**
* Bachelor’s degree in computer science or related field
	+ or a combination of relevant Specialized Technical Certifications in related field.
	+ or an additional 3 years of relevant work experience in lieu of degree.
* 5 years of experience building and deploying AI/ML models in production environments.
* Hands\-on experience with Microsoft technologies, including:
	+ Azure Machine Learning (pipelines, workspaces, endpoints)
	+ Azure OpenAI Service
	+ Azure Cognitive Services
	+ Data Warehouse / Azure Data Lake / Synapse / Databricks
	+ Azure DevOps or GitHub Actions
* Proficiency in Python, R and common ML frameworks (Microsoft Azure Machine Learning, TensorFlow, scikit\-learn).
**PREFERRED REQUIREMENTS:**
* Strong knowledge of data engineering fundamentals, feature engineering, and model evaluation.
* Experience building APIs using FastAPI, Flask, or Azure Functions.
* Understanding of best practices for security, governance, and responsible AI (Microsoft Responsible AI Framework a plus).
* Experience with LLM application design (RAG patterns, vector databases, prompt engineering).
* Experience with Copilot, Azure AI Search, Azure Cognitive Search, Azure Cosmos DB, or Redis Enterprise for retrieval systems.
* Experience deploying containerized applications using Azure Kubernetes Service (AKS).
* Familiarity with enterprise integrations (Power Platform, Microsoft Graph).
* Experience supporting end\-to\-end AI product lifecycle in a corporate environment.
**OTHER:**
* The selected applicant will be subject to a background check and drug testing.</t>
        </is>
      </c>
    </row>
    <row r="248">
      <c r="A248" t="inlineStr">
        <is>
          <t>in-8f061ff00c16e7a2</t>
        </is>
      </c>
      <c r="B248" t="inlineStr">
        <is>
          <t>Machine Learning Engineer, Model Customization, Generative AI Innovation Center</t>
        </is>
      </c>
      <c r="C248" t="inlineStr">
        <is>
          <t>Amazon Web Services</t>
        </is>
      </c>
      <c r="D248" t="inlineStr">
        <is>
          <t>indeed</t>
        </is>
      </c>
      <c r="E248">
        <f>HYPERLINK("https://www.indeed.com/viewjob?jk=8f061ff00c16e7a2", "https://www.indeed.com/viewjob?jk=8f061ff00c16e7a2")</f>
        <v/>
      </c>
      <c r="F248">
        <f>HYPERLINK("https://www.amazon.jobs/jobs/3146359/machine-learning-engineer-model-customization-generative-ai-innovation-center?cmpid=DA_INAD200785B", "https://www.amazon.jobs/jobs/3146359/machine-learning-engineer-model-customization-generative-ai-innovation-center?cmpid=DA_INAD200785B")</f>
        <v/>
      </c>
      <c r="G248" t="inlineStr">
        <is>
          <t>Seattle, WA, US</t>
        </is>
      </c>
      <c r="H248" s="3" t="n">
        <v>46008</v>
      </c>
      <c r="I248"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in-67e9abbaeda0af72</t>
        </is>
      </c>
      <c r="B249" t="inlineStr">
        <is>
          <t>Machine Learning Engineer, Model Customization, Generative AI Innovation Center</t>
        </is>
      </c>
      <c r="C249" t="inlineStr">
        <is>
          <t>Amazon Web Services</t>
        </is>
      </c>
      <c r="D249" t="inlineStr">
        <is>
          <t>indeed</t>
        </is>
      </c>
      <c r="E249">
        <f>HYPERLINK("https://www.indeed.com/viewjob?jk=67e9abbaeda0af72", "https://www.indeed.com/viewjob?jk=67e9abbaeda0af72")</f>
        <v/>
      </c>
      <c r="F249">
        <f>HYPERLINK("https://www.amazon.jobs/jobs/3146359/machine-learning-engineer-model-customization-generative-ai-innovation-center?cmpid=DA_INAD200785B", "https://www.amazon.jobs/jobs/3146359/machine-learning-engineer-model-customization-generative-ai-innovation-center?cmpid=DA_INAD200785B")</f>
        <v/>
      </c>
      <c r="G249" t="inlineStr">
        <is>
          <t>Mountain View, CA, US</t>
        </is>
      </c>
      <c r="H249" s="3" t="n">
        <v>46008</v>
      </c>
      <c r="I249"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in-d227c3aeab4a4a83</t>
        </is>
      </c>
      <c r="B250" t="inlineStr">
        <is>
          <t>Sr. Machine Learning Engineer, AGIF | Finetuning</t>
        </is>
      </c>
      <c r="C250" t="inlineStr">
        <is>
          <t>Amazon.com</t>
        </is>
      </c>
      <c r="D250" t="inlineStr">
        <is>
          <t>indeed</t>
        </is>
      </c>
      <c r="E250">
        <f>HYPERLINK("https://www.indeed.com/viewjob?jk=d227c3aeab4a4a83", "https://www.indeed.com/viewjob?jk=d227c3aeab4a4a83")</f>
        <v/>
      </c>
      <c r="F250">
        <f>HYPERLINK("https://www.amazon.jobs/jobs/3145989/sr-machine-learning-engineer-agif--finetuning?cmpid=DA_INAD200785B", "https://www.amazon.jobs/jobs/3145989/sr-machine-learning-engineer-agif--finetuning?cmpid=DA_INAD200785B")</f>
        <v/>
      </c>
      <c r="G250" t="inlineStr">
        <is>
          <t>Bellevue, WA, US</t>
        </is>
      </c>
      <c r="H250" s="3" t="n">
        <v>45984</v>
      </c>
      <c r="I25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in-3dcbc9596445637c</t>
        </is>
      </c>
      <c r="B251" t="inlineStr">
        <is>
          <t>Sr. Machine Learning Engineer, AGIF | Finetuning</t>
        </is>
      </c>
      <c r="C251" t="inlineStr">
        <is>
          <t>Amazon.com</t>
        </is>
      </c>
      <c r="D251" t="inlineStr">
        <is>
          <t>indeed</t>
        </is>
      </c>
      <c r="E251">
        <f>HYPERLINK("https://www.indeed.com/viewjob?jk=3dcbc9596445637c", "https://www.indeed.com/viewjob?jk=3dcbc9596445637c")</f>
        <v/>
      </c>
      <c r="F251">
        <f>HYPERLINK("https://www.amazon.jobs/jobs/3145989/sr-machine-learning-engineer-agif--finetuning?cmpid=DA_INAD200785B", "https://www.amazon.jobs/jobs/3145989/sr-machine-learning-engineer-agif--finetuning?cmpid=DA_INAD200785B")</f>
        <v/>
      </c>
      <c r="G251" t="inlineStr">
        <is>
          <t>Sunnyvale, CA, US</t>
        </is>
      </c>
      <c r="H251" s="3" t="n">
        <v>45984</v>
      </c>
      <c r="I251"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in-1bc02828c13b7611</t>
        </is>
      </c>
      <c r="B252" t="inlineStr">
        <is>
          <t>Sr. Machine Learning Engineer, AGIF | Finetuning</t>
        </is>
      </c>
      <c r="C252" t="inlineStr">
        <is>
          <t>Amazon.com</t>
        </is>
      </c>
      <c r="D252" t="inlineStr">
        <is>
          <t>indeed</t>
        </is>
      </c>
      <c r="E252">
        <f>HYPERLINK("https://www.indeed.com/viewjob?jk=1bc02828c13b7611", "https://www.indeed.com/viewjob?jk=1bc02828c13b7611")</f>
        <v/>
      </c>
      <c r="F252">
        <f>HYPERLINK("https://www.amazon.jobs/jobs/3145989/sr-machine-learning-engineer-agif--finetuning?cmpid=DA_INAD200785B", "https://www.amazon.jobs/jobs/3145989/sr-machine-learning-engineer-agif--finetuning?cmpid=DA_INAD200785B")</f>
        <v/>
      </c>
      <c r="G252" t="inlineStr">
        <is>
          <t>New York, NY, US</t>
        </is>
      </c>
      <c r="H252" s="3" t="n">
        <v>45984</v>
      </c>
      <c r="I252"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in-1fce8643f25e70e9</t>
        </is>
      </c>
      <c r="B253" t="inlineStr">
        <is>
          <t>Senior Applied AI Engineer - Security for AI</t>
        </is>
      </c>
      <c r="C253" t="inlineStr">
        <is>
          <t>Microsoft</t>
        </is>
      </c>
      <c r="D253" t="inlineStr">
        <is>
          <t>indeed</t>
        </is>
      </c>
      <c r="E253">
        <f>HYPERLINK("https://www.indeed.com/viewjob?jk=1fce8643f25e70e9", "https://www.indeed.com/viewjob?jk=1fce8643f25e70e9")</f>
        <v/>
      </c>
      <c r="F253">
        <f>HYPERLINK("https://apply.careers.microsoft.com/careers/job/1970393556629173?utm_source=indeed&amp;domain=microsoft.com", "https://apply.careers.microsoft.com/careers/job/1970393556629173?utm_source=indeed&amp;domain=microsoft.com")</f>
        <v/>
      </c>
      <c r="G253" t="inlineStr">
        <is>
          <t>Redmond, WA, US</t>
        </is>
      </c>
      <c r="H253" s="3" t="n">
        <v>45981</v>
      </c>
      <c r="I253"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a product research team of dedicated and innovative experts specializing in machine learning and artificial intelligence research for cybersecurity, looking for a **Senior Applied ML Engineer \- Security for AI**. We stand at the forefront of revolutionizing cybersecurity solutions in a rapidly evolving digital landscape where cyber threats persistently challenge the boundaries of security. Come and work with a team of world\-class researchers and engineers who are passionate about advancing the state\-of\-the\-art in cybersecurity and creating impactful solutions for customers. Help us build a culture of learning, growth, and inclusion, where everyone thrives and makes a difference in the security domain.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 and execute cutting\-edge research projects in machine learning and artificial intelligence for cybersecurity, with a focus on cloud security challenges and opportunities.
* Serve as an expert within team on changes in industry/market trends, products, industry advances, and opportunities in applied technologies across a broad range of applied research areas.
* Communicate the results and impact of your research and development to senior leadership and external audiences through publications, presentations, and demos.
* Drive high\-stakes negotiations across teams to ensure cutting edge technology is being applied to products in a practical way that meets key business objectives.
* Write production\-ready code to successfully deliver research project into AI product.
**Qualifications** **Required/Minimum Qualifications:**
*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Master's Degree in Computer Science, Artificial Intelligence, Mathematics, Physics, or related field AND 6\+ year(s) related industry experience (e.g., statistics, predictive analytics, research) OR Doctorate in Computer Science, Artificial Intelligence, Mathematics, Physics, or related field AND 5\+ years related industry experience
* 5\+ years of hands\-on experience in programming language such as C\#, Python.
* Ability to problem solve architecture design and coding problems
* Understanding of statistics, machine learning algorithms and data visualization.
* Knowledge in large language model, deep learning, transformer models, data engineering, cloud stack technologies, information fusion, large\-scale machine learning models.
* Prior experience in AI product development is preferred not required
* Experience in working with cross\-functional teams, such as product managers, designers, researchers, engineers, and stakeholders, with strong communication, collaboration, and leadership skills, for translating research into a production service.
* Ability to deal with ambiguity at work; identify research areas independently; shape the direction of research to product in a practical way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54">
      <c r="A254" t="inlineStr">
        <is>
          <t>in-8003b8d317f330b4</t>
        </is>
      </c>
      <c r="B254" t="inlineStr">
        <is>
          <t>Senior Delivery Consultant - Senior Machine Learning Engineer, AWS Professional Services, AWS Professional Services</t>
        </is>
      </c>
      <c r="C254" t="inlineStr">
        <is>
          <t>Amazon Web Services</t>
        </is>
      </c>
      <c r="D254" t="inlineStr">
        <is>
          <t>indeed</t>
        </is>
      </c>
      <c r="E254">
        <f>HYPERLINK("https://www.indeed.com/viewjob?jk=8003b8d317f330b4", "https://www.indeed.com/viewjob?jk=8003b8d317f330b4")</f>
        <v/>
      </c>
      <c r="F254">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54" t="inlineStr">
        <is>
          <t>Dallas, TX, US</t>
        </is>
      </c>
      <c r="H254" s="3" t="n">
        <v>45825</v>
      </c>
      <c r="I25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in-c3666b2b1cf2a3d2</t>
        </is>
      </c>
      <c r="B255" t="inlineStr">
        <is>
          <t>Senior Delivery Consultant - Senior Machine Learning Engineer, AWS Professional Services, AWS Professional Services</t>
        </is>
      </c>
      <c r="C255" t="inlineStr">
        <is>
          <t>Amazon Web Services</t>
        </is>
      </c>
      <c r="D255" t="inlineStr">
        <is>
          <t>indeed</t>
        </is>
      </c>
      <c r="E255">
        <f>HYPERLINK("https://www.indeed.com/viewjob?jk=c3666b2b1cf2a3d2", "https://www.indeed.com/viewjob?jk=c3666b2b1cf2a3d2")</f>
        <v/>
      </c>
      <c r="F255">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55" t="inlineStr">
        <is>
          <t>Seattle, WA, US</t>
        </is>
      </c>
      <c r="H255" s="3" t="n">
        <v>45825</v>
      </c>
      <c r="I25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in-84a4d5633160e92f</t>
        </is>
      </c>
      <c r="B256" t="inlineStr">
        <is>
          <t>Senior Delivery Consultant - Senior Machine Learning Engineer, AWS Professional Services, AWS Professional Services</t>
        </is>
      </c>
      <c r="C256" t="inlineStr">
        <is>
          <t>Amazon Web Services</t>
        </is>
      </c>
      <c r="D256" t="inlineStr">
        <is>
          <t>indeed</t>
        </is>
      </c>
      <c r="E256">
        <f>HYPERLINK("https://www.indeed.com/viewjob?jk=84a4d5633160e92f", "https://www.indeed.com/viewjob?jk=84a4d5633160e92f")</f>
        <v/>
      </c>
      <c r="F256">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56" t="inlineStr">
        <is>
          <t>New York, NY, US</t>
        </is>
      </c>
      <c r="H256" s="3" t="n">
        <v>45825</v>
      </c>
      <c r="I25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in-46cd41cfa4f89a61</t>
        </is>
      </c>
      <c r="B257" t="inlineStr">
        <is>
          <t>Senior Delivery Consultant - Senior Machine Learning Engineer, AWS Professional Services, AWS Professional Services</t>
        </is>
      </c>
      <c r="C257" t="inlineStr">
        <is>
          <t>Amazon Web Services</t>
        </is>
      </c>
      <c r="D257" t="inlineStr">
        <is>
          <t>indeed</t>
        </is>
      </c>
      <c r="E257">
        <f>HYPERLINK("https://www.indeed.com/viewjob?jk=46cd41cfa4f89a61", "https://www.indeed.com/viewjob?jk=46cd41cfa4f89a61")</f>
        <v/>
      </c>
      <c r="F257">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57" t="inlineStr">
        <is>
          <t>Atlanta, GA, US</t>
        </is>
      </c>
      <c r="H257" s="3" t="n">
        <v>45825</v>
      </c>
      <c r="I25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in-6a7e01072706b4b0</t>
        </is>
      </c>
      <c r="B258" t="inlineStr">
        <is>
          <t>Senior Delivery Consultant - Senior Machine Learning Engineer, AWS Professional Services, AWS Professional Services</t>
        </is>
      </c>
      <c r="C258" t="inlineStr">
        <is>
          <t>Amazon Web Services</t>
        </is>
      </c>
      <c r="D258" t="inlineStr">
        <is>
          <t>indeed</t>
        </is>
      </c>
      <c r="E258">
        <f>HYPERLINK("https://www.indeed.com/viewjob?jk=6a7e01072706b4b0", "https://www.indeed.com/viewjob?jk=6a7e01072706b4b0")</f>
        <v/>
      </c>
      <c r="F258">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58" t="inlineStr">
        <is>
          <t>Chicago, IL, US</t>
        </is>
      </c>
      <c r="H258" s="3" t="n">
        <v>45825</v>
      </c>
      <c r="I25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in-6b220eb1974a3a78</t>
        </is>
      </c>
      <c r="B259" t="inlineStr">
        <is>
          <t>Senior Delivery Consultant - Senior Machine Learning Engineer, AWS Professional Services, AWS Professional Services</t>
        </is>
      </c>
      <c r="C259" t="inlineStr">
        <is>
          <t>Amazon Web Services</t>
        </is>
      </c>
      <c r="D259" t="inlineStr">
        <is>
          <t>indeed</t>
        </is>
      </c>
      <c r="E259">
        <f>HYPERLINK("https://www.indeed.com/viewjob?jk=6b220eb1974a3a78", "https://www.indeed.com/viewjob?jk=6b220eb1974a3a78")</f>
        <v/>
      </c>
      <c r="F259">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59" t="inlineStr">
        <is>
          <t>Herndon, VA, US</t>
        </is>
      </c>
      <c r="H259" s="3" t="n">
        <v>45825</v>
      </c>
      <c r="I25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in-ddffff3e0209a48e</t>
        </is>
      </c>
      <c r="B260" t="inlineStr">
        <is>
          <t>Senior Delivery Consultant - Senior Machine Learning Engineer, AWS Professional Services, AWS Professional Services</t>
        </is>
      </c>
      <c r="C260" t="inlineStr">
        <is>
          <t>Amazon Web Services</t>
        </is>
      </c>
      <c r="D260" t="inlineStr">
        <is>
          <t>indeed</t>
        </is>
      </c>
      <c r="E260">
        <f>HYPERLINK("https://www.indeed.com/viewjob?jk=ddffff3e0209a48e", "https://www.indeed.com/viewjob?jk=ddffff3e0209a48e")</f>
        <v/>
      </c>
      <c r="F260">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60" t="inlineStr">
        <is>
          <t>Austin, TX, US</t>
        </is>
      </c>
      <c r="H260" s="3" t="n">
        <v>45825</v>
      </c>
      <c r="I26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in-6aa2137f5f507d61</t>
        </is>
      </c>
      <c r="B261" t="inlineStr">
        <is>
          <t>Senior Delivery Consultant - Senior Machine Learning Engineer, AWS Professional Services, AWS Professional Services</t>
        </is>
      </c>
      <c r="C261" t="inlineStr">
        <is>
          <t>Amazon Web Services</t>
        </is>
      </c>
      <c r="D261" t="inlineStr">
        <is>
          <t>indeed</t>
        </is>
      </c>
      <c r="E261">
        <f>HYPERLINK("https://www.indeed.com/viewjob?jk=6aa2137f5f507d61", "https://www.indeed.com/viewjob?jk=6aa2137f5f507d61")</f>
        <v/>
      </c>
      <c r="F261">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61" t="inlineStr">
        <is>
          <t>Boston, MA, US</t>
        </is>
      </c>
      <c r="H261" s="3" t="n">
        <v>45825</v>
      </c>
      <c r="I26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in-d5ecd45cae3e9ab2</t>
        </is>
      </c>
      <c r="B262" t="inlineStr">
        <is>
          <t>Senior Delivery Consultant - Senior Machine Learning Engineer, AWS Professional Services, AWS Professional Services</t>
        </is>
      </c>
      <c r="C262" t="inlineStr">
        <is>
          <t>Amazon Web Services</t>
        </is>
      </c>
      <c r="D262" t="inlineStr">
        <is>
          <t>indeed</t>
        </is>
      </c>
      <c r="E262">
        <f>HYPERLINK("https://www.indeed.com/viewjob?jk=d5ecd45cae3e9ab2", "https://www.indeed.com/viewjob?jk=d5ecd45cae3e9ab2")</f>
        <v/>
      </c>
      <c r="F262">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62" t="inlineStr">
        <is>
          <t>Arlington, VA, US</t>
        </is>
      </c>
      <c r="H262" s="3" t="n">
        <v>45825</v>
      </c>
      <c r="I26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in-8fd59c8f90b94038</t>
        </is>
      </c>
      <c r="B263" t="inlineStr">
        <is>
          <t>Sr. Machine Learning Engineer, Amazon General Intelligence (AGI)</t>
        </is>
      </c>
      <c r="C263" t="inlineStr">
        <is>
          <t>Amazon.com</t>
        </is>
      </c>
      <c r="D263" t="inlineStr">
        <is>
          <t>indeed</t>
        </is>
      </c>
      <c r="E263">
        <f>HYPERLINK("https://www.indeed.com/viewjob?jk=8fd59c8f90b94038", "https://www.indeed.com/viewjob?jk=8fd59c8f90b94038")</f>
        <v/>
      </c>
      <c r="F263">
        <f>HYPERLINK("https://www.amazon.jobs/jobs/3003295/sr-machine-learning-engineer-amazon-general-intelligence-agi?cmpid=DA_INAD200785B", "https://www.amazon.jobs/jobs/3003295/sr-machine-learning-engineer-amazon-general-intelligence-agi?cmpid=DA_INAD200785B")</f>
        <v/>
      </c>
      <c r="G263" t="inlineStr">
        <is>
          <t>Bellevue, WA, US</t>
        </is>
      </c>
      <c r="H263" s="3" t="n">
        <v>45813</v>
      </c>
      <c r="I263"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in-9bee2e25995324bb</t>
        </is>
      </c>
      <c r="B264" t="inlineStr">
        <is>
          <t>Sr. Machine Learning Engineer, Amazon General Intelligence (AGI)</t>
        </is>
      </c>
      <c r="C264" t="inlineStr">
        <is>
          <t>Amazon.com</t>
        </is>
      </c>
      <c r="D264" t="inlineStr">
        <is>
          <t>indeed</t>
        </is>
      </c>
      <c r="E264">
        <f>HYPERLINK("https://www.indeed.com/viewjob?jk=9bee2e25995324bb", "https://www.indeed.com/viewjob?jk=9bee2e25995324bb")</f>
        <v/>
      </c>
      <c r="F264">
        <f>HYPERLINK("https://www.amazon.jobs/jobs/3003295/sr-machine-learning-engineer-amazon-general-intelligence-agi?cmpid=DA_INAD200785B", "https://www.amazon.jobs/jobs/3003295/sr-machine-learning-engineer-amazon-general-intelligence-agi?cmpid=DA_INAD200785B")</f>
        <v/>
      </c>
      <c r="G264" t="inlineStr">
        <is>
          <t>Seattle, WA, US</t>
        </is>
      </c>
      <c r="H264" s="3" t="n">
        <v>45813</v>
      </c>
      <c r="I264"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in-472e65265f74ebdd</t>
        </is>
      </c>
      <c r="B265" t="inlineStr">
        <is>
          <t>Machine Learning Engineer, AWS Neuron Inference, AWS Neuron</t>
        </is>
      </c>
      <c r="C265" t="inlineStr">
        <is>
          <t>Amazon Web Services</t>
        </is>
      </c>
      <c r="D265" t="inlineStr">
        <is>
          <t>indeed</t>
        </is>
      </c>
      <c r="E265">
        <f>HYPERLINK("https://www.indeed.com/viewjob?jk=472e65265f74ebdd", "https://www.indeed.com/viewjob?jk=472e65265f74ebdd")</f>
        <v/>
      </c>
      <c r="F265">
        <f>HYPERLINK("https://www.amazon.jobs/jobs/3008876/machine-learning-engineer-aws-neuron-inference-aws-neuron-?cmpid=DA_INAD200785B", "https://www.amazon.jobs/jobs/3008876/machine-learning-engineer-aws-neuron-inference-aws-neuron-?cmpid=DA_INAD200785B")</f>
        <v/>
      </c>
      <c r="G265" t="inlineStr">
        <is>
          <t>Cupertino, CA, US</t>
        </is>
      </c>
      <c r="H265" s="3" t="n">
        <v>45797</v>
      </c>
      <c r="I265" t="inlineStr">
        <is>
          <t>**DESCRIPTION**
---------------
AWS Neuron is the complete software stack for the AWS Inferentia and Trainium cloud\-scale machine  
learning accelerators and the Trn1 and Inf1 servers that use them. This role is for a software engineer in the Machine Learning Applications (ML Apps) team for AWS Neuron.  
This role is responsible for development, enablement and performance tuning of a wide variety of ML model families, including massive scale large language models like Llama2, GPT2, GPT3 and beyond, as well as stable diffusion, Vision Transformers and many more.  
The ML Apps team works side by side with compiler engineers and runtime engineers to create, build and tune distributed inference solutions with Trn1\. Experience optimizing inference performance for both latency and throughput on these large models using Python, Pytorch or JAX is a must. Deepspeed and other distributed inference libraries are central to this and extending all of this for the Neuron based system is key.  
Key job responsibilities  
This role will help lead the efforts building distributed inference support into Pytorch, Tensorflow using XLA and the Neuron compiler and runtime stacks. This role will help tune these models to ensure highest performance and maximize the efficiency of them running on the customer AWS Trainium and Inferentia silicon and the TRn1 , Trn2 servers. Strong software development using Python/C\+\+ and ML knowledge are both critical to this role.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\- 143,700\.00 \- 194,400\.00 USD annually</t>
        </is>
      </c>
    </row>
    <row r="266">
      <c r="A266" t="inlineStr">
        <is>
          <t>in-eacbefad7c1eef27</t>
        </is>
      </c>
      <c r="B266" t="inlineStr">
        <is>
          <t>Machine Learning Engineer, AWS Neuron Inference, AWS Neuron</t>
        </is>
      </c>
      <c r="C266" t="inlineStr">
        <is>
          <t>Amazon Web Services</t>
        </is>
      </c>
      <c r="D266" t="inlineStr">
        <is>
          <t>indeed</t>
        </is>
      </c>
      <c r="E266">
        <f>HYPERLINK("https://www.indeed.com/viewjob?jk=eacbefad7c1eef27", "https://www.indeed.com/viewjob?jk=eacbefad7c1eef27")</f>
        <v/>
      </c>
      <c r="F266">
        <f>HYPERLINK("https://www.amazon.jobs/jobs/3008876/machine-learning-engineer-aws-neuron-inference-aws-neuron-?cmpid=DA_INAD200785B", "https://www.amazon.jobs/jobs/3008876/machine-learning-engineer-aws-neuron-inference-aws-neuron-?cmpid=DA_INAD200785B")</f>
        <v/>
      </c>
      <c r="G266" t="inlineStr">
        <is>
          <t>Seattle, WA, US</t>
        </is>
      </c>
      <c r="H266" s="3" t="n">
        <v>45797</v>
      </c>
      <c r="I266" t="inlineStr">
        <is>
          <t>**DESCRIPTION**
---------------
AWS Neuron is the complete software stack for the AWS Inferentia and Trainium cloud\-scale machine  
learning accelerators and the Trn1 and Inf1 servers that use them. This role is for a software engineer in the Machine Learning Applications (ML Apps) team for AWS Neuron.  
This role is responsible for development, enablement and performance tuning of a wide variety of ML model families, including massive scale large language models like Llama2, GPT2, GPT3 and beyond, as well as stable diffusion, Vision Transformers and many more.  
The ML Apps team works side by side with compiler engineers and runtime engineers to create, build and tune distributed inference solutions with Trn1\. Experience optimizing inference performance for both latency and throughput on these large models using Python, Pytorch or JAX is a must. Deepspeed and other distributed inference libraries are central to this and extending all of this for the Neuron based system is key.  
Key job responsibilities  
This role will help lead the efforts building distributed inference support into Pytorch, Tensorflow using XLA and the Neuron compiler and runtime stacks. This role will help tune these models to ensure highest performance and maximize the efficiency of them running on the customer AWS Trainium and Inferentia silicon and the TRn1 , Trn2 servers. Strong software development using Python/C\+\+ and ML knowledge are both critical to this role.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\- 143,700\.00 \- 194,400\.00 USD annually</t>
        </is>
      </c>
    </row>
    <row r="267">
      <c r="A267" t="inlineStr">
        <is>
          <t>in-3b2d213ac1cd0d52</t>
        </is>
      </c>
      <c r="B267" t="inlineStr">
        <is>
          <t>Applied Scientist, Sponsored Products</t>
        </is>
      </c>
      <c r="C267" t="inlineStr">
        <is>
          <t>Amazon.com</t>
        </is>
      </c>
      <c r="D267" t="inlineStr">
        <is>
          <t>indeed</t>
        </is>
      </c>
      <c r="E267">
        <f>HYPERLINK("https://www.indeed.com/viewjob?jk=3b2d213ac1cd0d52", "https://www.indeed.com/viewjob?jk=3b2d213ac1cd0d52")</f>
        <v/>
      </c>
      <c r="F267">
        <f>HYPERLINK("https://www.amazon.jobs/jobs/3140511/applied-scientist-sponsored-products?cmpid=DA_INAD200785B", "https://www.amazon.jobs/jobs/3140511/applied-scientist-sponsored-products?cmpid=DA_INAD200785B")</f>
        <v/>
      </c>
      <c r="G267" t="inlineStr">
        <is>
          <t>Seattle, WA, US</t>
        </is>
      </c>
      <c r="H267" s="3" t="n">
        <v>45971</v>
      </c>
      <c r="I26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in-858b0624f883e883</t>
        </is>
      </c>
      <c r="B268" t="inlineStr">
        <is>
          <t>Applied Scientist, Sponsored Products</t>
        </is>
      </c>
      <c r="C268" t="inlineStr">
        <is>
          <t>Amazon.com</t>
        </is>
      </c>
      <c r="D268" t="inlineStr">
        <is>
          <t>indeed</t>
        </is>
      </c>
      <c r="E268">
        <f>HYPERLINK("https://www.indeed.com/viewjob?jk=858b0624f883e883", "https://www.indeed.com/viewjob?jk=858b0624f883e883")</f>
        <v/>
      </c>
      <c r="F268">
        <f>HYPERLINK("https://www.amazon.jobs/jobs/3140511/applied-scientist-sponsored-products?cmpid=DA_INAD200785B", "https://www.amazon.jobs/jobs/3140511/applied-scientist-sponsored-products?cmpid=DA_INAD200785B")</f>
        <v/>
      </c>
      <c r="G268" t="inlineStr">
        <is>
          <t>Arlington, VA, US</t>
        </is>
      </c>
      <c r="H268" s="3" t="n">
        <v>45971</v>
      </c>
      <c r="I26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in-b2dc0978df84065a</t>
        </is>
      </c>
      <c r="B269" t="inlineStr">
        <is>
          <t>Applied Scientist, AWS Agentic AI</t>
        </is>
      </c>
      <c r="C269" t="inlineStr">
        <is>
          <t>Amazon Web Services</t>
        </is>
      </c>
      <c r="D269" t="inlineStr">
        <is>
          <t>indeed</t>
        </is>
      </c>
      <c r="E269">
        <f>HYPERLINK("https://www.indeed.com/viewjob?jk=b2dc0978df84065a", "https://www.indeed.com/viewjob?jk=b2dc0978df84065a")</f>
        <v/>
      </c>
      <c r="F269">
        <f>HYPERLINK("https://www.amazon.jobs/jobs/3141517/applied-scientist-aws-agentic-ai-?cmpid=DA_INAD200785B", "https://www.amazon.jobs/jobs/3141517/applied-scientist-aws-agentic-ai-?cmpid=DA_INAD200785B")</f>
        <v/>
      </c>
      <c r="G269" t="inlineStr">
        <is>
          <t>New York, NY, US</t>
        </is>
      </c>
      <c r="H269" s="3" t="n">
        <v>45962</v>
      </c>
      <c r="I26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in-66bfef252cc44fc2</t>
        </is>
      </c>
      <c r="B270" t="inlineStr">
        <is>
          <t>Applied Scientist, AWS Agentic AI</t>
        </is>
      </c>
      <c r="C270" t="inlineStr">
        <is>
          <t>Amazon Web Services</t>
        </is>
      </c>
      <c r="D270" t="inlineStr">
        <is>
          <t>indeed</t>
        </is>
      </c>
      <c r="E270">
        <f>HYPERLINK("https://www.indeed.com/viewjob?jk=66bfef252cc44fc2", "https://www.indeed.com/viewjob?jk=66bfef252cc44fc2")</f>
        <v/>
      </c>
      <c r="F270">
        <f>HYPERLINK("https://www.amazon.jobs/jobs/3141517/applied-scientist-aws-agentic-ai-?cmpid=DA_INAD200785B", "https://www.amazon.jobs/jobs/3141517/applied-scientist-aws-agentic-ai-?cmpid=DA_INAD200785B")</f>
        <v/>
      </c>
      <c r="G270" t="inlineStr">
        <is>
          <t>Santa Clara, CA, US</t>
        </is>
      </c>
      <c r="H270" s="3" t="n">
        <v>45962</v>
      </c>
      <c r="I27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in-4a6ce8ecface9f0d</t>
        </is>
      </c>
      <c r="B271" t="inlineStr">
        <is>
          <t>Applied Scientist, AWS Agentic AI</t>
        </is>
      </c>
      <c r="C271" t="inlineStr">
        <is>
          <t>Amazon Web Services</t>
        </is>
      </c>
      <c r="D271" t="inlineStr">
        <is>
          <t>indeed</t>
        </is>
      </c>
      <c r="E271">
        <f>HYPERLINK("https://www.indeed.com/viewjob?jk=4a6ce8ecface9f0d", "https://www.indeed.com/viewjob?jk=4a6ce8ecface9f0d")</f>
        <v/>
      </c>
      <c r="F271">
        <f>HYPERLINK("https://www.amazon.jobs/jobs/3141517/applied-scientist-aws-agentic-ai-?cmpid=DA_INAD200785B", "https://www.amazon.jobs/jobs/3141517/applied-scientist-aws-agentic-ai-?cmpid=DA_INAD200785B")</f>
        <v/>
      </c>
      <c r="G271" t="inlineStr">
        <is>
          <t>Seattle, WA, US</t>
        </is>
      </c>
      <c r="H271" s="3" t="n">
        <v>45962</v>
      </c>
      <c r="I27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in-1db1c61d137f5820</t>
        </is>
      </c>
      <c r="B272" t="inlineStr">
        <is>
          <t>Applied Scientist, Workplace Health &amp; Safety</t>
        </is>
      </c>
      <c r="C272" t="inlineStr">
        <is>
          <t>Amazon.com</t>
        </is>
      </c>
      <c r="D272" t="inlineStr">
        <is>
          <t>indeed</t>
        </is>
      </c>
      <c r="E272">
        <f>HYPERLINK("https://www.indeed.com/viewjob?jk=1db1c61d137f5820", "https://www.indeed.com/viewjob?jk=1db1c61d137f5820")</f>
        <v/>
      </c>
      <c r="F272">
        <f>HYPERLINK("https://www.amazon.jobs/jobs/3144886/applied-scientist-workplace-health--safety-?cmpid=DA_INAD200785B", "https://www.amazon.jobs/jobs/3144886/applied-scientist-workplace-health--safety-?cmpid=DA_INAD200785B")</f>
        <v/>
      </c>
      <c r="G272" t="inlineStr">
        <is>
          <t>Nashville, TN, US</t>
        </is>
      </c>
      <c r="H272" s="3" t="n">
        <v>45917</v>
      </c>
      <c r="I27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3">
      <c r="A273" t="inlineStr">
        <is>
          <t>in-f5aaa2c9b0bf596d</t>
        </is>
      </c>
      <c r="B273" t="inlineStr">
        <is>
          <t>Applied Scientist, Workplace Health &amp; Safety</t>
        </is>
      </c>
      <c r="C273" t="inlineStr">
        <is>
          <t>Amazon.com</t>
        </is>
      </c>
      <c r="D273" t="inlineStr">
        <is>
          <t>indeed</t>
        </is>
      </c>
      <c r="E273">
        <f>HYPERLINK("https://www.indeed.com/viewjob?jk=f5aaa2c9b0bf596d", "https://www.indeed.com/viewjob?jk=f5aaa2c9b0bf596d")</f>
        <v/>
      </c>
      <c r="F273">
        <f>HYPERLINK("https://www.amazon.jobs/jobs/3144886/applied-scientist-workplace-health--safety-?cmpid=DA_INAD200785B", "https://www.amazon.jobs/jobs/3144886/applied-scientist-workplace-health--safety-?cmpid=DA_INAD200785B")</f>
        <v/>
      </c>
      <c r="G273" t="inlineStr">
        <is>
          <t>Bellevue, WA, US</t>
        </is>
      </c>
      <c r="H273" s="3" t="n">
        <v>45917</v>
      </c>
      <c r="I273"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li-4361362250</t>
        </is>
      </c>
      <c r="B2" t="inlineStr">
        <is>
          <t>Machine Learning Engineer</t>
        </is>
      </c>
      <c r="C2" t="inlineStr">
        <is>
          <t>AllCloud</t>
        </is>
      </c>
      <c r="D2" t="inlineStr">
        <is>
          <t>linkedin</t>
        </is>
      </c>
      <c r="E2" t="inlineStr"/>
      <c r="F2" t="inlineStr"/>
      <c r="G2" t="inlineStr"/>
      <c r="H2" t="inlineStr"/>
      <c r="I2" t="inlineStr">
        <is>
          <t>**Machine Learning Engineer** 
**Location: US / Canada (Eastern Time) \- Home based** 
**Job Type: Full\-time, Permanent** 
**About AllCloud** 
 AllCloud is a global professional services company providing organizations with cloud enablement and transformation. Through a unique combination of expertise and agility, AllCloud accelerates cloud innovation and helps organizations fully unlock the value received from cloud technology and data and analytics.
 As an AWS Premier Consulting Partner and audited MSP, a Salesforce Platinum Partner and Snowflake Premier Partner, AllCloud helps clients connect their front office and back office by building a new operating model that allows them to harness the benefits of cloud technology. AllCloud is supported by a robust ecosystem of technology partners, proven methodologies, and well\-documented best practices. Thereby elevating customers by achieving operational excellence on the cloud, within a secure environment, at every milestone of the journey to becoming cloud first.
 With years of experience and a portfolio of thousands of successful cloud deployments, AllCloud serves clients across the globe. AllCloud has offices in Israel, Europe and North America
**Job Summary** 
 We are looking for a savvy Machine Learning/Data Engineer to join our growing team of data experts. The hire will be primarily responsible for AI/ML projects on AWS leveraging native services as well as custom built models to deliver predictive insights to our customers. In addition, this hire will also support migrating to the cloud, optimizing our customers’ databases and data flows, and enriching our operational and functional data flow with AI/ML algorithms.
 The ideal candidate is confident in data in any form or scale and happy to learn and teach new data tools. The candidate enjoys optimizing data systems and building them from the ground up. The Machine Learning Engineer will support new systems designs and migrate existing ones, working closely with solutions architects, project managers, and data scientists. They must be self\-directed and comfortable supporting the data needs of multiple teams, systems, and products. The right candidate will be excited by the prospect of optimizing or re\-designing our customers’ data architecture to support our next generation of products and data initiatives, and machine learning systems.
**Responsibilities** 
* Keep our customers’ data separated and secure to meet compliance and regulations requirements.
* Design, Build and Operate the infrastructure required for optimal extraction, transformation, and loading of data from a wide variety of data sources using SQL and cloud (mainly AWS) migration and ‘big data’ technologies.
* Optimize various RDBMS engines in the cloud and solve customers' security, performance, and operation problems.
* Design, Build and Operate large, complex data lakes that meet functional / non\-functional business requirements.
* Optimize various data types ingestion, storage, processing, and retrieval from near real\-time events and IoT to unstructured data as images, audio, video and documents, and in between.
* Use Jupyter Notebooks to build and deploy ML models.
* Leverage AWS AI/ML pre built solutions to accelerate work for customers
* Work with customers and internal stakeholders, including the Executive, Product, Data, Software Development, and Design teams, to assist with data\-related technical issues and support their data infrastructure and business needs.
**Summary of Key Requirements** 
* We seek a candidate with 3\+ years of experience in a Data Scientist/Machine Learning Engineer role who has attained a Bachelor's (Graduate preferred) degree in Computer Science, Mathematics, Informatics, Information Systems, or another quantitative field. They should also have experience using the following software/tools:
* Experience with big data tools: Spark, ElasticSearch, Hadoop, Kafka, Kinesis etc.
* Experience with relational SQL and NoSQL databases, such as MySQL or Postgres and DynamoDB or Cassandra.
* Experience with AWS cloud services: EC2, RDS, EMR, Redshift etc.
* Experience with functional and scripting languages: Python, Java, Scala, etc.
* Experience with various ML models for classification, scoring and more.
* Experience with Deep Learning Neural Networks (Convolution, NLP etc.)
* Experience with AWS AI/ML Services
* Experience with Python coding
* Advanced working SQL knowledge and experience working with relational databases, query authoring (SQL) as well as working familiarity with a variety of databases.
* Experience building and optimizing ‘big data’ data pipelines, architectures and data sets.
* Strong analytic skills related to working with unstructured datasets.
* Build processes supporting data transformation, data structures, metadata, dependency and workload management.
* Working knowledge of message queuing, stream processing, and highly scalable ‘big data’ data stores.
* Experience supporting and working with external customers in a dynamic environment.
**Certifications** 
* AWS Machine Learning Specialty (Strongly Preferred)
* AWS Solutions Architect \- Associate (Strongly Preferred)
**Why work for us?** 
 Our team inspires progress in each other and in our customers through our relentless pursuit of excellence; you will work with leaders who promote learning and personal development.
*AllCloud is an Equal Opportunity Employer and considers applicants for employment without regard to race, color, religion, sex, orientation, national origin, age, disability, genetics or any other basis forbidden under federal, provincial, or local law.*</t>
        </is>
      </c>
    </row>
    <row r="3">
      <c r="A3" t="inlineStr">
        <is>
          <t>li-4260676024</t>
        </is>
      </c>
      <c r="B3" t="inlineStr">
        <is>
          <t>Google Cloud Data &amp; AI Engineer</t>
        </is>
      </c>
      <c r="C3" t="inlineStr">
        <is>
          <t>Slalom</t>
        </is>
      </c>
      <c r="D3" t="inlineStr">
        <is>
          <t>linkedin</t>
        </is>
      </c>
      <c r="E3" t="inlineStr"/>
      <c r="F3" t="inlineStr"/>
      <c r="G3" t="inlineStr">
        <is>
          <t>Michigan, United States</t>
        </is>
      </c>
      <c r="H3" t="inlineStr"/>
      <c r="I3" t="inlineStr">
        <is>
          <t>**Who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You will collaborate with cross\-functional teams, including Google Cloud architects, data scientists, and business units, to design and implement Google Cloud data and AI solutions. As a Consultant, Senior Consultant or Principal at Slalom, you will be a part of a team of curious learners who lean into the latest technologies to innovate and build impactful solutions for our clients.
**What You’ll Do**
* Design, build, and operationalize large\-scale enterprise data and AI solutions using Google Cloud services such as BigQuery, Vertex AI, Dataflow, Cloud Storage, Pub/Sub and more.
* Implement cloud\-based data solutions for data ingestion, transformation, and storage; and AI solutions for model development, deployment, and monitoring, ensuring both areas meet performance, scalability, and compliance needs.
* Develop and maintain comprehensive architecture plans for data and AI solutions, ensuring they are optimized for both data processing and AI model training within the Google Cloud ecosystem.
* Provide technical leadership and guidance on Google Cloud best practices for data engineering (e.g., ETL pipelines, data pipelines) and AI engineering (e.g., model deployment, MLOps).
* Conduct assessments of current data architectures and AI workflows, and develop strategies for modernizing, migrating, or enhancing data systems and AI models within Google Cloud.
* Stay current with emerging Google Cloud data and AI technologies, such as BigQuery ML, AutoML, and Vertex AI, and lead efforts to integrate new innovations into solutions for clients.
* Mentor and develop team members to enhance their skills in Google Cloud data and AI technologies, while providing leadership and training on both data pipeline optimization and AI/ML best practices.
**What You’ll Bring**
* Proven experience as a Cloud Data and AI Engineer or similar role, with hands\-on experience in Google Cloud tools and services (e.g., BigQuery, Vertex AI, Dataflow, Cloud Storage, Pub/Sub, etc.).
* Strong knowledge of data engineering concepts, such as ETL processes, data warehousing, data modeling, and data governance.
* Proficiency in AI engineering, including experience with machine learning models, model training, and MLOps pipelines using tools like Vertex AI, BigQuery ML, and AutoML.
* Strong problem\-solving and decision\-making skills, particularly with large\-scale data systems and AI model deployment.
* Strong communication and collaboration skills to work with cross\-functional teams, including data scientists, business stakeholders, and IT teams, bridging data engineering and AI efforts.
* Experience with agile methodologies and project management tools in the context of Google Cloud data and AI projects.
* Ability to work in a fast\-paced environment, managing multiple Google Cloud data and AI engineering projects simultaneously.
* Knowledge of security and compliance best practices as they relate to data and AI solutions on Google Cloud.
* Google Cloud certifications (e.g., Professional Data Engineer, Professional Database Engineer, Professional Machine Learning Engineer) or willingness to obtain certification within a defined timeframe.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target base salaries are listed below. In addition, individuals may be eligible for an annual discretionary bonus. Actual compensation will depend upon an individual’s skills, experience, qualifications, location, and other relevant factors. The target salary pay range is subject to change and may be modified at any time.
**East Bay, San Francisco, Silicon Valley**
* Consultant $114,000\-$171,000
* Senior Consultant: $131,000\-$196,500
* Principal: $145,000\-$217,500
**San Diego, Los Angeles, Orange County, Seattle, Houston, New Jersey, New York City, Westchester, Boston, Washington DC:**
* Consultant $105,000\-$157,500
* Senior Consultant: $120,000\-$180,000
* Principal: $133,000\-$199,500
**All other locations:**
* Consultant: $96,000\-$144,000
* Senior Consultant: $110,000\-$165,000
* Principal: $122,000\-$183,000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are accepting applications until 12/31\.*</t>
        </is>
      </c>
    </row>
    <row r="4">
      <c r="A4" t="inlineStr">
        <is>
          <t>li-4361501491</t>
        </is>
      </c>
      <c r="B4" t="inlineStr">
        <is>
          <t>Senior Applied Scientist</t>
        </is>
      </c>
      <c r="C4" t="inlineStr">
        <is>
          <t>LinkedIn</t>
        </is>
      </c>
      <c r="D4" t="inlineStr">
        <is>
          <t>linkedin</t>
        </is>
      </c>
      <c r="E4" t="inlineStr"/>
      <c r="F4" t="inlineStr"/>
      <c r="G4" t="inlineStr">
        <is>
          <t>Mountain View, CA</t>
        </is>
      </c>
      <c r="H4" t="inlineStr"/>
      <c r="I4"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a career at LinkedIn offers countless ways for an ambitious data scientist to have an impact.
 We are now looking for a talented and driven individual to accelerate our efforts and be a major part of our data\-centric culture. It is expected that this person understands experimentation and/or machine learning techniques to be able to implement from scratch and have the ability to extend and enhance these techniques to specific applications like business problems. Successful candidates will exhibit technical acumen on inference and algorithms, and the business savviness to use these technical skills to drive better business decision\-making.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Work with a team of high\-performing analytics, data science professionals, and cross\-functional teams to identify business opportunities and develop algorithms and methodologies to address them.
* Analyze large\-scale structured and unstructured data.
* Conduct in\-depth and rigorous data science research, model improvement, advanced experiments, observational causal studies to quantify the cause and effect in the ecosystem, identify business opportunities and to drive member value and customer success.
* Develop methodologies to enhance LinkedIn's product and platform capabilities.
* Engage with technology partners to build, prototype and validate scalable tools/applications end to end (backend, frontend, data) for converting data to insights
* Promote and enable adoption of technical advances in Data Science; elevate the art of Data Science practice at LinkedIn.
* Improve LinkedIn's ability to measure and credibly speak to labor market trends and other economic phenomena.
* Initiate and drive projects to completion independently
* Act as a thought partner to senior leaders to prioritize/scope projects, provide recommendations and evangelize data\-driven business decisions in support of strategic goals
* Partner with cross\-functional teams to initiate, lead or contribute to large\-scale/complex strategic projects for team, department, and company
* Provide technical guidance and mentorship to junior team members on solution design as well as lead code/design reviews
**Qualifications**
 Basic Qualifications
* Bachelor's Degree in a quantitative discipline: Statistics, Operations Research, Computer Science, Informatics, Engineering, Applied Mathematics, Economics, etc.
* 3\+ years of industry or relevant academia experience
* Background in at least one programming language (eg. R, Python, Java, Ruby, Scala/Spark or Perl)
* Experience in applied statistics and statistical modeling in at least one statistical software package, (eg. R, Python)
**Preferred Qualifications**
* BS and 5\+ years of relevant work experience, MS and 3\+ years of relevant work experience, or Ph.D. and 1\+ years of relevant work/academia experience
* MS or PhD in a quantitative discipline: Statistics, Operations Research, Computer Science, Informatics, Engineering, Applied Mathematics, Economics, etc.
 Suggested Skills
* Machine Learning
* Research
* Causal Inference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$139,000\.00 to $229,000\.00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5">
      <c r="A5" t="inlineStr">
        <is>
          <t>li-4361284631</t>
        </is>
      </c>
      <c r="B5" t="inlineStr">
        <is>
          <t>Staff Applied Scientist</t>
        </is>
      </c>
      <c r="C5" t="inlineStr">
        <is>
          <t>LinkedIn</t>
        </is>
      </c>
      <c r="D5" t="inlineStr">
        <is>
          <t>linkedin</t>
        </is>
      </c>
      <c r="E5" t="inlineStr"/>
      <c r="F5" t="inlineStr"/>
      <c r="G5" t="inlineStr">
        <is>
          <t>Mountain View, CA</t>
        </is>
      </c>
      <c r="H5" t="inlineStr"/>
      <c r="I5"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a career at LinkedIn offers countless ways for an ambitious data scientist to have an impact.
 We are now looking for a talented and driven individual to accelerate our efforts and be a major part of our data\-centric culture. It is expected that this person understands experimentation and/or machine learning techniques to be able to implement from scratch and have the ability to extend and enhance these techniques to specific applications like business problems. Successful candidates will exhibit technical acumen on inference and algorithms, and the business savviness to use these technical skills to drive better business decision\-making.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Work with a team of high\-performing analytics, data science professionals, and cross\-functional teams to identify business opportunities and develop algorithms and methodologies to address them.
* Analyze large\-scale structured and unstructured data.
* Conduct in\-depth and rigorous causal analysis and develop causal methodology and machine learning models to drive member value and customer success.
* Develop methodologies to enhance LinkedIn's product and platform capabilities.
* Engage with technology partners to build, prototype and validate scalable tools/applications end to end (backend, frontend, data) for converting data to insights.
* Promote and enable adoption of technical advances in Data Science; elevate the art of Data Science practice at LinkedIn.
* Improve LinkedIn's ability to measure and credibly speak to labor market trends and other economic phenomena.
* Initiate and drive projects to completion independently.
* Act as a thought partner to senior leaders to prioritize/scope projects, provide recommendations and evangelize data\-driven business decisions in support of strategic goals.
* Partner with cross\-functional teams to initiate, lead or contribute to large\-scale/complex strategic projects for team, department, and company.
* Provide technical guidance and mentorship to junior team members on solution design as well as lead code/design reviews.
**Qualifications**
 Basic Qualifications
* Bachelor's Degree in a quantitative discipline: Statistics, Operations Research, Computer Science, Informatics, Engineering, Applied Mathematics, Economics, etc.
* 5\+ years of industry or relevant academia experience
* Background in at least one programming language (eg. R, Python, Java, Ruby, Scala/Spark or Perl)
* Experience in applied statistics and statistical modeling in at least one statistical software package, (eg. R, Python)
**Preferred Qualifications**
* 7\+ years of industry or relevant academia experience
* MS or PhD in a quantitative discipline: Statistics, Operations Research, Computer Science, Informatics, Engineering, Applied Mathematics, Economics, etc.
 Suggested Skills
* Machine Learning
* Research
* Causal Inference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$170,000 \- $277,000\.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6">
      <c r="A6" t="inlineStr">
        <is>
          <t>li-4335019992</t>
        </is>
      </c>
      <c r="B6" t="inlineStr">
        <is>
          <t>AI Applied Scientist, Code Intelligence</t>
        </is>
      </c>
      <c r="C6" t="inlineStr">
        <is>
          <t>Snowflake</t>
        </is>
      </c>
      <c r="D6" t="inlineStr">
        <is>
          <t>linkedin</t>
        </is>
      </c>
      <c r="E6" t="inlineStr"/>
      <c r="F6" t="inlineStr"/>
      <c r="G6" t="inlineStr">
        <is>
          <t>Bellevue, WA</t>
        </is>
      </c>
      <c r="H6" t="inlineStr"/>
      <c r="I6"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Snowflake is about empowering enterprises to achieve their full potential — and people too. With a culture that’s all in on impact, innovation, and collaboration, Snowflake is the sweet spot for building big, moving fast, and taking technology — and careers — to the next level.
 We’re seeking an AI Applied Scientist to drive Code Intelligence at Snowflake. Your mission: build AI\-powered capabilities that supercharge developer efficiency and elevate developer experience for both Snowflake engineers and our customer developers. You’ll turn cutting\-edge ideas into dependable tools—shipping systems that make coding, reviewing, and testing faster, safer, and more delightful at scale.
 IN THIS ROLE AT SNOWFLAKE, YOU WILL:
* Build AI features that move the needle on developer outcomes—accelerating PR cycle time and time\-to\-first\-commit, reducing review latency and defects, improving test coverage, and raising developer satisfaction.
* Design and deliver systems in three focus areas: automated testing, code review assistance, and coding agents that integrate with repos and workflows.
* Prototype quickly and iterate, then productionize and harden solutions for reliability, performance, and safety, with a strong bias toward shipping impact.
* Develop end\-to\-end ML pipelines: data preparation, training/fine\-tuning, evaluation, and online serving—including experiment design, telemetry, and A/B measurement.
* Collaborate closely with Engineering Systems (our developer productivity team) to integrate into build, test, and deployment workflows.
* Write clear, maintainable Python and work across the stack to design, implement, and debug components from modeling to services and evaluation harnesses.
* Contribute to a culture of high\-quality engineering: code health, documentation, and grounded decision\-making informed by data.
* Write technical blogs and research papers to share your findings.
 WE WOULD LOVE TO HEAR FROM YOU IF YOU HAVE:
* MS or PhD in Computer Science (or related field).
* Strong Python skills and fluency with a commonly used ML stack (e.g., PyTorch and XGBoost or similar).
* Hands\-on experience building ML data pipelines, plus a habit of rigorous evaluation and experiment design.
* Familiarity with serving stacks and vector stores; comfort learning what you don’t know.
* Eagerness to learn build systems and CI/CD. Previous experience with build systems and CI/CD is a plus but not required.
* Bonus (nice to have—not all required): LLMs for code, program analysis/ASTs, retrieval/RAG, prompt engineering \&amp; eval, large\-scale A/B testing, backend/service development, and familiarity with OLAP systems like Snowflake.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$200,000 \- $287,500\.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7">
      <c r="A7" t="inlineStr">
        <is>
          <t>li-4306890003</t>
        </is>
      </c>
      <c r="B7" t="inlineStr">
        <is>
          <t>Applied Scientist, Sponsored Products and Brands</t>
        </is>
      </c>
      <c r="C7" t="inlineStr">
        <is>
          <t>Amazon</t>
        </is>
      </c>
      <c r="D7" t="inlineStr">
        <is>
          <t>linkedin</t>
        </is>
      </c>
      <c r="E7" t="inlineStr"/>
      <c r="F7" t="inlineStr"/>
      <c r="G7" t="inlineStr">
        <is>
          <t>New York, United States</t>
        </is>
      </c>
      <c r="H7" t="inlineStr"/>
      <c r="I7" t="inlineStr">
        <is>
          <t>**Description**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Deep curiosity, and basic knowledge on Gen AI
**Preferred Qualifications**
* Experience using Unix/Linux
* Experience in professional software development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A3094891</t>
        </is>
      </c>
    </row>
    <row r="8">
      <c r="A8" t="inlineStr">
        <is>
          <t>li-4318298262</t>
        </is>
      </c>
      <c r="B8" t="inlineStr">
        <is>
          <t>Applied Scientist</t>
        </is>
      </c>
      <c r="C8" t="inlineStr">
        <is>
          <t>Amazon</t>
        </is>
      </c>
      <c r="D8" t="inlineStr">
        <is>
          <t>linkedin</t>
        </is>
      </c>
      <c r="E8" t="inlineStr"/>
      <c r="F8" t="inlineStr"/>
      <c r="G8" t="inlineStr">
        <is>
          <t>New York, United States</t>
        </is>
      </c>
      <c r="H8" t="inlineStr"/>
      <c r="I8" t="inlineStr">
        <is>
          <t>**Description**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
**Basic Qualifications**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LLC
 Job ID: A3106501</t>
        </is>
      </c>
    </row>
    <row r="9">
      <c r="A9" t="inlineStr">
        <is>
          <t>li-4335090761</t>
        </is>
      </c>
      <c r="B9" t="inlineStr">
        <is>
          <t>Applied Scientist, Sponsored Products and Brands</t>
        </is>
      </c>
      <c r="C9" t="inlineStr">
        <is>
          <t>Amazon</t>
        </is>
      </c>
      <c r="D9" t="inlineStr">
        <is>
          <t>linkedin</t>
        </is>
      </c>
      <c r="E9" t="inlineStr"/>
      <c r="F9" t="inlineStr"/>
      <c r="G9" t="inlineStr">
        <is>
          <t>New York, United States</t>
        </is>
      </c>
      <c r="H9" t="inlineStr"/>
      <c r="I9" t="inlineStr">
        <is>
          <t>**Description**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A3122617</t>
        </is>
      </c>
    </row>
    <row r="10">
      <c r="A10" t="inlineStr">
        <is>
          <t>li-4312506540</t>
        </is>
      </c>
      <c r="B10" t="inlineStr">
        <is>
          <t>Applied Scientist, Artificial General Intelligence</t>
        </is>
      </c>
      <c r="C10" t="inlineStr">
        <is>
          <t>Amazon</t>
        </is>
      </c>
      <c r="D10" t="inlineStr">
        <is>
          <t>linkedin</t>
        </is>
      </c>
      <c r="E10" t="inlineStr"/>
      <c r="F10" t="inlineStr"/>
      <c r="G10" t="inlineStr">
        <is>
          <t>Sunnyvale, CA</t>
        </is>
      </c>
      <c r="H10" t="inlineStr"/>
      <c r="I10" t="inlineStr">
        <is>
          <t>**Description**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
**Basic Qualifications**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A3104517</t>
        </is>
      </c>
    </row>
    <row r="11">
      <c r="A11" t="inlineStr">
        <is>
          <t>li-4283990466</t>
        </is>
      </c>
      <c r="B11" t="inlineStr">
        <is>
          <t>Applied Scientist, Prime Air</t>
        </is>
      </c>
      <c r="C11" t="inlineStr">
        <is>
          <t>Amazon</t>
        </is>
      </c>
      <c r="D11" t="inlineStr">
        <is>
          <t>linkedin</t>
        </is>
      </c>
      <c r="E11" t="inlineStr"/>
      <c r="F11" t="inlineStr"/>
      <c r="G11" t="inlineStr">
        <is>
          <t>Seattle, WA</t>
        </is>
      </c>
      <c r="H11" t="inlineStr"/>
      <c r="I11" t="inlineStr">
        <is>
          <t>**Description**
 Here at Amazon, we embrace our differences. We are committed to furthering our culture of diversity and inclusion of our teams within the organization.
 How do you get items to customers quickly, cost\-effectively, and—most importantly—safely, in less than an hour? And how do you do it in a way that can scale? Our teams of hundreds of scientists, engineers, aerospace professionals, and futurists have been working hard to do just that! We are delivering to customers, and are excited for what’s to come. Check out more information about Prime Air on the About Amazon blog (https://www.aboutamazon.com/news/transportation/amazon\-prime\-air\-delivery\-drone\-reveal\-photos).
 If you are seeking an iterative environment where you can drive innovation, apply state\-of\-the\-art technologies to solve real world delivery challenges, and provide benefits to customers, Prime Air is the place for you.
 Come work on the Amazon Prime Air Team!
 We're looking for an Applied Scientist with either some background or strong interest in building simulation tools and algorithms for orchestration of a fleet of autonomous delivery drones. Managing a large number of concurrent autonomous drone flights that share airspace with other autonomous or manned aircraft is a challenging problem. Be part of the team building simulation tools and algorithms to solve this at scale.
 This role will contribute to a portfolio of simulation tools managing concurrent airspace traffic for aviation systems. The ideal candidate is comfortable with a degree of risk taking and ambiguity and able to build consensus on the critical path. If you enjoy the process of solving real\-world problems that, quite frankly, haven’t been solved at scale anywhere before, Prime Air could be the place for you. Along the way, we guarantee you’ll get opportunities to be a disruptor, prolific innovator, and a reputed problem solver and directly impact Amazon’s customer’s worldwide.
 Export Control License: This position may require a deemed export control license for compliance with applicable laws and regulations. Placement is contingent on Amazon’s ability to apply for and obtain an export control license on your behalf.
**About The Team**
 Prime air has ambitious goals to offer its service to an increasing number of customers and enabling a large number of concurrent flights is central to achieving this. To this end, the air traffic management team is building algorithms, tools and services for orchestration of prime air's autonomous drone fleet.
**Basic Qualifications**
* PhD, or Master's degree and 4\+ years of science, technology, engineering or related field experience
* Experience programming in Java, C\+\+, Python or related language
* Experience implementing algorithms using both toolkits and self\-developed code
**Preferred Qualifications**
* Experience in professional software development
* Experience in patents or publications at top\-tier peer\-reviewed conferences or journals
* Experience or strong interest in (a) building discrete event simulation tools from first principles (b) air traffic flow management (c) routing algorithms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A3057453</t>
        </is>
      </c>
    </row>
    <row r="12">
      <c r="A12" t="inlineStr">
        <is>
          <t>li-4312510376</t>
        </is>
      </c>
      <c r="B12" t="inlineStr">
        <is>
          <t>Applied Scientist, Artificial General Intelligence</t>
        </is>
      </c>
      <c r="C12" t="inlineStr">
        <is>
          <t>Amazon</t>
        </is>
      </c>
      <c r="D12" t="inlineStr">
        <is>
          <t>linkedin</t>
        </is>
      </c>
      <c r="E12" t="inlineStr"/>
      <c r="F12" t="inlineStr"/>
      <c r="G12" t="inlineStr">
        <is>
          <t>Seattle, WA</t>
        </is>
      </c>
      <c r="H12" t="inlineStr"/>
      <c r="I12" t="inlineStr">
        <is>
          <t>**Description**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
**Basic Qualifications**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A3104517</t>
        </is>
      </c>
    </row>
    <row r="13">
      <c r="A13" t="inlineStr">
        <is>
          <t>li-4315143197</t>
        </is>
      </c>
      <c r="B13" t="inlineStr">
        <is>
          <t>Applied Scientist, Artificial General Intelligence</t>
        </is>
      </c>
      <c r="C13" t="inlineStr">
        <is>
          <t>Amazon</t>
        </is>
      </c>
      <c r="D13" t="inlineStr">
        <is>
          <t>linkedin</t>
        </is>
      </c>
      <c r="E13" t="inlineStr"/>
      <c r="F13" t="inlineStr"/>
      <c r="G13" t="inlineStr">
        <is>
          <t>Sunnyvale, CA</t>
        </is>
      </c>
      <c r="H13" t="inlineStr"/>
      <c r="I13" t="inlineStr">
        <is>
          <t>**Description**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
**Basic Qualifications**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Bellevue \- 142,800\.00 \- 193,200\.00 USD annually
**Company** 
 \- Amazon.com Services LLC \- A57
 Job ID: A3108888</t>
        </is>
      </c>
    </row>
    <row r="14">
      <c r="A14" t="inlineStr">
        <is>
          <t>li-4305167259</t>
        </is>
      </c>
      <c r="B14" t="inlineStr">
        <is>
          <t>Senior Applied Scientist, Artificial General Intelligence</t>
        </is>
      </c>
      <c r="C14" t="inlineStr">
        <is>
          <t>Amazon</t>
        </is>
      </c>
      <c r="D14" t="inlineStr">
        <is>
          <t>linkedin</t>
        </is>
      </c>
      <c r="E14" t="inlineStr"/>
      <c r="F14" t="inlineStr"/>
      <c r="G14" t="inlineStr">
        <is>
          <t>Seattle, WA</t>
        </is>
      </c>
      <c r="H14" t="inlineStr"/>
      <c r="I14" t="inlineStr">
        <is>
          <t>**Description**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A3091494</t>
        </is>
      </c>
    </row>
    <row r="15">
      <c r="A15" t="inlineStr">
        <is>
          <t>li-4305168235</t>
        </is>
      </c>
      <c r="B15" t="inlineStr">
        <is>
          <t>Senior Applied Scientist, Artificial General Intelligence</t>
        </is>
      </c>
      <c r="C15" t="inlineStr">
        <is>
          <t>Amazon</t>
        </is>
      </c>
      <c r="D15" t="inlineStr">
        <is>
          <t>linkedin</t>
        </is>
      </c>
      <c r="E15" t="inlineStr"/>
      <c r="F15" t="inlineStr"/>
      <c r="G15" t="inlineStr">
        <is>
          <t>Boston, MA</t>
        </is>
      </c>
      <c r="H15" t="inlineStr"/>
      <c r="I15" t="inlineStr">
        <is>
          <t>**Description**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A3091494</t>
        </is>
      </c>
    </row>
    <row r="16">
      <c r="A16" t="inlineStr">
        <is>
          <t>li-4298183643</t>
        </is>
      </c>
      <c r="B16" t="inlineStr">
        <is>
          <t>Senior Applied Scientist, Artificial General Intelligence</t>
        </is>
      </c>
      <c r="C16" t="inlineStr">
        <is>
          <t>Amazon</t>
        </is>
      </c>
      <c r="D16" t="inlineStr">
        <is>
          <t>linkedin</t>
        </is>
      </c>
      <c r="E16" t="inlineStr"/>
      <c r="F16" t="inlineStr"/>
      <c r="G16" t="inlineStr">
        <is>
          <t>Seattle, WA</t>
        </is>
      </c>
      <c r="H16" t="inlineStr"/>
      <c r="I16" t="inlineStr">
        <is>
          <t>**Description**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
**Basic Qualifications**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A3078169</t>
        </is>
      </c>
    </row>
    <row r="17">
      <c r="A17" t="inlineStr">
        <is>
          <t>li-4282815552</t>
        </is>
      </c>
      <c r="B17" t="inlineStr">
        <is>
          <t>Principal Applied Scientist (GenAI)</t>
        </is>
      </c>
      <c r="C17" t="inlineStr">
        <is>
          <t>Oracle</t>
        </is>
      </c>
      <c r="D17" t="inlineStr">
        <is>
          <t>linkedin</t>
        </is>
      </c>
      <c r="E17" t="inlineStr"/>
      <c r="F17" t="inlineStr"/>
      <c r="G17" t="inlineStr">
        <is>
          <t>Seattle, WA</t>
        </is>
      </c>
      <c r="H17" t="inlineStr"/>
      <c r="I17" t="inlineStr">
        <is>
          <t>**Job Description**
 We are seeking a visionary leader to spearhead image generation model research and development efforts. As the Code Assist generation model scientist lead, you will be responsible for driving the development and implementation of cutting\-edge code generation and manipulation technologies. You will lead a team of world\-class scientists in exploring new frontiers of code generation for the most popular languages simplifying documentation, unit testing, optimizing existing code, explaining code and simplifying way users interact with the database systems enabling natural language interface.
**Responsibilities**
* Research and Development: Conduct in\-depth research on code generation techniques, including code to code (Java, SQL, Python, etc.), doc to code/code to doc, and other emerging approaches.
* Model Development: Design, develop, and train state\-of\-the\-art code generation models that meet the highest quality standards.
* Team Leadership: Build and mentor a high\-performing team of scientists and engineers.
* Collaboration: Work closely with cross\-functional teams to integrate code generation capabilities into various applications and products.
* Innovation: Identify new opportunities for image generation and explore emerging technologies.
* Stay Updated: Maintain a deep understanding of industry trends and advancements in code generation.
**Qualifications and Experience:**
* PhD Computer Science, Mathematics, Statistics, Physics, Linguistics or a related field with a dissertation, thesis or final project centered in Machine Learning and Deep Learning) with 5\+ years relevant experience is preferred but not a must; OR Masters or Bachelor’s in related field with 8\+ years relevant experience
* Strong publication record, including as a lead author or reviewer, in top\-tier journals or conferences.
* Extensive experience in image generation, computer vision, and deep learning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image generation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8">
      <c r="A18" t="inlineStr">
        <is>
          <t>li-4282817462</t>
        </is>
      </c>
      <c r="B18" t="inlineStr">
        <is>
          <t>Principal Applied Scientist (GenAI)</t>
        </is>
      </c>
      <c r="C18" t="inlineStr">
        <is>
          <t>Oracle</t>
        </is>
      </c>
      <c r="D18" t="inlineStr">
        <is>
          <t>linkedin</t>
        </is>
      </c>
      <c r="E18" t="inlineStr"/>
      <c r="F18" t="inlineStr"/>
      <c r="G18" t="inlineStr"/>
      <c r="H18" t="inlineStr"/>
      <c r="I18" t="inlineStr">
        <is>
          <t>**Job Description**
 We are seeking a visionary leader to spearhead image generation model research and development efforts. As the Code Assist generation model scientist lead, you will be responsible for driving the development and implementation of cutting\-edge code generation and manipulation technologies. You will lead a team of world\-class scientists in exploring new frontiers of code generation for the most popular languages simplifying documentation, unit testing, optimizing existing code, explaining code and simplifying way users interact with the database systems enabling natural language interface.
**Responsibilities**
* Research and Development: Conduct in\-depth research on code generation techniques, including code to code (Java, SQL, Python, etc.), doc to code/code to doc, and other emerging approaches.
* Model Development: Design, develop, and train state\-of\-the\-art code generation models that meet the highest quality standards.
* Team Leadership: Build and mentor a high\-performing team of scientists and engineers.
* Collaboration: Work closely with cross\-functional teams to integrate code generation capabilities into various applications and products.
* Innovation: Identify new opportunities for image generation and explore emerging technologies.
* Stay Updated: Maintain a deep understanding of industry trends and advancements in code generation.
**Qualifications and Experience:**
* PhD Computer Science, Mathematics, Statistics, Physics, Linguistics or a related field with a dissertation, thesis or final project centered in Machine Learning and Deep Learning) with 5\+ years relevant experience is preferred but not a must; OR Masters or Bachelor’s in related field with 8\+ years relevant experience
* Strong publication record, including as a lead author or reviewer, in top\-tier journals or conferences.
* Extensive experience in image generation, computer vision, and deep learning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image generation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9">
      <c r="A19" t="inlineStr">
        <is>
          <t>li-4282816556</t>
        </is>
      </c>
      <c r="B19" t="inlineStr">
        <is>
          <t>Prinicipal Applied Scientist (GenAI)</t>
        </is>
      </c>
      <c r="C19" t="inlineStr">
        <is>
          <t>Oracle</t>
        </is>
      </c>
      <c r="D19" t="inlineStr">
        <is>
          <t>linkedin</t>
        </is>
      </c>
      <c r="E19" t="inlineStr"/>
      <c r="F19" t="inlineStr"/>
      <c r="G19" t="inlineStr">
        <is>
          <t>San Francisco, CA</t>
        </is>
      </c>
      <c r="H19" t="inlineStr"/>
      <c r="I19" t="inlineStr">
        <is>
          <t>**Job Description**
 We are seeking a visionary leader to spearhead image generation model research and development efforts. As the Code Assist generation model scientist lead, you will be responsible for driving the development and implementation of cutting\-edge code generation and manipulation technologies. You will lead a team of world\-class scientists in exploring new frontiers of code generation for the most popular languages simplifying documentation, unit testing, optimizing existing code, explaining code and simplifying way users interact with the database systems enabling natural language interface.
**Responsibilities**
* Research and Development: Conduct in\-depth research on code generation techniques, including code to code (Java, SQL, Python, etc.), doc to code/code to doc, and other emerging approaches.
* Model Development: Design, develop, and train state\-of\-the\-art code generation models that meet the highest quality standards.
* Team Leadership: Build and mentor a high\-performing team of scientists and engineers.
* Collaboration: Work closely with cross\-functional teams to integrate code generation capabilities into various applications and products.
* Innovation: Identify new opportunities for image generation and explore emerging technologies.
* Stay Updated: Maintain a deep understanding of industry trends and advancements in code generation.
**Qualifications and Experience:**
* PhD Computer Science, Mathematics, Statistics, Physics, Linguistics or a related field with a dissertation, thesis or final project centered in Machine Learning and Deep Learning) with 5\+ years relevant experience is preferred but not a must; OR Masters or Bachelor’s in related field with 8\+ years relevant experience
* Strong publication record, including as a lead author or reviewer, in top\-tier journals or conferences.
* Extensive experience in image generation, computer vision, and deep learning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image generation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0">
      <c r="A20" t="inlineStr">
        <is>
          <t>li-4361520957</t>
        </is>
      </c>
      <c r="B20" t="inlineStr">
        <is>
          <t>Principal Data and Applied Scientist</t>
        </is>
      </c>
      <c r="C20" t="inlineStr">
        <is>
          <t>Microsoft</t>
        </is>
      </c>
      <c r="D20" t="inlineStr">
        <is>
          <t>linkedin</t>
        </is>
      </c>
      <c r="E20" t="inlineStr"/>
      <c r="F20" t="inlineStr"/>
      <c r="G20" t="inlineStr">
        <is>
          <t>Redmond, WA</t>
        </is>
      </c>
      <c r="H20" t="inlineStr"/>
      <c r="I20" t="inlineStr">
        <is>
          <t>**Overview**
 Are you a customer\-obsessed, AI\-curious problem\-solver who thrives in an inclusive, collaborative global team? Join Engineering Operations (EngOps) – the organization driving operational excellence across the Microsoft Cloud to strengthen quality, reliability, security, and customer trust. As part of EngOps, you’ll design solutions that prevent issues before they happen, embed AI\-powered automation, and turn signals into actions that deliver measurable customer impact. Our culture of empowerment, inclusion, and growth mindset defines how we work.
 Every day, customers stake their business and reputation on our cloud. You can help EngOps keep them secure, resilient, and ready.
 In the new era of AI, this role within Eng Ops Data \&amp; Applied Sciences team will provide you the opportunity to work on cutting\-edge GenAI and ML (Machine Learning) solutions that drive specific, measurable, and impactful improvements to key areas of Azure customer experience. In an environment of high opportunity and impact, we are looking for a Principal Data \&amp; Applied Scientist who can deliver on key initiatives for Security, Reliability and Quality through advanced AI solutions with a cross\-functional team of Product Managers, Designers, Engineers and Data Scientists.
**Responsibilities**
 As a Principal Data and Applied Scientist in our team, you will:
* Engage with product and business groups to drive impact of AI projects throughout the life cycle from idea creation through technology transfers, applied research, experimentation, implementation and finally to worldwide availability.
* Work with large\-scale computing frameworks, data analysis systems, and modeling environments to build and apply models to real products, and then verify effects through iterations.
* Perform rigorous experiments and evaluations to assess the quality and impact of your solutions and improve them based on data and customer feedback.
* Collaborate with cross\-functional teams including researchers, applied scientists, engineers, product managers and designers to build tools and improve the end\-to\-end AI Quality of our production systems.
* Mentor and guide the team, managing project schedules, milestones, KPIs, reviews, and checkpoints.
* Ensure compliance to Microsoft Responsible AI standards throughout the AI system lifecycle
* Stay abreast of the latest advancements in machine learning, Generative AI, information retrieval, and recommendation systems, and contribute to the company's intellectual property through patents and publications.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OR Doctorate in Statistics, Econometrics, Computer Science, Electrical or Computer Engineering, or related field AND 6\+ years related experience (e.g., statistics, predictive analytics, research) OR equivalent experience.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 Experience in Python, PyTorch, TensorFlow, langchain, or other machine learning frameworks.
* Experience delivering AI product features, AI Frameworks and AI Skills/plug\-ins
* Relevant prior work experience, e.g., statistics, predictive analytics, research, GenAI.
 \#PRIMOjobs
 \#EngOps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1">
      <c r="A21" t="inlineStr">
        <is>
          <t>li-4292582054</t>
        </is>
      </c>
      <c r="B21" t="inlineStr">
        <is>
          <t>Sr. Applied Scientist - Privacy, Privacy Engineering</t>
        </is>
      </c>
      <c r="C21" t="inlineStr">
        <is>
          <t>Amazon</t>
        </is>
      </c>
      <c r="D21" t="inlineStr">
        <is>
          <t>linkedin</t>
        </is>
      </c>
      <c r="E21" t="inlineStr"/>
      <c r="F21" t="inlineStr"/>
      <c r="G21" t="inlineStr">
        <is>
          <t>San Francisco, CA</t>
        </is>
      </c>
      <c r="H21" t="inlineStr"/>
      <c r="I21" t="inlineStr">
        <is>
          <t>**Description**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A2997657</t>
        </is>
      </c>
    </row>
    <row r="22">
      <c r="A22" t="inlineStr">
        <is>
          <t>li-4345847773</t>
        </is>
      </c>
      <c r="B22" t="inlineStr">
        <is>
          <t>Senior Applied Scientist, Security Issue Management</t>
        </is>
      </c>
      <c r="C22" t="inlineStr">
        <is>
          <t>Amazon</t>
        </is>
      </c>
      <c r="D22" t="inlineStr">
        <is>
          <t>linkedin</t>
        </is>
      </c>
      <c r="E22" t="inlineStr"/>
      <c r="F22" t="inlineStr"/>
      <c r="G22" t="inlineStr">
        <is>
          <t>Seattle, WA</t>
        </is>
      </c>
      <c r="H22" t="inlineStr"/>
      <c r="I22" t="inlineStr">
        <is>
          <t>**Description**
 We are open to hiring candidates to work out of one of the following locations:
 Seattle, WA, USA
 Are you interested in building Agentic AI solutions that solve complex builder experience challenges with significant global impact? The Security Tooling team designs and builds high\-performance AI systems using LLMs and machine learning that identify builder bottlenecks, automate security workflows, and optimize the software development lifecycle—empowering engineering teams worldwide to ship secure code faster while maintaining the highest security standards.
 As a Senior Applied Scientist on our Security Tooling team, you will focus on building state\-of\-the\-art ML models to enhance builder experience and productivity. You will identify builder bottlenecks and pain points across the software development lifecycle, design and apply experiments to study developer behavior, and measure the downstream impacts of security tooling on engineering velocity and code quality. Our team rewards curiosity while maintaining a laser\-focus on bringing products to market that empower builders while maintaining security excellence. Competitive candidates are responsive, flexible, and able to succeed within an open, collaborative, entrepreneurial, startup\-like environment. At the forefront of both academic and applied research in builder experience and security automation, you have the opportunity to work together with a diverse and talented team of scientists, engineers, and product managers and collaborate with other teams. This role offers a unique opportunity to work on projects that could fundamentally transform how builders interact with security tools and how organizations balance security requirements with developer productivity.
 Key job responsibilities
* Design and implement novel AI/ML solutions for complex security challenges and improve builder experience
* Drive advancements in machine learning and science
* Balance theoretical knowledge with practical implementation
* Navigate ambiguity and create clarity in early\-stage product development
* Collaborate with cross\-functional teams while fostering innovation in a collaborative work environment to deliver impactful solutions
* Design and execute experiments to evaluate the performance of different algorithms and models, and iterate quickly to improve results
* Establish best practices for ML experimentation, evaluation, development and deployment
 You’ll need a strong background in AI/ML, proven leadership skills, and the ability to translate complex concepts into actionable plans. You’ll also need to effectively translate research findings into practical solutions.
 A day in the life
* Integrate ML models into production security tooling with engineering teams
* Build and refine ML models and LLM\-based agentic systems that understand builder intent
* Create agentic AI solutions that reduce security friction while maintaining high security standards
* Prototype LLM\-powered features that automate repetitive security tasks
* Design and conduct experiments (A/B tests, observational studies) to measure downstream impacts of tooling changes on engineering productivity
* Present experimental results and recommendations to leadership and cross\-functional teams
* Gather feedback from builder communities to validate hypotheses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5\+ years of building machine learning models or developing algorithms for business application experience
* PhD, or Master's degree and 6\+ years of applied research experience
* Experience programming in Java, C\+\+, Python or related language
* Experience with neural deep learning methods and machine learning
**Preferred Qualifications**
* Experience with large scale machine learning systems such as profiling and debugging and understanding of system performance and scalability
* Experience with modeling tools such as R, scikit\-learn, Spark MLLib, MxNet, Tensorflow, numpy, scipy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A3147630</t>
        </is>
      </c>
    </row>
    <row r="23">
      <c r="A23" t="inlineStr">
        <is>
          <t>li-4361268356</t>
        </is>
      </c>
      <c r="B23" t="inlineStr">
        <is>
          <t>Senior Applied Scientist - Health and Life Sciences</t>
        </is>
      </c>
      <c r="C23" t="inlineStr">
        <is>
          <t>Microsoft</t>
        </is>
      </c>
      <c r="D23" t="inlineStr">
        <is>
          <t>linkedin</t>
        </is>
      </c>
      <c r="E23" t="inlineStr"/>
      <c r="F23" t="inlineStr"/>
      <c r="G23" t="inlineStr">
        <is>
          <t>Burlington, NC</t>
        </is>
      </c>
      <c r="H23" t="inlineStr"/>
      <c r="I23" t="inlineStr">
        <is>
          <t>**Overview**
 Microsoft’s Health and Life Sciences team is dedicated to empowering healthcare organizations to achieve their goals and improve patient care. We aim to create an efficient and connected healthcare ecosystem which empowers everyone across the healthcare journey to collaborate, communicate, and innovate together to provide better experiences for their workforces and patients or members alike.
 We are looking for a
 **Senior Applied Scientist \- Health and Life Sciences** 
 to join our Dragon ASR team. In this role, you will collaborate with a highly motivated, multi\-disciplinary group of scientists and engineers, primarily based in Vienna, Austria. Our team develops interactive and ambient speech recognition technologies powering Health and Life Sciences products such as Dragon Medical One, Dragon Copilot, and PowerScribe One.
 Our Mission Is To Deliver Solutions That Not Only Address Current Challenges But Also Pave The Way For The Future. We Seek a Passionate Scientist Who Thrives On Innovation, Embraces Teamwork, And Is Committed To Excellence. The Ideal Candidate Is
* Deeply engaged with the latest advancements in AI and speech technologies
* Focused on team success, contributing to a collaborative and inclusive environment
* Skilled in delivering high\-quality, production\-ready code that drives real\-world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Bring new technology and approaches into production by applying long\-term research efforts to solve immediate product needs
* Design, implement, optimize and experimentally evaluate features related to speech recognition and voice\-driven document creation
* Analyze field data, identify problems and provide strategic direction for future\-proof solutions
* Implement and enhance tools, learning algorithms and prototypes to advance speech technology capabilities
* Work closely with speech recognition experts, product managers, and engineering teams, and effectively communicate results and ideas to peers and leadership
**Qualifications**
**Minimum qualifications**
*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5\+ years of software development experience in production environments in C\+\+ and Python
* Experience working with machine learning models in areas such as speech recognition, natural language processing, generative AI
* Proficient communication skills
* Experience with speech recognition algorithms (speech\-to\-text)
* Experience with the Azure ecosystem
* Experience with large\-scale data processing and analytics
 \#hls \#hlssp \#Health\&amp;LifeSciences \#speechrecognition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4">
      <c r="A24" t="inlineStr">
        <is>
          <t>li-4046361850</t>
        </is>
      </c>
      <c r="B24" t="inlineStr">
        <is>
          <t>Principal Applied Scientist, Amazon Stores Economics &amp; Science (SEAS)</t>
        </is>
      </c>
      <c r="C24" t="inlineStr">
        <is>
          <t>Amazon</t>
        </is>
      </c>
      <c r="D24" t="inlineStr">
        <is>
          <t>linkedin</t>
        </is>
      </c>
      <c r="E24" t="inlineStr"/>
      <c r="F24" t="inlineStr"/>
      <c r="G24" t="inlineStr">
        <is>
          <t>Seattle, WA</t>
        </is>
      </c>
      <c r="H24" t="inlineStr"/>
      <c r="I24" t="inlineStr">
        <is>
          <t>**Description**
 Stores Economics and Science (SEAS) is an interdisciplinary science and engineering team in Amazon's Stores organization with a peak\-jumping mission: we apply expertise in science and engineering to move from local to global optima in methods, models, and software. We pursue this mission by leveraging frontier science; collaborating with partner teams; and learning from the tools, experience, and perspective of others. We scale by solving problems, first in the small to prove concepts, and then in the large by building scalable solutions. We also help other teams within Amazon scale by hiring and developing the best and embedding them in other business units. In 2024, we are focused on economics and science in areas related to (1\) improving delivery speed and lowering cost\-to\-serve, (2\) seller fees and incentives, and (3\) emerging machine learning using LLMs. We also have some ongoing and highly leveraged collaborations that help partner teams inside Amazon short\-circuit months of R\&amp;D or otherwise look around corners. We are looking for a seasoned Applied Science leader to build and deliver cutting\-edge science and engineering solutions to improve our Stores business. In this role, you will lead a team of scientists and engineers with backgrounds in machine learning, NLP, IR, statistics, and economics to identify bottlenecks in our business, conceive new ideas to overcome those challenges, and deploy scientific solutions in partnership with product teams. Your responsibilities include developing the scientific models, benchmarks, and services. Graduate education and hands\-on experience in machine learning, optimization, causal inference, Bayesian statistics, deep learning, or other quantitative scientific fields is a must. To be successful in this role, you should be a quick learner and comfortable with a high degree of ambiguity.
 Key job responsibilities
 Knowledge of causal inference and forecasting models are preferred. Practical knowledge of how we can leverage Transformers, LLMs, or other deep learning techniques for a variety of applications is a must.
**Basic Qualifications**
 10\+ years of building machine learning models for business application experience
 PhD, or Master's degree and 10\+ years of applied research experience
 Experience programming in Java, C\+\+, Python or related language
 Experience with neural deep learning methods and machine learning
**Preferred Qualifications**
 Experience with modeling tools such as R, scikit\-learn, Spark MLLib, MxNet, Tensorflow, numpy, scipy etc.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A2799703</t>
        </is>
      </c>
    </row>
    <row r="25">
      <c r="A25" t="inlineStr">
        <is>
          <t>li-4340748547</t>
        </is>
      </c>
      <c r="B25" t="inlineStr">
        <is>
          <t>Sr. Applied Scientist, Amazon Selling Partner Trust &amp; Store Integrity Science</t>
        </is>
      </c>
      <c r="C25" t="inlineStr">
        <is>
          <t>Amazon</t>
        </is>
      </c>
      <c r="D25" t="inlineStr">
        <is>
          <t>linkedin</t>
        </is>
      </c>
      <c r="E25" t="inlineStr"/>
      <c r="F25" t="inlineStr"/>
      <c r="G25" t="inlineStr">
        <is>
          <t>Seattle, WA</t>
        </is>
      </c>
      <c r="H25" t="inlineStr"/>
      <c r="I25" t="inlineStr">
        <is>
          <t>**Description**
 Are you passionate about applying machine learning and advanced statistical techniques to protect one of the world's largest online marketplaces? Do you want to be at the forefront of developing innovative solutions that safeguard Amazon's customers and legitimate sellers while ensuring a fair and trusted shopping experience? Do you thrive in a collaborative environment where diverse perspectives drive breakthrough solutions?
 If yes, we invite you to join the Amazon Risk Intelligence Science Team. We're seeking an exceptional scientist who can revolutionize how we protect our marketplace through intelligent automation. As a key member of our team, you'll develop and deploy state\-of\-the\-art machine learning systems that analyze millions of seller interactions daily, ensuring the integrity and trustworthiness of Amazon's marketplace while scaling our operations to new heights. Your work will directly impact the safety and security of the shopping experience for hundreds of millions of customers worldwide, while supporting the growth of honest entrepreneurs and businesses.
 Key job responsibilities
* Use machine learning and statistical techniques to create scalable abuse detection solutions that identify fraudulent seller behavior, account takeovers, and marketplace manipulation schemes
* Innovate with the latest GenAI technology to build highly automated solutions for efficient seller verification, transaction monitoring, and risk assessment
* Design, develop and deploy end\-to\-end machine learning solutions in the Amazon production environment to prevent and detect sophisticated abuse patterns across the marketplace
* Learn, explore and experiment with the latest machine learning advancements to protect customer trust and maintain marketplace integrity while supporting legitimate selling partners
* Collaborate with cross\-functional teams to develop comprehensive risk models that can adapt to evolving abuse patterns and emerging threats
**About The Team**
 You'll be working closely with business partners and engineering teams to create end\-to\-end scalable machine learning solutions that address real\-world problems. You will build scalable, efficient, and automated processes for large\-scale data analyses, model development, model validation, and model implementation.
 You will also be providing clear and compelling reports for your solutions and contributing to the ongoing innovation and knowledge\-sharing that are central to the team's success.
**Basic Qualifications**
* 4\+ years of building machine learning models for business application experience
* PhD, or Master's degree and 3\+ years of applied research experience
* Experience programming in Java, C\+\+, Python or related language
* Experience with neural deep learning methods and machine learning
* 4\+ years of applied research experience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A3134314</t>
        </is>
      </c>
    </row>
    <row r="26">
      <c r="A26" t="inlineStr">
        <is>
          <t>li-4315150137</t>
        </is>
      </c>
      <c r="B26" t="inlineStr">
        <is>
          <t>Senior Applied Scientist, Delivery Foundation Model</t>
        </is>
      </c>
      <c r="C26" t="inlineStr">
        <is>
          <t>Amazon</t>
        </is>
      </c>
      <c r="D26" t="inlineStr">
        <is>
          <t>linkedin</t>
        </is>
      </c>
      <c r="E26" t="inlineStr"/>
      <c r="F26" t="inlineStr"/>
      <c r="G26" t="inlineStr">
        <is>
          <t>Bellevue, WA</t>
        </is>
      </c>
      <c r="H26" t="inlineStr"/>
      <c r="I26"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
**Preferred Qualifications**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A2998435</t>
        </is>
      </c>
    </row>
    <row r="27">
      <c r="A27" t="inlineStr">
        <is>
          <t>li-4046361849</t>
        </is>
      </c>
      <c r="B27" t="inlineStr">
        <is>
          <t>Principal Applied Scientist, Amazon Stores Economics &amp; Science (SEAS)</t>
        </is>
      </c>
      <c r="C27" t="inlineStr">
        <is>
          <t>Amazon</t>
        </is>
      </c>
      <c r="D27" t="inlineStr">
        <is>
          <t>linkedin</t>
        </is>
      </c>
      <c r="E27" t="inlineStr"/>
      <c r="F27" t="inlineStr"/>
      <c r="G27" t="inlineStr">
        <is>
          <t>Palo Alto, CA</t>
        </is>
      </c>
      <c r="H27" t="inlineStr"/>
      <c r="I27" t="inlineStr">
        <is>
          <t>**Description**
 Stores Economics and Science (SEAS) is an interdisciplinary science and engineering team in Amazon's Stores organization with a peak\-jumping mission: we apply expertise in science and engineering to move from local to global optima in methods, models, and software. We pursue this mission by leveraging frontier science; collaborating with partner teams; and learning from the tools, experience, and perspective of others. We scale by solving problems, first in the small to prove concepts, and then in the large by building scalable solutions. We also help other teams within Amazon scale by hiring and developing the best and embedding them in other business units. In 2024, we are focused on economics and science in areas related to (1\) improving delivery speed and lowering cost\-to\-serve, (2\) seller fees and incentives, and (3\) emerging machine learning using LLMs. We also have some ongoing and highly leveraged collaborations that help partner teams inside Amazon short\-circuit months of R\&amp;D or otherwise look around corners. We are looking for a seasoned Applied Science leader to build and deliver cutting\-edge science and engineering solutions to improve our Stores business. In this role, you will lead a team of scientists and engineers with backgrounds in machine learning, NLP, IR, statistics, and economics to identify bottlenecks in our business, conceive new ideas to overcome those challenges, and deploy scientific solutions in partnership with product teams. Your responsibilities include developing the scientific models, benchmarks, and services. Graduate education and hands\-on experience in machine learning, optimization, causal inference, Bayesian statistics, deep learning, or other quantitative scientific fields is a must. To be successful in this role, you should be a quick learner and comfortable with a high degree of ambiguity.
 Key job responsibilities
 Knowledge of causal inference and forecasting models are preferred. Practical knowledge of how we can leverage Transformers, LLMs, or other deep learning techniques for a variety of applications is a must.
**Basic Qualifications**
 10\+ years of building machine learning models for business application experience
 PhD, or Master's degree and 10\+ years of applied research experience
 Experience programming in Java, C\+\+, Python or related language
 Experience with neural deep learning methods and machine learning
**Preferred Qualifications**
 Experience with modeling tools such as R, scikit\-learn, Spark MLLib, MxNet, Tensorflow, numpy, scipy etc.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A2799703</t>
        </is>
      </c>
    </row>
    <row r="28">
      <c r="A28" t="inlineStr">
        <is>
          <t>li-4361541498</t>
        </is>
      </c>
      <c r="B28" t="inlineStr">
        <is>
          <t>Senior AI Engineer</t>
        </is>
      </c>
      <c r="C28" t="inlineStr">
        <is>
          <t>LinkedIn</t>
        </is>
      </c>
      <c r="D28" t="inlineStr">
        <is>
          <t>linkedin</t>
        </is>
      </c>
      <c r="E28" t="inlineStr"/>
      <c r="F28" t="inlineStr"/>
      <c r="G28" t="inlineStr">
        <is>
          <t>Sunnyvale, CA</t>
        </is>
      </c>
      <c r="H28" t="inlineStr"/>
      <c r="I28"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This role will be based in Sunnyvale, San Francisco, Bellevue or New York City.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LinkedIn's Machine Learning Engineers are both data/research scientists and software engineers, who develop and implement machine learning models and algorithms. Unlike other companies that separate these roles, our engineers work on projects from ideation to implementation.
**Responsibilities**
* Work with BIG data, crunching millions of samples for statistical modeling, data mining, recommendation solutions
* Write production quality code and influence the next generation of LinkedIn's system
* Collaborate with 10\+ machine learning engineers to deliver impact on LinkedIn newsfeed
* Build scalable AI innovations with foundation and infra partners
**Qualifications**
 Basic Qualifications
* BA/BS Degree in Computer Science, Machine Learning or related technical discipline, or related practical experience.
* 2\+ years experience in software design, development, and algorithm related solutions.
* 2\+ years experience in programming languages such as Java, Python, etc.
* 2\+ years experience with machine learning, data mining, and information retrieval or natural language processing
**Preferred Qualifications**
* 4\+ years of relevant machine learning experience
* MS or PhD in Computer Science or related technical discipline
* Working knowledge in one or more of the following: machine learning, data mining, information retrieval, security data science, advanced statistics or natural language processing.
* Experience with iterative, test\-driven development.
* Experience with configuration management (SVN, GIT, ant, maven, etc.).
* Experience with developing and designing consumer\-facing products.
* Experience with Hadoop, Pig, or other MapReduce paradigms.
* Knowledge of internals Lucene/SOLR or other information retrieval systems.
* Published work in academic conferences or industry circles.
 Suggested Skills
* Experience in Machine Learning and Deep Learning
* Experience in Big Data
* Strong technical background \&amp; Strategic thinking
* Experience in GAI and/or LLMs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$139,000 \- $229,000\.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29">
      <c r="A29" t="inlineStr">
        <is>
          <t>li-4296873399</t>
        </is>
      </c>
      <c r="B29" t="inlineStr">
        <is>
          <t>Machine Learning Engineer, 2026 Graduate U.S.</t>
        </is>
      </c>
      <c r="C29" t="inlineStr">
        <is>
          <t>Atlassian</t>
        </is>
      </c>
      <c r="D29" t="inlineStr">
        <is>
          <t>linkedin</t>
        </is>
      </c>
      <c r="E29" t="inlineStr"/>
      <c r="F29" t="inlineStr"/>
      <c r="G29" t="inlineStr">
        <is>
          <t>San Francisco, CA</t>
        </is>
      </c>
      <c r="H29" t="inlineStr"/>
      <c r="I29" t="inlineStr">
        <is>
          <t>****Overview****
**Working at Atlassian**
 Atlassians have the flexibility to work where they can collaborate most effectively with their team, whether at home, one of our global offices, or both.
 As a distributed\-first company, all interviews are conducted virtually. We hire in any country where we have a legal entity. Learn how we work at go.atlassian.com/distributed .
**Your Future Org**
 Atlassian’s Grad\+\+ program combines hands\-on technical training, professional growth opportunities, dedicated mentorship, and strong social connections. This holistic approach empowers students to hit the ground running and sets them up for a successful and impactful career at Atlassian!
 This role is located in San Francisco or Seattle. You must be willing and able to work within 25 miles of either our Seattle or San Francisco graduate hub office to qualify. All Graduates located within 25mi will receive a Hub bonus.
 This position is not eligible for F1 and J1 students. It is not available for any work sponsorship.
****Responsibilities****
**Your future team**
 At Atlassian, our machine learning teams tackle business and product challenges across the company. Collaborating with stakeholders in Growth, GTM, Product, Finance, and Sales, we deliver machine learning infrastructure and model applications. Our teams, comprised of ML engineers and system engineers, foster collaboration, knowledge sharing, and individual growth. They operate nimbly, emphasizing speed from conceptualization to initial output while maintaining a strong focus on business impact. This role offers a unique chance to work in a collaborative environment and implement cutting\-edge machine learning techniques, including search/recommendation engines, GenAI applications, LLM training, and more.
****Responsibilities****
* Focus on Machine Learning applications and ideas for recommendation and personalization
* Build machine learning models and work on Generative AI projects
* Translate business problems into technical solutions
****Minimum Qualifications****
* Pursuing a masters or bachelors degree in a quantitative subject (Mathematics, Computer Science, Statistics, Machine Learning, Operations Research, or relevant work experience)
* Experience writing software with minimal bugs in Python, Scala, or Spark; SQL experience a bonus
* Experience building machine learning models in academic coursework or related industry intern experience
* Currently enrolled in a full\-time masters degree program and graduating by June 2026
****Qualifications****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$142,200 \- $189,600
 Zone B: $128,000 \- $170,600
 Zone C: $118,000 \- $157,400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 
 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30">
      <c r="A30" t="inlineStr">
        <is>
          <t>li-4345933142</t>
        </is>
      </c>
      <c r="B30" t="inlineStr">
        <is>
          <t>Machine Learning Engineer</t>
        </is>
      </c>
      <c r="C30" t="inlineStr">
        <is>
          <t>Ibotta</t>
        </is>
      </c>
      <c r="D30" t="inlineStr">
        <is>
          <t>linkedin</t>
        </is>
      </c>
      <c r="E30" t="inlineStr"/>
      <c r="F30" t="inlineStr"/>
      <c r="G30" t="inlineStr">
        <is>
          <t>Denver, CO</t>
        </is>
      </c>
      <c r="H30" t="inlineStr"/>
      <c r="I30" t="inlineStr">
        <is>
          <t>Ibotta is seeking a Machine Learning Engineer to join our Core Data \&amp; Analytics team and contribute to our mission to Make Every Purchase Rewarding. We’re looking for someone who has a passion for building scalable machine learning solutions using technologies such as Python, Spark, AWS, Sagemaker, etc.
 As an ML Engineer, you will be responsible for using the latest developments in machine learning to build accurate and reliable machine learning models for use throughout the organization. This role will immediately impact ML strategy and drive impact through the support, guidance, and collaboration with multiple teams as part of our analytics organization. You’ll be able to advance not only your technical skills, but your organizational and leadership skills as well, by contributing to the creation of best practices for the team and company, and learning from the more senior machine learning engineers, data scientists and managers on the team.
 This position is located in Denver, Colorado as a hybrid position requiring 3 days in office (Tuesday, Wednesday, and Thursday). Candidates must live in the United States.
**What you will be doing:**
* Design, develop and deploy large scale, big data\-driven machine learning models that are integrated with key product features
* Build and scale ML related infrastructure to help streamline the development, evaluation, deployment, and re\-usability of core ML features and services
* Communicate complex machine learning solutions, concepts and the results of analyses in a clear and effective manner to business stakeholders and technology leaders to maximize the effectiveness of machine learning initiatives
* Analyze, and at times build, large and novel datasets to extract actionable insights to inform model development and understand customer behavior and or product performance
* Collaborate with Machine Learning Engineers and Data Scientists to establish standards and solutions that scale and can be leveraged in various initiatives throughout the organization
* Embrace and uphold Ibotta’s Core Values: Integrity, Boldness, Ownership, Teamwork, Transparency and A good idea can come from anywhere
**What we are looking for:**
* 2\+ years of professional experience as a Machine Learning Engineer, Data Scientist, or equivalent role, focusing on machine learning, statistical modeling, and/or ML infrastructure
* Bachelor’s Degree in Computer Science, Mathematics, Analytics, or related field required
* Strong SQL knowledge and experience with manipulating complex data to apply business rules for improved feature engineering within data lakes, distributed systems, and data streams
* Proficiency in Python
* Experience working with machine learning frameworks (e.g. scikit\-learn, xgboost) and distributed big\-data tools (Spark, Hive)
* Experience building and maintaining realtime model endpoints/APIs
* Ability to communicate complex, technical machine learning implementations to diverse audiences
* Experience working with version control systems (e.g. git) and CI/CD for machine learning pipelines
* A love of learning and continuous development, including staying at the forefront of the latest advances in data science and machine learning
* Ability to think critically and leverage domain expertise to build machine learning powered applications that help to achieve high\-level business objectives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 all while paying only when their campaigns directly result in a sale. American shoppers have earned over $1\.8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**Additional Details:**
* This position is located in Denver, CO and includes competitive pay, flexible time off, benefits package (including medical, dental, vision), Lifestyle Spending Account, Employee Stock Purchase Program, and 401k match. Denver office perks include paid parking, snacks, and occasional meals.
* Base compensation range: $136,000 \- $158,000\. Equity is included in overall compensation package. This compensation range is specific to the United States labor market and may be adjusted based on actual experience.
* Ibotta is an Equal Opportunity Employer. Ibotta’s employment decisions are made without regard of race, color, religion, national origin, age, sex, marital status, ancestry, physical or mental disability, veteran status, gender identity, sexual orientation, or any other legally protected status.
* Applicants must be currently authorized to work in the United States on a full\-time basis.
* Applicants are accepted until the position is filled.
* For the security of our employees and the business, all employees are responsible for the secure handling of data in accordance with our security policies, identifying and reporting phishing attempts, as well as reporting security incidents to the proper channels.
**Recruiting Agency Notice**
 Ibotta does not accept agency resumes and is not responsible for any fees related to unsolicited resumes. Please do not forward resumes to any Ibotta employees.
 \#BI\-Hybrid</t>
        </is>
      </c>
    </row>
    <row r="31">
      <c r="A31" t="inlineStr">
        <is>
          <t>li-4361520216</t>
        </is>
      </c>
      <c r="B31" t="inlineStr">
        <is>
          <t>Machine Learning Engineer, Sr.</t>
        </is>
      </c>
      <c r="C31" t="inlineStr">
        <is>
          <t>Red Hat</t>
        </is>
      </c>
      <c r="D31" t="inlineStr">
        <is>
          <t>linkedin</t>
        </is>
      </c>
      <c r="E31" t="inlineStr"/>
      <c r="F31" t="inlineStr"/>
      <c r="G31" t="inlineStr"/>
      <c r="H31" t="inlineStr"/>
      <c r="I31" t="inlineStr">
        <is>
          <t>**About The Company** 
 Red Hat is a global leader in enterprise open source software solutions, renowned for its innovative approach to delivering high\-performance Linux, cloud, container, and Kubernetes technologies. With a presence in over 40 countries, Red Hat fosters a culture of collaboration, transparency, and inclusion, empowering a diverse community of talented professionals. The company’s open source philosophy encourages creativity, knowledge sharing, and continuous improvement, making it a preferred employer for those passionate about technology and open innovation. Red Hat’s commitment to open source principles ensures that its solutions are flexible, scalable, and adaptable to meet the evolving needs of enterprises worldwide.
**About The Role** 
 We are seeking a highly skilled Machine Learning Engineer with expertise in vLLM to join our innovative team focused on advancing open\-source AI technologies. In this role, you will be at the forefront of developing and optimizing large language model inference systems, contributing to the core vLLM open\-source project that is poised to become one of the most influential in the AI community by 2025\. Your work will involve designing high\-performance algorithms, optimizing GPU kernels, and collaborating with a talented team to push the boundaries of AI deployment efficiency. This position offers a unique opportunity to influence the future of AI by working on cutting\-edge techniques such as model quantization, sparsification, and distributed computing, all within an open\-source environment that values collaboration and continuous learning.
**Qualifications** 
* Bachelor’s or Master’s degree in Computer Science, Computer Engineering, or a related field. A PhD in a machine learning domain is a plus.
* Extensive experience in writing high\-performance code for GPUs, with deep knowledge of GPU hardware architecture.
* Strong understanding of computer architecture, parallel processing, and distributed computing concepts.
* Proficiency with tensor math libraries such as PyTorch.
* Experience in GPU performance optimization, including kernel optimization for deep neural networks.
* Familiarity with NVIDIA Nsight or similar profiling tools is advantageous.
* Solid understanding of LLM inference optimization techniques such as continuous batching, PagedAttention, quantization, and tensor parallelism.
* Experience with non\-NVIDIA hardware (AMD ROCm, TPUs) is a plus.
* Excellent communication skills, capable of working effectively with both technical and non\-technical team members.
**Responsibilities** 
* Develop and maintain high\-performance Python and C\+\+ codebases for vLLM systems, focusing on inference primitives and optimization algorithms.
* Design, implement, and test inference optimization techniques to enhance model performance and efficiency.
* Engage in technical design discussions, providing innovative solutions to complex challenges in model deployment.
* Act as a core contributor to the vLLM open\-source project by reviewing pull requests, authoring RFCs, and mentoring external contributors.
* Collaborate with cross\-functional teams to integrate new features and performance improvements into the platform.
* Mentor junior engineers, fostering a culture of continuous learning, innovation, and knowledge sharing.
* Conduct performance analysis and modeling to identify bottlenecks and optimize resource utilization on GPU hardware.
**Benefits** 
* Comprehensive medical, dental, and vision coverage.
* Flexible Spending Account (FSA) for healthcare and dependent care expenses.
* Health Savings Account (HSA) for high deductible medical plans.
* Retirement 401(k) plan with employer matching contributions.
* Paid time off, holidays, and paid parental leave for new parents.
* Additional benefits including disability leave, family medical leave, military leave, employee stock purchase plan, tuition reimbursement, and transportation expense accounts.
* Supportive work environment that promotes work\-life balance and professional growth.
 Equal Opportunity
 Red Hat is proud to be an equal opportunity workplace and an affirmative action employer. We are committed to fostering an inclusive environment where all individuals are treated with respect and fairness. Applications are reviewed without regard to race, color, religion, sex, sexual orientation, gender identity, national origin, ancestry, citizenship, age, veteran status, genetic information, disability, medical condition, marital status, or any other legally protected characteristic.</t>
        </is>
      </c>
    </row>
    <row r="32">
      <c r="A32" t="inlineStr">
        <is>
          <t>li-4354786006</t>
        </is>
      </c>
      <c r="B32" t="inlineStr">
        <is>
          <t>ML Engineer (Remote, USA)</t>
        </is>
      </c>
      <c r="C32" t="inlineStr">
        <is>
          <t>HR POD Careers</t>
        </is>
      </c>
      <c r="D32" t="inlineStr">
        <is>
          <t>linkedin</t>
        </is>
      </c>
      <c r="E32" t="inlineStr"/>
      <c r="F32" t="inlineStr"/>
      <c r="G32" t="inlineStr">
        <is>
          <t>Washington, DC</t>
        </is>
      </c>
      <c r="H32" t="inlineStr"/>
      <c r="I32" t="inlineStr">
        <is>
          <t>**Requirements:**
* BS/MS in Computer Science, Statistics, Electrical/Computer Engineering, Mathematics, or a related field.
* 4\+ years of experience after BS/MS.
* Strong software engineering fundamentals role involves research as well as writing production\-grade code.
* Knowledge of common challenges in training machine learning models and best\-practice solutions.
* Familiarity with deep learning concepts such as Transformers, Retrieval\-Augmented Generation (RAG), and Mixture of Experts (MoE).
* Proficiency in data/ML libraries such as pandas, transformers, and torch.
* Hands\-on experience training ML systems end\-to\-end, from data curation to evaluation and deployment.
* Ability to collaborate effectively with cross\-functional teams.
* PhD in Computer Science/Engineering with 1\+ years of industry experience (preferred).
* Publications in top\-tier venues such as ACL, NAACL, EMNLP, NeurIPS, ICML, or ICLR as a key author.
* Experience working as an ML engineer in an early\-stage, high\-growth environment.
* Expertise includes embedding models, rerankers, multimodal retrieval, question answering, reasoning, vector databases, and BM25\.
* Skilled in planning and reasoning in LLMs, multilinguality in LLMs, and NLG evaluation, including hallucination detection.
**Responsibilities:**
* Design, prototype, research, and build AI systems for the Company.
* Train, evaluate, and deploy ML models in Natural Language Processing, Information Retrieval, AI Agents, Large Language Models (LLMs), and Multimodal Large Models (MLMs).
* Improve the quality of the Company's RAG\-as\-a\-service platform, including areas such as multilinguality, self\-supervised learning, agentic behavior, and hallucination reduction.
* Publish technical blogs, research papers, and patents.</t>
        </is>
      </c>
    </row>
    <row r="33">
      <c r="A33" t="inlineStr">
        <is>
          <t>li-4361531498</t>
        </is>
      </c>
      <c r="B33" t="inlineStr">
        <is>
          <t>Principal AI Engineer, Ads AI</t>
        </is>
      </c>
      <c r="C33" t="inlineStr">
        <is>
          <t>LinkedIn</t>
        </is>
      </c>
      <c r="D33" t="inlineStr">
        <is>
          <t>linkedin</t>
        </is>
      </c>
      <c r="E33" t="inlineStr"/>
      <c r="F33" t="inlineStr"/>
      <c r="G33" t="inlineStr">
        <is>
          <t>New York, NY</t>
        </is>
      </c>
      <c r="H33" t="inlineStr"/>
      <c r="I33"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**Team Overview:**
 The Assets, Formats \&amp; Placements team is part of our LinkedIn Marketing Solutions (Ads Technology) group. This team has a vision of building a content onboarding and asset generation platform, innovating in new ad formats and experimenting with new ad slot supply that can be monetized.
 The team also owns vertical products like hosting live events and B2B marketing aspects for those events and the strategy to monetize creators \&amp; publishers that post high quality video content on LinkedIn.
**Location:**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will  be based in
 **New York, NY** 
 .
**Responsibilities:**
 As a Principal AI Engineer you will be setting the technical direction and foundation to build and own algorithms, models, and systems that power our LinkedIn ad tech platform. We are looking for a high performing and high ambition tech lead who will use AI/ML to push the boundaries of our ad stack and meet the future needs of our B2B advertisers.
* Define and execute technical vision for applying AI to accelerate the team’s roadmap which includes asset generation using LLMs, personalizing ads at scale and new workflows that guide advertisers to building higher performing ads.
* Mentor and work with other Sr. Staff SWEs in the team to establish quality norms, processes and build a culture of operational excellence.
* Partner with Product, Data Science, and AI Research teams to translate business goals into scalable AI\-powered capabilities that improve the advertiser experience \&amp; ROI.
* Establish best practices for experimentation, model evaluation, and responsible AI within the asset generation, ads personalization and supply expansion spaces.
**Qualifications**
**Basic Qualifications:**
* 5\+ years as a Technical Leader (L7, Senior Staff, Principal, etc.)
* 7\+ years of industry experience with Machine Learning, AI, Data Engineering, or related solutions.
* Bachelor of Science (or higher, e.g., MS, or PhD) in Computer Science or related technical field involving coding, or equivalent technical experience.
**Preferred Qualifications:**
* 10\+ years of industry experience (AI, Machine Learning, Data Science, or related) including prior experience working in the Tech domain.
* Master’s or PhD in Computer Science or a related discipline.
* BS and 12\+ years of relevant work experience, MS and 10\+ years of relevant work experience, or PhD and 8\+ years of relevant work experience.
* Previous design and implementation of solutions in highly distributed environments.
* Experience in the Advertising and Marketing domain.
* Prior work designing and building scalable agentic systems.
**Skills:**
* Technical Leadership
* AI Engineering
* Enterprise ML Solutions
**You will Benefit from our Culture:**
 We strongly believe in the well\-being of our employees and their families. That is why we offer generous health and wellness programs and time away for employees of all levels.
**Compensation:**
 LinkedIn is committed to fair and equitable compensation practices.
 The pay range for this role is $207,000 to $340,000\.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34">
      <c r="A34" t="inlineStr">
        <is>
          <t>li-4361500813</t>
        </is>
      </c>
      <c r="B34" t="inlineStr">
        <is>
          <t>Machine Learning Engineer II</t>
        </is>
      </c>
      <c r="C34" t="inlineStr">
        <is>
          <t>Uber</t>
        </is>
      </c>
      <c r="D34" t="inlineStr">
        <is>
          <t>linkedin</t>
        </is>
      </c>
      <c r="E34" t="inlineStr"/>
      <c r="F34" t="inlineStr"/>
      <c r="G34" t="inlineStr">
        <is>
          <t>San Francisco, CA</t>
        </is>
      </c>
      <c r="H34" t="inlineStr"/>
      <c r="I34" t="inlineStr">
        <is>
          <t>**About The Role**
 Uber Marketplace is at the core of Uber's business, and Delivery Pricing is a strategically critical component of Marketplace. The mission of the team is to foster growth and increase profitability of Uber by pushing the frontiers of machine learning, data science, and economics and developing highly reliable and scalable platforms to accelerate Uber's impact on the transportation industry.This role will drive high\-impact projects to optimize pricing at Uber using optimization, machine learning, and causal inference. We are looking for individuals who not only excel in problem solving and critical thinking, but also are interested and proficient in writing production code, converting ideas to scalable systems.
**What You Will Do**
* Problem Formulation: Partner with Scientists, Product Managers, and stakeholders to translate ambiguous business challenges into concrete ML formulations, system designs, and data requirements
* Build \&amp; Deploy: Design, build, and deploy the end\-to\-end infrastructure and services that power our real\-time pricing models at a global scale
* Productionize ML: Own the full production lifecycle of machine learning models. This includes building scalable training/inference pipelines, optimizing models for low\-latency serving, and setting up robust monitoring to ensure system health and reliability
* Engineer Data: Develop and maintain the complex feature engineering pipelines that feed our models, working with both batch and near\-real\-time data sources
**Basic Qualifications**
* Master's/Bachelor's degree in a similar field with 2\+ years of relevant industry experience OR Ph.D. in a quantitative field (e.g., Computer Science, Engineering, Mathematics)
* Strong programming skills e.g. Python and a deep understanding of object\-oriented design, data structures, and algorithms
* Solid knowledge of machine learning fundamentals (e.g., model types, feature engineering, evaluation metrics)
**Preferred Qualifications**
* Hands\-on experience building and deploying machine learning models in a production environment
* Experience with high\-performance backend languages (e.g., Java, Go, C\+\+) for low\-latency microservices
* Experience with large\-scale data processing and training systems (e.g., Spark, Hive, Presto)
* Proven ability to work with Product Managers and partner with Scientists to translate research and business needs into scalable engineering solutions
* Excellent communication skills, with the ability to convey complex technical concepts to diverse audiences
 For New York, NY\-based roles: The base salary range for this role is USD$167,000 per year \- USD$185,500 per year. For San Francisco,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35">
      <c r="A35" t="inlineStr">
        <is>
          <t>li-4354775737</t>
        </is>
      </c>
      <c r="B35" t="inlineStr">
        <is>
          <t>Machine Learning Engineer</t>
        </is>
      </c>
      <c r="C35" t="inlineStr">
        <is>
          <t>XponentL Data</t>
        </is>
      </c>
      <c r="D35" t="inlineStr">
        <is>
          <t>linkedin</t>
        </is>
      </c>
      <c r="E35" t="inlineStr"/>
      <c r="F35" t="inlineStr"/>
      <c r="G35" t="inlineStr"/>
      <c r="H35" t="inlineStr"/>
      <c r="I35" t="inlineStr">
        <is>
          <t>**Job Title:** 
 MLOps Engineer – AI/ML Fraud Detection (Wealth Management)
**Location:** 
 US (Remote)
**Overview:** 
 We are seeking an MLOps Engineer to support real\-time AI/ML fraud detection platforms within a Wealth Management and Financial Services environment. This role focuses on operationalizing machine learning models, building scalable SageMaker pipelines, and enabling high\-quality feature engineering to ensure models move reliably from experimentation to secure, compliant production environments.
**Key Responsibilities:** 
* **MLOps \&amp; Model Operations:** 
 Build and maintain end\-to\-end pipelines for fraud detection, managing the full lifecycle including validation, deployment, and retraining.
* **AWS SageMaker Engineering:** 
 Design and implement SageMaker Pipelines and Processing jobs to automate training and scalable data preparation workflows.
* **Feature Engineering:** 
 Design and optimize feature pipelines to ensure high\-quality, explainable data and consistency between training and real\-time inference.
* **Infrastructure \&amp; Traceability:** 
 Ensure reproducibility and versioning across all ML workflows while maintaining high availability for mission\-critical fraud systems.
* **Compliance \&amp; Governance:** 
 Apply FSI\-regulated best practices, supporting audit requirements and security reviews typical of wealth management platforms.
* **Strategic Collaboration:** 
 Partner with data scientists and platform teams to bridge the gap between model research and production\-grade engineering.
**Qualifications:** 
* **Experience:** 
 4\+ years in MLOps, ML Engineering, or related roles with a proven track record of operationalizing models in production.
* **Technical Skills:** 
 Expert proficiency in Python for ML and hands\-on experience with AWS SageMaker (Pipelines, Processing, and deployment).
* **Domain Expertise:** 
 Experience in Financial Services (FSI), specifically regarding AI/ML\-driven fraud prevention or transaction\-risk monitoring.
* **Systems Design:** 
 Strong understanding of real\-time data orchestration, model monitoring, and feature store management.
**Education \&amp; Requirements:** 
* Bachelor’s degree in Computer Science, Data Science, or Engineering (or equivalent experience).
* Candidates must possess strong documentation skills and the ability to pass a comprehensive background check required for high\-trust, regulated financial environments.</t>
        </is>
      </c>
    </row>
    <row r="36">
      <c r="A36" t="inlineStr">
        <is>
          <t>li-4258154667</t>
        </is>
      </c>
      <c r="B36" t="inlineStr">
        <is>
          <t>Machine Learning Engineer II/III</t>
        </is>
      </c>
      <c r="C36" t="inlineStr">
        <is>
          <t>PathAI</t>
        </is>
      </c>
      <c r="D36" t="inlineStr">
        <is>
          <t>linkedin</t>
        </is>
      </c>
      <c r="E36" t="inlineStr"/>
      <c r="F36" t="inlineStr"/>
      <c r="G36" t="inlineStr"/>
      <c r="H36" t="inlineStr"/>
      <c r="I36" t="inlineStr">
        <is>
          <t>Who We Are
 PathAI's mission is to improve patient outcomes with AI\-powered pathology. Our platform promises substantial improvements to the accuracy of diagnosis and the efficacy of treatment of diseases like cancer, leveraging modern approaches in machine learning and artificial intelligence. We have a track record of success in deploying AI algorithms for histopathology in translational research, pathology labs and clinical trials. Rigorous science and careful analysis is critical to the success of everything we do. Our team, composed of diverse employees with a wide range of backgrounds and experiences, is passionate about solving challenging problems and making a huge impact on patient outcomes.
 Where You Fit
 We are seeking Machine Learning Engineers (MLE II, and III) to join our team and tackle unique machine learning challenges to advance medicine and improve patient care. You will work closely with teams across biomedical data science, product development, translational research, MLOps, and platform engineering to develop and deploy machine learning models for our AI products and services.
 What You’ll Do
 As an MLE at PathAI, your responsibilities will grow in scope as you progress through levels:
* Design, develop, and deploy machine learning models for research and product development projects.
* Collaborate cross\-functionally with scientists, engineers, and product teams to translate biological and clinical requirements into scalable ML solutions.
* Contribute to experimental design and analysis, including ideation, documentation, and reporting.
* Participate in knowledge sharing and team initiatives (e.g., design reviews, journal clubs, ML best practices, governance activities).
* Improve ML pipelines and infrastructure in partnership with MLOps and platform teams.
* Publish and present scientific work, supporting abstracts, manuscripts, and conference contributions.
**Level\-specific Expectations**
* MLE I: Contribute to projects with guidance, implement models, and learn best practices.
* MLE II: Independently deliver on projects, improve processes, and mentor junior engineers.
* MLE III: Lead initiatives end\-to\-end, set technical direction, and identify new opportunities with clear business and scientific impact.
 You will have the opportunity to work in a company where all employees put patients first. We believe that every team member provides valuable contributions to our success, and no task is too small for anyone if it's important to our company goals. Every PathAI employee is a contributor to our mission to pioneer better patient care by providing the best, most innovative AI tools to biotech, pathologists, clinicians and healthcare organizations. You will work alongside and with leading innovators in the field of AI and medicine and you will play a critical role in product development to impact patient outcomes.
 What You Bring
 We welcome applicants across all MLE levels. Minimum qualifications differ by level:
**Mle Ii**
* Master’s degree plus 2–4 years of experience, or Ph.D. with 0–2 years of experience.
* Proven track record of developing and deploying machine learning models into production or research applications.
* Strong proficiency in Python, ML frameworks, and data pipeline development.
* Demonstrated ability to work independently on projects, contribute to experimental design, and improve ML workflows.
* Strong communication skills and ability to collaborate across scientific and engineering teams.
**MLE III**
* Master’s degree plus 5\+ years of experience, or Ph.D. with 3\+ years of experience.
* Deep expertise in ML, computer vision, or biomedical AI, with a history of high\-impact contributions (publications, open\-source, or products).
* Mastery of ML frameworks, software engineering best practices, and deployment pipelines.
* Ability to lead end\-to\-end projects, mentor others, and set technical direction.
* Experience articulating technical improvements into business or clinical impact.
* Strong record of contributions to scientific strategy (abstracts, manuscripts, conference presentations).
 We Want To Hear From You
 At PathAI, we are looking for individuals who are team players, are willing to do the work no matter how big or small it may be, and who are passionate about everything they do. If this sounds like you, even if you may not match the job description to a tee, we encourage you to apply. You could be exactly what we're looking for.
*PathAI is an equal opportunity employer, dedicated to creating a workplace that is free of harassment and discrimination. We base our employment decisions on business needs, job requirements, and qualifications — that's all. We do not discriminate based on race, gender, religion, health, personal beliefs, age, family or parental status, or any other status. We don't tolerate any kind of discrimination or bias, and we are looking for teammates who feel the same way.*
 The cash compensation outlined below includes base salary or hourly wage and on\-target commission for employees in eligible roles. The summary below indicates if an employee in this position is eligible for annual bonus, overtime pay and equity awards. Individual compensation packages are tailored based on skills, experience, qualifications, and other job\-related factors.
**Annual Pay Range**
 Machine Learning Engineer II: $107,250 \- $164,450
 Machine Learning Engineer III: $130,500 \- $200,100
 Not Overtime Eligible
 Eligible for Equity</t>
        </is>
      </c>
    </row>
    <row r="37">
      <c r="A37" t="inlineStr">
        <is>
          <t>li-4361512885</t>
        </is>
      </c>
      <c r="B37" t="inlineStr">
        <is>
          <t>Senior Machine Learning Engineer</t>
        </is>
      </c>
      <c r="C37" t="inlineStr">
        <is>
          <t>Edison Smart®</t>
        </is>
      </c>
      <c r="D37" t="inlineStr">
        <is>
          <t>linkedin</t>
        </is>
      </c>
      <c r="E37" t="inlineStr"/>
      <c r="F37" t="inlineStr"/>
      <c r="G37" t="inlineStr">
        <is>
          <t>New York, United States</t>
        </is>
      </c>
      <c r="H37" t="inlineStr"/>
      <c r="I37" t="inlineStr">
        <is>
          <t>**Senior Machine Learning Engineer – Digital Health applications** 
**Salary: $190,000 \- $250,000 pa** 
**Location:** 
 New York (Hybrid)
 A cutting\-edge Digital Health company are looking for a Senior Machine Learning Engineer to join their R\&amp;D team developing novel data solutions for clinical applications.
**Key Skills/Experience:** 
* Degree in Comp Sci, Biomedical or another relevant discipline
* Python
* Deep learning frameworks (TensorFlow/PyTorch.)
* Version control (e.g., Git).
* DevOps \&amp; CI/CD
* Cloud infrastructure (AWS, GCP etc.)
* Experience working with clinical data or Digital Health applications
 If you are interested and think you have the skills required as a Senior Machine Learning Engineer, please don’t hesitate to apply.</t>
        </is>
      </c>
    </row>
    <row r="38">
      <c r="A38" t="inlineStr">
        <is>
          <t>li-4345848183</t>
        </is>
      </c>
      <c r="B38" t="inlineStr">
        <is>
          <t>AI Engineer</t>
        </is>
      </c>
      <c r="C38" t="inlineStr">
        <is>
          <t>Oracle</t>
        </is>
      </c>
      <c r="D38" t="inlineStr">
        <is>
          <t>linkedin</t>
        </is>
      </c>
      <c r="E38" t="inlineStr"/>
      <c r="F38" t="inlineStr"/>
      <c r="G38" t="inlineStr"/>
      <c r="H38" t="inlineStr"/>
      <c r="I38" t="inlineStr">
        <is>
          <t>**Job Description**
 The Customer Success Services team needs an AI Engineer that can design, develop, configure, evaluate, monitor and optimize generative AI and agent solutions for Oracle applications, as well as develop innovative solutions to advance the CSS team's operational capabilities and effectiveness.
 The ideal candidate will create processes, tools, and tests so that CSS can evaluate and optimize AI responses on customer instances at scale. The candidate will develop monetizable services and build revenue streams around different levels of test, evaluation, monitoring and audit for generative AI authoring, summarization, retrieval augmented generation and agentic workflows. The candidate will be responsible for maintaining close relationships and sharing information across many lines of business.
**Responsibilities**
* Evaluate and optimize GenAI solutions (including RAG and agents).
* Provide analysis and reporting of AI quality and business value, as well as auditing (e.g. bias, prompt injection, guardrails) for customers.
* Develop methods and tools to evaluate, improve, extend, and measure ROI of Oracle AI solutions.
* Design and develop custom AI solutions to optimize and generate efficiencies for business operations.
* Help monetize AI capabilities as managed services.
* Support internal standardization and uptake of generative AI code assist tools.
* Interface with Oracle AI Review (OAR) Board and Corporate Security Solution Assurance Process team to ensure AI and security governance.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9">
      <c r="A39" t="inlineStr">
        <is>
          <t>li-4345848174</t>
        </is>
      </c>
      <c r="B39" t="inlineStr">
        <is>
          <t>ML Engineer – Gen AI Assistant &amp; Experience Engineering</t>
        </is>
      </c>
      <c r="C39" t="inlineStr">
        <is>
          <t>Adobe</t>
        </is>
      </c>
      <c r="D39" t="inlineStr">
        <is>
          <t>linkedin</t>
        </is>
      </c>
      <c r="E39" t="inlineStr"/>
      <c r="F39" t="inlineStr"/>
      <c r="G39" t="inlineStr">
        <is>
          <t>San Jose, CA</t>
        </is>
      </c>
      <c r="H39" t="inlineStr"/>
      <c r="I39"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**Adobe Experience Cloud \| Gen AI Experience Engineering**
**About The Team**
 The Gen AI Experience Engineering team is defining the future of intelligent workflows across Adobe Experience Cloud with the AI Assistant. We operate like a startup within Adobe—fast, iterative, and customer\-focused. Our mission is to build the intelligent systems, models, and services that power Adobe’s AI Assistant experience.
**The Opportunity**
 We’re looking for an
 **AI/ML Engineer** 
 who is excited to build intelligent features using whatever approach solves the problem best.
 Some solutions will use
 **LLMs and generative AI** 
 , some will rely on
 **traditional ML** 
 , some will be
 **heuristic or rules\-based** 
 , and many will be
 **hybrid systems** 
 that combine them.
 Your job is to evaluate the problem, choose the right approach, and deliver high\-quality, scalable solutions that improve user experiences.
 In this role, you’ll build models, design prompts, develop services, run evaluations, and ship features end\-to\-end. This is a hands\-on applied engineering role with broad ownership, where you’ll work across modeling, service development, and lightweight ops.
**What You’ll Do**
**AI, ML \&amp; Hybrid Solution Development**
* Build and iterate on solutions using the full spectrum of approaches: LLMs, classical ML, heuristics, rules engines, retrieval systems, or combinations thereof.
* Design, train, and evaluate classical ML models where appropriate, and integrate, fine\-tune (via prompting or adapters), and evaluate partner\-provided LLMs for generative AI, classification, search, and content understanding use cases
* Develop prompting strategies, multi\-step prompt workflows, and agents that power interactive AI experiences.
* Build hybrid pipelines that combine deterministic logic with AI/ML components for predictable, reliable outcomes.
**Service \&amp; Feature Engineering**
* Implement backend services and inference pipelines for the AI Assistant across Experience Cloud.
* Build RAG systems, model\-serving layers, experimentation hooks, and scalable APIs.
* Partner with frontend engineers and product teams to turn concepts into shipped features.
**Evaluation, Data, and Light Ops**
* Build automated evaluation pipelines to measure quality, safety, latency, and reliability.
* Prepare datasets for evaluation, fine\-tuning, and experimentation.
* Deploy models and services using CI/CD, containers, and cloud workflows.
* Monitor performance and iterate quickly based on data and user signals.
*While this is not a dedicated ops role you should be able to own and operate your work end\-to\-end as projects require.*
**Cross\-Functional Collaboration**
* Work closely with Product, Engineering, Design and ML teams to explore new ideas and deliver customer\-facing features.
* Help define best practices for AI/ML development, evaluation, and hybrid system design.
* Contribute to shared tools that accelerate experimentation and improve developer productivity.
**What You Bring**
* 5\+ years experience in machine learning, applied AI engineering, IR or full\-stack intelligent feature development – prioritizing experience with core ML problem\-solving, such as building/designing or debugging predictive models (over operational pipelines and monitoring)
* Hands\-on experience with both LLM\-based and traditional ML techniques, and the judgment to choose the right tool for the job.
* Strong software engineering fundamentals and experience building production services (Node, Python, TypeScript, Go, or similar).
* Ability to design evaluation frameworks, run experiments, and iterate rapidly.
* Comfortable owning features from prototype → production, including monitoring and optimization.
* Excellent communication and collaboration skills; thrives in environments with ambiguity and autonomy.
**Nice to Have**
* Experience with hybrid LLM \+ deterministic systems, vector search, or orchestration tools.
* Knowledge of Adobe Experience Cloud or other enterprise SaaS ecosystems.
* Contributions to open\-source AI/ML tools, model\-serving frameworks, or evaluation libraries.
* Prior startup or high\-velocity product development experience.
 Our compensation reflects the cost of labor across several  U.S. geographic markets, and we pay differently based on those defined markets. The U.S. pay range for this position is $151,800 \-\- $265,350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$183,300 \- $265,350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40">
      <c r="A40" t="inlineStr">
        <is>
          <t>li-4345953027</t>
        </is>
      </c>
      <c r="B40" t="inlineStr">
        <is>
          <t>AI Engineer</t>
        </is>
      </c>
      <c r="C40" t="inlineStr">
        <is>
          <t>Oracle</t>
        </is>
      </c>
      <c r="D40" t="inlineStr">
        <is>
          <t>linkedin</t>
        </is>
      </c>
      <c r="E40" t="inlineStr"/>
      <c r="F40" t="inlineStr"/>
      <c r="G40" t="inlineStr"/>
      <c r="H40" t="inlineStr"/>
      <c r="I40" t="inlineStr">
        <is>
          <t>**Job Description**
 The Customer Success Services team needs an AI Engineer that can design, develop, configure, evaluate, monitor and optimize generative AI and agent solutions for Oracle applications, as well as develop innovative solutions to advance the CSS team's operational capabilities and effectiveness.
 The ideal candidate will create processes, tools, and tests so that CSS can evaluate and optimize AI responses on customer instances at scale. The candidate will develop monetizable services and build revenue streams around different levels of test, evaluation, monitoring and audit for generative AI authoring, summarization, retrieval augmented generation and agentic workflows. The candidate will be responsible for maintaining close relationships and sharing information across many lines of business.
**Responsibilities**
* Evaluate and optimize GenAI solutions (including RAG and agents).
* Provide analysis and reporting of AI quality and business value, as well as auditing (e.g. bias, prompt injection, guardrails) for customers.
* Develop methods and tools to evaluate, improve, extend, and measure ROI of Oracle AI solutions.
* Design and develop custom AI solutions to optimize and generate efficiencies for business operations.
* Help monetize AI capabilities as managed services.
* Support internal standardization and uptake of generative AI code assist tools.
* Interface with Oracle AI Review (OAR) Board and Corporate Security Solution Assurance Process team to ensure AI and security governance.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1">
      <c r="A41" t="inlineStr">
        <is>
          <t>li-4352820422</t>
        </is>
      </c>
      <c r="B41" t="inlineStr">
        <is>
          <t>Senior Machine Learning Engineer - MlOps</t>
        </is>
      </c>
      <c r="C41" t="inlineStr">
        <is>
          <t>Established Search</t>
        </is>
      </c>
      <c r="D41" t="inlineStr">
        <is>
          <t>linkedin</t>
        </is>
      </c>
      <c r="E41" t="inlineStr"/>
      <c r="F41" t="inlineStr"/>
      <c r="G41" t="inlineStr"/>
      <c r="H41" t="inlineStr"/>
      <c r="I41" t="inlineStr">
        <is>
          <t>**Senior Machine Learning Engineer (ML Ops) – Medical Imaging AI** 
**About the Role** 
 We are seeking a
 **Senior Machine Learning Engineer (ML Ops)** 
 to support the development, deployment, and maintenance of AI\-powered medical imaging technologies. This role sits at the intersection of machine learning, medical imaging, and production\-scale software engineering. You will help build robust ML pipelines, deploy deep learning models into clinical environments, and ensure the reliability and compliance of AI/ML Software as a Medical Device (SaMD). Experience with CT/MRI imaging is highly valuable.
**Key Responsibilities** 
**ML Pipeline Development \&amp; Deep Learning Operations** 
* Build and maintain ML infrastructure supporting AI\-powered CT/MRI image enhancement and analysis.
* Develop and operationalize deep learning pipelines, including data ingestion, preprocessing, training, validation, and deployment.
* Write production\-grade code to set up, optimize, and maintain deep learning model architectures.
* Feed imaging data into training workflows and evaluate performance using separate validation and test datasets.
* Improve the efficiency of deep learning algorithms to run effectively on standard hospital scanners and clinical hardware.
**Software Engineering \&amp; Systems Deployment** 
* Deploy, monitor, and maintain software systems across cloud platforms and on\-premise clinical sites.
* Build and support CI/CD pipelines for model release, testing, and continuous deployment.
* Develop tools for experiment tracking, model versioning, and reproducible research workflows.
* Run simulations and performance analyses (manual or automated) to evaluate system behavior under varying conditions.
* Monitor system operations to detect issues early and support troubleshooting.
**Quality, Compliance \&amp; Documentation** 
* Participate in Quality Management System (QMS) processes supporting AI/ML SaMD products.
* Ensure compliance with regulatory frameworks including ISO 13485, ISO 14971, IEC 62304, and IEC 62366\.
* Maintain detailed logs of code and model changes in accordance with QMS procedures.
* Conceive, document, and carry out software design and testing plans.
* Support data protection activities including audits, investigations, and required training.
**Collaboration, Innovation \&amp; Research Support** 
* Work closely with research teams to transition next\-generation AI imaging models from experimentation to production.
* Support publication of new technologies and contribute to patent submissions for innovative ML solutions.
* Identify system, hardware, or software components needed to meet user and customer requirements.
**Qualifications** 
**Required** 
* **Master’s degree** 
 in Computer Science, Engineering, or related field.
* **5\+ years of software engineering experience** 
 , including work as a full\-stack developer and/or ML Ops engineer.
* Strong programming skills in
 **Python, C, and/or C\+\+** 
 .
* Understanding of medical imaging principles (CT, MRI) and/or deep learning pipelines for medical images.
* Working knowledge of QMS regulations and standards:
 **ISO 13485, ISO 14971, IEC 62304, IEC 62366** 
 .</t>
        </is>
      </c>
    </row>
    <row r="42">
      <c r="A42" t="inlineStr">
        <is>
          <t>li-4361570159</t>
        </is>
      </c>
      <c r="B42" t="inlineStr">
        <is>
          <t>AI Machine Learning Engineer</t>
        </is>
      </c>
      <c r="C42" t="inlineStr">
        <is>
          <t>VSE Aviation</t>
        </is>
      </c>
      <c r="D42" t="inlineStr">
        <is>
          <t>linkedin</t>
        </is>
      </c>
      <c r="E42" t="inlineStr"/>
      <c r="F42" t="inlineStr"/>
      <c r="G42" t="inlineStr">
        <is>
          <t>Miramar, FL</t>
        </is>
      </c>
      <c r="H42" t="inlineStr"/>
      <c r="I42" t="inlineStr">
        <is>
          <t>**SUMMARY:** 
 The AI Machine Learning Engineer will help build, deploy, and operationalize AI solutions within our Microsoft\-based technology ecosystem. The ideal candidate has hands\-on experience developing machine learning models, integrating AI capabilities into enterprise applications, leveraging Microsoft Azure’s AI and data services. This role will work closely with VP Corporate IT, cyber security, engineering, development, and business stakeholders to translate use cases into workable solution designs, developing, and optimizing models and pipelines that scale across the organization.
**Duties \&amp; Responsibilities**
 Responsibilities include, but are not limited to:
**AI/ML Solution Development**
* Design, build, and deploy ML models using Azure Machine Learning, Azure OpenAI, and other Microsoft AI services.
* Develop data preprocessing, feature engineering, model training, and evaluation pipelines.
* Implement prompt engineering, fine\-tuning, and model orchestration for LLM\-driven applications.
**Azure Cloud Engineering**
* Use Azure Machine Learning, Copilot, Data Warehouse, Azure Databricks, Azure Synapse, and related services to build and manage ML workflows.
* Create scalable model endpoints and integrate them into internal or customer\-facing applications.
* Optimize model performance and cost efficiency within Azure.
**ML Operations \&amp; Deployment**
* Build and maintain CI/CD pipelines for ML models using Azure DevOps or GitHub Actions.
* Monitor deployed models, retrain as needed, and ensure production reliability.
* Implement logging, telemetry, and monitoring using Azure Monitor and related tools.
**Collaboration \&amp; Strategy**
* Partner with the AI Initiative Lead to define solution architecture, constraints, and success metrics.
* Work with cross\-functional teams to identify new AI opportunities and evaluate feasibility.
* Create documentation, model cards, and technical guides for internal teams.
* Other duties as assigned.</t>
        </is>
      </c>
    </row>
    <row r="43">
      <c r="A43" t="inlineStr">
        <is>
          <t>li-4358530299</t>
        </is>
      </c>
      <c r="B43" t="inlineStr">
        <is>
          <t>Senior Machine Learning Engineer</t>
        </is>
      </c>
      <c r="C43" t="inlineStr">
        <is>
          <t>Axiado Corporation</t>
        </is>
      </c>
      <c r="D43" t="inlineStr">
        <is>
          <t>linkedin</t>
        </is>
      </c>
      <c r="E43" t="inlineStr"/>
      <c r="F43" t="inlineStr"/>
      <c r="G43" t="inlineStr">
        <is>
          <t>San Jose, CA</t>
        </is>
      </c>
      <c r="H43" t="inlineStr"/>
      <c r="I43" t="inlineStr">
        <is>
          <t>Senior Machine Learning Engineer Agentic Development
* San Jose, CA, USA
* Full\-time
* Department: ML
* Compensation: USD80,000 \- USD200,000 \- yearly
**Company Description** 
 Axiado is an AI\-enhanced security processor company redefining the control and management of every digital system. The company was founded in 2017, and currently has 150\+ employees. At Axiado, developing great technology takes more than talent: it takes amazing people who understand collaboration, respect each other, and go the extra mile to achieve exceptional results. It takes people who have the passion and desire to disrupt the status quo, deliver innovation, and change the world. If you have this type of passion, we invite you to apply for this job.
**Job Description** 
 We are seeking a hands\-on Senior Machine Learning Engineer to design, build, and deploy intelligent agents on our edge devices. These agents will operate autonomously in resource\-constrained environments, performing complex tasks like real\-time log analysis, on\-device computer vision, and secure system\-level interactions.
 This role requires a unique blend of modern AI development (agentic workflows, LLMs) and classic systems\-level domain knowledge. You will be responsible for creating agents that can perceive their environment (through logs, video, and system data), reason, and act securely and efficiently on our custom hardware.
 Key Responsibilities
* Design, build, and deploy autonomous agentic systems for resource\-constrained edge devices.
* Implement agent capabilities that leverage deep domain knowledge, specifically in:
* Real\-time log analysis and anomaly detection.
* Efficient, on\-device computer vision (CV) model execution and interpretation.
* Interaction with system\-level open\-sourced tools for data gathering and system monitoring.
* Develop and integrate secure, high\-performance communication channels for agent\-to\-agent (A2A) and management\-to\-controller (MCP) interactions.
* Implement robust MCP authentication and secure communication protocols for all agent operations.
* Optimize the full agent stack—from the ML model to the application logic—for high performance and low footprint (latency, memory, power) on our target hardware.
* Collaborate with MLOps and firmware teams to create robust deployment and update pipelines for agents in the field.
**Qualifications** 
* 5\+ years of hands\-on experience in software engineering or machine learning.
* B.S. or M.S. in Computer Science, Electrical Engineering, or a related field (or equivalent practical experience).
* Proven experience building systems with LLMs and/or agentic frameworks (e.g., LangChain, LlamaIndex, or custom\-built agents).
* Strong, demonstrable domain knowledge in log analysis and/or computer vision.
* Experience with network protocol development or integration, with specific knowledge of MCP/A2A\-like systems and authentication mechanisms.
* Strong programming skills in Python and familiarity with data\-intensive applications.
* Experience using and integrating open\-source tools for system monitoring, log processing (e.g., ELK stack, Prometheus), or CV (e.g., OpenCV).
 Preferred Qualifications (The "Plus" Factors)
* Direct, hands\-on experience with embedded system development (e.g., C, C\+\+, Rust, Yocto, RTOS).
* Experience optimizing ML models (quantization, pruning) for edge devices (e.g., NPUs, FPGAs, or other accelerators).
* Deep understanding of network security and secure coding practices.
* Knowledge of ML compilers like Apache TVM or MLIR
**Additional Information** 
 Axiado is committed to attracting, developing, and retaining the highest caliber talent in a diverse and multifaceted environment. We are headquartered in the heart of Silicon Valley, with access to the world's leading research, technology and talent.
 We are building an exceptional team to secure every node on the internet. For us, solving real\-world problems takes precedence over purely theoretical problems. As a result, we prefer individuals with persistence, intelligence and high curiosity over pedigree alone. Working hard and smart, continuous learning and mutual support are all part of who we are.
 Axiado is an Equal Opportunity Employer. Axiado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Sunaina Arora
 Talent Acquisition
 sarora@axiado.com</t>
        </is>
      </c>
    </row>
    <row r="44">
      <c r="A44" t="inlineStr">
        <is>
          <t>li-4345894641</t>
        </is>
      </c>
      <c r="B44" t="inlineStr">
        <is>
          <t>AI/ML Engineer – Gen AI Assistant &amp; Experience Engineering</t>
        </is>
      </c>
      <c r="C44" t="inlineStr">
        <is>
          <t>Adobe</t>
        </is>
      </c>
      <c r="D44" t="inlineStr">
        <is>
          <t>linkedin</t>
        </is>
      </c>
      <c r="E44" t="inlineStr"/>
      <c r="F44" t="inlineStr"/>
      <c r="G44" t="inlineStr">
        <is>
          <t>San Jose, CA</t>
        </is>
      </c>
      <c r="H44" t="inlineStr"/>
      <c r="I44"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**Adobe Experience Cloud \| Gen AI Experience Engineering**
**About the Team:**
 The Gen AI Experience Engineering team is defining the future of intelligent workflows across Adobe Experience Cloud with the AI Assistant. We operate like a startup within Adobe—fast, iterative, and customer\-focused. Our mission is to build the intelligent systems, models, and services that power Adobe’s AI Assistant experience.
**The Opportunity:**
 We’re looking for an
 **AI/ML Engineer** 
 who is excited to build intelligent features using whatever approach solves the problem best. Some solutions will use
 **LLMs and generative AI** 
 , some will rely on
 **traditional ML** 
 , some will be
 **heuristic or rules\-based** 
 , and many will be
 **hybrid systems** 
 that combine them.
 Your job is to evaluate the problem, choose the right approach, and deliver high\-quality, scalable solutions that improve user experiences. In this role, you’ll build models, design prompts, develop services, run evaluations, and ship features end\-to\-end. This is a hands\-on applied engineering role with broad ownership, where you’ll work across modeling, service development, and lightweight ops.
**What You’ll Do:**
**AI, ML \&amp; Hybrid Solution Development**
* Build and iterate on solutions using the full spectrum of approaches: LLMs, classical ML, heuristics, rules engines, retrieval systems, or combinations thereof.
* Design, train, and evaluate classical ML models where appropriate, and integrate, fine\-tune (via prompting or adapters), and evaluate partner\-provided LLMs for generative AI, classification, search, and content understanding use cases
* Develop prompting strategies, multi\-step prompt workflows, and agents that power interactive AI experiences.
* Build hybrid pipelines that combine deterministic logic with AI/ML components for predictable, reliable outcomes.
**Service \&amp; Feature Engineering**
* Implement backend services and inference pipelines for the AI Assistant across Experience Cloud.
* Build RAG systems, model\-serving layers, experimentation hooks, and scalable APIs.
* Partner with frontend engineers and product teams to turn concepts into shipped features.
**Evaluation, Data, and Light Ops**
* Build automated evaluation pipelines to measure quality, safety, latency, and reliability.
* Prepare datasets for evaluation, fine\-tuning, and experimentation.
* Deploy models and services using CI/CD, containers, and cloud workflows.
* Monitor performance and iterate quickly based on data and user signals.
*While this is not a dedicated ops role you should be able to own and operate your work end\-to\-end as projects require.*
**Cross\-Functional Collaboration**
* Work closely with Product, Engineering, Design and ML teams to explore new ideas and deliver customer\-facing features.
* Help define best practices for AI/ML development, evaluation, and hybrid system design.
* Contribute to shared tools that accelerate experimentation and improve developer productivity.
**What You Bring:**
* 5\+ years experience in machine learning, applied AI engineering, IR or full\-stack intelligent feature development – prioritizing experience with core ML problem\-solving, such as building/designing or debugging predictive models (over operational pipelines and monitoring)
* Hands\-on experience with both LLM\-based and traditional ML techniques, and the judgment to choose the right tool for the job.
* Strong software engineering fundamentals and experience building production services (Node, Python, TypeScript, Go, or similar).
* Ability to design evaluation frameworks, run experiments, and iterate rapidly.
* Comfortable owning features from prototype → production, including monitoring and optimization.
* Excellent communication and collaboration skills; thrives in environments with ambiguity and autonomy.
**Nice to Have**
* Experience with hybrid LLM \+ deterministic systems, vector search, or orchestration tools.
* Knowledge of Adobe Experience Cloud or other enterprise SaaS ecosystems.
* Contributions to open\-source AI/ML tools, model\-serving frameworks, or evaluation libraries.
* Prior startup or high\-velocity product development experience.
 Our compensation reflects the cost of labor across several  U.S. geographic markets, and we pay differently based on those defined markets. The U.S. pay range for this position is $151,800 \-\- $265,350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$183,300 \- $265,350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45">
      <c r="A45" t="inlineStr">
        <is>
          <t>li-4354826174</t>
        </is>
      </c>
      <c r="B45" t="inlineStr">
        <is>
          <t>Junior AI Engineer</t>
        </is>
      </c>
      <c r="C45" t="inlineStr">
        <is>
          <t>Emonics LLC</t>
        </is>
      </c>
      <c r="D45" t="inlineStr">
        <is>
          <t>linkedin</t>
        </is>
      </c>
      <c r="E45" t="inlineStr"/>
      <c r="F45" t="inlineStr"/>
      <c r="G45" t="inlineStr">
        <is>
          <t>Dallas, TX</t>
        </is>
      </c>
      <c r="H45" t="inlineStr"/>
      <c r="I45" t="inlineStr">
        <is>
          <t>Job description
 About the role
 We are hiring an Entry Level AI Engineer to help build and deploy practical AI solutions. You will work with structured and unstructured data, train and evaluate models, and help integrate AI into real applications.
 What you will do
 • Support development of AI models for classification, recommendation, forecasting, or NLP tasks
 • Prepare datasets, perform feature engineering, and run experiments
 • Evaluate model performance and help improve accuracy, latency, and robustness
 • Assist with deploying models into production environments (APIs, batch jobs, pipelines)
 • Collaborate with software engineers, data engineers, and product teams
 What you are looking for
 • Bachelor’s or Master’s degree in CS, Data Science, AI/ML, Statistics, or related field
 • Strong Python foundation
 • Familiarity with ML basics (supervised/unsupervised learning, evaluation metrics)
 • Experience with common libraries (NumPy, pandas, scikit\-learn)
 • Clear communication and curiosity
 Nice to have
 • Exposure to deep learning (PyTorch or TensorFlow)
 • Understanding of model deployment (FastAPI/Flask, Docker)
 • Cloud fundamentals (AWS/GCP/Azure) and basic MLOps concepts</t>
        </is>
      </c>
    </row>
    <row r="46">
      <c r="A46" t="inlineStr">
        <is>
          <t>li-4361330363</t>
        </is>
      </c>
      <c r="B46" t="inlineStr">
        <is>
          <t>Software AI Engineer - US</t>
        </is>
      </c>
      <c r="C46" t="inlineStr">
        <is>
          <t>Jade Global</t>
        </is>
      </c>
      <c r="D46" t="inlineStr">
        <is>
          <t>linkedin</t>
        </is>
      </c>
      <c r="E46" t="inlineStr"/>
      <c r="F46" t="inlineStr"/>
      <c r="G46" t="inlineStr">
        <is>
          <t>San Jose, CA</t>
        </is>
      </c>
      <c r="H46" t="inlineStr"/>
      <c r="I46" t="inlineStr">
        <is>
          <t>Software AI Engineer \- US1
**Experience: 6 \- 8 yrs**
**Responsibilities**
* Design, develop, and implement AI/ML models and algorithms using Python.
* Deploy and manage AI solutions on cloud platforms (e.g., AWS, Azure, GCP).
* Collaborate with data scientists and other engineers to integrate AI models into existing systems.
* Optimize AI models for performance, scalability, and cost\-efficiency.
* Stay up\-to\-date with the latest advancements in AI/ML technologies and cloud services.
* Participate in the full software development lifecycle, including testing, deployment, and monitoring.
* Experience with LLMOps to promote LLM based applications and agents via CI/CD.
* Experience with fine\-tuning LLM models.
* Deep understanding with LLM evaluations.</t>
        </is>
      </c>
    </row>
    <row r="47">
      <c r="A47" t="inlineStr">
        <is>
          <t>li-4361291684</t>
        </is>
      </c>
      <c r="B47" t="inlineStr">
        <is>
          <t>Senior Machine Learning Engineer</t>
        </is>
      </c>
      <c r="C47" t="inlineStr">
        <is>
          <t>Hikaflow (FU-W25)</t>
        </is>
      </c>
      <c r="D47" t="inlineStr">
        <is>
          <t>linkedin</t>
        </is>
      </c>
      <c r="E47" t="inlineStr"/>
      <c r="F47" t="inlineStr"/>
      <c r="G47" t="inlineStr"/>
      <c r="H47" t="inlineStr"/>
      <c r="I47" t="inlineStr">
        <is>
          <t>**Machine Learning Engineer Intern (AI Systems)** 
 Hikaflow is building an AI\-powered developer productivity platform focused on automated code review, security analysis, regression detection, contributor insights, and intelligent documentation. We are looking for a motivated Machine Learning Engineer Intern who wants hands\-on experience working on real production AI systems used by engineering teams.
 This is an unpaid internship designed for individuals who want deep, practical exposure to applied AI in a startup environment, strong portfolio material, and direct collaboration with the founding team.
**What You’ll Work On** 
* Designing and improving ML\-powered systems for code analysis, pattern detection, and developer insights
* Working with LLMs for tasks such as code understanding, summarization, and automated review workflows
* Building and evaluating data pipelines for model inputs and outputs
* Improving signal quality, reducing false positives, and designing trustable AI outputs for engineers
* Collaborating on system design decisions across ML, backend, and product
**What We’re Looking For** 
* Background or strong interest in machine learning, AI, or data\-driven systems
* Familiarity with Python and common ML or AI tooling
* Comfort working with APIs, structured data, and experimentation
* Strong curiosity and willingness to learn quickly in an unstructured environment
* Ability to work independently and take ownership of meaningful tasks
**Nice to Have (Not Required)** 
* Experience with LLMs, embeddings, or prompt engineering
* Experience analyzing or working with source code programmatically
* Exposure to backend systems, developer tools, or SaaS products
* Prior internships, research, or strong personal projects
**What You’ll Get** 
* Real\-world experience building AI systems used by actual teams
* Direct mentorship and feedback from the founding team
* Strong resume and portfolio material tied to concrete product features
* Opportunity to grow into a paid or long\-term role if there is a strong mutual fit
* Insight into how early\-stage AI products are designed, built, and shipped
**This role is ideal for students or early\-career engineers who want substance over fluff and are motivated by learning, ownership, and impact rather than short\-term compensation.** 
**Apply if you want to work on real AI systems and build something that matters.**</t>
        </is>
      </c>
    </row>
    <row r="48">
      <c r="A48" t="inlineStr">
        <is>
          <t>li-4361540756</t>
        </is>
      </c>
      <c r="B48" t="inlineStr">
        <is>
          <t>AI/ML Engineer</t>
        </is>
      </c>
      <c r="C48" t="inlineStr">
        <is>
          <t>micro1</t>
        </is>
      </c>
      <c r="D48" t="inlineStr">
        <is>
          <t>linkedin</t>
        </is>
      </c>
      <c r="E48" t="inlineStr"/>
      <c r="F48" t="inlineStr"/>
      <c r="G48" t="inlineStr"/>
      <c r="H48" t="inlineStr"/>
      <c r="I48" t="inlineStr">
        <is>
          <t>**Job Title:** 
 AI/ML Engineer
**Job Type:** 
 Full\-time \- Contractor
**Job Summary:** 
 Join our customer's team as an AI/ML Engineer and play a pivotal role in architecting and deploying cutting\-edge AI solutions. Be part of an innovative environment where your expertise with Python, LLMs, Retrieval\-Augmented Generation (RAG), and AWS will be fully leveraged to deliver impactful, production\-grade machine learning systems.
**Key Responsibilities:** 
* Design, develop, and deploy AI/ML models, with a focus on Large Language Models and RAG architectures.
* Implement scalable, secure, and high\-performance machine learning pipelines on AWS infrastructure.
* Collaborate cross\-functionally to understand business needs and translate them into technical solutions.
* Continuously optimize models and workflows for robustness, accuracy, and efficiency.
* Conduct research to evaluate new algorithms and integrate state\-of\-the\-art techniques into existing frameworks.
* Document code, workflows, and processes, emphasizing clarity and concise communication.
* Foster a collaborative environment through effective written and verbal communication.
**Required Skills and Qualifications:** 
* Proficiency in Python with experience in developing and deploying AI/ML solutions.
* Deep understanding of Large Language Models and Retrieval\-Augmented Generation techniques.
* Hands\-on experience with AWS services related to machine learning and data engineering.
* Strong analytical and problem\-solving skills, with a drive for innovation.
* Excellent written and verbal communication abilities.
* Demonstrated ability to work effectively in fast\-paced, collaborative, on\-site environments.
* Proven track record of delivering production\-level AI/ML systems.
**Preferred Qualifications:** 
* Advanced degree in Computer Science, Data Science, or a related field.
* Experience with additional cloud platforms and MLOps tools.
* Contributions to open\-source AI/ML communities.</t>
        </is>
      </c>
    </row>
    <row r="49">
      <c r="A49" t="inlineStr">
        <is>
          <t>li-4354496796</t>
        </is>
      </c>
      <c r="B49" t="inlineStr">
        <is>
          <t>Senior AI Engineer</t>
        </is>
      </c>
      <c r="C49" t="inlineStr">
        <is>
          <t>Hinckley Medical</t>
        </is>
      </c>
      <c r="D49" t="inlineStr">
        <is>
          <t>linkedin</t>
        </is>
      </c>
      <c r="E49" t="inlineStr"/>
      <c r="F49" t="inlineStr"/>
      <c r="G49" t="inlineStr">
        <is>
          <t>Lakeville, MN</t>
        </is>
      </c>
      <c r="H49" t="inlineStr"/>
      <c r="I49" t="inlineStr">
        <is>
          <t>Senior AI Engineer
**OneDose** 
 Location: Remote \- In\-Person \- Hybrid
 Employment Type: Full\-time
 About OneDose
 Hinckley Medical builds software solutions that support modern healthcare and Emergency Medicine operations through scalable, secure, and intelligent systems. Our teams work across engineering, data, and clinical domains to deliver reliable products used in real\-world healthcare environments.
 Role Overview
 We are seeking a Senior AI Engineer to design, build, and operate production\-grade artificial intelligence systems. This role focuses on the development of large language model (LLM)–powered applications, backend services, and cloud infrastructure that meet high standards for reliability, security, and performance.
 You will work closely with engineering, product, and design partners to integrate AI capabilities into customer\-facing applications, while contributing to architectural decisions and technical standards across the organization.
 Responsibilities
 * Design, implement, and maintain AI\-driven systems using large language models, embeddings, and retrieval\-augmented generation (RAG).
* Build and operate scalable backend services and APIs to support AI workflows.
* Develop evaluation, monitoring, and testing frameworks to ensure AI quality, reliability, and safety.
* Implement orchestration, guardrails, and failure\-mitigation strategies for LLM\-based systems.
* Deploy and manage services in cloud environments using modern DevOps and CI/CD practices.
* Collaborate cross\-functionally with frontend, product, and domain experts to deliver end\-to\-end solutions.
* Contribute to system architecture, technical design reviews, and engineering best practices.
* Mentor and support other engineers through code reviews and technical guidance.
 Minimum Qualifications
 * Bachelor’s degree in Computer Science, Engineering, or a related field, or equivalent practical experience.
* 6\+ years of professional software engineering experience.
* Experience building and deploying production systems using large language models or applied machine learning.
* Strong programming experience in one or more of the following: Python, Go, TypeScript, or Node.js.
* Experience designing and maintaining APIs and backend systems at scale.
* Hands\-on experience with cloud platforms (AWS preferred; GCP or Azure acceptable).
* Experience with relational and/or NoSQL databases.
* Familiarity with CI/CD pipelines, containerization, and modern DevOps workflows.
 Preferred Qualifications
 * Experience with LLM orchestration frameworks such as LangChain or similar.
* Experience building LLM evaluation pipelines, observability tooling, or LLMOps infrastructure.
* Background in distributed systems, event\-driven architectures, or microservices.
* Experience integrating AI systems into regulated or security\-sensitive environments (e.g., healthcare).
* Frontend development experience or strong collaboration with frontend teams.
* Knowledge of application security best practices and common vulnerability frameworks (e.g., OWASP).
 What We Offer
 * Opportunity to work on AI systems deployed in real\-world healthcare environments.
* High level of ownership and influence over technical decisions.
* Collaboration with experienced engineers across AI, backend, and product disciplines.
* Competitive compensation and benefits.
* Flexible remote work environment.</t>
        </is>
      </c>
    </row>
    <row r="50">
      <c r="A50" t="inlineStr">
        <is>
          <t>li-4361292743</t>
        </is>
      </c>
      <c r="B50" t="inlineStr">
        <is>
          <t>Senior Staff AI Engineer, Network Growth AI</t>
        </is>
      </c>
      <c r="C50" t="inlineStr">
        <is>
          <t>LinkedIn</t>
        </is>
      </c>
      <c r="D50" t="inlineStr">
        <is>
          <t>linkedin</t>
        </is>
      </c>
      <c r="E50" t="inlineStr"/>
      <c r="F50" t="inlineStr"/>
      <c r="G50" t="inlineStr">
        <is>
          <t>Mountain View, CA</t>
        </is>
      </c>
      <c r="H50" t="inlineStr"/>
      <c r="I50"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**Location:**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will be based in Sunnyvale, CA.
**Team Overview:**
 The Network Growth and Relationship AI team is at the forefront of creating cutting\-edge, AI\-powered solutions that drive meaningful connections and foster professional growth. Our team builds scalable machine learning models and advanced AI systems that help millions of LinkedIn members expand their networks, discover new opportunities, and deepen professional relationships. By leveraging vast data and deploying sophisticated algorithms, we enhance member experience with personalized recommendations, insights, and connections that transform their career paths. Our recommender systems have adopted the latest modeling techniques including Sequence Modeling, LLM, EBR, GNN, etc, and we're continuing our journey as the modeling innovation pioneer at LinkedIn to build both ranking and retrieval models that impact the entire LinkedIn ecosystem.
 The Network Growth AI team is highly impactful and is in charge of optimizing member value, helping them to build relationships on LinkedIn and advance their professional network. The team works in close collaboration with the product, engineering and data science team and has a very exciting roadmap ahead. If you are looking to lead a highly visible team that operates at a fast pace, works on exciting research problems and delivers great results every quarter, Network Growth AI is the place you should look. We also publish in top machine learning conferences.
**Responsibilities:**
 As a senior technical leader in the Network Growth AI team, you will directly impact member experience through optimizing the above dimensions. You will be responsible for leading a team of scientists and machine learning engineers that build and own personalization algorithms, models, and systems. You will work with some of the best engineers and scientists on state\-of\-the\-art technology that leverages truly big data. You will be leading the core modeling initiatives in the team, including our efforts in Generative Recommendation, Large Language Models, Graph Neural Networks, and Sequential Models. You are expected to challenge the status quo on AI, Engineering, and Product fronts, propose innovative new ideas, and lead these new initiatives to production to further improve our member experience and drive value.
* You will be responsible for team’s core modeling effort and our mid/long term direction
* As a hands\-on tech lead, you are expected to actively participate in key technical and design discussions with technical leads in the team.
* Collaborate with platform engineering, product, data science and partner teams to design machine learning solutions to power Network Growth ecosystem and optimize member experience.
* Operate best engineering and scientific practices \&amp; processes to ensure productivity of the team and drive faster iterations via A/B experiments.
* You will be expected to be a role model and professional coach for engineers with a strong bias for action and focus on craftsmanship.
* You will work with peers across teams to support and leverage a shared technical stack.
* You will coach the team to produce high\-quality software that is unit tested, code reviewed, and checked in regularly for continuous integration.
**Qualifications**
**Basic Qualifications:**
* 2\+ years of experience as a Technical Lead
* 5\+ years of overall industry experience in AI / Machine Learning
* Bachelor’s, Master’s, or PhD Degree in Computer Science, Machine Learning, or related technical discipline or equivalent practical experience
**Preferred Qualifications:**
* 10\+ years of industry experience.
* 4\+ years of technical leadership (Staff\+) experience, including recent experience at the Senior Staff / L7 / Principal Engineer level.
* Ph.D. in Computer Science, Machine Learning, Natural Language Processing, or a related discipline.
* Prior experience with large scale ML data infrastructure
* Experience with developing and designing production scale recommender system products.
* Published work in academic conferences or industry circles.
**Suggested Skills:**
* AI Recommendation Systems
* Transformer Models
* Technical Leadership
**You will Benefit from our Culture:**
 We strongly believe in the well\-being of our employees and their families. That is why we offer generous health and wellness programs and time away for employees of all levels.
**Compensation:**
 LinkedIn is committed to fair and equitable compensation practices. The pay range for this role is $191,000 \- $315,000\.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51">
      <c r="A51" t="inlineStr">
        <is>
          <t>li-4354436813</t>
        </is>
      </c>
      <c r="B51" t="inlineStr">
        <is>
          <t>Machine Learning Engineer, Entry Level</t>
        </is>
      </c>
      <c r="C51" t="inlineStr">
        <is>
          <t>Emonics LLC</t>
        </is>
      </c>
      <c r="D51" t="inlineStr">
        <is>
          <t>linkedin</t>
        </is>
      </c>
      <c r="E51" t="inlineStr"/>
      <c r="F51" t="inlineStr"/>
      <c r="G51" t="inlineStr">
        <is>
          <t>New York, United States</t>
        </is>
      </c>
      <c r="H51" t="inlineStr"/>
      <c r="I51" t="inlineStr">
        <is>
          <t>Job description
 About the role
 We are hiring a Machine Learning Engineer to help design, build, and deploy ML solutions. This role focuses on turning models into reliable systems and collaborating with engineering teams to operationalize ML.
 What you will do
 • Develop and train ML models with reproducible pipelines
 • Build data preprocessing workflows and feature generation
 • Deploy models to production and monitor performance
 • Work with stakeholders to define success metrics and test outcomes
 • Document experiments and contribute to best practices
 What you are looking for
 • Degree in CS, Data Science, Engineering, or related field
 • Strong Python, data handling (pandas), and ML fundamentals
 • Familiarity with scikit\-learn and basic model evaluation
 • Understanding of software engineering basics (Git, testing, modular code)
 Nice to have
 • PyTorch or TensorFlow
 • Experience with ML pipelines, Airflow, or workflow orchestration
 • Exposure to CI/CD, Docker, and cloud services</t>
        </is>
      </c>
    </row>
    <row r="52">
      <c r="A52" t="inlineStr">
        <is>
          <t>li-4328914293</t>
        </is>
      </c>
      <c r="B52" t="inlineStr">
        <is>
          <t>Senior Machine Learning Engineer</t>
        </is>
      </c>
      <c r="C52" t="inlineStr">
        <is>
          <t>GEICO</t>
        </is>
      </c>
      <c r="D52" t="inlineStr">
        <is>
          <t>linkedin</t>
        </is>
      </c>
      <c r="E52" t="inlineStr"/>
      <c r="F52" t="inlineStr"/>
      <c r="G52" t="inlineStr">
        <is>
          <t>Seattle, WA</t>
        </is>
      </c>
      <c r="H52" t="inlineStr"/>
      <c r="I5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**Overview:** 
 We are seeking an accomplished Senior ML Engineer to serve as an individual contributor to the generative AI space at GEICO. In this role, you will be collaborating with a dynamic team of AI and software engineers to design, develop, and deploy systems that drive business value. Your passion for scalability, reliability, and usability of generative AI workflows and approaches will allow you to provide hands\-on guidance, ensure architectural excellence, and lead by example to solve complex, large\-scale, cross\-functional problems.
**Responsibilities:** 
* Contribute to the design, development and maintenance of high\-performance AI solutions that utilize agentic workflows to deliver concrete business value for internal stakeholders. Examples include knowledge assistants, voice/text\-based conversational AI solutions, document/audio processing copilots, voice agents, robotic process automation, etc.
* Collaborate with cross\-functional teams, including data scientists, ML engineers, software engineers, product managers, designers to gather requirements, help define project scope and prioritize feature backlogs. Execute pragmatic technical visions \&amp; roadmaps that balance business outcomes, product release timelines and engineering excellence.
* Integrate and build solutions using GEICO AI platform architecture. Partner with platform teams to communicate requirements, understand current capabilities and gaps, and contribute to platform development.
* Work on first\-of\-its\-kind solutions within GEICO, with a deep understanding of business and technical processes, applications, and architecture to guide development.
* Participate in project planning and stakeholder management, ensuring the efficient allocation of resources and timely delivery of solutions.
* Mentor and guide junior engineers via code reviews and design sessions, fostering a collaborative and high\-performance team culture.
**Basic Qualifications**
* 5 years of experience designing and building scalable production AIML applications and systems in cloud environments,
* Proficient in Python, Java and similar general\-purpose programming languages.
* 3 years managing end\-to\-end software development life cycle (e.g. CICD pipelines, Kubernetes\-based deployments, testing, monitoring \&amp; alerting, production support etc.) for backend systems and APIs
* 2 years in training, finetuning, real\-time/batch inferencing and evaluation systems for AIML models and LLMs
* 2 years owning end\-to\-end development, monitoring, maintenance, and continuous improvement of scalable, robust AIML applications.
* Bachelor’s degree or above in Computer Science, Engineering, Statistics or a related field
**Preferred** 
**Qualifications** 
**:**
* 2 years interfacing directly with internal business stakeholders and/or external stakeholders on AIML initiatives
* 2 years working with cloud provider solutions such as Azure and AWS
* 2 years with tools that power LLM\-based AI agents: eval frameworks, agent tooling, RAG pipelines, prompt engineering, etc.
* Strong communication and problem\-solving skills to excel in dynamic, cross\-functional and ambiguous decision\-making environments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53">
      <c r="A53" t="inlineStr">
        <is>
          <t>li-4361278601</t>
        </is>
      </c>
      <c r="B53" t="inlineStr">
        <is>
          <t>Machine Learning Engineer (Intelligence &amp; Sensing)</t>
        </is>
      </c>
      <c r="C53" t="inlineStr">
        <is>
          <t>CFD Research Corporation</t>
        </is>
      </c>
      <c r="D53" t="inlineStr">
        <is>
          <t>linkedin</t>
        </is>
      </c>
      <c r="E53" t="inlineStr"/>
      <c r="F53" t="inlineStr"/>
      <c r="G53" t="inlineStr">
        <is>
          <t>Huntsville, AL</t>
        </is>
      </c>
      <c r="H53" t="inlineStr"/>
      <c r="I53" t="inlineStr">
        <is>
          <t>**About CFD Research:** 
 Since its inception in 1987, CFD Research has delivered innovative technology solutions within the Aerospace \&amp; Defense, Biomedical \&amp; Life Sciences, Intelligence \&amp; Sensing, and Energy \&amp; Materials industries. CFD Research has earned multiple national awards for successful application and commercialization of innovative component/system technology prototypes, multi\-physics simulation software, multi\-disciplinary analyses, and expert support services. Based in Huntsville, Alabama where laboratory facilities and headquarters are located, CFD Research also has office and laboratory facilities in Dayton, Ohio, prototyping test and evaluation facilities in Hollywood, Alabama, and office facilities in Fort Walton Beach, Florida. CFD Research is an ISO9001:AS9100D registered company and is appraised at CMMI Level II for Services.
 **CFD Research is a 100% ESOP (employee\-owned company) recognized in Inc. Magazine's Inc5000 as a top growing company for four of the last five years. Learn more at www.cfd\-research.com**
**Job Description**
 The engineer in this role will join a small, multidisciplinary R\&amp;D team focused on developing and advancing high\-performance computer vision and perception models for intelligence, defense, and biomedical applications. The engineer will design and implement predictive and generative machine learning models for object detection, recognition, and tracking with an emphasis on robustness, accuracy, and scalability across diverse operational conditions. This role involves close collaboration with researchers and engineers to translate domain\-specific challenges into effective learning\-based solutions and to deploy production\-quality models across desktop, cloud, and edge software environments.
 The successful candidate will contribute across the full model development lifecycle, from problem definition and data exploration through training, evaluation, and deployment of robust, high\-performance vision and tracking pipelines. Responsibilities include exploratory data analysis, neural network architecture design and tuning, integration with sensor data streams, and rigorous quantitative and qualitative evaluation to ensure accuracy, stability, and generalization. Emphasis is placed on developing reliable, scalable models and using GPU acceleration where appropriate. The engineer will collaborate closely with engineers and subject matter experts across multiple domains to deliver validated, production\-ready solutions.
**Basic Qualifications**
* Candidate must be a U.S. Citizen and possess (or be eligible to obtain) and maintain a SECRET clearance.
* Master’s degree in Computer Science, Electrical/Computer Engineering, Applied Mathematics, Physics, or a related STEM discipline.
* Strong proficiency in Python, with demonstrated experience developing and optimizing computer vision algorithms for real\-time execution on embedded and edge platforms.
* Advanced understanding of computer vision and machine learning methods for object detection, object tracking, and object recognition,
* Proficiency with deep learning frameworks such as PyTorch or TensorFlow/Keras, including experience modifying or extending framework components to support custom vision pipelines and specialized hardware accelerators.
**Desired Qualifications**
* Experience with embedded vision systems, including low\-level optimization in C/C\+\+ or assembly, and integration of perception algorithms with sensor data streams (e.g., EO/IR, video, or multimodal inputs).
* Proven track record of deploying computer vision and target tracking models into production environments, particularly on resource\-constrained devices or distributed edge\-compute architectures.
* Deep expertise in CUDA and/or OpenCL for accelerating image processing, neural network inference, and tracking pipelines on GPU\-enabled systems.
* Experience with OpenGL and/or WebGL for real\-time visualization of detections, tracks, sensor data, and algorithm outputs.
* Fluency working in Linux\-based HPC and shared compute environments, with experience scaling training and evaluation of vision and tracking models across multiple GPUs or nodes.
* Experience collaborating within multidisciplinary engineering teams using Git\-based version control workflows for code development, review, and integration.
**Benefits:** 
 CFD Research offers competitive salaries and excellent employee benefits, including an employer matching 401(k) and Employee Stock Ownership Plan (ESOP). CFD Research offers our Full\-Time, permanent employee\-owners a highly competitive insurance package, including medical, vision, and dental insurance. Additionally, we offer company paid leave, compensation time, parental leave, long\-term and short\-term disability, accidental death and dismemberment, and life insurance. Part\-Time and Temporary employee\-owners may receive partial or reduced benefits and leave time based on their employment status level. Performance appraisals occur twice a year and annual pay increases are based upon corporate goals, personal development, performance, and outstanding achievements. In addition, group and individual bonuses are awarded for exceptional performance.
***CFD Research is an EO employer \- Veterans/Disabled and other protected categories***</t>
        </is>
      </c>
    </row>
    <row r="54">
      <c r="A54" t="inlineStr">
        <is>
          <t>li-4274100892</t>
        </is>
      </c>
      <c r="B54" t="inlineStr">
        <is>
          <t>Staff Machine Learning Engineer, AI Platform</t>
        </is>
      </c>
      <c r="C54" t="inlineStr">
        <is>
          <t>General Motors</t>
        </is>
      </c>
      <c r="D54" t="inlineStr">
        <is>
          <t>linkedin</t>
        </is>
      </c>
      <c r="E54" t="inlineStr"/>
      <c r="F54" t="inlineStr"/>
      <c r="G54" t="inlineStr">
        <is>
          <t>Sunnyvale, CA</t>
        </is>
      </c>
      <c r="H54" t="inlineStr"/>
      <c r="I54" t="inlineStr">
        <is>
          <t>****Job Description****
*Remote: This role is based remotely but if you live within a 50\-mile radius of Mountain View, you are expected to report to that location three times a week, at minimum*
**The Role:**
 We are seeking an experienced, technical oriented, impact delivering\-driven expert in ML Training Infrastructure with a strong ability to execute hands\-on technical work. In this role, you will be responsible for designing and building scalable, reliable, and high\-performance AI/ML platform infrastructure to support advanced AI research and model development initiatives. As a Staff ML System Engineer, you will collaborate closely with machine learning engineers, research scientists, and other partners to develop state\-of\-the\-art AI solutions that enable the future of intelligent driving technologies across General Motors vehicles.
**What You'll Do:**
* Lead the design and development of scalable, reliabile, high\-performance ML framework to support model training at scale.
* Lead model training performance analysis and optimizaiton solutions to scale distributed training workflows and maximize resource utilization across heterogeneous hardware environments, and save cost.
* Raise the bar on system observability, debuggability, and operational excellence, and user experience.
* Collaborate with cross\-functional teams to integrate new features and technologies into the platform.
****Your Skills \&amp; Abilities (Required Qualifications)****
* Bachelors or higher degree in Computer Science or equivalent major or equaivalent experience
* 7\+ years professional software engineering experience
* 3\+ years specialized experience in AI/ML infrastructure, e.g., enabling distributed training for scaling large ML models
* Strong programming skills in Python, with proficiency in frameworks such as,PyTorch (prefered), TensorFlow, or similar
* Experience with distributed computing, GPU computing, and cloud environments (AWS, GCP, Azure).
* Willingness to travel to Sunnyvale, CA as needed
* Comfortable working in highly ambiguous and dynamic environments
**What Will Give You a Competitive Edge (preferred qualifications):**
* Self\-motivated, strong execution, impact\-delivering oriented
* Extensive knowledge and experience with PyTorch 2\.x\+ and distributed training framework
* Experience with design and development of training framework that supports FSDP, Pipeline Parallelism and other scalable solutions to training large foundational models
* Experience with profiling, analysis, debugging and optimizing training and dataloading performance.
* Excellent communication skills to resolve controversial, make consensus, communicate risks and give constructive feedback
****Your Skills \&amp; Abilities (Required Qualifications)****
* Bachelors or higher degree in Computer Science or equivalent major or equaivalent experience
* 7\+ years professional software engineering experience
* 3\+ years specialized experience in AI/ML infrastructure, e.g., enabling distributed training for scaling large ML models
* Strong programming skills in Python, with proficiency in frameworks such as,PyTorch (prefered), TensorFlow, or similar
* Experience with distributed computing, GPU computing, and cloud environments (AWS, GCP, Azure).
* Willingness to travel to Sunnyvale, CA as needed
* Comfortable working in highly ambiguous and dynamic environments
**What Will Give You a Competitive Edge (preferred qualifications):**
* Self\-motivated, strong execution, impact\-delivering oriented
* Extensive knowledge and experience with PyTorch 2\.x\+ and distributed training framework
* Experience with design and development of training framework that supports FSDP, Pipeline Parallelism and other scalable solutions to training large foundational models
* Experience with profiling, analysis, debugging and optimizing training and dataloading performance.
* Excellent communication skills to resolve controversial, make consensus, communicate risks and give constructive feedback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$165,000 to $290,700\.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55">
      <c r="A55" t="inlineStr">
        <is>
          <t>li-4219385204</t>
        </is>
      </c>
      <c r="B55" t="inlineStr">
        <is>
          <t>Staff Machine Learning Engineer</t>
        </is>
      </c>
      <c r="C55" t="inlineStr">
        <is>
          <t>Tubi</t>
        </is>
      </c>
      <c r="D55" t="inlineStr">
        <is>
          <t>linkedin</t>
        </is>
      </c>
      <c r="E55" t="inlineStr"/>
      <c r="F55" t="inlineStr"/>
      <c r="G55" t="inlineStr"/>
      <c r="H55" t="inlineStr"/>
      <c r="I55" t="inlineStr">
        <is>
          <t>About Tubi:
 Boldly built for every fandom, Tubi is a free streaming service that entertains over 100 million monthly active users. Tubi offers the world's largest collection of Hollywood movies and TV shows, thousands of creator\-led stories and hundreds of Tubi Originals made for the most passionate fans. Headquartered in San Francisco and founded in 2014, Tubi is part of Tubi Media Group, a division of Fox Corporation.
**About the Role:**
 The Machine Learning team at Tubi drives the innovation behind personalized user experiences. With the largest inventory in the industry and hundreds of millions of viewers, we tackle problems in the space of recommendations, search, content understanding and ads optimization that shape the future of streaming.
 We are seeking a highly skilled
 **Staff Machine Learning Engineer** 
 to contribute to transformative projects in video personalization. In this role, you will design and implement advanced algorithms and systems to improve our personalization strategy. As a senior technical expert, you will tackle complex problems in machine learning at scale, collaborating closely with cross\-functional teams to develop and optimize machine learning\-driven solutions.
 This is a hybrid role in our San Francisco office.
**What You'll Do:**
* Lead the design, development, and implementation of advanced recommendation systems and algorithms for a global audience
* Conduct deep dives into algorithmic components and systems, ensuring that models are optimized for both performance and scalability across multiple regions and product areas
* Build and deploy high\-impact robust ML pipelines, including data extraction, feature development, model training, testing, and deployment
* Continuously monitor, evaluate, and optimize the performance of deployed models, ensuring they meet business goals and provide high\-quality user experiences.
* Work closely with Product, Engineering, and Data Science teams to align on product requirements, set expectations, and deliver machine learning\-driven solutions that improve user engagement
**Your Background:**
* 8\+ years of industry experience building production Machine Learning systems
* MSc or Ph.D. in Computer Science, Machine Learning, Statistics, Mathematics, or a related field
* Experience with deep learning technologies for recommendation systems, including TensorFlow, PyTorch, or similar frameworks
* Proficiency in building and deploying full\-stack machine learning pipelines: data extraction, data mining, model training, feature development, testing, and deployment.
* Solid understanding of statistical concepts such as hypothesis testing, regression analysis, and performance evaluation metrics for machine learning.
* Ability to deep dive into individual components and systems, as well as understand the overall architecture of machine learning solutions.
 Pursuant to state and local pay disclosure requirements, the pay range for this role, with final offer amount dependent on education, skills, experience, and location is is listed annually below. This role is also eligible for an annual discretionary bonus, long\-term incentive plan, and various benefits including medical/dental/vision, insurance, a 401(k) plan, paid time off and other benefits in accordance with applicable plan documents.
 High cost labor markets such as but not limited to Los Angeles, New York City, and San Francisco
 $239,000—$342,000 USD
 Tubi is a division of Fox Corporation, and the FOX Employee Benefits summarized here, covers the majority of all US employee benefits. The following distinctions below outline the differences between the Tubi and FOX benefits:
* For US\-based non\-exempt Tubi employees, the FOX Employee Benefits summary accurately captures the Vacation and Sick Time.
* For all salaried/exempt employees, in lieu of the FOX Vacation policy, Tubi offers a Flexible Time off Policy to manage all personal matters.
* For all full\-time, regular employees, in lieu of FOX Paid Parental Leave, Tubi offers a generous Parental Leave Program, which allows parents twelve (12\) weeks of paid bonding leave within the first year of birth, adoption, surrogacy, or foster placement of a child in addition to applicable government leave program(s) and FOX’s short\-term disability policy. This time is 100% paid through a combination of any applicable state, city, and federal leaves and wage\-replacement programs in addition to contributions made by Tubi.
* For all full\-time, regular employees, Tubi offers a monthly wellness reimbursement.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is>
      </c>
    </row>
    <row r="56">
      <c r="A56" t="inlineStr">
        <is>
          <t>li-4316391906</t>
        </is>
      </c>
      <c r="B56" t="inlineStr">
        <is>
          <t>Staff Machine Learning Engineer - Fraud Data</t>
        </is>
      </c>
      <c r="C56" t="inlineStr">
        <is>
          <t>Plaid</t>
        </is>
      </c>
      <c r="D56" t="inlineStr">
        <is>
          <t>linkedin</t>
        </is>
      </c>
      <c r="E56" t="inlineStr"/>
      <c r="F56" t="inlineStr"/>
      <c r="G56" t="inlineStr">
        <is>
          <t>Seattle, WA</t>
        </is>
      </c>
      <c r="H56" t="inlineStr"/>
      <c r="I56"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Data team within Plaid’s Fraud organization builds the machine learning systems that power Plaid’s cutting\-edge fraud detection products. By leveraging Plaid’s extensive network data, we enable proactive fraud prevention—stopping fraud before it happens. Our team owns the entire ML lifecycle, from developing feature pipelines and training models to deploying and monitoring them in production. We ensure that our systems scale reliably and efficiently as Plaid continues to grow and support hundreds of customers.
 As a Staff Machine Learning Engineer on Plaid’s Fraud Data team, you will design and build scalable ML infrastructure that powers our industry\-leading fraud detection product. You’ll lead the evolution of our model deployment, monitoring, and observability frameworks to ensure high reliability and performance at scale. Collaborating closely with teams across ML Infrastructure, Product, and Engineering, you’ll deliver robust systems that protect users and customers from fraud. In addition, you’ll mentor other engineers and help shape the long\-term technical vision and strategy of the Fraud Data team.
 \*\*\*We are open to remote candidates for this role\*\*\*
**Responsibilities**
* Design and build scalable ML infrastructure for Plaid’s fraud detection product
* Working at a fast\-pace environment to build a rapidly growing product with a championship team
* Solving complex problems at the intersection of ML systems, data, and reliability
* Building the foundations for fraud detection on the largest financial dataset in the world
* Collaborating with talented engineers and data scientists across Plaid
**Qualifications**
* 8\+ years total experience, with at least 5 years building and deploying production ML systems.
* Proven experience in machine learning infrastructure/operations.
* Demonstrated technical leadership and architectural vision, driving systems from concept to production.
* Proficiency in Python, PyTorch, Spark, SageMaker, and Airflow, or equivalent technologies.
* Nice to have \- experience working in fraud detection, risk modeling, or financial security domains.
* Nice to have \- background in graph machine learning or related techniques.
 $192,000 \- $400,000 a year
 The target base salary for this position ranges from $192,000/year to $400,000/year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57">
      <c r="A57" t="inlineStr">
        <is>
          <t>li-4317212362</t>
        </is>
      </c>
      <c r="B57" t="inlineStr">
        <is>
          <t>Senior Machine Learning Engineer - Prediction</t>
        </is>
      </c>
      <c r="C57" t="inlineStr">
        <is>
          <t>Motional</t>
        </is>
      </c>
      <c r="D57" t="inlineStr">
        <is>
          <t>linkedin</t>
        </is>
      </c>
      <c r="E57" t="inlineStr"/>
      <c r="F57" t="inlineStr"/>
      <c r="G57" t="inlineStr"/>
      <c r="H57" t="inlineStr"/>
      <c r="I57" t="inlineStr">
        <is>
          <t>**On Behaviors** 
 , you'll have the opportunity to work with world\-class ML engineers and research scientists to make self\-driving vehicles a reality and create positive social impact. Our team works on the tech stack responsible for understanding highly complex driving scenes and generating safe, comfortable driving trajectories for our robotaxi using the latest deep neural networks. We are looking for engineers who are passionate about Level 5 autonomous driving, excited by intellectual challenges, and interested in pursuing career growth with a fast growing company.
**What You’ll Be Doing:** 
 You will be directly responsible for training, evaluation, and deployment of our ML\-based scene understanding, behavior prediction, and planning models. Day to day responsibilities include:
* Designing and executing high value experiments based on collaborative input from other machine learning engineers
* Prototyping and implementing continuously improving metrics to evaluate the performance of our behavioral models across many desired scenarios and robotaxi capabilities
* Timely release of major model updates, including analysis of both off\-line and on\-road evaluation data
* Staying up to date with the latest trends in our fast moving industry, and proposing new architectures and network designs based on published literature
* Maintaining a high quality training and evaluation code\-base, including portions of our training stack dedicated to dataset generation and evaluation
**What We’re Looking For:** 
* In\-depth understanding of common Machine Learning and Deep Learning algorithms
* Experience designing, training, and analyzing neural networks for at least one of the following applications: motion planning, object detection, sensor fusion, motion prediction, and/or multi\-object tracking
* Strong track record of tackling less well\-defined problems, and executing efficiently to deliver the successful outcome
* Advanced knowledge of software engineering principles including software design, source control management, build processes, code reviews, and testing methods
* Experience with PyTorch or other python\-based deep learning frameworks
* Experience working with large data sets and deriving insights from data
* Experience mentoring and collaborating with others
**Education** 
 Masters or PhD in Machine Learning, Computer Science, Applied Mathematics, Statistics, Physics or a related field; or equivalent industry experience
**Bonus Points** 
* Publications in relevant conferences (CVPR, ICML, NeurIPS, ICCV, ICL, etc.)
* PhD in machine learning, computer vision, or robotics vision
* Experience working on autonomous vehicles or related fields
* Experience in deploying models into real\-world environments
* Strong programming skills in C\+\+ and/or CUDA programming
* This opportunity can support remote work within the United States, with occasional travel.
**Working Conditions** 
 While performing the duties of this job, the employee is frequently required to convey and detect communication
 The employee occasionally required to remain stationary at times for up to 50% of working time, move in designated working areas; \&amp; operate and use office equipment
 The employee may occasionally move up to 50 pounds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$146,000 USD \- $225,000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58">
      <c r="A58" t="inlineStr">
        <is>
          <t>li-4346202700</t>
        </is>
      </c>
      <c r="B58" t="inlineStr">
        <is>
          <t>Senior Machine Learning Engineer</t>
        </is>
      </c>
      <c r="C58" t="inlineStr">
        <is>
          <t>Harnham</t>
        </is>
      </c>
      <c r="D58" t="inlineStr">
        <is>
          <t>linkedin</t>
        </is>
      </c>
      <c r="E58" t="inlineStr"/>
      <c r="F58" t="inlineStr"/>
      <c r="G58" t="inlineStr"/>
      <c r="H58" t="inlineStr"/>
      <c r="I58" t="inlineStr">
        <is>
          <t>**Senior Machine Learning Engineer** 
**Location:** 
 Remote (with optional hybrid New York)
**Salary:** 
 Salary up to $220,000
**THE COMPANY** 
 Our client is a fast\-growing, profitable technology business operating at the cutting edge of AI\-driven decisioning. They partner with global brands to deliver advanced machine learning solutions that optimize real\-time strategies across digital platforms.
**THE ROLE** 
 As a
 **Senior Machine Learning Engineer** 
 , you will play a key role in building scalable ML infrastructure and deploying production\-grade models that directly impact business outcomes. This is an opportunity to work on distributed systems, cutting\-edge neural network architectures, and MLOps best practices in a high\-performance environment.
**RESPONSIBILITIES** 
* You will architect and train neural network models for optimization and audience modeling using
 **PyTorch** 
 and distributed training frameworks.
* You will build multi\-GPU training pipelines and implement hyperparameter tuning strategies.
* You will develop feature engineering workflows using
 **PySpark** 
 and embedding techniques.
* You will own the ML lifecycle from training to batch inference, ensuring automation and reproducibility.
* You will implement monitoring and observability solutions to track model performance and system health.
* Collaborate with cross\-functional teams to align ML initiatives with product strategy and KPIs.
**REQUIREMENTS** 
* MSc or PhD in Computer Science, Machine Learning, or related field.
* Strong ML engineering with strong proficiency in
 **PyTorch** 
 .
* Hands\-on experience with
 **Databricks.**
* Expert\-level Python and PySpark skills for large\-scale data processing.
* Familiarity with cloud platforms (AWS) and data warehousing (Snowflake).
* Strong understanding of CI/CD workflows and best practices.
**BENEFITS** 
* Competitive salary and bonus structure.
* Comprehensive health coverage.
* Generous PTO and company holidays.
* Flexible remote working options.
**HOW TO APPLY** 
 If you’re passionate about building scalable ML systems and want to work in a dynamic, innovative environment, apply today to learn more.</t>
        </is>
      </c>
    </row>
    <row r="59">
      <c r="A59" t="inlineStr">
        <is>
          <t>li-4270116318</t>
        </is>
      </c>
      <c r="B59" t="inlineStr">
        <is>
          <t>Staff AI Engineer</t>
        </is>
      </c>
      <c r="C59" t="inlineStr">
        <is>
          <t>Conveyor</t>
        </is>
      </c>
      <c r="D59" t="inlineStr">
        <is>
          <t>linkedin</t>
        </is>
      </c>
      <c r="E59" t="inlineStr"/>
      <c r="F59" t="inlineStr"/>
      <c r="G59" t="inlineStr"/>
      <c r="H59" t="inlineStr"/>
      <c r="I59" t="inlineStr">
        <is>
          <t>**Why join Conveyor?**
 Hi, we’re Conveyor 👋, creators of the \#1 Customer Trust AI automation platform.
 We solve problems that our customers “hate with the fury of 1000 suns” (actual quote!) \- the dreaded customer security review and RFP processes. These are key parts of the B2B sales cycle, but both still involve too much time, effort, and mental anguish from those involved.
 Enter Conveyor, where our mission is to eliminate all of the misery from B2B customer trust with maximum automation. We’ve made a lot of progress – we have an awesome customer list whose lives we’ve significantly impacted through product, this year we launched the first AI agents for security reviews (Sue) and RFPs (Phil), and we just raised a $20M Series B from SignalFire and OVF! (TechCrunch) But we have ambitious goals and we’re looking for our next Staff AI Engineer to help make them a reality!
**The top 3 1/2 reasons you should be interested in working at Conveyor:**
* You’ll be selling a great product with a slam dunk AI use case while building sales processes and foundations to help scale the business.
* Everyone on the team is amazing at their jobs. We care deeply about psychological safety, and believe that the ability to take risks and exist in the learning zone is critical to our success. This also comes with high accountability, which isn’t for everyone. But, you have the potential to have an outsize impact on the direction and success of the company.
* We’re highly transparent and collaborative. Giving constructive, thoughtful feedback and asking hard questions are highly encouraged! We come together to figure it out when times are hard, and in celebration when we get our wins. 1/2\. Plus, we’ll even teach you how to saber a bottle of champagne
**About The Role**
 As one of the first AI engineers on the team, this is a unique opportunity to shape Conveyor’s AI core capabilities, and create a huge impact on a critical pillar in our product strategy. Reporting directly to the CTO, you’ll play a critical role in building and optimizing our AI development process and further building the team.
**What You’ll Do**
* You will analyze our AI quality and performance, propose and experiment with new technologies and ideas, then implement and improve Conveyor products.
* You will define and implement metrics and processes to evaluate and improve AI quality.
* You'll autonomously manage and own individual project priorities, deadlines, and deliverables.
* You’ll scope and implement project\-level solutions with minimal guidance.
* You’ll collaborate and pair frequently with teammates and peers.
* You'll inform the product roadmap and implementation decisions based on feasibility.
* You'll ensure that our product is maintainable, meaning that other engineers are able to contribute new functionality easily, and without frequent technical debt.
* You'll partner with Product and Design to effectively plan new features, avoiding bottlenecks and maximizing velocity when it comes time to implement.
**What We’re Looking For**
 We are looking for candidates with 8\+ years of experience in technical leadership roles, with a focus on AI/ML technologies in recent years. Strong preference for experience in startup environments.
**Required Skills**
* Strong software engineering foundations, building and shipping products. Your designs should be performant, maintainable (for years, not months), and evolvable.
* Recent experience in the AI/ML space, and specifically LLMs. Familiarity with key concepts, frameworks, tools and technologies. Experience evaluating different approaches and technologies, prompt engineering, evals and observability, RAG flows, search technologies, agent frameworks, etc.
* Able to perform both research/analysis and production software development work
* Curiosity and Continuous Learning: You are up to speed on developments in the fast\-paced AI/ML world, and constantly thinking about how to apply new technologies and offerings to our real\-world problems.
* Bias for action: Startup mentality, get things done, fast iterations, strong problem\-solving and decision\-making capabilities. Previous experience in a small startup (or as a founder) is highly preferred.
* Product Sense: You seek to understand the features you're working on, and actively propose positive changes. Collaborate with product and design to inform roadmap decisions.
* Team Player: You have excellent communication skills (verbal and written), enjoy collaborating with others and mentoring team members.
* Deliver Legendary Customer Experience: You have experience building and scaling products that delight real users.
* Ownership: Strong sense of ownership and accountability, honor commitments and be transparent about challenges.
**Job Location**
 This position is available in the United States and Canada.
 We are a remote\-first company so you’ll be working from home most of the time, traveling for in person sessions a few times a year.
 Preferred location: San Francisco Bay Area
 Ready to join our team and have a tremendous impact? We’d love to hear from you. Also, we know it’s tough, but please try to avoid the confidence gap . You don’t have to match all the listed requirements exactly to be considered for this role.</t>
        </is>
      </c>
    </row>
    <row r="60">
      <c r="A60" t="inlineStr">
        <is>
          <t>li-4328764200</t>
        </is>
      </c>
      <c r="B60" t="inlineStr">
        <is>
          <t>Applied AI Engineer - Full Stack</t>
        </is>
      </c>
      <c r="C60" t="inlineStr">
        <is>
          <t>Perplexity</t>
        </is>
      </c>
      <c r="D60" t="inlineStr">
        <is>
          <t>linkedin</t>
        </is>
      </c>
      <c r="E60" t="inlineStr"/>
      <c r="F60" t="inlineStr"/>
      <c r="G60" t="inlineStr">
        <is>
          <t>New York, NY</t>
        </is>
      </c>
      <c r="H60" t="inlineStr"/>
      <c r="I60" t="inlineStr">
        <is>
          <t>Perplexity is seeking full stack applied AI engineers to revolutionize the way people search and interact with information online by building next generation AI products and frontier models. In this role, you'll build scalable and innovative E2E solutions which powers Perplexity’s wide span of AI applications, including discovery, research agents, eval platforms, monetization and integration with different 3rd party and Sonar LLMs.
**Responsibilities**
* Design and deliver scalable, end\-to\-end AI features that power core user experiences such as discovery, deep research, and monetization across Perplexity’s products.
* Build and evolve full stack systems that integrate multiple third\-party and in\-house Sonar models, ensuring seamless orchestration, robustness, and observability in production.
* Develop and maintain evaluation and experimentation platforms to measure answer quality, model performance, and product impact, supporting both online and offline workflows.
* Collaborate closely with research, product, design, and infra teams to translate frontier model capabilities into shipped user\-facing features and internal tools.
* Continuously improve performance, reliability, and cost efficiency of AI\-powered applications through thoughtful system design, instrumentation, and iteration.
**Qualifications**
* Hands\-on experience building production AI or agentic applications end to end, including tool calling, context engineering, and integration with modern LLM APIs.
* Strong backend and systems design skills, with a track record of making practical tradeoffs between cost, latency, reliability, and quality in real\-world systems.
* Proficiency with modern web or product stacks (e.g., Python plus a frontend framework) and comfort working across the stack from data and infra to UI.
* Self\-directed and high agency, with 4\+ years of industry experience in software or AI engineering and a bias toward shipping impactful product work.
 Compensation Range: $200K \- $300K</t>
        </is>
      </c>
    </row>
    <row r="61">
      <c r="A61" t="inlineStr">
        <is>
          <t>li-4328864367</t>
        </is>
      </c>
      <c r="B61" t="inlineStr">
        <is>
          <t>Senior Staff Machine Learning Engineer</t>
        </is>
      </c>
      <c r="C61" t="inlineStr">
        <is>
          <t>GEICO</t>
        </is>
      </c>
      <c r="D61" t="inlineStr">
        <is>
          <t>linkedin</t>
        </is>
      </c>
      <c r="E61" t="inlineStr"/>
      <c r="F61" t="inlineStr"/>
      <c r="G61" t="inlineStr">
        <is>
          <t>Seattle, WA</t>
        </is>
      </c>
      <c r="H61" t="inlineStr"/>
      <c r="I6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**Overview:** 
 We are seeking an accomplished Senior Staff ML Engineer who will serve as a technical leader for the generative AI domain at GEICO. In this individual contributor role, you will be collaborating with a dynamic team of AI and software engineers to design, develop and deploy systems that ensure scalability, reliability and usability of generative AI workflows and approaches across the organization which drive business value using LLM, agentic, and knowledge\-search capabilities as their foundation. You bring a passion for providing hands\-on guidance, ensuring architectural and technical excellence and best practices, serving as a source of thought leadership, and leadingby example to solve complex, large\-scale, cross\-functional problems.
**Responsibilities:** 
* Own design, development and maintenance of high\-performance AI solutions that utilize agentic workflows to deliver concrete business value for internal stakeholders. Examples include knowledge assistants, voice/text\-based conversational AI solutions, document/audio processing copilots, voice agents, robotic process automation, etc.
* Collaborate with cross\-functional teams, including data scientists, ML engineers, software engineers, product managers, designers to gather requirements, define project scope and prioritize feature backlogs. Establish pragmatic technical visions \&amp; roadmaps that balance business outcome, product release timelines and engineering excellence.
* Integrate and build solutions using GEICO AI platform architecture. Partner with platform teams to communicate requirements, understand current capabilities and gaps, and contribute to platform development.
* Ideate and build first\-of\-its\-kind solutions within GEICO, with a deep understanding of business and technical processes, applications, and architecture to guide development.
* Drive the selection, evaluation, and implementation of software technologies, tools, and frameworks, balancing build vs. buy, speed to market, maintainability, etc.
* Take ownership in project planning and stakeholder management, ensuring the efficient allocation of resources and timely delivery of solutions.
* Mentor and guide junior engineers via code reviews and design sessions, fostering a collaborative and high\-performance team culture.
**Basic Qualifications**
* 10\+ years of experience designing and building scalable production AIML applications and systems in cloud environments,
* Proficient in Python, Java and similar general\-purpose programming languages.
* 7 years managing end\-to\-end software development life cycle (e.g. CICD pipelines, Kubernetes\-based deployments, testing, monitoring \&amp; alerting, production support etc.) for backend systems and APIs
* 5 years in training, finetuning, real\-time/batch inferencing and evaluation systems for AIML models and LLMs
* 5 years owning end\-to\-end development, monitoring, maintenance, and continuous improvement of scalable, robust AIML applications.
* Bachelor’s degree or above in Computer Science, Engineering, Statistics or a related field
**Preferred** 
**Qualifications** 
**:**
* 5 years interfacing directly with internal business stakeholders and/or external stakeholders on AIML initiatives
* 5 years working with cloud provider solutions such as Azure and AWS
* 4 years with tools that power LLM\-based AI agents: eval frameworks, agent tooling, RAG pipelines, prompt engineering, etc.
* 3 years building LLM\-based AI agent workflows via both no code/low code and traditional high\-code development environments
* 2 years of ideating, integrating, and designing applications and frontends using React or similar.
* Strong communication and problem\-solving skills to excel in dynamic, cross\-functional and ambiguous decision\-making environments
**Annual Salary**
 $150,000\.00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62">
      <c r="A62" t="inlineStr">
        <is>
          <t>li-4361351715</t>
        </is>
      </c>
      <c r="B62" t="inlineStr">
        <is>
          <t>AI/ML Engineer – Agentic Private Bank Engineer , Vice President</t>
        </is>
      </c>
      <c r="C62" t="inlineStr">
        <is>
          <t>JPMorganChase</t>
        </is>
      </c>
      <c r="D62" t="inlineStr">
        <is>
          <t>linkedin</t>
        </is>
      </c>
      <c r="E62" t="inlineStr"/>
      <c r="F62" t="inlineStr"/>
      <c r="G62" t="inlineStr">
        <is>
          <t>Jersey City, NJ</t>
        </is>
      </c>
      <c r="H62" t="inlineStr"/>
      <c r="I62" t="inlineStr">
        <is>
          <t>**Job Description**
 As a Applied AI ML Lead within the team at JPMorgan, you will collaborate with all lines of business and functions to deliver software solutions. You will have opportunity to research, experiment, develop, and productionize high\-quality machine learning models, services, and platforms to make a significant business impact. You will also design and implement highly scalable and reliable data processing pipelines and perform analysis and insights to promote and optimize business results.
**Job Responsibilities**
* Design, deploy and manage prompt\-based models on LLMs for various NLP tasks in the financial services domain
* Conduct research on prompt engineering techniques to improve the performance of prompt\-based models within the financial services field, exploring and utilizing LLM orchestration and agentic AI libraries.
* Collaborate with cross\-functional teams to identify requirements and develop solutions to meet business needs within the organization
* Communicate effectively with both technical and non\-technical stakeholders
* Build and maintain data pipelines and data processing workflows for prompt engineering on LLMs utilizing cloud services for scalability and efficiency.
* Develop and maintain tools and framework for prompt\-based model training, evaluation and optimization
* Analyze and interpret data to evaluate model performance to identify areas of improvement
**Required Qualifications, Capabilities, And Skills**
* Formal training or certification on software engineering concepts and 5\+ years applied experience
* Experience with prompt design and implementation or chatbot application
* Strong programming skills in Python with experience in PyTorch or TensorFlow
* Experience building data pipelines for both structured and unstructured data processing.
* Experience in developing APIs and integrating NLP or LLM models into software applications
* Hands\-on experience with cloud platforms (AWS or Azure) for AI/ML deployment and data processing.
* Excellent problem\-solving and the ability to communicate ideas and results to stakeholders and leadership in a clear and concise manner
* Basic knowledge of deployment processes, including experience with GIT and version control systems
* Familiarity with LLM orchestration and agentic AI libraries
* Hands on experience with MLOps tools and practices, ensuring seamless integration of machine learning models into production environment
**Preferred Qualifications, Capabilities, And Skills**
* Familiarity with model fine\-tuning techniques such as DPO and RLHF.
* Knowledge of Java, Spark
* Knowledge of financial products and services including trading, investment and risk management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63">
      <c r="A63" t="inlineStr">
        <is>
          <t>li-4328725183</t>
        </is>
      </c>
      <c r="B63" t="inlineStr">
        <is>
          <t>Senior High Performance AI Engineer</t>
        </is>
      </c>
      <c r="C63" t="inlineStr">
        <is>
          <t>NVIDIA</t>
        </is>
      </c>
      <c r="D63" t="inlineStr">
        <is>
          <t>linkedin</t>
        </is>
      </c>
      <c r="E63" t="inlineStr"/>
      <c r="F63" t="inlineStr"/>
      <c r="G63" t="inlineStr">
        <is>
          <t>Texas, United States</t>
        </is>
      </c>
      <c r="H63" t="inlineStr"/>
      <c r="I63"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outstanding Senior High Performance AI Engineer to build groundbreaking multi\-agent systems for the CUDA ecosystem. We build innovative agentic runtimes and compiler\-integrated orchestration that work together with NVIDIA's software stack to provide comprehensive acceleration for modern agent workloads powered by foundational models. As a member of the team, you will develop new agent abstractions, GPU\-centric runtimes, and compiler\- or runtime\-driven system solutions to accelerate agent planning, tool\-use, code generation, and other high\-impact AI workloads. You will collaborate closely with internal NVIDIA software and hardware teams to push the latest developments into NVIDIA products.
**What You'll Be Doing**
* Design, build and optimize agentic AI systems for the CUDA ecosystem.
* Co\-design agentic system solutions with software, hardware and algorithm teams; influence and adopt new capabilities as they become available.
* Develop reproducible, high\-fidelity evaluation frameworks covering performance, quality and developer productivity.
* Collaborate across the AI stack—from hardware through compilers/toolchains, kernels/libraries, frameworks, distributed training, and inference/serving—and with model/agent teams.
**What We Need To See**
* Bachelor’s degree in Computer Science, Electrical Engineering, or related field (or equivalent experience); MS or PhD preferred.
* 6 years\+ industry or academia experience with AI systems development; exposure to building foundational models, agents or orchestration frameworks; hands\-on experience with deep learning frameworks and modern inference stacks.
* Strong C/C\+\+ and Python programming skills; solid software engineering fundamentals.
* Experience with GPU programming and performance optimization (CUDA or equivalent).
**Ways To Stand Out From The Crowd**
* Track record building/evaluating deep learning models, coding agents and developer tooling.
* Demonstrated ability to optimize and deploy high\-performance models, including on resource\-constrained platforms.
* Deep expertise in GPU performance optimizations, evidenced by benchmark wins or published results.
* Publications or open\-source leadership in deep learning, multi\-agent systems, reinforcement learning, or AI systems; contributions to widely used repos or standards.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JR2006964</t>
        </is>
      </c>
    </row>
    <row r="64">
      <c r="A64" t="inlineStr">
        <is>
          <t>li-4306877680</t>
        </is>
      </c>
      <c r="B64" t="inlineStr">
        <is>
          <t>AI/ML Engineer (Tactical Networks - CANES) | Active Secret clearance</t>
        </is>
      </c>
      <c r="C64" t="inlineStr">
        <is>
          <t>General Dynamics Information Technology</t>
        </is>
      </c>
      <c r="D64" t="inlineStr">
        <is>
          <t>linkedin</t>
        </is>
      </c>
      <c r="E64" t="inlineStr"/>
      <c r="F64" t="inlineStr"/>
      <c r="G64" t="inlineStr">
        <is>
          <t>San Diego, CA</t>
        </is>
      </c>
      <c r="H64" t="inlineStr"/>
      <c r="I64" t="inlineStr">
        <is>
          <t>****Job Description:****
**Type of Requisition:**
 Pipeline
****Clearance Level Must Currently Possess:****
 Secret
****Clearance Level Must Be Able To Obtain:****
 Secret
****Public Trust/Other Required:****
 None
****Job Family:****
 Data Science and Data Engineering
****Skills:****
**Job Qualifications:**
 Artificial Intelligence (AI), Machine Learning (ML), Machine Learning Operations
****Certifications:****
 None
****Experience:****
 2 \+ years of related experience
****US Citizenship Required:****
 Yes
****Job Description:****
 Transform data into decisive advantage as a
 **AI/ML Engineer** 
 with GDIT. A career in applied machine learning at GDIT means building mission\-grade analytics and automation that harden and optimize Navy tactical networks. You’ll be at the forefront of innovation—advancing Consolidated Afloat Networks and Enterprise Services (CANES) and related platforms with NIWC Pacific (Codes 55131/55132/55133\) in support of PMW\-160 Tactical Networks.
 At GDIT, people are our differentiator. Our work depends on a Senior AI/ML Engineer who can design, deploy, and sustain models at the edge—within virtualized, bandwidth\-constrained, and intermittently connected environments—while meeting rigorous cybersecurity and programmatic standards.
**MEANINGFUL WORK AND PERSONAL IMPACT**
* Design and implement ML solutions for network assurance and cyber defense: anomaly detection, fault prediction, QoS optimization, capacity planning, and automated triage across ashore/afloat/subsurface/airborne domains.
* Build secure data pipelines (ETL/ELT) from CANES telemetry, logs, and performance counters; develop features for time\-series, graph, and NLP use cases; enforce data governance and labeling quality.
* Operationalize models with MLOps: containerize (Docker), orchestrate (Kubernetes/Openshift), version (MLflow/DVC), and automate CI/CD (GitLab/Jenkins) for model build/test/deploy in disconnected and low\-bandwidth scenarios.
* Optimize for edge inference using ONNX/TensorRT and CPU/GPU acceleration; implement drift monitoring, retraining triggers, A/B or canary deployments, and model explainability for operator trust.
* Integrate analytics with enterprise tooling (e.g., REST/gRPC services, message buses, dashboards such as Grafana/Splunk) and with program configuration management (CMPro) and issue workflows (Jira/Confluence).
* Align solutions to Risk Management Framework (RMF) and DISA STIGs; produce artifacts (e.g., security design, data flows, test plans) supporting IATT/ATO packages in Enterprise Mission Assurance Support Service (eMASS) in coordination with IA teams.
* Support Developmental Test \&amp; Evaluation (DT\&amp;E), Test Readiness Reviews (TRRs), and lab events in NIWC Pacific facilities; collect test data, analyze results, and author technical reports/white papers.
* Mentor engineers and analysts on ML best practices; contribute to Systems Engineering Plans (SEPs) and DoD Architecture Framework (DoDAF) views related to data/analytics services.
****WHAT YOU’LL NEED TO SUCCEED (Required):****
* Security Clearance: Active Secret clearance.
* Experience:
* 2\+ years applying AI/ML to large\-scale or mission systems (time\-series/graph/NLP), including production deployments and lifecycle sustainment.
* 2\+ years MLOps (containerization, orchestration, CI/CD, model/version management, monitoring) and secure software practices.
* Hands\-on data engineering with SQL/NoSQL, stream processing (e.g., Kafka), and Python\-based ML stacks (PyTorch or TensorFlow, scikit\-learn, pandas).
* Demonstrated delivery in constrained/edge environments (performance tuning, model compression/quantization, resilience to disconnection).
* Familiarity with DoD cybersecurity processes (RMF, STIGs) and documentation practices.
* Education: BS in Computer Science, Electrical/Computer Engineering, Data Science, Applied Mathematics, or related field (equivalent experience may substitute per GDIT policy).
* Position Availability: Position is currently pending final contract award.
* Work Location: Onsite San Diego, CA (NIWC Pacific); \~10–25% CONUS/OCONUS travel to labs, shipyards, and fleet concentration areas per tasking.
* US Citizenship Required
****WHAT WE’D LOVE FOR YOU TO HAVE (Desired):****
* Prior support to PMW\-160/NIWC Pacific or CANES\-like programs; understanding of Navy network operations, GPON, QoS, and transport/optical basics.
* Certifications: Security\+ CE (or higher 8140 baseline if privileged access assigned), CKA/CKAD, AWS/Azure/GCP ML Specialty, Splunk Core/Enterprise.
* Experience with graph ML (PyG/NetworkX), time\-series platforms (Kats, Prophet), and XAI (SHAP/LIME).
* Integration with observability stacks (Prometheus/Grafana), IaC (Ansible/Terraform), and secure SBOM/supply\-chain controls.
* Participation in CCRI prep, DT/OT data analysis, and performance test harness development.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Flexibility: Full\-flex work week to own your priorities at work and at home
* Community: Award\-winning culture of innovation and a military\-friendly workplace
**OWN YOUR OPPORTUNITY**
 Explore a career in data science and engineering at GDIT and you’ll find endless opportunities to grow alongside colleagues who share your determination for solving complex data challenges.
 The likely salary range for this position is $111,155 \- $150,385\. This is not, however, a guarantee of compensation or salary. Rather, salary will be set based on experience, geographic location and possibly contractual requirements and could fall outside of this range.
****Scheduled Weekly Hours:****
 40
****Travel Required:****
 10\-25%
****Telecommuting Options:****
 Onsite
**Work Location:**
 USA CA San Diego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65">
      <c r="A65" t="inlineStr">
        <is>
          <t>li-4328688078</t>
        </is>
      </c>
      <c r="B65" t="inlineStr">
        <is>
          <t>Senior High Performance AI Engineer</t>
        </is>
      </c>
      <c r="C65" t="inlineStr">
        <is>
          <t>NVIDIA</t>
        </is>
      </c>
      <c r="D65" t="inlineStr">
        <is>
          <t>linkedin</t>
        </is>
      </c>
      <c r="E65" t="inlineStr"/>
      <c r="F65" t="inlineStr"/>
      <c r="G65" t="inlineStr">
        <is>
          <t>Redmond, WA</t>
        </is>
      </c>
      <c r="H65" t="inlineStr"/>
      <c r="I65"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outstanding Senior High Performance AI Engineer to build groundbreaking multi\-agent systems for the CUDA ecosystem. We build innovative agentic runtimes and compiler\-integrated orchestration that work together with NVIDIA's software stack to provide comprehensive acceleration for modern agent workloads powered by foundational models. As a member of the team, you will develop new agent abstractions, GPU\-centric runtimes, and compiler\- or runtime\-driven system solutions to accelerate agent planning, tool\-use, code generation, and other high\-impact AI workloads. You will collaborate closely with internal NVIDIA software and hardware teams to push the latest developments into NVIDIA products.
**What You'll Be Doing**
* Design, build and optimize agentic AI systems for the CUDA ecosystem.
* Co\-design agentic system solutions with software, hardware and algorithm teams; influence and adopt new capabilities as they become available.
* Develop reproducible, high\-fidelity evaluation frameworks covering performance, quality and developer productivity.
* Collaborate across the AI stack—from hardware through compilers/toolchains, kernels/libraries, frameworks, distributed training, and inference/serving—and with model/agent teams.
**What We Need To See**
* Bachelor’s degree in Computer Science, Electrical Engineering, or related field (or equivalent experience); MS or PhD preferred.
* 6 years\+ industry or academia experience with AI systems development; exposure to building foundational models, agents or orchestration frameworks; hands\-on experience with deep learning frameworks and modern inference stacks.
* Strong C/C\+\+ and Python programming skills; solid software engineering fundamentals.
* Experience with GPU programming and performance optimization (CUDA or equivalent).
**Ways To Stand Out From The Crowd**
* Track record building/evaluating deep learning models, coding agents and developer tooling.
* Demonstrated ability to optimize and deploy high\-performance models, including on resource\-constrained platforms.
* Deep expertise in GPU performance optimizations, evidenced by benchmark wins or published results.
* Publications or open\-source leadership in deep learning, multi\-agent systems, reinforcement learning, or AI systems; contributions to widely used repos or standards.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JR2006964</t>
        </is>
      </c>
    </row>
    <row r="66">
      <c r="A66" t="inlineStr">
        <is>
          <t>li-4328794600</t>
        </is>
      </c>
      <c r="B66" t="inlineStr">
        <is>
          <t>Senior Staff Machine Learning Engineer</t>
        </is>
      </c>
      <c r="C66" t="inlineStr">
        <is>
          <t>GEICO</t>
        </is>
      </c>
      <c r="D66" t="inlineStr">
        <is>
          <t>linkedin</t>
        </is>
      </c>
      <c r="E66" t="inlineStr"/>
      <c r="F66" t="inlineStr"/>
      <c r="G66" t="inlineStr">
        <is>
          <t>Palo Alto, CA</t>
        </is>
      </c>
      <c r="H66" t="inlineStr"/>
      <c r="I6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**Overview:** 
 We are seeking an accomplished Senior Staff ML Engineer who will serve as a technical leader for the generative AI domain at GEICO. In this individual contributor role, you will be collaborating with a dynamic team of AI and software engineers to design, develop and deploy systems that ensure scalability, reliability and usability of generative AI workflows and approaches across the organization which drive business value using LLM, agentic, and knowledge\-search capabilities as their foundation. You bring a passion for providing hands\-on guidance, ensuring architectural and technical excellence and best practices, serving as a source of thought leadership, and leadingby example to solve complex, large\-scale, cross\-functional problems.
**Responsibilities:** 
* Own design, development and maintenance of high\-performance AI solutions that utilize agentic workflows to deliver concrete business value for internal stakeholders. Examples include knowledge assistants, voice/text\-based conversational AI solutions, document/audio processing copilots, voice agents, robotic process automation, etc.
* Collaborate with cross\-functional teams, including data scientists, ML engineers, software engineers, product managers, designers to gather requirements, define project scope and prioritize feature backlogs. Establish pragmatic technical visions \&amp; roadmaps that balance business outcome, product release timelines and engineering excellence.
* Integrate and build solutions using GEICO AI platform architecture. Partner with platform teams to communicate requirements, understand current capabilities and gaps, and contribute to platform development.
* Ideate and build first\-of\-its\-kind solutions within GEICO, with a deep understanding of business and technical processes, applications, and architecture to guide development.
* Drive the selection, evaluation, and implementation of software technologies, tools, and frameworks, balancing build vs. buy, speed to market, maintainability, etc.
* Take ownership in project planning and stakeholder management, ensuring the efficient allocation of resources and timely delivery of solutions.
* Mentor and guide junior engineers via code reviews and design sessions, fostering a collaborative and high\-performance team culture.
**Basic Qualifications**
* 10\+ years of experience designing and building scalable production AIML applications and systems in cloud environments,
* Proficient in Python, Java and similar general\-purpose programming languages.
* 7 years managing end\-to\-end software development life cycle (e.g. CICD pipelines, Kubernetes\-based deployments, testing, monitoring \&amp; alerting, production support etc.) for backend systems and APIs
* 5 years in training, finetuning, real\-time/batch inferencing and evaluation systems for AIML models and LLMs
* 5 years owning end\-to\-end development, monitoring, maintenance, and continuous improvement of scalable, robust AIML applications.
* Bachelor’s degree or above in Computer Science, Engineering, Statistics or a related field
**Preferred** 
**Qualifications** 
**:**
* 5 years interfacing directly with internal business stakeholders and/or external stakeholders on AIML initiatives
* 5 years working with cloud provider solutions such as Azure and AWS
* 4 years with tools that power LLM\-based AI agents: eval frameworks, agent tooling, RAG pipelines, prompt engineering, etc.
* 3 years building LLM\-based AI agent workflows via both no code/low code and traditional high\-code development environments
* 2 years of ideating, integrating, and designing applications and frontends using React or similar.
* Strong communication and problem\-solving skills to excel in dynamic, cross\-functional and ambiguous decision\-making environments
**Annual Salary**
 $150,000\.00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67">
      <c r="A67" t="inlineStr">
        <is>
          <t>li-4275256717</t>
        </is>
      </c>
      <c r="B67" t="inlineStr">
        <is>
          <t>Sr. Staff Machine Learning Engineer, Homefeed</t>
        </is>
      </c>
      <c r="C67" t="inlineStr">
        <is>
          <t>Pinterest</t>
        </is>
      </c>
      <c r="D67" t="inlineStr">
        <is>
          <t>linkedin</t>
        </is>
      </c>
      <c r="E67" t="inlineStr"/>
      <c r="F67" t="inlineStr"/>
      <c r="G67" t="inlineStr"/>
      <c r="H67" t="inlineStr"/>
      <c r="I67"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Pinterest helps Pinners discover and do what they love. Homefeed is literally the first surface Pinners see when they open the app and so it forms the front\-and\-center of the Pinterest experience for 400M\+ pinners every month. The Homefeed Relevance team’s mission is to recommend inspiring \&amp; engaging pins for all our Pinners. We are looking for a Tech Lead Architect who can drive cross\-team engineering efforts for shipping ML\-driven product experiences to our pinners. You'll have the opportunity to work on various innovative projects of new product experiences, build large\-scale low\-latency systems and state\-of\-the\-art machine learning models, and deliver great impact to our pinners and business metrics.
**What You'll Do**
* Improve relevance and the user experience on Homefeed
* Work on state\-of\-the\-art large\-scale applied machine learning projects
* Improve the efficiency and reliability of large\-scale data processing and ML inference pipeline
* Improve our engineering systems to improve the latency, capacity, stability and reduce infra cost
**What We're Looking For**
* Languages: Python, Java
* Machine Learning: PyTorch, Tensorflow
* Big data processing: Spark, Hive, MapReduce
* 7\+ years experience with Recommender system or User modeling, implementing production ML systems at scale
* 7\+ years experience with large scale distributed backend service
* Experience in working in Deep learning and Generative AI models
* Experience in closely collaborating with product managers / designers to ship ML\-driven user\-facing product
* Bachelors in computer science or equivalent experience
**Relocation Statement:**
* This position is not eligible for relocation assistance. Visit our PinFlex page to learn more about our working model.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$227,871—$469,147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68">
      <c r="A68" t="inlineStr">
        <is>
          <t>li-4133148240</t>
        </is>
      </c>
      <c r="B68" t="inlineStr">
        <is>
          <t>Sr. Machine Learning Engineer</t>
        </is>
      </c>
      <c r="C68" t="inlineStr">
        <is>
          <t>Amazon</t>
        </is>
      </c>
      <c r="D68" t="inlineStr">
        <is>
          <t>linkedin</t>
        </is>
      </c>
      <c r="E68" t="inlineStr"/>
      <c r="F68" t="inlineStr"/>
      <c r="G68" t="inlineStr">
        <is>
          <t>San Diego, CA</t>
        </is>
      </c>
      <c r="H68" t="inlineStr"/>
      <c r="I68" t="inlineStr">
        <is>
          <t>**Description**
 Do you want to join an innovative team of engineers and scientists who use terabytes of data and create state\-of\-the\-art algorithms to push the boundaries of AI? We are building the foundational behavioral model for Amazon Stores using LLM and Large Model training techniques that fuses general world knowledge with Amazon e\-commerce domain knowledge. We are searching for engineers who are passionate about technology, innovation, and customer experience, and are ready to make a lasting impact on the industry.
 So, if you're passionate about pushing the limits of AI, thrive in a fast\-paced and innovative environment, and are ready to make a lasting impact on the world, this is your chance! Join us on this revolutionizing adventure!
 Key job responsibilities
**Role**
 In this role you will leverage your engineering background and expertise in ML to lead developing foundational behavioral model for Amazon Stores using LLM and Large Model training techniques. On a day\-to\-day basis, you will:
* Lead the design and implementation of a stable and efficient training infrastructure that scales to a large model size and hardware such as GPU.
* Collaborate with other talented applied scientists and engineers to develop an improved training infrastructure that accelerates innovation.
* Quickly learn cutting\-edge technologies and algorithms in the field of Generative AI.
**Basic Qualifications**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in developing machine learning pipelines, developing large language model or natural language understanding models.
**Preferred Qualifications**
* 5\+ years of full software development life cycle, including coding standards, code reviews, source control management, build processes, testing, and operations experience
* Master or PhD in Computer Sciences, Electrical Engineering, or Mathematics with specialization in machine learning, deep learning, or natural language processing
* Experience with CUDA
* Experience with Pytorch or Tensorflow
* Experience with distributed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A2668768</t>
        </is>
      </c>
    </row>
    <row r="69">
      <c r="A69" t="inlineStr">
        <is>
          <t>li-4361360804</t>
        </is>
      </c>
      <c r="B69" t="inlineStr">
        <is>
          <t>Distinguished AI Engineer (Agentic AI Platform Infrastructure)</t>
        </is>
      </c>
      <c r="C69" t="inlineStr">
        <is>
          <t>Capital One</t>
        </is>
      </c>
      <c r="D69" t="inlineStr">
        <is>
          <t>linkedin</t>
        </is>
      </c>
      <c r="E69" t="inlineStr"/>
      <c r="F69" t="inlineStr"/>
      <c r="G69" t="inlineStr">
        <is>
          <t>San Francisco, CA</t>
        </is>
      </c>
      <c r="H69" t="inlineStr"/>
      <c r="I69"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 2\+ years of experience supporting Agentic Frameworks (LangChain, CrewAI, Semantic Kernel (Microsoft), or AutoGen)
* 2\+ years of experience with LLMOps (Google Cloud Vertex AI, Amazon SageMaker, Azure Machine Learning
* Experience developing AI and ML algorithms or technologies (e.g. LLM Inference, Similarity Search and VectorDBs, Guardrails, Memory) using Python, C\+\+, C\#, Java, or Golang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$269,100 \- $307,200 for Distinguished AI Engineer
 McLean, VA: $269,100 \- $307,200 for Distinguished AI Engineer
 New York, NY: $293,600 \- $335,100 for Distinguished AI Engineer
 San Francisco, CA: $293,600 \- $335,100 for Distinguished AI Engineer
 San Jose, CA: $293,600 \- $335,100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0">
      <c r="A70" t="inlineStr">
        <is>
          <t>li-4361510662</t>
        </is>
      </c>
      <c r="B70" t="inlineStr">
        <is>
          <t>Distinguished AI Engineer (Agentic AI Platform Infrastructure)</t>
        </is>
      </c>
      <c r="C70" t="inlineStr">
        <is>
          <t>Capital One</t>
        </is>
      </c>
      <c r="D70" t="inlineStr">
        <is>
          <t>linkedin</t>
        </is>
      </c>
      <c r="E70" t="inlineStr"/>
      <c r="F70" t="inlineStr"/>
      <c r="G70" t="inlineStr">
        <is>
          <t>Cambridge, MA</t>
        </is>
      </c>
      <c r="H70" t="inlineStr"/>
      <c r="I70"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 2\+ years of experience supporting Agentic Frameworks (LangChain, CrewAI, Semantic Kernel (Microsoft), or AutoGen)
* 2\+ years of experience with LLMOps (Google Cloud Vertex AI, Amazon SageMaker, Azure Machine Learning
* Experience developing AI and ML algorithms or technologies (e.g. LLM Inference, Similarity Search and VectorDBs, Guardrails, Memory) using Python, C\+\+, C\#, Java, or Golang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$269,100 \- $307,200 for Distinguished AI Engineer
 McLean, VA: $269,100 \- $307,200 for Distinguished AI Engineer
 New York, NY: $293,600 \- $335,100 for Distinguished AI Engineer
 San Francisco, CA: $293,600 \- $335,100 for Distinguished AI Engineer
 San Jose, CA: $293,600 \- $335,100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1">
      <c r="A71" t="inlineStr">
        <is>
          <t>li-4361283833</t>
        </is>
      </c>
      <c r="B71" t="inlineStr">
        <is>
          <t>Distinguished AI Engineer (Agentic AI Platform Infrastructure)</t>
        </is>
      </c>
      <c r="C71" t="inlineStr">
        <is>
          <t>Capital One</t>
        </is>
      </c>
      <c r="D71" t="inlineStr">
        <is>
          <t>linkedin</t>
        </is>
      </c>
      <c r="E71" t="inlineStr"/>
      <c r="F71" t="inlineStr"/>
      <c r="G71" t="inlineStr">
        <is>
          <t>McLean, VA</t>
        </is>
      </c>
      <c r="H71" t="inlineStr"/>
      <c r="I71"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 2\+ years of experience supporting Agentic Frameworks (LangChain, CrewAI, Semantic Kernel (Microsoft), or AutoGen)
* 2\+ years of experience with LLMOps (Google Cloud Vertex AI, Amazon SageMaker, Azure Machine Learning
* Experience developing AI and ML algorithms or technologies (e.g. LLM Inference, Similarity Search and VectorDBs, Guardrails, Memory) using Python, C\+\+, C\#, Java, or Golang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$269,100 \- $307,200 for Distinguished AI Engineer
 McLean, VA: $269,100 \- $307,200 for Distinguished AI Engineer
 New York, NY: $293,600 \- $335,100 for Distinguished AI Engineer
 San Francisco, CA: $293,600 \- $335,100 for Distinguished AI Engineer
 San Jose, CA: $293,600 \- $335,100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2">
      <c r="A72" t="inlineStr">
        <is>
          <t>li-4294703989</t>
        </is>
      </c>
      <c r="B72" t="inlineStr">
        <is>
          <t>Service Delivery Center, AI &amp; Data, Machine Learning Engineer (MLE) - Manager</t>
        </is>
      </c>
      <c r="C72" t="inlineStr">
        <is>
          <t>EY</t>
        </is>
      </c>
      <c r="D72" t="inlineStr">
        <is>
          <t>linkedin</t>
        </is>
      </c>
      <c r="E72" t="inlineStr"/>
      <c r="F72" t="inlineStr"/>
      <c r="G72" t="inlineStr">
        <is>
          <t>Alpharetta, GA</t>
        </is>
      </c>
      <c r="H72" t="inlineStr"/>
      <c r="I72" t="inlineStr">
        <is>
          <t>Location: Manayunk, Charlotte, San Antonio, Jacksonville, Alpharetta
 At EY, we’re all in to shape your future with confidence.
 We’ll help you succeed in a globally connected powerhouse of diverse teams and take your career wherever you want it to go. Join EY and help to build a better working world.
**Manager \- Financial Services Organization – AI and Data \- Service Delivery Center**
 EY is the only professional services firm with a separate business unit (“FSO”) that is dedicated to the financial services marketplace. Our FSO teams have been at the forefront of every event that has reshaped and redefined the financial services industry. This practice also has several Service Delivery Centers that are made up of high\-performing US\-based resources who work closely with our experienced client\-serving professionals to deliver project\-based work and managed services to our US\-based Financial Services clients. If you have a passion for rallying together to solve the most complex challenges in the financial services industry, come join our dynamic FSO team!
**The opportunity**
 Data has yet to be utilized to its fullest potential. Financial institutions are looking to build smarter and more efficient ways to operate their business, through new opportunities uncovered by their data. You’ll be solving complex problems, as well as giving deliverables to our clients in the AI and data space. With support from a highly talented team, you’ll have tremendous growth opportunities, with a focus on continuous learning and skills development to become a leader that can make significant contributions to companies.
**Your Key Responsibilities**
 You will be working with diverse teams of professionals with different skill sets to deliver a wide range of AI and data services. As part of that, you’ll need to be a team player with great communication skills, and have the desire to learn the technical skills required to fill the role.
**Skills And Attributes For Success**
* Collaborating, mentoring, and coaching teams with diverse skills and backgrounds
* Fostering an innovative and inclusive team\-oriented work environment
* Being accountable for the success of your team and the project’s components
* Building strong relationships with your internal clients
* Great communication and influencing skills
* Demonstrating in\-depth technical capabilities, professional knowledge, and interest in the financial industry and technology
* Leading and managing multi\-disciplinary teams through a product life cycle – requirements, design, development, and testing
* Designing, building, and maintaining production\-grade ML and DL models, machine learning workflows, and pipelines
* Helping clients make data\-driven decisions by working with structured and unstructured data sets and building out predictive models
* Designing and developing solutions leveraging big data technology (Hadoop, Spark, etc.) to ingest, process, and analyze large, disparate data sets
**To qualify for the role you must have**
* A bachelor's or master’s degree in computer science, information systems, or related technology majors
* Minimum of 5 years of related work experience in AI/ML engineering or MLE/ML Ops
* Experience working with business, management, and technology concepts
* Proficiency in Python programming and associated machine learning libraries/packages (sklearn, TensorFlow, PyTorch, etc.)
* Extensive experience with cloud platforms such as AWS, Azure, or Google Cloud Platform (GCP) for deploying and managing ML and AI solutions
* Strong deep learning experience, particularly in applications of Neural Network architectures to Natural Language Processing, Computer Vision, and Machine Intelligence
* Knowledge of MLOps practices for continuous integration and continuous deployment (CI/CD) of machine learning models in a cloud environment
* Good written and verbal communication skills
* A willingness and ability to travel at 0%\-25%
* Valid driver’s license in the US
* Valid passport
**Ideally, you’ll also have**
* Certification in any database management system, reporting or data visualization, or programming/statistical language
* Working knowledge or certifications in cloud technologies such as Snowflake, Databricks, AWS, or Azure
* Practical experience in developing and deploying Generative AI applications for various use cases such as text generation, image synthesis, and creative AI
* Familiarity with cloud\-based machine learning services like AWS SageMaker, Google AI Platform, or Azure Machine Learning
**What We Look For**
 We’re interested in professionals that are passionate about technology, who already have an understanding of data and are comfortable analyzing or manipulating it while generating reports for clients. You’ll also need to be able to clearly articulate both problems and proposed solutions, and have the willingness to learn and quickly adapt to changing requirements. On top of this, we’re looking for team players and hard workers who are not afraid to take initiative to master their craft and produce high\-quality work. If you have a proactive approach and want to be part of a group that continues to grow significantly, this role is for you.
**What Working At EY Offers**
 We offer a competitive compensation package where you’ll be rewarded based on your performance and recognized for the value you bring to our business. In addition, our Total Rewards package includes medical and dental coverage, both pension and 401(k) plans, a minimum of 15 days of vacation plus ten observed holidays and three paid personal days, and a range of programs and benefits designed to support your physical, financial, and social well\-being. Plus, we offer:
* Opportunities to develop new skills and progress your career
* Support and coaching from some of the most engaging and knowledgeable colleagues
* A collaborative environment where everyone works together to create a better working world
* Excellent training and development prospects
**About EY**
 As a global leader in assurance, tax, transaction, and advisory services, we hire and develop the most passionate people in their field to help build a better working world. This starts with a culture that believes in giving you the training, opportunities, and creative freedom to make things better. So that whenever you join, however long you stay, the exceptional EY experience lasts a lifetime.
 Join us in building a better working world. Apply now.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$76,200 to $174,100\. The base salary range for New York City Metro Area, Washington State and California (excluding Sacramento) is $91,400 to $197,900\.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3">
      <c r="A73" t="inlineStr">
        <is>
          <t>li-4294722190</t>
        </is>
      </c>
      <c r="B73" t="inlineStr">
        <is>
          <t>Service Delivery Center, AI &amp; Data, Machine Learning Engineer (MLE) - Manager</t>
        </is>
      </c>
      <c r="C73" t="inlineStr">
        <is>
          <t>EY</t>
        </is>
      </c>
      <c r="D73" t="inlineStr">
        <is>
          <t>linkedin</t>
        </is>
      </c>
      <c r="E73" t="inlineStr"/>
      <c r="F73" t="inlineStr"/>
      <c r="G73" t="inlineStr">
        <is>
          <t>Philadelphia, PA</t>
        </is>
      </c>
      <c r="H73" t="inlineStr"/>
      <c r="I73" t="inlineStr">
        <is>
          <t>Location: Manayunk, Charlotte, San Antonio, Jacksonville, Alpharetta
 At EY, we’re all in to shape your future with confidence.
 We’ll help you succeed in a globally connected powerhouse of diverse teams and take your career wherever you want it to go. Join EY and help to build a better working world.
**Manager \- Financial Services Organization – AI and Data \- Service Delivery Center**
 EY is the only professional services firm with a separate business unit (“FSO”) that is dedicated to the financial services marketplace. Our FSO teams have been at the forefront of every event that has reshaped and redefined the financial services industry. This practice also has several Service Delivery Centers that are made up of high\-performing US\-based resources who work closely with our experienced client\-serving professionals to deliver project\-based work and managed services to our US\-based Financial Services clients. If you have a passion for rallying together to solve the most complex challenges in the financial services industry, come join our dynamic FSO team!
**The opportunity**
 Data has yet to be utilized to its fullest potential. Financial institutions are looking to build smarter and more efficient ways to operate their business, through new opportunities uncovered by their data. You’ll be solving complex problems, as well as giving deliverables to our clients in the AI and data space. With support from a highly talented team, you’ll have tremendous growth opportunities, with a focus on continuous learning and skills development to become a leader that can make significant contributions to companies.
**Your Key Responsibilities**
 You will be working with diverse teams of professionals with different skill sets to deliver a wide range of AI and data services. As part of that, you’ll need to be a team player with great communication skills, and have the desire to learn the technical skills required to fill the role.
**Skills And Attributes For Success**
* Collaborating, mentoring, and coaching teams with diverse skills and backgrounds
* Fostering an innovative and inclusive team\-oriented work environment
* Being accountable for the success of your team and the project’s components
* Building strong relationships with your internal clients
* Great communication and influencing skills
* Demonstrating in\-depth technical capabilities, professional knowledge, and interest in the financial industry and technology
* Leading and managing multi\-disciplinary teams through a product life cycle – requirements, design, development, and testing
* Designing, building, and maintaining production\-grade ML and DL models, machine learning workflows, and pipelines
* Helping clients make data\-driven decisions by working with structured and unstructured data sets and building out predictive models
* Designing and developing solutions leveraging big data technology (Hadoop, Spark, etc.) to ingest, process, and analyze large, disparate data sets
**To qualify for the role you must have**
* A bachelor's or master’s degree in computer science, information systems, or related technology majors
* Minimum of 5 years of related work experience in AI/ML engineering or MLE/ML Ops
* Experience working with business, management, and technology concepts
* Proficiency in Python programming and associated machine learning libraries/packages (sklearn, TensorFlow, PyTorch, etc.)
* Extensive experience with cloud platforms such as AWS, Azure, or Google Cloud Platform (GCP) for deploying and managing ML and AI solutions
* Strong deep learning experience, particularly in applications of Neural Network architectures to Natural Language Processing, Computer Vision, and Machine Intelligence
* Knowledge of MLOps practices for continuous integration and continuous deployment (CI/CD) of machine learning models in a cloud environment
* Good written and verbal communication skills
* A willingness and ability to travel at 0%\-25%
* Valid driver’s license in the US
* Valid passport
**Ideally, you’ll also have**
* Certification in any database management system, reporting or data visualization, or programming/statistical language
* Working knowledge or certifications in cloud technologies such as Snowflake, Databricks, AWS, or Azure
* Practical experience in developing and deploying Generative AI applications for various use cases such as text generation, image synthesis, and creative AI
* Familiarity with cloud\-based machine learning services like AWS SageMaker, Google AI Platform, or Azure Machine Learning
**What We Look For**
 We’re interested in professionals that are passionate about technology, who already have an understanding of data and are comfortable analyzing or manipulating it while generating reports for clients. You’ll also need to be able to clearly articulate both problems and proposed solutions, and have the willingness to learn and quickly adapt to changing requirements. On top of this, we’re looking for team players and hard workers who are not afraid to take initiative to master their craft and produce high\-quality work. If you have a proactive approach and want to be part of a group that continues to grow significantly, this role is for you.
**What Working At EY Offers**
 We offer a competitive compensation package where you’ll be rewarded based on your performance and recognized for the value you bring to our business. In addition, our Total Rewards package includes medical and dental coverage, both pension and 401(k) plans, a minimum of 15 days of vacation plus ten observed holidays and three paid personal days, and a range of programs and benefits designed to support your physical, financial, and social well\-being. Plus, we offer:
* Opportunities to develop new skills and progress your career
* Support and coaching from some of the most engaging and knowledgeable colleagues
* A collaborative environment where everyone works together to create a better working world
* Excellent training and development prospects
**About EY**
 As a global leader in assurance, tax, transaction, and advisory services, we hire and develop the most passionate people in their field to help build a better working world. This starts with a culture that believes in giving you the training, opportunities, and creative freedom to make things better. So that whenever you join, however long you stay, the exceptional EY experience lasts a lifetime.
 Join us in building a better working world. Apply now.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$76,200 to $174,100\. The base salary range for New York City Metro Area, Washington State and California (excluding Sacramento) is $91,400 to $197,900\.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4">
      <c r="A74" t="inlineStr">
        <is>
          <t>li-4294706961</t>
        </is>
      </c>
      <c r="B74" t="inlineStr">
        <is>
          <t>Service Delivery Center, AI &amp; Data, Machine Learning Engineer (MLE) - Manager</t>
        </is>
      </c>
      <c r="C74" t="inlineStr">
        <is>
          <t>EY</t>
        </is>
      </c>
      <c r="D74" t="inlineStr">
        <is>
          <t>linkedin</t>
        </is>
      </c>
      <c r="E74" t="inlineStr"/>
      <c r="F74" t="inlineStr"/>
      <c r="G74" t="inlineStr">
        <is>
          <t>Charlotte, NC</t>
        </is>
      </c>
      <c r="H74" t="inlineStr"/>
      <c r="I74" t="inlineStr">
        <is>
          <t>Location: Manayunk, Charlotte, San Antonio, Jacksonville, Alpharetta
 At EY, we’re all in to shape your future with confidence.
 We’ll help you succeed in a globally connected powerhouse of diverse teams and take your career wherever you want it to go. Join EY and help to build a better working world.
**Manager \- Financial Services Organization – AI and Data \- Service Delivery Center**
 EY is the only professional services firm with a separate business unit (“FSO”) that is dedicated to the financial services marketplace. Our FSO teams have been at the forefront of every event that has reshaped and redefined the financial services industry. This practice also has several Service Delivery Centers that are made up of high\-performing US\-based resources who work closely with our experienced client\-serving professionals to deliver project\-based work and managed services to our US\-based Financial Services clients. If you have a passion for rallying together to solve the most complex challenges in the financial services industry, come join our dynamic FSO team!
**The opportunity**
 Data has yet to be utilized to its fullest potential. Financial institutions are looking to build smarter and more efficient ways to operate their business, through new opportunities uncovered by their data. You’ll be solving complex problems, as well as giving deliverables to our clients in the AI and data space. With support from a highly talented team, you’ll have tremendous growth opportunities, with a focus on continuous learning and skills development to become a leader that can make significant contributions to companies.
**Your Key Responsibilities**
 You will be working with diverse teams of professionals with different skill sets to deliver a wide range of AI and data services. As part of that, you’ll need to be a team player with great communication skills, and have the desire to learn the technical skills required to fill the role.
**Skills And Attributes For Success**
* Collaborating, mentoring, and coaching teams with diverse skills and backgrounds
* Fostering an innovative and inclusive team\-oriented work environment
* Being accountable for the success of your team and the project’s components
* Building strong relationships with your internal clients
* Great communication and influencing skills
* Demonstrating in\-depth technical capabilities, professional knowledge, and interest in the financial industry and technology
* Leading and managing multi\-disciplinary teams through a product life cycle – requirements, design, development, and testing
* Designing, building, and maintaining production\-grade ML and DL models, machine learning workflows, and pipelines
* Helping clients make data\-driven decisions by working with structured and unstructured data sets and building out predictive models
* Designing and developing solutions leveraging big data technology (Hadoop, Spark, etc.) to ingest, process, and analyze large, disparate data sets
**To qualify for the role you must have**
* A bachelor's or master’s degree in computer science, information systems, or related technology majors
* Minimum of 5 years of related work experience in AI/ML engineering or MLE/ML Ops
* Experience working with business, management, and technology concepts
* Proficiency in Python programming and associated machine learning libraries/packages (sklearn, TensorFlow, PyTorch, etc.)
* Extensive experience with cloud platforms such as AWS, Azure, or Google Cloud Platform (GCP) for deploying and managing ML and AI solutions
* Strong deep learning experience, particularly in applications of Neural Network architectures to Natural Language Processing, Computer Vision, and Machine Intelligence
* Knowledge of MLOps practices for continuous integration and continuous deployment (CI/CD) of machine learning models in a cloud environment
* Good written and verbal communication skills
* A willingness and ability to travel at 0%\-25%
* Valid driver’s license in the US
* Valid passport
**Ideally, you’ll also have**
* Certification in any database management system, reporting or data visualization, or programming/statistical language
* Working knowledge or certifications in cloud technologies such as Snowflake, Databricks, AWS, or Azure
* Practical experience in developing and deploying Generative AI applications for various use cases such as text generation, image synthesis, and creative AI
* Familiarity with cloud\-based machine learning services like AWS SageMaker, Google AI Platform, or Azure Machine Learning
**What We Look For**
 We’re interested in professionals that are passionate about technology, who already have an understanding of data and are comfortable analyzing or manipulating it while generating reports for clients. You’ll also need to be able to clearly articulate both problems and proposed solutions, and have the willingness to learn and quickly adapt to changing requirements. On top of this, we’re looking for team players and hard workers who are not afraid to take initiative to master their craft and produce high\-quality work. If you have a proactive approach and want to be part of a group that continues to grow significantly, this role is for you.
**What Working At EY Offers**
 We offer a competitive compensation package where you’ll be rewarded based on your performance and recognized for the value you bring to our business. In addition, our Total Rewards package includes medical and dental coverage, both pension and 401(k) plans, a minimum of 15 days of vacation plus ten observed holidays and three paid personal days, and a range of programs and benefits designed to support your physical, financial, and social well\-being. Plus, we offer:
* Opportunities to develop new skills and progress your career
* Support and coaching from some of the most engaging and knowledgeable colleagues
* A collaborative environment where everyone works together to create a better working world
* Excellent training and development prospects
**About EY**
 As a global leader in assurance, tax, transaction, and advisory services, we hire and develop the most passionate people in their field to help build a better working world. This starts with a culture that believes in giving you the training, opportunities, and creative freedom to make things better. So that whenever you join, however long you stay, the exceptional EY experience lasts a lifetime.
 Join us in building a better working world. Apply now.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$76,200 to $174,100\. The base salary range for New York City Metro Area, Washington State and California (excluding Sacramento) is $91,400 to $197,900\.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5">
      <c r="A75" t="inlineStr">
        <is>
          <t>li-4361501491</t>
        </is>
      </c>
      <c r="B75" t="inlineStr">
        <is>
          <t>Senior Applied Scientist</t>
        </is>
      </c>
      <c r="C75" t="inlineStr">
        <is>
          <t>LinkedIn</t>
        </is>
      </c>
      <c r="D75" t="inlineStr">
        <is>
          <t>linkedin</t>
        </is>
      </c>
      <c r="E75">
        <f>HYPERLINK("https://www.linkedin.com/jobs/view/4361501491", "https://www.linkedin.com/jobs/view/4361501491")</f>
        <v/>
      </c>
      <c r="F75" t="inlineStr"/>
      <c r="G75" t="inlineStr">
        <is>
          <t>Mountain View, CA</t>
        </is>
      </c>
      <c r="H75" t="inlineStr"/>
      <c r="I75"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a career at LinkedIn offers countless ways for an ambitious data scientist to have an impact.
 We are now looking for a talented and driven individual to accelerate our efforts and be a major part of our data\-centric culture. It is expected that this person understands experimentation and/or machine learning techniques to be able to implement from scratch and have the ability to extend and enhance these techniques to specific applications like business problems. Successful candidates will exhibit technical acumen on inference and algorithms, and the business savviness to use these technical skills to drive better business decision\-making.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Work with a team of high\-performing analytics, data science professionals, and cross\-functional teams to identify business opportunities and develop algorithms and methodologies to address them.
* Analyze large\-scale structured and unstructured data.
* Conduct in\-depth and rigorous data science research, model improvement, advanced experiments, observational causal studies to quantify the cause and effect in the ecosystem, identify business opportunities and to drive member value and customer success.
* Develop methodologies to enhance LinkedIn's product and platform capabilities.
* Engage with technology partners to build, prototype and validate scalable tools/applications end to end (backend, frontend, data) for converting data to insights
* Promote and enable adoption of technical advances in Data Science; elevate the art of Data Science practice at LinkedIn.
* Improve LinkedIn's ability to measure and credibly speak to labor market trends and other economic phenomena.
* Initiate and drive projects to completion independently
* Act as a thought partner to senior leaders to prioritize/scope projects, provide recommendations and evangelize data\-driven business decisions in support of strategic goals
* Partner with cross\-functional teams to initiate, lead or contribute to large\-scale/complex strategic projects for team, department, and company
* Provide technical guidance and mentorship to junior team members on solution design as well as lead code/design reviews
**Qualifications**
 Basic Qualifications
* Bachelor's Degree in a quantitative discipline: Statistics, Operations Research, Computer Science, Informatics, Engineering, Applied Mathematics, Economics, etc.
* 3\+ years of industry or relevant academia experience
* Background in at least one programming language (eg. R, Python, Java, Ruby, Scala/Spark or Perl)
* Experience in applied statistics and statistical modeling in at least one statistical software package, (eg. R, Python)
**Preferred Qualifications**
* BS and 5\+ years of relevant work experience, MS and 3\+ years of relevant work experience, or Ph.D. and 1\+ years of relevant work/academia experience
* MS or PhD in a quantitative discipline: Statistics, Operations Research, Computer Science, Informatics, Engineering, Applied Mathematics, Economics, etc.
 Suggested Skills
* Machine Learning
* Research
* Causal Inference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$139,000\.00 to $229,000\.00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76">
      <c r="A76" t="inlineStr">
        <is>
          <t>li-4361284631</t>
        </is>
      </c>
      <c r="B76" t="inlineStr">
        <is>
          <t>Staff Applied Scientist</t>
        </is>
      </c>
      <c r="C76" t="inlineStr">
        <is>
          <t>LinkedIn</t>
        </is>
      </c>
      <c r="D76" t="inlineStr">
        <is>
          <t>linkedin</t>
        </is>
      </c>
      <c r="E76">
        <f>HYPERLINK("https://www.linkedin.com/jobs/view/4361284631", "https://www.linkedin.com/jobs/view/4361284631")</f>
        <v/>
      </c>
      <c r="F76" t="inlineStr"/>
      <c r="G76" t="inlineStr">
        <is>
          <t>Mountain View, CA</t>
        </is>
      </c>
      <c r="H76" t="inlineStr"/>
      <c r="I76"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a career at LinkedIn offers countless ways for an ambitious data scientist to have an impact.
 We are now looking for a talented and driven individual to accelerate our efforts and be a major part of our data\-centric culture. It is expected that this person understands experimentation and/or machine learning techniques to be able to implement from scratch and have the ability to extend and enhance these techniques to specific applications like business problems. Successful candidates will exhibit technical acumen on inference and algorithms, and the business savviness to use these technical skills to drive better business decision\-making.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Work with a team of high\-performing analytics, data science professionals, and cross\-functional teams to identify business opportunities and develop algorithms and methodologies to address them.
* Analyze large\-scale structured and unstructured data.
* Conduct in\-depth and rigorous causal analysis and develop causal methodology and machine learning models to drive member value and customer success.
* Develop methodologies to enhance LinkedIn's product and platform capabilities.
* Engage with technology partners to build, prototype and validate scalable tools/applications end to end (backend, frontend, data) for converting data to insights.
* Promote and enable adoption of technical advances in Data Science; elevate the art of Data Science practice at LinkedIn.
* Improve LinkedIn's ability to measure and credibly speak to labor market trends and other economic phenomena.
* Initiate and drive projects to completion independently.
* Act as a thought partner to senior leaders to prioritize/scope projects, provide recommendations and evangelize data\-driven business decisions in support of strategic goals.
* Partner with cross\-functional teams to initiate, lead or contribute to large\-scale/complex strategic projects for team, department, and company.
* Provide technical guidance and mentorship to junior team members on solution design as well as lead code/design reviews.
**Qualifications**
 Basic Qualifications
* Bachelor's Degree in a quantitative discipline: Statistics, Operations Research, Computer Science, Informatics, Engineering, Applied Mathematics, Economics, etc.
* 5\+ years of industry or relevant academia experience
* Background in at least one programming language (eg. R, Python, Java, Ruby, Scala/Spark or Perl)
* Experience in applied statistics and statistical modeling in at least one statistical software package, (eg. R, Python)
**Preferred Qualifications**
* 7\+ years of industry or relevant academia experience
* MS or PhD in a quantitative discipline: Statistics, Operations Research, Computer Science, Informatics, Engineering, Applied Mathematics, Economics, etc.
 Suggested Skills
* Machine Learning
* Research
* Causal Inference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$170,000 \- $277,000\.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77">
      <c r="A77" t="inlineStr">
        <is>
          <t>li-4335019992</t>
        </is>
      </c>
      <c r="B77" t="inlineStr">
        <is>
          <t>AI Applied Scientist, Code Intelligence</t>
        </is>
      </c>
      <c r="C77" t="inlineStr">
        <is>
          <t>Snowflake</t>
        </is>
      </c>
      <c r="D77" t="inlineStr">
        <is>
          <t>linkedin</t>
        </is>
      </c>
      <c r="E77">
        <f>HYPERLINK("https://www.linkedin.com/jobs/view/4335019992", "https://www.linkedin.com/jobs/view/4335019992")</f>
        <v/>
      </c>
      <c r="F77" t="inlineStr"/>
      <c r="G77" t="inlineStr">
        <is>
          <t>Bellevue, WA</t>
        </is>
      </c>
      <c r="H77" t="inlineStr"/>
      <c r="I77"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Snowflake is about empowering enterprises to achieve their full potential — and people too. With a culture that’s all in on impact, innovation, and collaboration, Snowflake is the sweet spot for building big, moving fast, and taking technology — and careers — to the next level.
 We’re seeking an AI Applied Scientist to drive Code Intelligence at Snowflake. Your mission: build AI\-powered capabilities that supercharge developer efficiency and elevate developer experience for both Snowflake engineers and our customer developers. You’ll turn cutting\-edge ideas into dependable tools—shipping systems that make coding, reviewing, and testing faster, safer, and more delightful at scale.
 IN THIS ROLE AT SNOWFLAKE, YOU WILL:
* Build AI features that move the needle on developer outcomes—accelerating PR cycle time and time\-to\-first\-commit, reducing review latency and defects, improving test coverage, and raising developer satisfaction.
* Design and deliver systems in three focus areas: automated testing, code review assistance, and coding agents that integrate with repos and workflows.
* Prototype quickly and iterate, then productionize and harden solutions for reliability, performance, and safety, with a strong bias toward shipping impact.
* Develop end\-to\-end ML pipelines: data preparation, training/fine\-tuning, evaluation, and online serving—including experiment design, telemetry, and A/B measurement.
* Collaborate closely with Engineering Systems (our developer productivity team) to integrate into build, test, and deployment workflows.
* Write clear, maintainable Python and work across the stack to design, implement, and debug components from modeling to services and evaluation harnesses.
* Contribute to a culture of high\-quality engineering: code health, documentation, and grounded decision\-making informed by data.
* Write technical blogs and research papers to share your findings.
 WE WOULD LOVE TO HEAR FROM YOU IF YOU HAVE:
* MS or PhD in Computer Science (or related field).
* Strong Python skills and fluency with a commonly used ML stack (e.g., PyTorch and XGBoost or similar).
* Hands\-on experience building ML data pipelines, plus a habit of rigorous evaluation and experiment design.
* Familiarity with serving stacks and vector stores; comfort learning what you don’t know.
* Eagerness to learn build systems and CI/CD. Previous experience with build systems and CI/CD is a plus but not required.
* Bonus (nice to have—not all required): LLMs for code, program analysis/ASTs, retrieval/RAG, prompt engineering \&amp; eval, large\-scale A/B testing, backend/service development, and familiarity with OLAP systems like Snowflake.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$200,000 \- $287,500\.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78">
      <c r="A78" t="inlineStr">
        <is>
          <t>li-4306890003</t>
        </is>
      </c>
      <c r="B78" t="inlineStr">
        <is>
          <t>Applied Scientist, Sponsored Products and Brands</t>
        </is>
      </c>
      <c r="C78" t="inlineStr">
        <is>
          <t>Amazon</t>
        </is>
      </c>
      <c r="D78" t="inlineStr">
        <is>
          <t>linkedin</t>
        </is>
      </c>
      <c r="E78">
        <f>HYPERLINK("https://www.linkedin.com/jobs/view/4306890003", "https://www.linkedin.com/jobs/view/4306890003")</f>
        <v/>
      </c>
      <c r="F78">
        <f>HYPERLINK("https://www.amazon.jobs/jobs/3094891/applied-scientist-sponsored-products-and-brands?cmpid=SPLICX0248M&amp;utm_source=linkedin.com&amp;utm_campaign=cxro&amp;utm_medium=social_media&amp;utm_content=job_posting&amp;ss=paid&amp;urlHash=6dqV", "https://www.amazon.jobs/jobs/3094891/applied-scientist-sponsored-products-and-brands?cmpid=SPLICX0248M&amp;utm_source=linkedin.com&amp;utm_campaign=cxro&amp;utm_medium=social_media&amp;utm_content=job_posting&amp;ss=paid&amp;urlHash=6dqV")</f>
        <v/>
      </c>
      <c r="G78" t="inlineStr">
        <is>
          <t>New York, United States</t>
        </is>
      </c>
      <c r="H78" t="inlineStr"/>
      <c r="I78" t="inlineStr">
        <is>
          <t>**Description**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Deep curiosity, and basic knowledge on Gen AI
**Preferred Qualifications**
* Experience using Unix/Linux
* Experience in professional software development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A3094891</t>
        </is>
      </c>
    </row>
    <row r="79">
      <c r="A79" t="inlineStr">
        <is>
          <t>li-4318298262</t>
        </is>
      </c>
      <c r="B79" t="inlineStr">
        <is>
          <t>Applied Scientist</t>
        </is>
      </c>
      <c r="C79" t="inlineStr">
        <is>
          <t>Amazon</t>
        </is>
      </c>
      <c r="D79" t="inlineStr">
        <is>
          <t>linkedin</t>
        </is>
      </c>
      <c r="E79">
        <f>HYPERLINK("https://www.linkedin.com/jobs/view/4318298262", "https://www.linkedin.com/jobs/view/4318298262")</f>
        <v/>
      </c>
      <c r="F79" t="inlineStr"/>
      <c r="G79" t="inlineStr">
        <is>
          <t>New York, United States</t>
        </is>
      </c>
      <c r="H79" t="inlineStr"/>
      <c r="I79" t="inlineStr">
        <is>
          <t>**Description**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
**Basic Qualifications**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LLC
 Job ID: A3106501</t>
        </is>
      </c>
    </row>
    <row r="80">
      <c r="A80" t="inlineStr">
        <is>
          <t>li-4335090761</t>
        </is>
      </c>
      <c r="B80" t="inlineStr">
        <is>
          <t>Applied Scientist, Sponsored Products and Brands</t>
        </is>
      </c>
      <c r="C80" t="inlineStr">
        <is>
          <t>Amazon</t>
        </is>
      </c>
      <c r="D80" t="inlineStr">
        <is>
          <t>linkedin</t>
        </is>
      </c>
      <c r="E80">
        <f>HYPERLINK("https://www.linkedin.com/jobs/view/4335090761", "https://www.linkedin.com/jobs/view/4335090761")</f>
        <v/>
      </c>
      <c r="F80" t="inlineStr"/>
      <c r="G80" t="inlineStr">
        <is>
          <t>New York, United States</t>
        </is>
      </c>
      <c r="H80" t="inlineStr"/>
      <c r="I80" t="inlineStr">
        <is>
          <t>**Description**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A3122617</t>
        </is>
      </c>
    </row>
    <row r="81">
      <c r="A81" t="inlineStr">
        <is>
          <t>li-4312506540</t>
        </is>
      </c>
      <c r="B81" t="inlineStr">
        <is>
          <t>Applied Scientist, Artificial General Intelligence</t>
        </is>
      </c>
      <c r="C81" t="inlineStr">
        <is>
          <t>Amazon</t>
        </is>
      </c>
      <c r="D81" t="inlineStr">
        <is>
          <t>linkedin</t>
        </is>
      </c>
      <c r="E81">
        <f>HYPERLINK("https://www.linkedin.com/jobs/view/4312506540", "https://www.linkedin.com/jobs/view/4312506540")</f>
        <v/>
      </c>
      <c r="F81" t="inlineStr"/>
      <c r="G81" t="inlineStr">
        <is>
          <t>Sunnyvale, CA</t>
        </is>
      </c>
      <c r="H81" t="inlineStr"/>
      <c r="I81" t="inlineStr">
        <is>
          <t>**Description**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
**Basic Qualifications**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A3104517</t>
        </is>
      </c>
    </row>
    <row r="82">
      <c r="A82" t="inlineStr">
        <is>
          <t>li-4283990466</t>
        </is>
      </c>
      <c r="B82" t="inlineStr">
        <is>
          <t>Applied Scientist, Prime Air</t>
        </is>
      </c>
      <c r="C82" t="inlineStr">
        <is>
          <t>Amazon</t>
        </is>
      </c>
      <c r="D82" t="inlineStr">
        <is>
          <t>linkedin</t>
        </is>
      </c>
      <c r="E82">
        <f>HYPERLINK("https://www.linkedin.com/jobs/view/4283990466", "https://www.linkedin.com/jobs/view/4283990466")</f>
        <v/>
      </c>
      <c r="F82" t="inlineStr"/>
      <c r="G82" t="inlineStr">
        <is>
          <t>Seattle, WA</t>
        </is>
      </c>
      <c r="H82" t="inlineStr"/>
      <c r="I82" t="inlineStr">
        <is>
          <t>**Description**
 Here at Amazon, we embrace our differences. We are committed to furthering our culture of diversity and inclusion of our teams within the organization.
 How do you get items to customers quickly, cost\-effectively, and—most importantly—safely, in less than an hour? And how do you do it in a way that can scale? Our teams of hundreds of scientists, engineers, aerospace professionals, and futurists have been working hard to do just that! We are delivering to customers, and are excited for what’s to come. Check out more information about Prime Air on the About Amazon blog (https://www.aboutamazon.com/news/transportation/amazon\-prime\-air\-delivery\-drone\-reveal\-photos).
 If you are seeking an iterative environment where you can drive innovation, apply state\-of\-the\-art technologies to solve real world delivery challenges, and provide benefits to customers, Prime Air is the place for you.
 Come work on the Amazon Prime Air Team!
 We're looking for an Applied Scientist with either some background or strong interest in building simulation tools and algorithms for orchestration of a fleet of autonomous delivery drones. Managing a large number of concurrent autonomous drone flights that share airspace with other autonomous or manned aircraft is a challenging problem. Be part of the team building simulation tools and algorithms to solve this at scale.
 This role will contribute to a portfolio of simulation tools managing concurrent airspace traffic for aviation systems. The ideal candidate is comfortable with a degree of risk taking and ambiguity and able to build consensus on the critical path. If you enjoy the process of solving real\-world problems that, quite frankly, haven’t been solved at scale anywhere before, Prime Air could be the place for you. Along the way, we guarantee you’ll get opportunities to be a disruptor, prolific innovator, and a reputed problem solver and directly impact Amazon’s customer’s worldwide.
 Export Control License: This position may require a deemed export control license for compliance with applicable laws and regulations. Placement is contingent on Amazon’s ability to apply for and obtain an export control license on your behalf.
**About The Team**
 Prime air has ambitious goals to offer its service to an increasing number of customers and enabling a large number of concurrent flights is central to achieving this. To this end, the air traffic management team is building algorithms, tools and services for orchestration of prime air's autonomous drone fleet.
**Basic Qualifications**
* PhD, or Master's degree and 4\+ years of science, technology, engineering or related field experience
* Experience programming in Java, C\+\+, Python or related language
* Experience implementing algorithms using both toolkits and self\-developed code
**Preferred Qualifications**
* Experience in professional software development
* Experience in patents or publications at top\-tier peer\-reviewed conferences or journals
* Experience or strong interest in (a) building discrete event simulation tools from first principles (b) air traffic flow management (c) routing algorithms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A3057453</t>
        </is>
      </c>
    </row>
    <row r="83">
      <c r="A83" t="inlineStr">
        <is>
          <t>li-4312510376</t>
        </is>
      </c>
      <c r="B83" t="inlineStr">
        <is>
          <t>Applied Scientist, Artificial General Intelligence</t>
        </is>
      </c>
      <c r="C83" t="inlineStr">
        <is>
          <t>Amazon</t>
        </is>
      </c>
      <c r="D83" t="inlineStr">
        <is>
          <t>linkedin</t>
        </is>
      </c>
      <c r="E83">
        <f>HYPERLINK("https://www.linkedin.com/jobs/view/4312510376", "https://www.linkedin.com/jobs/view/4312510376")</f>
        <v/>
      </c>
      <c r="F83">
        <f>HYPERLINK("https://www.amazon.jobs/jobs/3104517/applied-scientist-artificial-general-intelligence?cmpid=SPLICX0248M&amp;utm_source=linkedin.com&amp;utm_campaign=cxro&amp;utm_medium=social_media&amp;utm_content=job_posting&amp;ss=paid&amp;urlHash=vwof", "https://www.amazon.jobs/jobs/3104517/applied-scientist-artificial-general-intelligence?cmpid=SPLICX0248M&amp;utm_source=linkedin.com&amp;utm_campaign=cxro&amp;utm_medium=social_media&amp;utm_content=job_posting&amp;ss=paid&amp;urlHash=vwof")</f>
        <v/>
      </c>
      <c r="G83" t="inlineStr">
        <is>
          <t>Seattle, WA</t>
        </is>
      </c>
      <c r="H83" t="inlineStr"/>
      <c r="I83" t="inlineStr">
        <is>
          <t>**Description**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
**Basic Qualifications**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A3104517</t>
        </is>
      </c>
    </row>
    <row r="84">
      <c r="A84" t="inlineStr">
        <is>
          <t>li-4261600192</t>
        </is>
      </c>
      <c r="B84" t="inlineStr">
        <is>
          <t>Senior Applied Scientist, Artificial General Intelligence</t>
        </is>
      </c>
      <c r="C84" t="inlineStr">
        <is>
          <t>Amazon</t>
        </is>
      </c>
      <c r="D84" t="inlineStr">
        <is>
          <t>linkedin</t>
        </is>
      </c>
      <c r="E84">
        <f>HYPERLINK("https://www.linkedin.com/jobs/view/4261600192", "https://www.linkedin.com/jobs/view/4261600192")</f>
        <v/>
      </c>
      <c r="F84" t="inlineStr"/>
      <c r="G84" t="inlineStr">
        <is>
          <t>Boston, MA</t>
        </is>
      </c>
      <c r="H84" t="inlineStr"/>
      <c r="I84" t="inlineStr">
        <is>
          <t>**Description**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A3029958</t>
        </is>
      </c>
    </row>
    <row r="85">
      <c r="A85" t="inlineStr">
        <is>
          <t>li-4305167259</t>
        </is>
      </c>
      <c r="B85" t="inlineStr">
        <is>
          <t>Senior Applied Scientist, Artificial General Intelligence</t>
        </is>
      </c>
      <c r="C85" t="inlineStr">
        <is>
          <t>Amazon</t>
        </is>
      </c>
      <c r="D85" t="inlineStr">
        <is>
          <t>linkedin</t>
        </is>
      </c>
      <c r="E85">
        <f>HYPERLINK("https://www.linkedin.com/jobs/view/4305167259", "https://www.linkedin.com/jobs/view/4305167259")</f>
        <v/>
      </c>
      <c r="F85" t="inlineStr"/>
      <c r="G85" t="inlineStr">
        <is>
          <t>Seattle, WA</t>
        </is>
      </c>
      <c r="H85" t="inlineStr"/>
      <c r="I85" t="inlineStr">
        <is>
          <t>**Description**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A3091494</t>
        </is>
      </c>
    </row>
    <row r="86">
      <c r="A86" t="inlineStr">
        <is>
          <t>li-4261198267</t>
        </is>
      </c>
      <c r="B86" t="inlineStr">
        <is>
          <t>Senior Applied Scientist, Artificial General Intelligence</t>
        </is>
      </c>
      <c r="C86" t="inlineStr">
        <is>
          <t>Amazon</t>
        </is>
      </c>
      <c r="D86" t="inlineStr">
        <is>
          <t>linkedin</t>
        </is>
      </c>
      <c r="E86">
        <f>HYPERLINK("https://www.linkedin.com/jobs/view/4261198267", "https://www.linkedin.com/jobs/view/4261198267")</f>
        <v/>
      </c>
      <c r="F86">
        <f>HYPERLINK("https://www.amazon.jobs/jobs/3029958/senior-applied-scientist-artificial-general-intelligence?cmpid=SPLICX0248M&amp;utm_source=linkedin.com&amp;utm_campaign=cxro&amp;utm_medium=social_media&amp;utm_content=job_posting&amp;ss=paid&amp;urlHash=amdd", "https://www.amazon.jobs/jobs/3029958/senior-applied-scientist-artificial-general-intelligence?cmpid=SPLICX0248M&amp;utm_source=linkedin.com&amp;utm_campaign=cxro&amp;utm_medium=social_media&amp;utm_content=job_posting&amp;ss=paid&amp;urlHash=amdd")</f>
        <v/>
      </c>
      <c r="G86" t="inlineStr">
        <is>
          <t>Seattle, WA</t>
        </is>
      </c>
      <c r="H86" t="inlineStr"/>
      <c r="I86" t="inlineStr">
        <is>
          <t>**Description**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A3029958</t>
        </is>
      </c>
    </row>
    <row r="87">
      <c r="A87" t="inlineStr">
        <is>
          <t>li-4305168235</t>
        </is>
      </c>
      <c r="B87" t="inlineStr">
        <is>
          <t>Senior Applied Scientist, Artificial General Intelligence</t>
        </is>
      </c>
      <c r="C87" t="inlineStr">
        <is>
          <t>Amazon</t>
        </is>
      </c>
      <c r="D87" t="inlineStr">
        <is>
          <t>linkedin</t>
        </is>
      </c>
      <c r="E87">
        <f>HYPERLINK("https://www.linkedin.com/jobs/view/4305168235", "https://www.linkedin.com/jobs/view/4305168235")</f>
        <v/>
      </c>
      <c r="F87" t="inlineStr"/>
      <c r="G87" t="inlineStr">
        <is>
          <t>Boston, MA</t>
        </is>
      </c>
      <c r="H87" t="inlineStr"/>
      <c r="I87" t="inlineStr">
        <is>
          <t>**Description**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A3091494</t>
        </is>
      </c>
    </row>
    <row r="88">
      <c r="A88" t="inlineStr">
        <is>
          <t>li-4298183643</t>
        </is>
      </c>
      <c r="B88" t="inlineStr">
        <is>
          <t>Senior Applied Scientist, Artificial General Intelligence</t>
        </is>
      </c>
      <c r="C88" t="inlineStr">
        <is>
          <t>Amazon</t>
        </is>
      </c>
      <c r="D88" t="inlineStr">
        <is>
          <t>linkedin</t>
        </is>
      </c>
      <c r="E88">
        <f>HYPERLINK("https://www.linkedin.com/jobs/view/4298183643", "https://www.linkedin.com/jobs/view/4298183643")</f>
        <v/>
      </c>
      <c r="F88">
        <f>HYPERLINK("https://www.amazon.jobs/jobs/3078169/senior-applied-scientist-artificial-general-intelligence?cmpid=SPLICX0248M&amp;utm_source=linkedin.com&amp;utm_campaign=cxro&amp;utm_medium=social_media&amp;utm_content=job_posting&amp;ss=paid&amp;urlHash=Xph4", "https://www.amazon.jobs/jobs/3078169/senior-applied-scientist-artificial-general-intelligence?cmpid=SPLICX0248M&amp;utm_source=linkedin.com&amp;utm_campaign=cxro&amp;utm_medium=social_media&amp;utm_content=job_posting&amp;ss=paid&amp;urlHash=Xph4")</f>
        <v/>
      </c>
      <c r="G88" t="inlineStr">
        <is>
          <t>Seattle, WA</t>
        </is>
      </c>
      <c r="H88" t="inlineStr"/>
      <c r="I88" t="inlineStr">
        <is>
          <t>**Description**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
**Basic Qualifications**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A3078169</t>
        </is>
      </c>
    </row>
    <row r="89">
      <c r="A89" t="inlineStr">
        <is>
          <t>li-4282815552</t>
        </is>
      </c>
      <c r="B89" t="inlineStr">
        <is>
          <t>Principal Applied Scientist (GenAI)</t>
        </is>
      </c>
      <c r="C89" t="inlineStr">
        <is>
          <t>Oracle</t>
        </is>
      </c>
      <c r="D89" t="inlineStr">
        <is>
          <t>linkedin</t>
        </is>
      </c>
      <c r="E89">
        <f>HYPERLINK("https://www.linkedin.com/jobs/view/4282815552", "https://www.linkedin.com/jobs/view/4282815552")</f>
        <v/>
      </c>
      <c r="F89" t="inlineStr"/>
      <c r="G89" t="inlineStr">
        <is>
          <t>Seattle, WA</t>
        </is>
      </c>
      <c r="H89" t="inlineStr"/>
      <c r="I89" t="inlineStr">
        <is>
          <t>**Job Description**
 We are seeking a visionary leader to spearhead image generation model research and development efforts. As the Code Assist generation model scientist lead, you will be responsible for driving the development and implementation of cutting\-edge code generation and manipulation technologies. You will lead a team of world\-class scientists in exploring new frontiers of code generation for the most popular languages simplifying documentation, unit testing, optimizing existing code, explaining code and simplifying way users interact with the database systems enabling natural language interface.
**Responsibilities**
* Research and Development: Conduct in\-depth research on code generation techniques, including code to code (Java, SQL, Python, etc.), doc to code/code to doc, and other emerging approaches.
* Model Development: Design, develop, and train state\-of\-the\-art code generation models that meet the highest quality standards.
* Team Leadership: Build and mentor a high\-performing team of scientists and engineers.
* Collaboration: Work closely with cross\-functional teams to integrate code generation capabilities into various applications and products.
* Innovation: Identify new opportunities for image generation and explore emerging technologies.
* Stay Updated: Maintain a deep understanding of industry trends and advancements in code generation.
**Qualifications and Experience:**
* PhD Computer Science, Mathematics, Statistics, Physics, Linguistics or a related field with a dissertation, thesis or final project centered in Machine Learning and Deep Learning) with 5\+ years relevant experience is preferred but not a must; OR Masters or Bachelor’s in related field with 8\+ years relevant experience
* Strong publication record, including as a lead author or reviewer, in top\-tier journals or conferences.
* Extensive experience in image generation, computer vision, and deep learning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image generation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0">
      <c r="A90" t="inlineStr">
        <is>
          <t>li-4282817462</t>
        </is>
      </c>
      <c r="B90" t="inlineStr">
        <is>
          <t>Principal Applied Scientist (GenAI)</t>
        </is>
      </c>
      <c r="C90" t="inlineStr">
        <is>
          <t>Oracle</t>
        </is>
      </c>
      <c r="D90" t="inlineStr">
        <is>
          <t>linkedin</t>
        </is>
      </c>
      <c r="E90">
        <f>HYPERLINK("https://www.linkedin.com/jobs/view/4282817462", "https://www.linkedin.com/jobs/view/4282817462")</f>
        <v/>
      </c>
      <c r="F90">
        <f>HYPERLINK("https://eeho.fa.us2.oraclecloud.com/hcmUI/CandidateExperience/en/job/304371/?utm_medium=jobboard&amp;utm_source=LinkedIn&amp;urlHash=Jqbt", "https://eeho.fa.us2.oraclecloud.com/hcmUI/CandidateExperience/en/job/304371/?utm_medium=jobboard&amp;utm_source=LinkedIn&amp;urlHash=Jqbt")</f>
        <v/>
      </c>
      <c r="G90" t="inlineStr"/>
      <c r="H90" t="inlineStr"/>
      <c r="I90" t="inlineStr">
        <is>
          <t>**Job Description**
 We are seeking a visionary leader to spearhead image generation model research and development efforts. As the Code Assist generation model scientist lead, you will be responsible for driving the development and implementation of cutting\-edge code generation and manipulation technologies. You will lead a team of world\-class scientists in exploring new frontiers of code generation for the most popular languages simplifying documentation, unit testing, optimizing existing code, explaining code and simplifying way users interact with the database systems enabling natural language interface.
**Responsibilities**
* Research and Development: Conduct in\-depth research on code generation techniques, including code to code (Java, SQL, Python, etc.), doc to code/code to doc, and other emerging approaches.
* Model Development: Design, develop, and train state\-of\-the\-art code generation models that meet the highest quality standards.
* Team Leadership: Build and mentor a high\-performing team of scientists and engineers.
* Collaboration: Work closely with cross\-functional teams to integrate code generation capabilities into various applications and products.
* Innovation: Identify new opportunities for image generation and explore emerging technologies.
* Stay Updated: Maintain a deep understanding of industry trends and advancements in code generation.
**Qualifications and Experience:**
* PhD Computer Science, Mathematics, Statistics, Physics, Linguistics or a related field with a dissertation, thesis or final project centered in Machine Learning and Deep Learning) with 5\+ years relevant experience is preferred but not a must; OR Masters or Bachelor’s in related field with 8\+ years relevant experience
* Strong publication record, including as a lead author or reviewer, in top\-tier journals or conferences.
* Extensive experience in image generation, computer vision, and deep learning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image generation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1">
      <c r="A91" t="inlineStr">
        <is>
          <t>li-4361268356</t>
        </is>
      </c>
      <c r="B91" t="inlineStr">
        <is>
          <t>Senior Applied Scientist - Health and Life Sciences</t>
        </is>
      </c>
      <c r="C91" t="inlineStr">
        <is>
          <t>Microsoft</t>
        </is>
      </c>
      <c r="D91" t="inlineStr">
        <is>
          <t>linkedin</t>
        </is>
      </c>
      <c r="E91">
        <f>HYPERLINK("https://www.linkedin.com/jobs/view/4361268356", "https://www.linkedin.com/jobs/view/4361268356")</f>
        <v/>
      </c>
      <c r="F91" t="inlineStr"/>
      <c r="G91" t="inlineStr">
        <is>
          <t>Burlington, NC</t>
        </is>
      </c>
      <c r="H91" t="inlineStr"/>
      <c r="I91" t="inlineStr">
        <is>
          <t>**Overview**
 Microsoft’s Health and Life Sciences team is dedicated to empowering healthcare organizations to achieve their goals and improve patient care. We aim to create an efficient and connected healthcare ecosystem which empowers everyone across the healthcare journey to collaborate, communicate, and innovate together to provide better experiences for their workforces and patients or members alike.
 We are looking for a
 **Senior Applied Scientist \- Health and Life Sciences** 
 to join our Dragon ASR team. In this role, you will collaborate with a highly motivated, multi\-disciplinary group of scientists and engineers, primarily based in Vienna, Austria. Our team develops interactive and ambient speech recognition technologies powering Health and Life Sciences products such as Dragon Medical One, Dragon Copilot, and PowerScribe One.
 Our Mission Is To Deliver Solutions That Not Only Address Current Challenges But Also Pave The Way For The Future. We Seek a Passionate Scientist Who Thrives On Innovation, Embraces Teamwork, And Is Committed To Excellence. The Ideal Candidate Is
* Deeply engaged with the latest advancements in AI and speech technologies
* Focused on team success, contributing to a collaborative and inclusive environment
* Skilled in delivering high\-quality, production\-ready code that drives real\-world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Bring new technology and approaches into production by applying long\-term research efforts to solve immediate product needs
* Design, implement, optimize and experimentally evaluate features related to speech recognition and voice\-driven document creation
* Analyze field data, identify problems and provide strategic direction for future\-proof solutions
* Implement and enhance tools, learning algorithms and prototypes to advance speech technology capabilities
* Work closely with speech recognition experts, product managers, and engineering teams, and effectively communicate results and ideas to peers and leadership
**Qualifications**
**Minimum qualifications**
*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5\+ years of software development experience in production environments in C\+\+ and Python
* Experience working with machine learning models in areas such as speech recognition, natural language processing, generative AI
* Proficient communication skills
* Experience with speech recognition algorithms (speech\-to\-text)
* Experience with the Azure ecosystem
* Experience with large\-scale data processing and analytics
 \#hls \#hlssp \#Health\&amp;LifeSciences \#speechrecognition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2">
      <c r="A92" t="inlineStr">
        <is>
          <t>li-4292582054</t>
        </is>
      </c>
      <c r="B92" t="inlineStr">
        <is>
          <t>Sr. Applied Scientist - Privacy, Privacy Engineering</t>
        </is>
      </c>
      <c r="C92" t="inlineStr">
        <is>
          <t>Amazon</t>
        </is>
      </c>
      <c r="D92" t="inlineStr">
        <is>
          <t>linkedin</t>
        </is>
      </c>
      <c r="E92">
        <f>HYPERLINK("https://www.linkedin.com/jobs/view/4292582054", "https://www.linkedin.com/jobs/view/4292582054")</f>
        <v/>
      </c>
      <c r="F92">
        <f>HYPERLINK("https://www.amazon.jobs/jobs/2997657/sr-applied-scientist\u002d\u002dprivacy-privacy-engineering?cmpid=SPLICX0248M&amp;utm_source=linkedin.com&amp;utm_campaign=cxro&amp;utm_medium=social_media&amp;utm_content=job_posting&amp;ss=paid&amp;urlHash=P282", "https://www.amazon.jobs/jobs/2997657/sr-applied-scientist\u002d\u002dprivacy-privacy-engineering?cmpid=SPLICX0248M&amp;utm_source=linkedin.com&amp;utm_campaign=cxro&amp;utm_medium=social_media&amp;utm_content=job_posting&amp;ss=paid&amp;urlHash=P282")</f>
        <v/>
      </c>
      <c r="G92" t="inlineStr">
        <is>
          <t>San Francisco, CA</t>
        </is>
      </c>
      <c r="H92" t="inlineStr"/>
      <c r="I92" t="inlineStr">
        <is>
          <t>**Description**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A2997657</t>
        </is>
      </c>
    </row>
    <row r="93">
      <c r="A93" t="inlineStr">
        <is>
          <t>li-4345847773</t>
        </is>
      </c>
      <c r="B93" t="inlineStr">
        <is>
          <t>Senior Applied Scientist, Security Issue Management</t>
        </is>
      </c>
      <c r="C93" t="inlineStr">
        <is>
          <t>Amazon</t>
        </is>
      </c>
      <c r="D93" t="inlineStr">
        <is>
          <t>linkedin</t>
        </is>
      </c>
      <c r="E93">
        <f>HYPERLINK("https://www.linkedin.com/jobs/view/4345847773", "https://www.linkedin.com/jobs/view/4345847773")</f>
        <v/>
      </c>
      <c r="F93">
        <f>HYPERLINK("https://www.amazon.jobs/jobs/3147630/senior-applied-scientist-security-issue-management?cmpid=SPLICX0248M&amp;utm_source=linkedin.com&amp;utm_campaign=cxro&amp;utm_medium=social_media&amp;utm_content=job_posting&amp;ss=paid&amp;urlHash=-Yo2", "https://www.amazon.jobs/jobs/3147630/senior-applied-scientist-security-issue-management?cmpid=SPLICX0248M&amp;utm_source=linkedin.com&amp;utm_campaign=cxro&amp;utm_medium=social_media&amp;utm_content=job_posting&amp;ss=paid&amp;urlHash=-Yo2")</f>
        <v/>
      </c>
      <c r="G93" t="inlineStr">
        <is>
          <t>Seattle, WA</t>
        </is>
      </c>
      <c r="H93" t="inlineStr"/>
      <c r="I93" t="inlineStr">
        <is>
          <t>**Description**
 We are open to hiring candidates to work out of one of the following locations:
 Seattle, WA, USA
 Are you interested in building Agentic AI solutions that solve complex builder experience challenges with significant global impact? The Security Tooling team designs and builds high\-performance AI systems using LLMs and machine learning that identify builder bottlenecks, automate security workflows, and optimize the software development lifecycle—empowering engineering teams worldwide to ship secure code faster while maintaining the highest security standards.
 As a Senior Applied Scientist on our Security Tooling team, you will focus on building state\-of\-the\-art ML models to enhance builder experience and productivity. You will identify builder bottlenecks and pain points across the software development lifecycle, design and apply experiments to study developer behavior, and measure the downstream impacts of security tooling on engineering velocity and code quality. Our team rewards curiosity while maintaining a laser\-focus on bringing products to market that empower builders while maintaining security excellence. Competitive candidates are responsive, flexible, and able to succeed within an open, collaborative, entrepreneurial, startup\-like environment. At the forefront of both academic and applied research in builder experience and security automation, you have the opportunity to work together with a diverse and talented team of scientists, engineers, and product managers and collaborate with other teams. This role offers a unique opportunity to work on projects that could fundamentally transform how builders interact with security tools and how organizations balance security requirements with developer productivity.
 Key job responsibilities
* Design and implement novel AI/ML solutions for complex security challenges and improve builder experience
* Drive advancements in machine learning and science
* Balance theoretical knowledge with practical implementation
* Navigate ambiguity and create clarity in early\-stage product development
* Collaborate with cross\-functional teams while fostering innovation in a collaborative work environment to deliver impactful solutions
* Design and execute experiments to evaluate the performance of different algorithms and models, and iterate quickly to improve results
* Establish best practices for ML experimentation, evaluation, development and deployment
 You’ll need a strong background in AI/ML, proven leadership skills, and the ability to translate complex concepts into actionable plans. You’ll also need to effectively translate research findings into practical solutions.
 A day in the life
* Integrate ML models into production security tooling with engineering teams
* Build and refine ML models and LLM\-based agentic systems that understand builder intent
* Create agentic AI solutions that reduce security friction while maintaining high security standards
* Prototype LLM\-powered features that automate repetitive security tasks
* Design and conduct experiments (A/B tests, observational studies) to measure downstream impacts of tooling changes on engineering productivity
* Present experimental results and recommendations to leadership and cross\-functional teams
* Gather feedback from builder communities to validate hypotheses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5\+ years of building machine learning models or developing algorithms for business application experience
* PhD, or Master's degree and 6\+ years of applied research experience
* Experience programming in Java, C\+\+, Python or related language
* Experience with neural deep learning methods and machine learning
**Preferred Qualifications**
* Experience with large scale machine learning systems such as profiling and debugging and understanding of system performance and scalability
* Experience with modeling tools such as R, scikit\-learn, Spark MLLib, MxNet, Tensorflow, numpy, scipy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A3147630</t>
        </is>
      </c>
    </row>
    <row r="94">
      <c r="A94" t="inlineStr">
        <is>
          <t>li-4046361850</t>
        </is>
      </c>
      <c r="B94" t="inlineStr">
        <is>
          <t>Principal Applied Scientist, Amazon Stores Economics &amp; Science (SEAS)</t>
        </is>
      </c>
      <c r="C94" t="inlineStr">
        <is>
          <t>Amazon</t>
        </is>
      </c>
      <c r="D94" t="inlineStr">
        <is>
          <t>linkedin</t>
        </is>
      </c>
      <c r="E94">
        <f>HYPERLINK("https://www.linkedin.com/jobs/view/4046361850", "https://www.linkedin.com/jobs/view/4046361850")</f>
        <v/>
      </c>
      <c r="F94" t="inlineStr"/>
      <c r="G94" t="inlineStr">
        <is>
          <t>Seattle, WA</t>
        </is>
      </c>
      <c r="H94" t="inlineStr"/>
      <c r="I94" t="inlineStr">
        <is>
          <t>**Description**
 Stores Economics and Science (SEAS) is an interdisciplinary science and engineering team in Amazon's Stores organization with a peak\-jumping mission: we apply expertise in science and engineering to move from local to global optima in methods, models, and software. We pursue this mission by leveraging frontier science; collaborating with partner teams; and learning from the tools, experience, and perspective of others. We scale by solving problems, first in the small to prove concepts, and then in the large by building scalable solutions. We also help other teams within Amazon scale by hiring and developing the best and embedding them in other business units. In 2024, we are focused on economics and science in areas related to (1\) improving delivery speed and lowering cost\-to\-serve, (2\) seller fees and incentives, and (3\) emerging machine learning using LLMs. We also have some ongoing and highly leveraged collaborations that help partner teams inside Amazon short\-circuit months of R\&amp;D or otherwise look around corners. We are looking for a seasoned Applied Science leader to build and deliver cutting\-edge science and engineering solutions to improve our Stores business. In this role, you will lead a team of scientists and engineers with backgrounds in machine learning, NLP, IR, statistics, and economics to identify bottlenecks in our business, conceive new ideas to overcome those challenges, and deploy scientific solutions in partnership with product teams. Your responsibilities include developing the scientific models, benchmarks, and services. Graduate education and hands\-on experience in machine learning, optimization, causal inference, Bayesian statistics, deep learning, or other quantitative scientific fields is a must. To be successful in this role, you should be a quick learner and comfortable with a high degree of ambiguity.
 Key job responsibilities
 Knowledge of causal inference and forecasting models are preferred. Practical knowledge of how we can leverage Transformers, LLMs, or other deep learning techniques for a variety of applications is a must.
**Basic Qualifications**
 10\+ years of building machine learning models for business application experience
 PhD, or Master's degree and 10\+ years of applied research experience
 Experience programming in Java, C\+\+, Python or related language
 Experience with neural deep learning methods and machine learning
**Preferred Qualifications**
 Experience with modeling tools such as R, scikit\-learn, Spark MLLib, MxNet, Tensorflow, numpy, scipy etc.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A2799703</t>
        </is>
      </c>
    </row>
    <row r="95">
      <c r="A95" t="inlineStr">
        <is>
          <t>li-4340748547</t>
        </is>
      </c>
      <c r="B95" t="inlineStr">
        <is>
          <t>Sr. Applied Scientist, Amazon Selling Partner Trust &amp; Store Integrity Science</t>
        </is>
      </c>
      <c r="C95" t="inlineStr">
        <is>
          <t>Amazon</t>
        </is>
      </c>
      <c r="D95" t="inlineStr">
        <is>
          <t>linkedin</t>
        </is>
      </c>
      <c r="E95">
        <f>HYPERLINK("https://www.linkedin.com/jobs/view/4340748547", "https://www.linkedin.com/jobs/view/4340748547")</f>
        <v/>
      </c>
      <c r="F95" t="inlineStr"/>
      <c r="G95" t="inlineStr">
        <is>
          <t>Seattle, WA</t>
        </is>
      </c>
      <c r="H95" t="inlineStr"/>
      <c r="I95" t="inlineStr">
        <is>
          <t>**Description**
 Are you passionate about applying machine learning and advanced statistical techniques to protect one of the world's largest online marketplaces? Do you want to be at the forefront of developing innovative solutions that safeguard Amazon's customers and legitimate sellers while ensuring a fair and trusted shopping experience? Do you thrive in a collaborative environment where diverse perspectives drive breakthrough solutions?
 If yes, we invite you to join the Amazon Risk Intelligence Science Team. We're seeking an exceptional scientist who can revolutionize how we protect our marketplace through intelligent automation. As a key member of our team, you'll develop and deploy state\-of\-the\-art machine learning systems that analyze millions of seller interactions daily, ensuring the integrity and trustworthiness of Amazon's marketplace while scaling our operations to new heights. Your work will directly impact the safety and security of the shopping experience for hundreds of millions of customers worldwide, while supporting the growth of honest entrepreneurs and businesses.
 Key job responsibilities
* Use machine learning and statistical techniques to create scalable abuse detection solutions that identify fraudulent seller behavior, account takeovers, and marketplace manipulation schemes
* Innovate with the latest GenAI technology to build highly automated solutions for efficient seller verification, transaction monitoring, and risk assessment
* Design, develop and deploy end\-to\-end machine learning solutions in the Amazon production environment to prevent and detect sophisticated abuse patterns across the marketplace
* Learn, explore and experiment with the latest machine learning advancements to protect customer trust and maintain marketplace integrity while supporting legitimate selling partners
* Collaborate with cross\-functional teams to develop comprehensive risk models that can adapt to evolving abuse patterns and emerging threats
**About The Team**
 You'll be working closely with business partners and engineering teams to create end\-to\-end scalable machine learning solutions that address real\-world problems. You will build scalable, efficient, and automated processes for large\-scale data analyses, model development, model validation, and model implementation.
 You will also be providing clear and compelling reports for your solutions and contributing to the ongoing innovation and knowledge\-sharing that are central to the team's success.
**Basic Qualifications**
* 4\+ years of building machine learning models for business application experience
* PhD, or Master's degree and 3\+ years of applied research experience
* Experience programming in Java, C\+\+, Python or related language
* Experience with neural deep learning methods and machine learning
* 4\+ years of applied research experience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A3134314</t>
        </is>
      </c>
    </row>
    <row r="96">
      <c r="A96" t="inlineStr">
        <is>
          <t>li-4315150137</t>
        </is>
      </c>
      <c r="B96" t="inlineStr">
        <is>
          <t>Senior Applied Scientist, Delivery Foundation Model</t>
        </is>
      </c>
      <c r="C96" t="inlineStr">
        <is>
          <t>Amazon</t>
        </is>
      </c>
      <c r="D96" t="inlineStr">
        <is>
          <t>linkedin</t>
        </is>
      </c>
      <c r="E96">
        <f>HYPERLINK("https://www.linkedin.com/jobs/view/4315150137", "https://www.linkedin.com/jobs/view/4315150137")</f>
        <v/>
      </c>
      <c r="F96">
        <f>HYPERLINK("https://www.amazon.jobs/jobs/2998435/senior-applied-scientist-delivery-foundation-model-?cmpid=SPLICX0248M&amp;utm_source=linkedin.com&amp;utm_campaign=cxro&amp;utm_medium=social_media&amp;utm_content=job_posting&amp;ss=paid&amp;urlHash=vrzT", "https://www.amazon.jobs/jobs/2998435/senior-applied-scientist-delivery-foundation-model-?cmpid=SPLICX0248M&amp;utm_source=linkedin.com&amp;utm_campaign=cxro&amp;utm_medium=social_media&amp;utm_content=job_posting&amp;ss=paid&amp;urlHash=vrzT")</f>
        <v/>
      </c>
      <c r="G96" t="inlineStr">
        <is>
          <t>Bellevue, WA</t>
        </is>
      </c>
      <c r="H96" t="inlineStr"/>
      <c r="I96"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
**Preferred Qualifications**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A2998435</t>
        </is>
      </c>
    </row>
    <row r="97">
      <c r="A97" t="inlineStr">
        <is>
          <t>li-4046361849</t>
        </is>
      </c>
      <c r="B97" t="inlineStr">
        <is>
          <t>Principal Applied Scientist, Amazon Stores Economics &amp; Science (SEAS)</t>
        </is>
      </c>
      <c r="C97" t="inlineStr">
        <is>
          <t>Amazon</t>
        </is>
      </c>
      <c r="D97" t="inlineStr">
        <is>
          <t>linkedin</t>
        </is>
      </c>
      <c r="E97">
        <f>HYPERLINK("https://www.linkedin.com/jobs/view/4046361849", "https://www.linkedin.com/jobs/view/4046361849")</f>
        <v/>
      </c>
      <c r="F97" t="inlineStr"/>
      <c r="G97" t="inlineStr">
        <is>
          <t>Palo Alto, CA</t>
        </is>
      </c>
      <c r="H97" t="inlineStr"/>
      <c r="I97" t="inlineStr">
        <is>
          <t>**Description**
 Stores Economics and Science (SEAS) is an interdisciplinary science and engineering team in Amazon's Stores organization with a peak\-jumping mission: we apply expertise in science and engineering to move from local to global optima in methods, models, and software. We pursue this mission by leveraging frontier science; collaborating with partner teams; and learning from the tools, experience, and perspective of others. We scale by solving problems, first in the small to prove concepts, and then in the large by building scalable solutions. We also help other teams within Amazon scale by hiring and developing the best and embedding them in other business units. In 2024, we are focused on economics and science in areas related to (1\) improving delivery speed and lowering cost\-to\-serve, (2\) seller fees and incentives, and (3\) emerging machine learning using LLMs. We also have some ongoing and highly leveraged collaborations that help partner teams inside Amazon short\-circuit months of R\&amp;D or otherwise look around corners. We are looking for a seasoned Applied Science leader to build and deliver cutting\-edge science and engineering solutions to improve our Stores business. In this role, you will lead a team of scientists and engineers with backgrounds in machine learning, NLP, IR, statistics, and economics to identify bottlenecks in our business, conceive new ideas to overcome those challenges, and deploy scientific solutions in partnership with product teams. Your responsibilities include developing the scientific models, benchmarks, and services. Graduate education and hands\-on experience in machine learning, optimization, causal inference, Bayesian statistics, deep learning, or other quantitative scientific fields is a must. To be successful in this role, you should be a quick learner and comfortable with a high degree of ambiguity.
 Key job responsibilities
 Knowledge of causal inference and forecasting models are preferred. Practical knowledge of how we can leverage Transformers, LLMs, or other deep learning techniques for a variety of applications is a must.
**Basic Qualifications**
 10\+ years of building machine learning models for business application experience
 PhD, or Master's degree and 10\+ years of applied research experience
 Experience programming in Java, C\+\+, Python or related language
 Experience with neural deep learning methods and machine learning
**Preferred Qualifications**
 Experience with modeling tools such as R, scikit\-learn, Spark MLLib, MxNet, Tensorflow, numpy, scipy etc.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A2799703</t>
        </is>
      </c>
    </row>
    <row r="98">
      <c r="A98" t="inlineStr">
        <is>
          <t>li-4361541498</t>
        </is>
      </c>
      <c r="B98" t="inlineStr">
        <is>
          <t>Senior AI Engineer</t>
        </is>
      </c>
      <c r="C98" t="inlineStr">
        <is>
          <t>LinkedIn</t>
        </is>
      </c>
      <c r="D98" t="inlineStr">
        <is>
          <t>linkedin</t>
        </is>
      </c>
      <c r="E98">
        <f>HYPERLINK("https://www.linkedin.com/jobs/view/4361541498", "https://www.linkedin.com/jobs/view/4361541498")</f>
        <v/>
      </c>
      <c r="F98" t="inlineStr"/>
      <c r="G98" t="inlineStr">
        <is>
          <t>Sunnyvale, CA</t>
        </is>
      </c>
      <c r="H98" t="inlineStr"/>
      <c r="I98"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This role will be based in Sunnyvale, San Francisco, Bellevue or New York City.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LinkedIn's Machine Learning Engineers are both data/research scientists and software engineers, who develop and implement machine learning models and algorithms. Unlike other companies that separate these roles, our engineers work on projects from ideation to implementation.
**Responsibilities**
* Work with BIG data, crunching millions of samples for statistical modeling, data mining, recommendation solutions
* Write production quality code and influence the next generation of LinkedIn's system
* Collaborate with 10\+ machine learning engineers to deliver impact on LinkedIn newsfeed
* Build scalable AI innovations with foundation and infra partners
**Qualifications**
 Basic Qualifications
* BA/BS Degree in Computer Science, Machine Learning or related technical discipline, or related practical experience.
* 2\+ years experience in software design, development, and algorithm related solutions.
* 2\+ years experience in programming languages such as Java, Python, etc.
* 2\+ years experience with machine learning, data mining, and information retrieval or natural language processing
**Preferred Qualifications**
* 4\+ years of relevant machine learning experience
* MS or PhD in Computer Science or related technical discipline
* Working knowledge in one or more of the following: machine learning, data mining, information retrieval, security data science, advanced statistics or natural language processing.
* Experience with iterative, test\-driven development.
* Experience with configuration management (SVN, GIT, ant, maven, etc.).
* Experience with developing and designing consumer\-facing products.
* Experience with Hadoop, Pig, or other MapReduce paradigms.
* Knowledge of internals Lucene/SOLR or other information retrieval systems.
* Published work in academic conferences or industry circles.
 Suggested Skills
* Experience in Machine Learning and Deep Learning
* Experience in Big Data
* Strong technical background \&amp; Strategic thinking
* Experience in GAI and/or LLMs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$139,000 \- $229,000\.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99">
      <c r="A99" t="inlineStr">
        <is>
          <t>li-4296873399</t>
        </is>
      </c>
      <c r="B99" t="inlineStr">
        <is>
          <t>Machine Learning Engineer, 2026 Graduate U.S.</t>
        </is>
      </c>
      <c r="C99" t="inlineStr">
        <is>
          <t>Atlassian</t>
        </is>
      </c>
      <c r="D99" t="inlineStr">
        <is>
          <t>linkedin</t>
        </is>
      </c>
      <c r="E99">
        <f>HYPERLINK("https://www.linkedin.com/jobs/view/4296873399", "https://www.linkedin.com/jobs/view/4296873399")</f>
        <v/>
      </c>
      <c r="F99">
        <f>HYPERLINK("https://campus-americas.icims.com/jobs/20906/machine-learning-engineer,-2026-graduate-u.s./job?iis=LinkedIn&amp;iisn=LinkedIn_Job_Ad&amp;mode=job&amp;urlHash=kr7q", "https://campus-americas.icims.com/jobs/20906/machine-learning-engineer,-2026-graduate-u.s./job?iis=LinkedIn&amp;iisn=LinkedIn_Job_Ad&amp;mode=job&amp;urlHash=kr7q")</f>
        <v/>
      </c>
      <c r="G99" t="inlineStr">
        <is>
          <t>San Francisco, CA</t>
        </is>
      </c>
      <c r="H99" t="inlineStr"/>
      <c r="I99" t="inlineStr">
        <is>
          <t>****Overview****
**Working at Atlassian**
 Atlassians have the flexibility to work where they can collaborate most effectively with their team, whether at home, one of our global offices, or both.
 As a distributed\-first company, all interviews are conducted virtually. We hire in any country where we have a legal entity. Learn how we work at go.atlassian.com/distributed .
**Your Future Org**
 Atlassian’s Grad\+\+ program combines hands\-on technical training, professional growth opportunities, dedicated mentorship, and strong social connections. This holistic approach empowers students to hit the ground running and sets them up for a successful and impactful career at Atlassian!
 This role is located in San Francisco or Seattle. You must be willing and able to work within 25 miles of either our Seattle or San Francisco graduate hub office to qualify. All Graduates located within 25mi will receive a Hub bonus.
 This position is not eligible for F1 and J1 students. It is not available for any work sponsorship.
****Responsibilities****
**Your future team**
 At Atlassian, our machine learning teams tackle business and product challenges across the company. Collaborating with stakeholders in Growth, GTM, Product, Finance, and Sales, we deliver machine learning infrastructure and model applications. Our teams, comprised of ML engineers and system engineers, foster collaboration, knowledge sharing, and individual growth. They operate nimbly, emphasizing speed from conceptualization to initial output while maintaining a strong focus on business impact. This role offers a unique chance to work in a collaborative environment and implement cutting\-edge machine learning techniques, including search/recommendation engines, GenAI applications, LLM training, and more.
****Responsibilities****
* Focus on Machine Learning applications and ideas for recommendation and personalization
* Build machine learning models and work on Generative AI projects
* Translate business problems into technical solutions
****Minimum Qualifications****
* Pursuing a masters or bachelors degree in a quantitative subject (Mathematics, Computer Science, Statistics, Machine Learning, Operations Research, or relevant work experience)
* Experience writing software with minimal bugs in Python, Scala, or Spark; SQL experience a bonus
* Experience building machine learning models in academic coursework or related industry intern experience
* Currently enrolled in a full\-time masters degree program and graduating by June 2026
****Qualifications****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$142,200 \- $189,600
 Zone B: $128,000 \- $170,600
 Zone C: $118,000 \- $157,400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 
 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100">
      <c r="A100" t="inlineStr">
        <is>
          <t>li-4345933142</t>
        </is>
      </c>
      <c r="B100" t="inlineStr">
        <is>
          <t>Machine Learning Engineer</t>
        </is>
      </c>
      <c r="C100" t="inlineStr">
        <is>
          <t>Ibotta</t>
        </is>
      </c>
      <c r="D100" t="inlineStr">
        <is>
          <t>linkedin</t>
        </is>
      </c>
      <c r="E100">
        <f>HYPERLINK("https://www.linkedin.com/jobs/view/4345933142", "https://www.linkedin.com/jobs/view/4345933142")</f>
        <v/>
      </c>
      <c r="F100" t="inlineStr"/>
      <c r="G100" t="inlineStr">
        <is>
          <t>Denver, CO</t>
        </is>
      </c>
      <c r="H100" t="inlineStr"/>
      <c r="I100" t="inlineStr">
        <is>
          <t>Ibotta is seeking a Machine Learning Engineer to join our Core Data \&amp; Analytics team and contribute to our mission to Make Every Purchase Rewarding. We’re looking for someone who has a passion for building scalable machine learning solutions using technologies such as Python, Spark, AWS, Sagemaker, etc.
 As an ML Engineer, you will be responsible for using the latest developments in machine learning to build accurate and reliable machine learning models for use throughout the organization. This role will immediately impact ML strategy and drive impact through the support, guidance, and collaboration with multiple teams as part of our analytics organization. You’ll be able to advance not only your technical skills, but your organizational and leadership skills as well, by contributing to the creation of best practices for the team and company, and learning from the more senior machine learning engineers, data scientists and managers on the team.
 This position is located in Denver, Colorado as a hybrid position requiring 3 days in office (Tuesday, Wednesday, and Thursday). Candidates must live in the United States.
**What you will be doing:**
* Design, develop and deploy large scale, big data\-driven machine learning models that are integrated with key product features
* Build and scale ML related infrastructure to help streamline the development, evaluation, deployment, and re\-usability of core ML features and services
* Communicate complex machine learning solutions, concepts and the results of analyses in a clear and effective manner to business stakeholders and technology leaders to maximize the effectiveness of machine learning initiatives
* Analyze, and at times build, large and novel datasets to extract actionable insights to inform model development and understand customer behavior and or product performance
* Collaborate with Machine Learning Engineers and Data Scientists to establish standards and solutions that scale and can be leveraged in various initiatives throughout the organization
* Embrace and uphold Ibotta’s Core Values: Integrity, Boldness, Ownership, Teamwork, Transparency and A good idea can come from anywhere
**What we are looking for:**
* 2\+ years of professional experience as a Machine Learning Engineer, Data Scientist, or equivalent role, focusing on machine learning, statistical modeling, and/or ML infrastructure
* Bachelor’s Degree in Computer Science, Mathematics, Analytics, or related field required
* Strong SQL knowledge and experience with manipulating complex data to apply business rules for improved feature engineering within data lakes, distributed systems, and data streams
* Proficiency in Python
* Experience working with machine learning frameworks (e.g. scikit\-learn, xgboost) and distributed big\-data tools (Spark, Hive)
* Experience building and maintaining realtime model endpoints/APIs
* Ability to communicate complex, technical machine learning implementations to diverse audiences
* Experience working with version control systems (e.g. git) and CI/CD for machine learning pipelines
* A love of learning and continuous development, including staying at the forefront of the latest advances in data science and machine learning
* Ability to think critically and leverage domain expertise to build machine learning powered applications that help to achieve high\-level business objectives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 all while paying only when their campaigns directly result in a sale. American shoppers have earned over $1\.8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**Additional Details:**
* This position is located in Denver, CO and includes competitive pay, flexible time off, benefits package (including medical, dental, vision), Lifestyle Spending Account, Employee Stock Purchase Program, and 401k match. Denver office perks include paid parking, snacks, and occasional meals.
* Base compensation range: $136,000 \- $158,000\. Equity is included in overall compensation package. This compensation range is specific to the United States labor market and may be adjusted based on actual experience.
* Ibotta is an Equal Opportunity Employer. Ibotta’s employment decisions are made without regard of race, color, religion, national origin, age, sex, marital status, ancestry, physical or mental disability, veteran status, gender identity, sexual orientation, or any other legally protected status.
* Applicants must be currently authorized to work in the United States on a full\-time basis.
* Applicants are accepted until the position is filled.
* For the security of our employees and the business, all employees are responsible for the secure handling of data in accordance with our security policies, identifying and reporting phishing attempts, as well as reporting security incidents to the proper channels.
**Recruiting Agency Notice**
 Ibotta does not accept agency resumes and is not responsible for any fees related to unsolicited resumes. Please do not forward resumes to any Ibotta employees.
 \#BI\-Hybrid</t>
        </is>
      </c>
    </row>
    <row r="101">
      <c r="A101" t="inlineStr">
        <is>
          <t>li-4361362250</t>
        </is>
      </c>
      <c r="B101" t="inlineStr">
        <is>
          <t>Machine Learning Engineer</t>
        </is>
      </c>
      <c r="C101" t="inlineStr">
        <is>
          <t>AllCloud</t>
        </is>
      </c>
      <c r="D101" t="inlineStr">
        <is>
          <t>linkedin</t>
        </is>
      </c>
      <c r="E101">
        <f>HYPERLINK("https://www.linkedin.com/jobs/view/4361362250", "https://www.linkedin.com/jobs/view/4361362250")</f>
        <v/>
      </c>
      <c r="F101" t="inlineStr"/>
      <c r="G101" t="inlineStr"/>
      <c r="H101" t="inlineStr"/>
      <c r="I101" t="inlineStr">
        <is>
          <t>**Machine Learning Engineer** 
**Location: US / Canada (Eastern Time) \- Home based** 
**Job Type: Full\-time, Permanent** 
**About AllCloud** 
 AllCloud is a global professional services company providing organizations with cloud enablement and transformation. Through a unique combination of expertise and agility, AllCloud accelerates cloud innovation and helps organizations fully unlock the value received from cloud technology and data and analytics.
 As an AWS Premier Consulting Partner and audited MSP, a Salesforce Platinum Partner and Snowflake Premier Partner, AllCloud helps clients connect their front office and back office by building a new operating model that allows them to harness the benefits of cloud technology. AllCloud is supported by a robust ecosystem of technology partners, proven methodologies, and well\-documented best practices. Thereby elevating customers by achieving operational excellence on the cloud, within a secure environment, at every milestone of the journey to becoming cloud first.
 With years of experience and a portfolio of thousands of successful cloud deployments, AllCloud serves clients across the globe. AllCloud has offices in Israel, Europe and North America
**Job Summary** 
 We are looking for a savvy Machine Learning/Data Engineer to join our growing team of data experts. The hire will be primarily responsible for AI/ML projects on AWS leveraging native services as well as custom built models to deliver predictive insights to our customers. In addition, this hire will also support migrating to the cloud, optimizing our customers’ databases and data flows, and enriching our operational and functional data flow with AI/ML algorithms.
 The ideal candidate is confident in data in any form or scale and happy to learn and teach new data tools. The candidate enjoys optimizing data systems and building them from the ground up. The Machine Learning Engineer will support new systems designs and migrate existing ones, working closely with solutions architects, project managers, and data scientists. They must be self\-directed and comfortable supporting the data needs of multiple teams, systems, and products. The right candidate will be excited by the prospect of optimizing or re\-designing our customers’ data architecture to support our next generation of products and data initiatives, and machine learning systems.
**Responsibilities** 
* Keep our customers’ data separated and secure to meet compliance and regulations requirements.
* Design, Build and Operate the infrastructure required for optimal extraction, transformation, and loading of data from a wide variety of data sources using SQL and cloud (mainly AWS) migration and ‘big data’ technologies.
* Optimize various RDBMS engines in the cloud and solve customers' security, performance, and operation problems.
* Design, Build and Operate large, complex data lakes that meet functional / non\-functional business requirements.
* Optimize various data types ingestion, storage, processing, and retrieval from near real\-time events and IoT to unstructured data as images, audio, video and documents, and in between.
* Use Jupyter Notebooks to build and deploy ML models.
* Leverage AWS AI/ML pre built solutions to accelerate work for customers
* Work with customers and internal stakeholders, including the Executive, Product, Data, Software Development, and Design teams, to assist with data\-related technical issues and support their data infrastructure and business needs.
**Summary of Key Requirements** 
* We seek a candidate with 3\+ years of experience in a Data Scientist/Machine Learning Engineer role who has attained a Bachelor's (Graduate preferred) degree in Computer Science, Mathematics, Informatics, Information Systems, or another quantitative field. They should also have experience using the following software/tools:
* Experience with big data tools: Spark, ElasticSearch, Hadoop, Kafka, Kinesis etc.
* Experience with relational SQL and NoSQL databases, such as MySQL or Postgres and DynamoDB or Cassandra.
* Experience with AWS cloud services: EC2, RDS, EMR, Redshift etc.
* Experience with functional and scripting languages: Python, Java, Scala, etc.
* Experience with various ML models for classification, scoring and more.
* Experience with Deep Learning Neural Networks (Convolution, NLP etc.)
* Experience with AWS AI/ML Services
* Experience with Python coding
* Advanced working SQL knowledge and experience working with relational databases, query authoring (SQL) as well as working familiarity with a variety of databases.
* Experience building and optimizing ‘big data’ data pipelines, architectures and data sets.
* Strong analytic skills related to working with unstructured datasets.
* Build processes supporting data transformation, data structures, metadata, dependency and workload management.
* Working knowledge of message queuing, stream processing, and highly scalable ‘big data’ data stores.
* Experience supporting and working with external customers in a dynamic environment.
**Certifications** 
* AWS Machine Learning Specialty (Strongly Preferred)
* AWS Solutions Architect \- Associate (Strongly Preferred)
**Why work for us?** 
 Our team inspires progress in each other and in our customers through our relentless pursuit of excellence; you will work with leaders who promote learning and personal development.
*AllCloud is an Equal Opportunity Employer and considers applicants for employment without regard to race, color, religion, sex, orientation, national origin, age, disability, genetics or any other basis forbidden under federal, provincial, or local law.*</t>
        </is>
      </c>
    </row>
    <row r="102">
      <c r="A102" t="inlineStr">
        <is>
          <t>li-4354786006</t>
        </is>
      </c>
      <c r="B102" t="inlineStr">
        <is>
          <t>ML Engineer (Remote, USA)</t>
        </is>
      </c>
      <c r="C102" t="inlineStr">
        <is>
          <t>HR POD Careers</t>
        </is>
      </c>
      <c r="D102" t="inlineStr">
        <is>
          <t>linkedin</t>
        </is>
      </c>
      <c r="E102">
        <f>HYPERLINK("https://www.linkedin.com/jobs/view/4354786006", "https://www.linkedin.com/jobs/view/4354786006")</f>
        <v/>
      </c>
      <c r="F102" t="inlineStr"/>
      <c r="G102" t="inlineStr">
        <is>
          <t>Washington, DC</t>
        </is>
      </c>
      <c r="H102" t="inlineStr"/>
      <c r="I102" t="inlineStr">
        <is>
          <t>**Requirements:**
* BS/MS in Computer Science, Statistics, Electrical/Computer Engineering, Mathematics, or a related field.
* 4\+ years of experience after BS/MS.
* Strong software engineering fundamentals role involves research as well as writing production\-grade code.
* Knowledge of common challenges in training machine learning models and best\-practice solutions.
* Familiarity with deep learning concepts such as Transformers, Retrieval\-Augmented Generation (RAG), and Mixture of Experts (MoE).
* Proficiency in data/ML libraries such as pandas, transformers, and torch.
* Hands\-on experience training ML systems end\-to\-end, from data curation to evaluation and deployment.
* Ability to collaborate effectively with cross\-functional teams.
* PhD in Computer Science/Engineering with 1\+ years of industry experience (preferred).
* Publications in top\-tier venues such as ACL, NAACL, EMNLP, NeurIPS, ICML, or ICLR as a key author.
* Experience working as an ML engineer in an early\-stage, high\-growth environment.
* Expertise includes embedding models, rerankers, multimodal retrieval, question answering, reasoning, vector databases, and BM25\.
* Skilled in planning and reasoning in LLMs, multilinguality in LLMs, and NLG evaluation, including hallucination detection.
**Responsibilities:**
* Design, prototype, research, and build AI systems for the Company.
* Train, evaluate, and deploy ML models in Natural Language Processing, Information Retrieval, AI Agents, Large Language Models (LLMs), and Multimodal Large Models (MLMs).
* Improve the quality of the Company's RAG\-as\-a\-service platform, including areas such as multilinguality, self\-supervised learning, agentic behavior, and hallucination reduction.
* Publish technical blogs, research papers, and patents.</t>
        </is>
      </c>
    </row>
    <row r="103">
      <c r="A103" t="inlineStr">
        <is>
          <t>li-4361520216</t>
        </is>
      </c>
      <c r="B103" t="inlineStr">
        <is>
          <t>Machine Learning Engineer, Sr.</t>
        </is>
      </c>
      <c r="C103" t="inlineStr">
        <is>
          <t>Red Hat</t>
        </is>
      </c>
      <c r="D103" t="inlineStr">
        <is>
          <t>linkedin</t>
        </is>
      </c>
      <c r="E103">
        <f>HYPERLINK("https://www.linkedin.com/jobs/view/4361520216", "https://www.linkedin.com/jobs/view/4361520216")</f>
        <v/>
      </c>
      <c r="F103">
        <f>HYPERLINK("https://www.wiraa.com/job-description/usF8413CB5BAA51DB095BAC74F2D76BDD9?source=Linkedin&amp;urlHash=mMAt", "https://www.wiraa.com/job-description/usF8413CB5BAA51DB095BAC74F2D76BDD9?source=Linkedin&amp;urlHash=mMAt")</f>
        <v/>
      </c>
      <c r="G103" t="inlineStr"/>
      <c r="H103" t="inlineStr"/>
      <c r="I103" t="inlineStr">
        <is>
          <t>**About The Company** 
 Red Hat is a global leader in enterprise open source software solutions, renowned for its innovative approach to delivering high\-performance Linux, cloud, container, and Kubernetes technologies. With a presence in over 40 countries, Red Hat fosters a culture of collaboration, transparency, and inclusion, empowering a diverse community of talented professionals. The company’s open source philosophy encourages creativity, knowledge sharing, and continuous improvement, making it a preferred employer for those passionate about technology and open innovation. Red Hat’s commitment to open source principles ensures that its solutions are flexible, scalable, and adaptable to meet the evolving needs of enterprises worldwide.
**About The Role** 
 We are seeking a highly skilled Machine Learning Engineer with expertise in vLLM to join our innovative team focused on advancing open\-source AI technologies. In this role, you will be at the forefront of developing and optimizing large language model inference systems, contributing to the core vLLM open\-source project that is poised to become one of the most influential in the AI community by 2025\. Your work will involve designing high\-performance algorithms, optimizing GPU kernels, and collaborating with a talented team to push the boundaries of AI deployment efficiency. This position offers a unique opportunity to influence the future of AI by working on cutting\-edge techniques such as model quantization, sparsification, and distributed computing, all within an open\-source environment that values collaboration and continuous learning.
**Qualifications** 
* Bachelor’s or Master’s degree in Computer Science, Computer Engineering, or a related field. A PhD in a machine learning domain is a plus.
* Extensive experience in writing high\-performance code for GPUs, with deep knowledge of GPU hardware architecture.
* Strong understanding of computer architecture, parallel processing, and distributed computing concepts.
* Proficiency with tensor math libraries such as PyTorch.
* Experience in GPU performance optimization, including kernel optimization for deep neural networks.
* Familiarity with NVIDIA Nsight or similar profiling tools is advantageous.
* Solid understanding of LLM inference optimization techniques such as continuous batching, PagedAttention, quantization, and tensor parallelism.
* Experience with non\-NVIDIA hardware (AMD ROCm, TPUs) is a plus.
* Excellent communication skills, capable of working effectively with both technical and non\-technical team members.
**Responsibilities** 
* Develop and maintain high\-performance Python and C\+\+ codebases for vLLM systems, focusing on inference primitives and optimization algorithms.
* Design, implement, and test inference optimization techniques to enhance model performance and efficiency.
* Engage in technical design discussions, providing innovative solutions to complex challenges in model deployment.
* Act as a core contributor to the vLLM open\-source project by reviewing pull requests, authoring RFCs, and mentoring external contributors.
* Collaborate with cross\-functional teams to integrate new features and performance improvements into the platform.
* Mentor junior engineers, fostering a culture of continuous learning, innovation, and knowledge sharing.
* Conduct performance analysis and modeling to identify bottlenecks and optimize resource utilization on GPU hardware.
**Benefits** 
* Comprehensive medical, dental, and vision coverage.
* Flexible Spending Account (FSA) for healthcare and dependent care expenses.
* Health Savings Account (HSA) for high deductible medical plans.
* Retirement 401(k) plan with employer matching contributions.
* Paid time off, holidays, and paid parental leave for new parents.
* Additional benefits including disability leave, family medical leave, military leave, employee stock purchase plan, tuition reimbursement, and transportation expense accounts.
* Supportive work environment that promotes work\-life balance and professional growth.
 Equal Opportunity
 Red Hat is proud to be an equal opportunity workplace and an affirmative action employer. We are committed to fostering an inclusive environment where all individuals are treated with respect and fairness. Applications are reviewed without regard to race, color, religion, sex, sexual orientation, gender identity, national origin, ancestry, citizenship, age, veteran status, genetic information, disability, medical condition, marital status, or any other legally protected characteristic.</t>
        </is>
      </c>
    </row>
    <row r="104">
      <c r="A104" t="inlineStr">
        <is>
          <t>li-4361531498</t>
        </is>
      </c>
      <c r="B104" t="inlineStr">
        <is>
          <t>Principal AI Engineer, Ads AI</t>
        </is>
      </c>
      <c r="C104" t="inlineStr">
        <is>
          <t>LinkedIn</t>
        </is>
      </c>
      <c r="D104" t="inlineStr">
        <is>
          <t>linkedin</t>
        </is>
      </c>
      <c r="E104">
        <f>HYPERLINK("https://www.linkedin.com/jobs/view/4361531498", "https://www.linkedin.com/jobs/view/4361531498")</f>
        <v/>
      </c>
      <c r="F104" t="inlineStr"/>
      <c r="G104" t="inlineStr">
        <is>
          <t>New York, NY</t>
        </is>
      </c>
      <c r="H104" t="inlineStr"/>
      <c r="I104"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**Team Overview:**
 The Assets, Formats \&amp; Placements team is part of our LinkedIn Marketing Solutions (Ads Technology) group. This team has a vision of building a content onboarding and asset generation platform, innovating in new ad formats and experimenting with new ad slot supply that can be monetized.
 The team also owns vertical products like hosting live events and B2B marketing aspects for those events and the strategy to monetize creators \&amp; publishers that post high quality video content on LinkedIn.
**Location:**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will  be based in
 **New York, NY** 
 .
**Responsibilities:**
 As a Principal AI Engineer you will be setting the technical direction and foundation to build and own algorithms, models, and systems that power our LinkedIn ad tech platform. We are looking for a high performing and high ambition tech lead who will use AI/ML to push the boundaries of our ad stack and meet the future needs of our B2B advertisers.
* Define and execute technical vision for applying AI to accelerate the team’s roadmap which includes asset generation using LLMs, personalizing ads at scale and new workflows that guide advertisers to building higher performing ads.
* Mentor and work with other Sr. Staff SWEs in the team to establish quality norms, processes and build a culture of operational excellence.
* Partner with Product, Data Science, and AI Research teams to translate business goals into scalable AI\-powered capabilities that improve the advertiser experience \&amp; ROI.
* Establish best practices for experimentation, model evaluation, and responsible AI within the asset generation, ads personalization and supply expansion spaces.
**Qualifications**
**Basic Qualifications:**
* 5\+ years as a Technical Leader (L7, Senior Staff, Principal, etc.)
* 7\+ years of industry experience with Machine Learning, AI, Data Engineering, or related solutions.
* Bachelor of Science (or higher, e.g., MS, or PhD) in Computer Science or related technical field involving coding, or equivalent technical experience.
**Preferred Qualifications:**
* 10\+ years of industry experience (AI, Machine Learning, Data Science, or related) including prior experience working in the Tech domain.
* Master’s or PhD in Computer Science or a related discipline.
* BS and 12\+ years of relevant work experience, MS and 10\+ years of relevant work experience, or PhD and 8\+ years of relevant work experience.
* Previous design and implementation of solutions in highly distributed environments.
* Experience in the Advertising and Marketing domain.
* Prior work designing and building scalable agentic systems.
**Skills:**
* Technical Leadership
* AI Engineering
* Enterprise ML Solutions
**You will Benefit from our Culture:**
 We strongly believe in the well\-being of our employees and their families. That is why we offer generous health and wellness programs and time away for employees of all levels.
**Compensation:**
 LinkedIn is committed to fair and equitable compensation practices.
 The pay range for this role is $207,000 to $340,000\.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05">
      <c r="A105" t="inlineStr">
        <is>
          <t>li-4361500813</t>
        </is>
      </c>
      <c r="B105" t="inlineStr">
        <is>
          <t>Machine Learning Engineer II</t>
        </is>
      </c>
      <c r="C105" t="inlineStr">
        <is>
          <t>Uber</t>
        </is>
      </c>
      <c r="D105" t="inlineStr">
        <is>
          <t>linkedin</t>
        </is>
      </c>
      <c r="E105">
        <f>HYPERLINK("https://www.linkedin.com/jobs/view/4361500813", "https://www.linkedin.com/jobs/view/4361500813")</f>
        <v/>
      </c>
      <c r="F105" t="inlineStr"/>
      <c r="G105" t="inlineStr">
        <is>
          <t>San Francisco, CA</t>
        </is>
      </c>
      <c r="H105" t="inlineStr"/>
      <c r="I105" t="inlineStr">
        <is>
          <t>**About The Role**
 Uber Marketplace is at the core of Uber's business, and Delivery Pricing is a strategically critical component of Marketplace. The mission of the team is to foster growth and increase profitability of Uber by pushing the frontiers of machine learning, data science, and economics and developing highly reliable and scalable platforms to accelerate Uber's impact on the transportation industry.This role will drive high\-impact projects to optimize pricing at Uber using optimization, machine learning, and causal inference. We are looking for individuals who not only excel in problem solving and critical thinking, but also are interested and proficient in writing production code, converting ideas to scalable systems.
**What You Will Do**
* Problem Formulation: Partner with Scientists, Product Managers, and stakeholders to translate ambiguous business challenges into concrete ML formulations, system designs, and data requirements
* Build \&amp; Deploy: Design, build, and deploy the end\-to\-end infrastructure and services that power our real\-time pricing models at a global scale
* Productionize ML: Own the full production lifecycle of machine learning models. This includes building scalable training/inference pipelines, optimizing models for low\-latency serving, and setting up robust monitoring to ensure system health and reliability
* Engineer Data: Develop and maintain the complex feature engineering pipelines that feed our models, working with both batch and near\-real\-time data sources
**Basic Qualifications**
* Master's/Bachelor's degree in a similar field with 2\+ years of relevant industry experience OR Ph.D. in a quantitative field (e.g., Computer Science, Engineering, Mathematics)
* Strong programming skills e.g. Python and a deep understanding of object\-oriented design, data structures, and algorithms
* Solid knowledge of machine learning fundamentals (e.g., model types, feature engineering, evaluation metrics)
**Preferred Qualifications**
* Hands\-on experience building and deploying machine learning models in a production environment
* Experience with high\-performance backend languages (e.g., Java, Go, C\+\+) for low\-latency microservices
* Experience with large\-scale data processing and training systems (e.g., Spark, Hive, Presto)
* Proven ability to work with Product Managers and partner with Scientists to translate research and business needs into scalable engineering solutions
* Excellent communication skills, with the ability to convey complex technical concepts to diverse audiences
 For New York, NY\-based roles: The base salary range for this role is USD$167,000 per year \- USD$185,500 per year. For San Francisco,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06">
      <c r="A106" t="inlineStr">
        <is>
          <t>li-4354775737</t>
        </is>
      </c>
      <c r="B106" t="inlineStr">
        <is>
          <t>Machine Learning Engineer</t>
        </is>
      </c>
      <c r="C106" t="inlineStr">
        <is>
          <t>XponentL Data</t>
        </is>
      </c>
      <c r="D106" t="inlineStr">
        <is>
          <t>linkedin</t>
        </is>
      </c>
      <c r="E106">
        <f>HYPERLINK("https://www.linkedin.com/jobs/view/4354775737", "https://www.linkedin.com/jobs/view/4354775737")</f>
        <v/>
      </c>
      <c r="F106" t="inlineStr"/>
      <c r="G106" t="inlineStr"/>
      <c r="H106" t="inlineStr"/>
      <c r="I106" t="inlineStr">
        <is>
          <t>**Job Title:** 
 MLOps Engineer – AI/ML Fraud Detection (Wealth Management)
**Location:** 
 US (Remote)
**Overview:** 
 We are seeking an MLOps Engineer to support real\-time AI/ML fraud detection platforms within a Wealth Management and Financial Services environment. This role focuses on operationalizing machine learning models, building scalable SageMaker pipelines, and enabling high\-quality feature engineering to ensure models move reliably from experimentation to secure, compliant production environments.
**Key Responsibilities:** 
* **MLOps \&amp; Model Operations:** 
 Build and maintain end\-to\-end pipelines for fraud detection, managing the full lifecycle including validation, deployment, and retraining.
* **AWS SageMaker Engineering:** 
 Design and implement SageMaker Pipelines and Processing jobs to automate training and scalable data preparation workflows.
* **Feature Engineering:** 
 Design and optimize feature pipelines to ensure high\-quality, explainable data and consistency between training and real\-time inference.
* **Infrastructure \&amp; Traceability:** 
 Ensure reproducibility and versioning across all ML workflows while maintaining high availability for mission\-critical fraud systems.
* **Compliance \&amp; Governance:** 
 Apply FSI\-regulated best practices, supporting audit requirements and security reviews typical of wealth management platforms.
* **Strategic Collaboration:** 
 Partner with data scientists and platform teams to bridge the gap between model research and production\-grade engineering.
**Qualifications:** 
* **Experience:** 
 4\+ years in MLOps, ML Engineering, or related roles with a proven track record of operationalizing models in production.
* **Technical Skills:** 
 Expert proficiency in Python for ML and hands\-on experience with AWS SageMaker (Pipelines, Processing, and deployment).
* **Domain Expertise:** 
 Experience in Financial Services (FSI), specifically regarding AI/ML\-driven fraud prevention or transaction\-risk monitoring.
* **Systems Design:** 
 Strong understanding of real\-time data orchestration, model monitoring, and feature store management.
**Education \&amp; Requirements:** 
* Bachelor’s degree in Computer Science, Data Science, or Engineering (or equivalent experience).
* Candidates must possess strong documentation skills and the ability to pass a comprehensive background check required for high\-trust, regulated financial environments.</t>
        </is>
      </c>
    </row>
    <row r="107">
      <c r="A107" t="inlineStr">
        <is>
          <t>li-4258154667</t>
        </is>
      </c>
      <c r="B107" t="inlineStr">
        <is>
          <t>Machine Learning Engineer II/III</t>
        </is>
      </c>
      <c r="C107" t="inlineStr">
        <is>
          <t>PathAI</t>
        </is>
      </c>
      <c r="D107" t="inlineStr">
        <is>
          <t>linkedin</t>
        </is>
      </c>
      <c r="E107">
        <f>HYPERLINK("https://www.linkedin.com/jobs/view/4258154667", "https://www.linkedin.com/jobs/view/4258154667")</f>
        <v/>
      </c>
      <c r="F107" t="inlineStr"/>
      <c r="G107" t="inlineStr"/>
      <c r="H107" t="inlineStr"/>
      <c r="I107" t="inlineStr">
        <is>
          <t>Who We Are
 PathAI's mission is to improve patient outcomes with AI\-powered pathology. Our platform promises substantial improvements to the accuracy of diagnosis and the efficacy of treatment of diseases like cancer, leveraging modern approaches in machine learning and artificial intelligence. We have a track record of success in deploying AI algorithms for histopathology in translational research, pathology labs and clinical trials. Rigorous science and careful analysis is critical to the success of everything we do. Our team, composed of diverse employees with a wide range of backgrounds and experiences, is passionate about solving challenging problems and making a huge impact on patient outcomes.
 Where You Fit
 We are seeking Machine Learning Engineers (MLE II, and III) to join our team and tackle unique machine learning challenges to advance medicine and improve patient care. You will work closely with teams across biomedical data science, product development, translational research, MLOps, and platform engineering to develop and deploy machine learning models for our AI products and services.
 What You’ll Do
 As an MLE at PathAI, your responsibilities will grow in scope as you progress through levels:
* Design, develop, and deploy machine learning models for research and product development projects.
* Collaborate cross\-functionally with scientists, engineers, and product teams to translate biological and clinical requirements into scalable ML solutions.
* Contribute to experimental design and analysis, including ideation, documentation, and reporting.
* Participate in knowledge sharing and team initiatives (e.g., design reviews, journal clubs, ML best practices, governance activities).
* Improve ML pipelines and infrastructure in partnership with MLOps and platform teams.
* Publish and present scientific work, supporting abstracts, manuscripts, and conference contributions.
**Level\-specific Expectations**
* MLE I: Contribute to projects with guidance, implement models, and learn best practices.
* MLE II: Independently deliver on projects, improve processes, and mentor junior engineers.
* MLE III: Lead initiatives end\-to\-end, set technical direction, and identify new opportunities with clear business and scientific impact.
 You will have the opportunity to work in a company where all employees put patients first. We believe that every team member provides valuable contributions to our success, and no task is too small for anyone if it's important to our company goals. Every PathAI employee is a contributor to our mission to pioneer better patient care by providing the best, most innovative AI tools to biotech, pathologists, clinicians and healthcare organizations. You will work alongside and with leading innovators in the field of AI and medicine and you will play a critical role in product development to impact patient outcomes.
 What You Bring
 We welcome applicants across all MLE levels. Minimum qualifications differ by level:
**Mle Ii**
* Master’s degree plus 2–4 years of experience, or Ph.D. with 0–2 years of experience.
* Proven track record of developing and deploying machine learning models into production or research applications.
* Strong proficiency in Python, ML frameworks, and data pipeline development.
* Demonstrated ability to work independently on projects, contribute to experimental design, and improve ML workflows.
* Strong communication skills and ability to collaborate across scientific and engineering teams.
**MLE III**
* Master’s degree plus 5\+ years of experience, or Ph.D. with 3\+ years of experience.
* Deep expertise in ML, computer vision, or biomedical AI, with a history of high\-impact contributions (publications, open\-source, or products).
* Mastery of ML frameworks, software engineering best practices, and deployment pipelines.
* Ability to lead end\-to\-end projects, mentor others, and set technical direction.
* Experience articulating technical improvements into business or clinical impact.
* Strong record of contributions to scientific strategy (abstracts, manuscripts, conference presentations).
 We Want To Hear From You
 At PathAI, we are looking for individuals who are team players, are willing to do the work no matter how big or small it may be, and who are passionate about everything they do. If this sounds like you, even if you may not match the job description to a tee, we encourage you to apply. You could be exactly what we're looking for.
*PathAI is an equal opportunity employer, dedicated to creating a workplace that is free of harassment and discrimination. We base our employment decisions on business needs, job requirements, and qualifications — that's all. We do not discriminate based on race, gender, religion, health, personal beliefs, age, family or parental status, or any other status. We don't tolerate any kind of discrimination or bias, and we are looking for teammates who feel the same way.*
 The cash compensation outlined below includes base salary or hourly wage and on\-target commission for employees in eligible roles. The summary below indicates if an employee in this position is eligible for annual bonus, overtime pay and equity awards. Individual compensation packages are tailored based on skills, experience, qualifications, and other job\-related factors.
**Annual Pay Range**
 Machine Learning Engineer II: $107,250 \- $164,450
 Machine Learning Engineer III: $130,500 \- $200,100
 Not Overtime Eligible
 Eligible for Equity</t>
        </is>
      </c>
    </row>
    <row r="108">
      <c r="A108" t="inlineStr">
        <is>
          <t>li-4361512885</t>
        </is>
      </c>
      <c r="B108" t="inlineStr">
        <is>
          <t>Senior Machine Learning Engineer</t>
        </is>
      </c>
      <c r="C108" t="inlineStr">
        <is>
          <t>Edison Smart®</t>
        </is>
      </c>
      <c r="D108" t="inlineStr">
        <is>
          <t>linkedin</t>
        </is>
      </c>
      <c r="E108">
        <f>HYPERLINK("https://www.linkedin.com/jobs/view/4361512885", "https://www.linkedin.com/jobs/view/4361512885")</f>
        <v/>
      </c>
      <c r="F108" t="inlineStr"/>
      <c r="G108" t="inlineStr">
        <is>
          <t>New York, United States</t>
        </is>
      </c>
      <c r="H108" t="inlineStr"/>
      <c r="I108" t="inlineStr">
        <is>
          <t>**Senior Machine Learning Engineer – Digital Health applications** 
**Salary: $190,000 \- $250,000 pa** 
**Location:** 
 New York (Hybrid)
 A cutting\-edge Digital Health company are looking for a Senior Machine Learning Engineer to join their R\&amp;D team developing novel data solutions for clinical applications.
**Key Skills/Experience:** 
* Degree in Comp Sci, Biomedical or another relevant discipline
* Python
* Deep learning frameworks (TensorFlow/PyTorch.)
* Version control (e.g., Git).
* DevOps \&amp; CI/CD
* Cloud infrastructure (AWS, GCP etc.)
* Experience working with clinical data or Digital Health applications
 If you are interested and think you have the skills required as a Senior Machine Learning Engineer, please don’t hesitate to apply.</t>
        </is>
      </c>
    </row>
    <row r="109">
      <c r="A109" t="inlineStr">
        <is>
          <t>li-4345848183</t>
        </is>
      </c>
      <c r="B109" t="inlineStr">
        <is>
          <t>AI Engineer</t>
        </is>
      </c>
      <c r="C109" t="inlineStr">
        <is>
          <t>Oracle</t>
        </is>
      </c>
      <c r="D109" t="inlineStr">
        <is>
          <t>linkedin</t>
        </is>
      </c>
      <c r="E109">
        <f>HYPERLINK("https://www.linkedin.com/jobs/view/4345848183", "https://www.linkedin.com/jobs/view/4345848183")</f>
        <v/>
      </c>
      <c r="F109">
        <f>HYPERLINK("https://eeho.fa.us2.oraclecloud.com/hcmUI/CandidateExperience/en/job/321048/?utm_medium=jobboard&amp;utm_source=LinkedIn&amp;urlHash=_30z", "https://eeho.fa.us2.oraclecloud.com/hcmUI/CandidateExperience/en/job/321048/?utm_medium=jobboard&amp;utm_source=LinkedIn&amp;urlHash=_30z")</f>
        <v/>
      </c>
      <c r="G109" t="inlineStr"/>
      <c r="H109" t="inlineStr"/>
      <c r="I109" t="inlineStr">
        <is>
          <t>**Job Description**
 The Customer Success Services team needs an AI Engineer that can design, develop, configure, evaluate, monitor and optimize generative AI and agent solutions for Oracle applications, as well as develop innovative solutions to advance the CSS team's operational capabilities and effectiveness.
 The ideal candidate will create processes, tools, and tests so that CSS can evaluate and optimize AI responses on customer instances at scale. The candidate will develop monetizable services and build revenue streams around different levels of test, evaluation, monitoring and audit for generative AI authoring, summarization, retrieval augmented generation and agentic workflows. The candidate will be responsible for maintaining close relationships and sharing information across many lines of business.
**Responsibilities**
* Evaluate and optimize GenAI solutions (including RAG and agents).
* Provide analysis and reporting of AI quality and business value, as well as auditing (e.g. bias, prompt injection, guardrails) for customers.
* Develop methods and tools to evaluate, improve, extend, and measure ROI of Oracle AI solutions.
* Design and develop custom AI solutions to optimize and generate efficiencies for business operations.
* Help monetize AI capabilities as managed services.
* Support internal standardization and uptake of generative AI code assist tools.
* Interface with Oracle AI Review (OAR) Board and Corporate Security Solution Assurance Process team to ensure AI and security governance.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0">
      <c r="A110" t="inlineStr">
        <is>
          <t>li-4345848174</t>
        </is>
      </c>
      <c r="B110" t="inlineStr">
        <is>
          <t>ML Engineer – Gen AI Assistant &amp; Experience Engineering</t>
        </is>
      </c>
      <c r="C110" t="inlineStr">
        <is>
          <t>Adobe</t>
        </is>
      </c>
      <c r="D110" t="inlineStr">
        <is>
          <t>linkedin</t>
        </is>
      </c>
      <c r="E110">
        <f>HYPERLINK("https://www.linkedin.com/jobs/view/4345848174", "https://www.linkedin.com/jobs/view/4345848174")</f>
        <v/>
      </c>
      <c r="F110">
        <f>HYPERLINK("https://careers.adobe.com/us/en/job/ADOBUSR163987EXTERNALENUS/ML-Engineer-Gen-AI-Assistant-Experience-Engineering?utm_source=linkedin&amp;utm_medium=phenom-feeds&amp;source=LinkedIn&amp;urlHash=aQiQ", "https://careers.adobe.com/us/en/job/ADOBUSR163987EXTERNALENUS/ML-Engineer-Gen-AI-Assistant-Experience-Engineering?utm_source=linkedin&amp;utm_medium=phenom-feeds&amp;source=LinkedIn&amp;urlHash=aQiQ")</f>
        <v/>
      </c>
      <c r="G110" t="inlineStr">
        <is>
          <t>San Jose, CA</t>
        </is>
      </c>
      <c r="H110" t="inlineStr"/>
      <c r="I110"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**Adobe Experience Cloud \| Gen AI Experience Engineering**
**About The Team**
 The Gen AI Experience Engineering team is defining the future of intelligent workflows across Adobe Experience Cloud with the AI Assistant. We operate like a startup within Adobe—fast, iterative, and customer\-focused. Our mission is to build the intelligent systems, models, and services that power Adobe’s AI Assistant experience.
**The Opportunity**
 We’re looking for an
 **AI/ML Engineer** 
 who is excited to build intelligent features using whatever approach solves the problem best.
 Some solutions will use
 **LLMs and generative AI** 
 , some will rely on
 **traditional ML** 
 , some will be
 **heuristic or rules\-based** 
 , and many will be
 **hybrid systems** 
 that combine them.
 Your job is to evaluate the problem, choose the right approach, and deliver high\-quality, scalable solutions that improve user experiences.
 In this role, you’ll build models, design prompts, develop services, run evaluations, and ship features end\-to\-end. This is a hands\-on applied engineering role with broad ownership, where you’ll work across modeling, service development, and lightweight ops.
**What You’ll Do**
**AI, ML \&amp; Hybrid Solution Development**
* Build and iterate on solutions using the full spectrum of approaches: LLMs, classical ML, heuristics, rules engines, retrieval systems, or combinations thereof.
* Design, train, and evaluate classical ML models where appropriate, and integrate, fine\-tune (via prompting or adapters), and evaluate partner\-provided LLMs for generative AI, classification, search, and content understanding use cases
* Develop prompting strategies, multi\-step prompt workflows, and agents that power interactive AI experiences.
* Build hybrid pipelines that combine deterministic logic with AI/ML components for predictable, reliable outcomes.
**Service \&amp; Feature Engineering**
* Implement backend services and inference pipelines for the AI Assistant across Experience Cloud.
* Build RAG systems, model\-serving layers, experimentation hooks, and scalable APIs.
* Partner with frontend engineers and product teams to turn concepts into shipped features.
**Evaluation, Data, and Light Ops**
* Build automated evaluation pipelines to measure quality, safety, latency, and reliability.
* Prepare datasets for evaluation, fine\-tuning, and experimentation.
* Deploy models and services using CI/CD, containers, and cloud workflows.
* Monitor performance and iterate quickly based on data and user signals.
*While this is not a dedicated ops role you should be able to own and operate your work end\-to\-end as projects require.*
**Cross\-Functional Collaboration**
* Work closely with Product, Engineering, Design and ML teams to explore new ideas and deliver customer\-facing features.
* Help define best practices for AI/ML development, evaluation, and hybrid system design.
* Contribute to shared tools that accelerate experimentation and improve developer productivity.
**What You Bring**
* 5\+ years experience in machine learning, applied AI engineering, IR or full\-stack intelligent feature development – prioritizing experience with core ML problem\-solving, such as building/designing or debugging predictive models (over operational pipelines and monitoring)
* Hands\-on experience with both LLM\-based and traditional ML techniques, and the judgment to choose the right tool for the job.
* Strong software engineering fundamentals and experience building production services (Node, Python, TypeScript, Go, or similar).
* Ability to design evaluation frameworks, run experiments, and iterate rapidly.
* Comfortable owning features from prototype → production, including monitoring and optimization.
* Excellent communication and collaboration skills; thrives in environments with ambiguity and autonomy.
**Nice to Have**
* Experience with hybrid LLM \+ deterministic systems, vector search, or orchestration tools.
* Knowledge of Adobe Experience Cloud or other enterprise SaaS ecosystems.
* Contributions to open\-source AI/ML tools, model\-serving frameworks, or evaluation libraries.
* Prior startup or high\-velocity product development experience.
 Our compensation reflects the cost of labor across several  U.S. geographic markets, and we pay differently based on those defined markets. The U.S. pay range for this position is $151,800 \-\- $265,350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$183,300 \- $265,350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11">
      <c r="A111" t="inlineStr">
        <is>
          <t>li-4345953027</t>
        </is>
      </c>
      <c r="B111" t="inlineStr">
        <is>
          <t>AI Engineer</t>
        </is>
      </c>
      <c r="C111" t="inlineStr">
        <is>
          <t>Oracle</t>
        </is>
      </c>
      <c r="D111" t="inlineStr">
        <is>
          <t>linkedin</t>
        </is>
      </c>
      <c r="E111">
        <f>HYPERLINK("https://www.linkedin.com/jobs/view/4345953027", "https://www.linkedin.com/jobs/view/4345953027")</f>
        <v/>
      </c>
      <c r="F111" t="inlineStr"/>
      <c r="G111" t="inlineStr"/>
      <c r="H111" t="inlineStr"/>
      <c r="I111" t="inlineStr">
        <is>
          <t>**Job Description**
 The Customer Success Services team needs an AI Engineer that can design, develop, configure, evaluate, monitor and optimize generative AI and agent solutions for Oracle applications, as well as develop innovative solutions to advance the CSS team's operational capabilities and effectiveness.
 The ideal candidate will create processes, tools, and tests so that CSS can evaluate and optimize AI responses on customer instances at scale. The candidate will develop monetizable services and build revenue streams around different levels of test, evaluation, monitoring and audit for generative AI authoring, summarization, retrieval augmented generation and agentic workflows. The candidate will be responsible for maintaining close relationships and sharing information across many lines of business.
**Responsibilities**
* Evaluate and optimize GenAI solutions (including RAG and agents).
* Provide analysis and reporting of AI quality and business value, as well as auditing (e.g. bias, prompt injection, guardrails) for customers.
* Develop methods and tools to evaluate, improve, extend, and measure ROI of Oracle AI solutions.
* Design and develop custom AI solutions to optimize and generate efficiencies for business operations.
* Help monetize AI capabilities as managed services.
* Support internal standardization and uptake of generative AI code assist tools.
* Interface with Oracle AI Review (OAR) Board and Corporate Security Solution Assurance Process team to ensure AI and security governance.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2">
      <c r="A112" t="inlineStr">
        <is>
          <t>li-4352820422</t>
        </is>
      </c>
      <c r="B112" t="inlineStr">
        <is>
          <t>Senior Machine Learning Engineer - MlOps</t>
        </is>
      </c>
      <c r="C112" t="inlineStr">
        <is>
          <t>Established Search</t>
        </is>
      </c>
      <c r="D112" t="inlineStr">
        <is>
          <t>linkedin</t>
        </is>
      </c>
      <c r="E112">
        <f>HYPERLINK("https://www.linkedin.com/jobs/view/4352820422", "https://www.linkedin.com/jobs/view/4352820422")</f>
        <v/>
      </c>
      <c r="F112" t="inlineStr"/>
      <c r="G112" t="inlineStr"/>
      <c r="H112" t="inlineStr"/>
      <c r="I112" t="inlineStr">
        <is>
          <t>**Senior Machine Learning Engineer (ML Ops) – Medical Imaging AI** 
**About the Role** 
 We are seeking a
 **Senior Machine Learning Engineer (ML Ops)** 
 to support the development, deployment, and maintenance of AI\-powered medical imaging technologies. This role sits at the intersection of machine learning, medical imaging, and production\-scale software engineering. You will help build robust ML pipelines, deploy deep learning models into clinical environments, and ensure the reliability and compliance of AI/ML Software as a Medical Device (SaMD). Experience with CT/MRI imaging is highly valuable.
**Key Responsibilities** 
**ML Pipeline Development \&amp; Deep Learning Operations** 
* Build and maintain ML infrastructure supporting AI\-powered CT/MRI image enhancement and analysis.
* Develop and operationalize deep learning pipelines, including data ingestion, preprocessing, training, validation, and deployment.
* Write production\-grade code to set up, optimize, and maintain deep learning model architectures.
* Feed imaging data into training workflows and evaluate performance using separate validation and test datasets.
* Improve the efficiency of deep learning algorithms to run effectively on standard hospital scanners and clinical hardware.
**Software Engineering \&amp; Systems Deployment** 
* Deploy, monitor, and maintain software systems across cloud platforms and on\-premise clinical sites.
* Build and support CI/CD pipelines for model release, testing, and continuous deployment.
* Develop tools for experiment tracking, model versioning, and reproducible research workflows.
* Run simulations and performance analyses (manual or automated) to evaluate system behavior under varying conditions.
* Monitor system operations to detect issues early and support troubleshooting.
**Quality, Compliance \&amp; Documentation** 
* Participate in Quality Management System (QMS) processes supporting AI/ML SaMD products.
* Ensure compliance with regulatory frameworks including ISO 13485, ISO 14971, IEC 62304, and IEC 62366\.
* Maintain detailed logs of code and model changes in accordance with QMS procedures.
* Conceive, document, and carry out software design and testing plans.
* Support data protection activities including audits, investigations, and required training.
**Collaboration, Innovation \&amp; Research Support** 
* Work closely with research teams to transition next\-generation AI imaging models from experimentation to production.
* Support publication of new technologies and contribute to patent submissions for innovative ML solutions.
* Identify system, hardware, or software components needed to meet user and customer requirements.
**Qualifications** 
**Required** 
* **Master’s degree** 
 in Computer Science, Engineering, or related field.
* **5\+ years of software engineering experience** 
 , including work as a full\-stack developer and/or ML Ops engineer.
* Strong programming skills in
 **Python, C, and/or C\+\+** 
 .
* Understanding of medical imaging principles (CT, MRI) and/or deep learning pipelines for medical images.
* Working knowledge of QMS regulations and standards:
 **ISO 13485, ISO 14971, IEC 62304, IEC 62366** 
 .</t>
        </is>
      </c>
    </row>
    <row r="113">
      <c r="A113" t="inlineStr">
        <is>
          <t>li-4361570159</t>
        </is>
      </c>
      <c r="B113" t="inlineStr">
        <is>
          <t>AI Machine Learning Engineer</t>
        </is>
      </c>
      <c r="C113" t="inlineStr">
        <is>
          <t>VSE Aviation</t>
        </is>
      </c>
      <c r="D113" t="inlineStr">
        <is>
          <t>linkedin</t>
        </is>
      </c>
      <c r="E113">
        <f>HYPERLINK("https://www.linkedin.com/jobs/view/4361570159", "https://www.linkedin.com/jobs/view/4361570159")</f>
        <v/>
      </c>
      <c r="F113" t="inlineStr"/>
      <c r="G113" t="inlineStr">
        <is>
          <t>Miramar, FL</t>
        </is>
      </c>
      <c r="H113" t="inlineStr"/>
      <c r="I113" t="inlineStr">
        <is>
          <t>**SUMMARY:** 
 The AI Machine Learning Engineer will help build, deploy, and operationalize AI solutions within our Microsoft\-based technology ecosystem. The ideal candidate has hands\-on experience developing machine learning models, integrating AI capabilities into enterprise applications, leveraging Microsoft Azure’s AI and data services. This role will work closely with VP Corporate IT, cyber security, engineering, development, and business stakeholders to translate use cases into workable solution designs, developing, and optimizing models and pipelines that scale across the organization.
**Duties \&amp; Responsibilities**
 Responsibilities include, but are not limited to:
**AI/ML Solution Development**
* Design, build, and deploy ML models using Azure Machine Learning, Azure OpenAI, and other Microsoft AI services.
* Develop data preprocessing, feature engineering, model training, and evaluation pipelines.
* Implement prompt engineering, fine\-tuning, and model orchestration for LLM\-driven applications.
**Azure Cloud Engineering**
* Use Azure Machine Learning, Copilot, Data Warehouse, Azure Databricks, Azure Synapse, and related services to build and manage ML workflows.
* Create scalable model endpoints and integrate them into internal or customer\-facing applications.
* Optimize model performance and cost efficiency within Azure.
**ML Operations \&amp; Deployment**
* Build and maintain CI/CD pipelines for ML models using Azure DevOps or GitHub Actions.
* Monitor deployed models, retrain as needed, and ensure production reliability.
* Implement logging, telemetry, and monitoring using Azure Monitor and related tools.
**Collaboration \&amp; Strategy**
* Partner with the AI Initiative Lead to define solution architecture, constraints, and success metrics.
* Work with cross\-functional teams to identify new AI opportunities and evaluate feasibility.
* Create documentation, model cards, and technical guides for internal teams.
* Other duties as assigned.</t>
        </is>
      </c>
    </row>
    <row r="114">
      <c r="A114" t="inlineStr">
        <is>
          <t>li-4361541492</t>
        </is>
      </c>
      <c r="B114" t="inlineStr">
        <is>
          <t>Distinguished AI Engineer- Talent Marketplace</t>
        </is>
      </c>
      <c r="C114" t="inlineStr">
        <is>
          <t>LinkedIn</t>
        </is>
      </c>
      <c r="D114" t="inlineStr">
        <is>
          <t>linkedin</t>
        </is>
      </c>
      <c r="E114">
        <f>HYPERLINK("https://www.linkedin.com/jobs/view/4361541492", "https://www.linkedin.com/jobs/view/4361541492")</f>
        <v/>
      </c>
      <c r="F114" t="inlineStr"/>
      <c r="G114" t="inlineStr">
        <is>
          <t>Sunnyvale, CA</t>
        </is>
      </c>
      <c r="H114" t="inlineStr"/>
      <c r="I114"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This role will be based in Sunnyvale,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Our Talent Marketplace connects billions of professionals with millions of hirers \- helping people find their dream jobs and helping organizations hire the best talent. We are seeking a Distinguished AI Engineer to define and drive the next generation of AI systems powering LinkedIn's Talent Marketplace. This is a rare opportunity to shape the technical vision, strategy, and architecture behind one of the largest and most trusted marketplaces in the world.
**Responsibilities:**
* Set the multi\-year technical vision and strategy for AI across the Talent Marketplace \- spanning job and candidate search, recommendations, and marketplace optimization.
* Invent and scale industry\-leading agentic AI systems that drive trust, efficiency, and business growth.
* Uplift the technical bar across LinkedIn by mentoring senior technical leaders and guiding cross\-org initiatives.
* Shape platform evolution and infrastructure to meet the demands of billion\-member scale, collaborating deeply with Core AI and Infrastructure teams.
* Influence company\-wide and industry direction by publishing, open\-sourcing, and representing LinkedIn in the broader AI community \- grounded in innovations proven in production.
**Qualifications**
**Basic Qualifications:**
* 10\+ years of work experience\- in machine learning/AI
* 6\+ years of technical leadership experience
* B.A./B.S. degree or higher in a relevant field or related discipline (machine learning, statistics, computer science etc.) or equivalent experience
**Preferred Qualifications:**
* PhD in a relevant field or related discipline (machine learning, statistics, computer science etc.), or equivalent research experience
* Strong academic credentials with publications in top\-tier journals and conferences
* Experience in designing and implementing AI systems at scale to solve complex business problems
* Experience of technical leadership guiding and mentoring top engineering and operations talent
* Experience leading high\-impact, cross\-company initiatives
 Suggested Skills:
* Technical Leadership
* Machine learning
* Artificial Intelligence
 LinkedIn is committed to fair and equitable compensation practices.
 The pay range for this role is $248,000 to $406,000\.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15">
      <c r="A115" t="inlineStr">
        <is>
          <t>li-4354826174</t>
        </is>
      </c>
      <c r="B115" t="inlineStr">
        <is>
          <t>Junior AI Engineer</t>
        </is>
      </c>
      <c r="C115" t="inlineStr">
        <is>
          <t>Emonics LLC</t>
        </is>
      </c>
      <c r="D115" t="inlineStr">
        <is>
          <t>linkedin</t>
        </is>
      </c>
      <c r="E115">
        <f>HYPERLINK("https://www.linkedin.com/jobs/view/4354826174", "https://www.linkedin.com/jobs/view/4354826174")</f>
        <v/>
      </c>
      <c r="F115" t="inlineStr"/>
      <c r="G115" t="inlineStr">
        <is>
          <t>Dallas, TX</t>
        </is>
      </c>
      <c r="H115" t="inlineStr"/>
      <c r="I115" t="inlineStr">
        <is>
          <t>Job description
 About the role
 We are hiring an Entry Level AI Engineer to help build and deploy practical AI solutions. You will work with structured and unstructured data, train and evaluate models, and help integrate AI into real applications.
 What you will do
 • Support development of AI models for classification, recommendation, forecasting, or NLP tasks
 • Prepare datasets, perform feature engineering, and run experiments
 • Evaluate model performance and help improve accuracy, latency, and robustness
 • Assist with deploying models into production environments (APIs, batch jobs, pipelines)
 • Collaborate with software engineers, data engineers, and product teams
 What you are looking for
 • Bachelor’s or Master’s degree in CS, Data Science, AI/ML, Statistics, or related field
 • Strong Python foundation
 • Familiarity with ML basics (supervised/unsupervised learning, evaluation metrics)
 • Experience with common libraries (NumPy, pandas, scikit\-learn)
 • Clear communication and curiosity
 Nice to have
 • Exposure to deep learning (PyTorch or TensorFlow)
 • Understanding of model deployment (FastAPI/Flask, Docker)
 • Cloud fundamentals (AWS/GCP/Azure) and basic MLOps concepts</t>
        </is>
      </c>
    </row>
    <row r="116">
      <c r="A116" t="inlineStr">
        <is>
          <t>li-4354496796</t>
        </is>
      </c>
      <c r="B116" t="inlineStr">
        <is>
          <t>Senior AI Engineer</t>
        </is>
      </c>
      <c r="C116" t="inlineStr">
        <is>
          <t>Hinckley Medical</t>
        </is>
      </c>
      <c r="D116" t="inlineStr">
        <is>
          <t>linkedin</t>
        </is>
      </c>
      <c r="E116">
        <f>HYPERLINK("https://www.linkedin.com/jobs/view/4354496796", "https://www.linkedin.com/jobs/view/4354496796")</f>
        <v/>
      </c>
      <c r="F116" t="inlineStr"/>
      <c r="G116" t="inlineStr">
        <is>
          <t>Lakeville, MN</t>
        </is>
      </c>
      <c r="H116" t="inlineStr"/>
      <c r="I116" t="inlineStr">
        <is>
          <t>Senior AI Engineer
**OneDose** 
 Location: Remote \- In\-Person \- Hybrid
 Employment Type: Full\-time
 About OneDose
 Hinckley Medical builds software solutions that support modern healthcare and Emergency Medicine operations through scalable, secure, and intelligent systems. Our teams work across engineering, data, and clinical domains to deliver reliable products used in real\-world healthcare environments.
 Role Overview
 We are seeking a Senior AI Engineer to design, build, and operate production\-grade artificial intelligence systems. This role focuses on the development of large language model (LLM)–powered applications, backend services, and cloud infrastructure that meet high standards for reliability, security, and performance.
 You will work closely with engineering, product, and design partners to integrate AI capabilities into customer\-facing applications, while contributing to architectural decisions and technical standards across the organization.
 Responsibilities
 * Design, implement, and maintain AI\-driven systems using large language models, embeddings, and retrieval\-augmented generation (RAG).
* Build and operate scalable backend services and APIs to support AI workflows.
* Develop evaluation, monitoring, and testing frameworks to ensure AI quality, reliability, and safety.
* Implement orchestration, guardrails, and failure\-mitigation strategies for LLM\-based systems.
* Deploy and manage services in cloud environments using modern DevOps and CI/CD practices.
* Collaborate cross\-functionally with frontend, product, and domain experts to deliver end\-to\-end solutions.
* Contribute to system architecture, technical design reviews, and engineering best practices.
* Mentor and support other engineers through code reviews and technical guidance.
 Minimum Qualifications
 * Bachelor’s degree in Computer Science, Engineering, or a related field, or equivalent practical experience.
* 6\+ years of professional software engineering experience.
* Experience building and deploying production systems using large language models or applied machine learning.
* Strong programming experience in one or more of the following: Python, Go, TypeScript, or Node.js.
* Experience designing and maintaining APIs and backend systems at scale.
* Hands\-on experience with cloud platforms (AWS preferred; GCP or Azure acceptable).
* Experience with relational and/or NoSQL databases.
* Familiarity with CI/CD pipelines, containerization, and modern DevOps workflows.
 Preferred Qualifications
 * Experience with LLM orchestration frameworks such as LangChain or similar.
* Experience building LLM evaluation pipelines, observability tooling, or LLMOps infrastructure.
* Background in distributed systems, event\-driven architectures, or microservices.
* Experience integrating AI systems into regulated or security\-sensitive environments (e.g., healthcare).
* Frontend development experience or strong collaboration with frontend teams.
* Knowledge of application security best practices and common vulnerability frameworks (e.g., OWASP).
 What We Offer
 * Opportunity to work on AI systems deployed in real\-world healthcare environments.
* High level of ownership and influence over technical decisions.
* Collaboration with experienced engineers across AI, backend, and product disciplines.
* Competitive compensation and benefits.
* Flexible remote work environment.</t>
        </is>
      </c>
    </row>
    <row r="117">
      <c r="A117" t="inlineStr">
        <is>
          <t>li-4358530299</t>
        </is>
      </c>
      <c r="B117" t="inlineStr">
        <is>
          <t>Senior Machine Learning Engineer</t>
        </is>
      </c>
      <c r="C117" t="inlineStr">
        <is>
          <t>Axiado Corporation</t>
        </is>
      </c>
      <c r="D117" t="inlineStr">
        <is>
          <t>linkedin</t>
        </is>
      </c>
      <c r="E117">
        <f>HYPERLINK("https://www.linkedin.com/jobs/view/4358530299", "https://www.linkedin.com/jobs/view/4358530299")</f>
        <v/>
      </c>
      <c r="F117" t="inlineStr"/>
      <c r="G117" t="inlineStr">
        <is>
          <t>San Jose, CA</t>
        </is>
      </c>
      <c r="H117" t="inlineStr"/>
      <c r="I117" t="inlineStr">
        <is>
          <t>Senior Machine Learning Engineer Agentic Development
* San Jose, CA, USA
* Full\-time
* Department: ML
* Compensation: USD80,000 \- USD200,000 \- yearly
**Company Description** 
 Axiado is an AI\-enhanced security processor company redefining the control and management of every digital system. The company was founded in 2017, and currently has 150\+ employees. At Axiado, developing great technology takes more than talent: it takes amazing people who understand collaboration, respect each other, and go the extra mile to achieve exceptional results. It takes people who have the passion and desire to disrupt the status quo, deliver innovation, and change the world. If you have this type of passion, we invite you to apply for this job.
**Job Description** 
 We are seeking a hands\-on Senior Machine Learning Engineer to design, build, and deploy intelligent agents on our edge devices. These agents will operate autonomously in resource\-constrained environments, performing complex tasks like real\-time log analysis, on\-device computer vision, and secure system\-level interactions.
 This role requires a unique blend of modern AI development (agentic workflows, LLMs) and classic systems\-level domain knowledge. You will be responsible for creating agents that can perceive their environment (through logs, video, and system data), reason, and act securely and efficiently on our custom hardware.
 Key Responsibilities
* Design, build, and deploy autonomous agentic systems for resource\-constrained edge devices.
* Implement agent capabilities that leverage deep domain knowledge, specifically in:
* Real\-time log analysis and anomaly detection.
* Efficient, on\-device computer vision (CV) model execution and interpretation.
* Interaction with system\-level open\-sourced tools for data gathering and system monitoring.
* Develop and integrate secure, high\-performance communication channels for agent\-to\-agent (A2A) and management\-to\-controller (MCP) interactions.
* Implement robust MCP authentication and secure communication protocols for all agent operations.
* Optimize the full agent stack—from the ML model to the application logic—for high performance and low footprint (latency, memory, power) on our target hardware.
* Collaborate with MLOps and firmware teams to create robust deployment and update pipelines for agents in the field.
**Qualifications** 
* 5\+ years of hands\-on experience in software engineering or machine learning.
* B.S. or M.S. in Computer Science, Electrical Engineering, or a related field (or equivalent practical experience).
* Proven experience building systems with LLMs and/or agentic frameworks (e.g., LangChain, LlamaIndex, or custom\-built agents).
* Strong, demonstrable domain knowledge in log analysis and/or computer vision.
* Experience with network protocol development or integration, with specific knowledge of MCP/A2A\-like systems and authentication mechanisms.
* Strong programming skills in Python and familiarity with data\-intensive applications.
* Experience using and integrating open\-source tools for system monitoring, log processing (e.g., ELK stack, Prometheus), or CV (e.g., OpenCV).
 Preferred Qualifications (The "Plus" Factors)
* Direct, hands\-on experience with embedded system development (e.g., C, C\+\+, Rust, Yocto, RTOS).
* Experience optimizing ML models (quantization, pruning) for edge devices (e.g., NPUs, FPGAs, or other accelerators).
* Deep understanding of network security and secure coding practices.
* Knowledge of ML compilers like Apache TVM or MLIR
**Additional Information** 
 Axiado is committed to attracting, developing, and retaining the highest caliber talent in a diverse and multifaceted environment. We are headquartered in the heart of Silicon Valley, with access to the world's leading research, technology and talent.
 We are building an exceptional team to secure every node on the internet. For us, solving real\-world problems takes precedence over purely theoretical problems. As a result, we prefer individuals with persistence, intelligence and high curiosity over pedigree alone. Working hard and smart, continuous learning and mutual support are all part of who we are.
 Axiado is an Equal Opportunity Employer. Axiado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Sunaina Arora
 Talent Acquisition
 sarora@axiado.com</t>
        </is>
      </c>
    </row>
    <row r="118">
      <c r="A118" t="inlineStr">
        <is>
          <t>li-4345894641</t>
        </is>
      </c>
      <c r="B118" t="inlineStr">
        <is>
          <t>AI/ML Engineer – Gen AI Assistant &amp; Experience Engineering</t>
        </is>
      </c>
      <c r="C118" t="inlineStr">
        <is>
          <t>Adobe</t>
        </is>
      </c>
      <c r="D118" t="inlineStr">
        <is>
          <t>linkedin</t>
        </is>
      </c>
      <c r="E118">
        <f>HYPERLINK("https://www.linkedin.com/jobs/view/4345894641", "https://www.linkedin.com/jobs/view/4345894641")</f>
        <v/>
      </c>
      <c r="F118" t="inlineStr"/>
      <c r="G118" t="inlineStr">
        <is>
          <t>San Jose, CA</t>
        </is>
      </c>
      <c r="H118" t="inlineStr"/>
      <c r="I118"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**Adobe Experience Cloud \| Gen AI Experience Engineering**
**About the Team:**
 The Gen AI Experience Engineering team is defining the future of intelligent workflows across Adobe Experience Cloud with the AI Assistant. We operate like a startup within Adobe—fast, iterative, and customer\-focused. Our mission is to build the intelligent systems, models, and services that power Adobe’s AI Assistant experience.
**The Opportunity:**
 We’re looking for an
 **AI/ML Engineer** 
 who is excited to build intelligent features using whatever approach solves the problem best. Some solutions will use
 **LLMs and generative AI** 
 , some will rely on
 **traditional ML** 
 , some will be
 **heuristic or rules\-based** 
 , and many will be
 **hybrid systems** 
 that combine them.
 Your job is to evaluate the problem, choose the right approach, and deliver high\-quality, scalable solutions that improve user experiences. In this role, you’ll build models, design prompts, develop services, run evaluations, and ship features end\-to\-end. This is a hands\-on applied engineering role with broad ownership, where you’ll work across modeling, service development, and lightweight ops.
**What You’ll Do:**
**AI, ML \&amp; Hybrid Solution Development**
* Build and iterate on solutions using the full spectrum of approaches: LLMs, classical ML, heuristics, rules engines, retrieval systems, or combinations thereof.
* Design, train, and evaluate classical ML models where appropriate, and integrate, fine\-tune (via prompting or adapters), and evaluate partner\-provided LLMs for generative AI, classification, search, and content understanding use cases
* Develop prompting strategies, multi\-step prompt workflows, and agents that power interactive AI experiences.
* Build hybrid pipelines that combine deterministic logic with AI/ML components for predictable, reliable outcomes.
**Service \&amp; Feature Engineering**
* Implement backend services and inference pipelines for the AI Assistant across Experience Cloud.
* Build RAG systems, model\-serving layers, experimentation hooks, and scalable APIs.
* Partner with frontend engineers and product teams to turn concepts into shipped features.
**Evaluation, Data, and Light Ops**
* Build automated evaluation pipelines to measure quality, safety, latency, and reliability.
* Prepare datasets for evaluation, fine\-tuning, and experimentation.
* Deploy models and services using CI/CD, containers, and cloud workflows.
* Monitor performance and iterate quickly based on data and user signals.
*While this is not a dedicated ops role you should be able to own and operate your work end\-to\-end as projects require.*
**Cross\-Functional Collaboration**
* Work closely with Product, Engineering, Design and ML teams to explore new ideas and deliver customer\-facing features.
* Help define best practices for AI/ML development, evaluation, and hybrid system design.
* Contribute to shared tools that accelerate experimentation and improve developer productivity.
**What You Bring:**
* 5\+ years experience in machine learning, applied AI engineering, IR or full\-stack intelligent feature development – prioritizing experience with core ML problem\-solving, such as building/designing or debugging predictive models (over operational pipelines and monitoring)
* Hands\-on experience with both LLM\-based and traditional ML techniques, and the judgment to choose the right tool for the job.
* Strong software engineering fundamentals and experience building production services (Node, Python, TypeScript, Go, or similar).
* Ability to design evaluation frameworks, run experiments, and iterate rapidly.
* Comfortable owning features from prototype → production, including monitoring and optimization.
* Excellent communication and collaboration skills; thrives in environments with ambiguity and autonomy.
**Nice to Have**
* Experience with hybrid LLM \+ deterministic systems, vector search, or orchestration tools.
* Knowledge of Adobe Experience Cloud or other enterprise SaaS ecosystems.
* Contributions to open\-source AI/ML tools, model\-serving frameworks, or evaluation libraries.
* Prior startup or high\-velocity product development experience.
 Our compensation reflects the cost of labor across several  U.S. geographic markets, and we pay differently based on those defined markets. The U.S. pay range for this position is $151,800 \-\- $265,350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$183,300 \- $265,350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19">
      <c r="A119" t="inlineStr">
        <is>
          <t>li-4361291684</t>
        </is>
      </c>
      <c r="B119" t="inlineStr">
        <is>
          <t>Senior Machine Learning Engineer</t>
        </is>
      </c>
      <c r="C119" t="inlineStr">
        <is>
          <t>Hikaflow (FU-W25)</t>
        </is>
      </c>
      <c r="D119" t="inlineStr">
        <is>
          <t>linkedin</t>
        </is>
      </c>
      <c r="E119">
        <f>HYPERLINK("https://www.linkedin.com/jobs/view/4361291684", "https://www.linkedin.com/jobs/view/4361291684")</f>
        <v/>
      </c>
      <c r="F119" t="inlineStr"/>
      <c r="G119" t="inlineStr"/>
      <c r="H119" t="inlineStr"/>
      <c r="I119" t="inlineStr">
        <is>
          <t>**Machine Learning Engineer Intern (AI Systems)** 
 Hikaflow is building an AI\-powered developer productivity platform focused on automated code review, security analysis, regression detection, contributor insights, and intelligent documentation. We are looking for a motivated Machine Learning Engineer Intern who wants hands\-on experience working on real production AI systems used by engineering teams.
 This is an unpaid internship designed for individuals who want deep, practical exposure to applied AI in a startup environment, strong portfolio material, and direct collaboration with the founding team.
**What You’ll Work On** 
* Designing and improving ML\-powered systems for code analysis, pattern detection, and developer insights
* Working with LLMs for tasks such as code understanding, summarization, and automated review workflows
* Building and evaluating data pipelines for model inputs and outputs
* Improving signal quality, reducing false positives, and designing trustable AI outputs for engineers
* Collaborating on system design decisions across ML, backend, and product
**What We’re Looking For** 
* Background or strong interest in machine learning, AI, or data\-driven systems
* Familiarity with Python and common ML or AI tooling
* Comfort working with APIs, structured data, and experimentation
* Strong curiosity and willingness to learn quickly in an unstructured environment
* Ability to work independently and take ownership of meaningful tasks
**Nice to Have (Not Required)** 
* Experience with LLMs, embeddings, or prompt engineering
* Experience analyzing or working with source code programmatically
* Exposure to backend systems, developer tools, or SaaS products
* Prior internships, research, or strong personal projects
**What You’ll Get** 
* Real\-world experience building AI systems used by actual teams
* Direct mentorship and feedback from the founding team
* Strong resume and portfolio material tied to concrete product features
* Opportunity to grow into a paid or long\-term role if there is a strong mutual fit
* Insight into how early\-stage AI products are designed, built, and shipped
**This role is ideal for students or early\-career engineers who want substance over fluff and are motivated by learning, ownership, and impact rather than short\-term compensation.** 
**Apply if you want to work on real AI systems and build something that matters.**</t>
        </is>
      </c>
    </row>
    <row r="120">
      <c r="A120" t="inlineStr">
        <is>
          <t>li-4361330363</t>
        </is>
      </c>
      <c r="B120" t="inlineStr">
        <is>
          <t>Software AI Engineer - US</t>
        </is>
      </c>
      <c r="C120" t="inlineStr">
        <is>
          <t>Jade Global</t>
        </is>
      </c>
      <c r="D120" t="inlineStr">
        <is>
          <t>linkedin</t>
        </is>
      </c>
      <c r="E120">
        <f>HYPERLINK("https://www.linkedin.com/jobs/view/4361330363", "https://www.linkedin.com/jobs/view/4361330363")</f>
        <v/>
      </c>
      <c r="F120" t="inlineStr"/>
      <c r="G120" t="inlineStr">
        <is>
          <t>San Jose, CA</t>
        </is>
      </c>
      <c r="H120" t="inlineStr"/>
      <c r="I120" t="inlineStr">
        <is>
          <t>Software AI Engineer \- US1
**Experience: 6 \- 8 yrs**
**Responsibilities**
* Design, develop, and implement AI/ML models and algorithms using Python.
* Deploy and manage AI solutions on cloud platforms (e.g., AWS, Azure, GCP).
* Collaborate with data scientists and other engineers to integrate AI models into existing systems.
* Optimize AI models for performance, scalability, and cost\-efficiency.
* Stay up\-to\-date with the latest advancements in AI/ML technologies and cloud services.
* Participate in the full software development lifecycle, including testing, deployment, and monitoring.
* Experience with LLMOps to promote LLM based applications and agents via CI/CD.
* Experience with fine\-tuning LLM models.
* Deep understanding with LLM evaluations.</t>
        </is>
      </c>
    </row>
    <row r="121">
      <c r="A121" t="inlineStr">
        <is>
          <t>li-4361540756</t>
        </is>
      </c>
      <c r="B121" t="inlineStr">
        <is>
          <t>AI/ML Engineer</t>
        </is>
      </c>
      <c r="C121" t="inlineStr">
        <is>
          <t>micro1</t>
        </is>
      </c>
      <c r="D121" t="inlineStr">
        <is>
          <t>linkedin</t>
        </is>
      </c>
      <c r="E121">
        <f>HYPERLINK("https://www.linkedin.com/jobs/view/4361540756", "https://www.linkedin.com/jobs/view/4361540756")</f>
        <v/>
      </c>
      <c r="F121">
        <f>HYPERLINK("https://jobs.micro1.ai/post/33ac3e3b-17f1-4a1c-981d-f9397e004c1f?utm_source=linkedin&amp;urlHash=SpvB", "https://jobs.micro1.ai/post/33ac3e3b-17f1-4a1c-981d-f9397e004c1f?utm_source=linkedin&amp;urlHash=SpvB")</f>
        <v/>
      </c>
      <c r="G121" t="inlineStr"/>
      <c r="H121" t="inlineStr"/>
      <c r="I121" t="inlineStr">
        <is>
          <t>**Job Title:** 
 AI/ML Engineer
**Job Type:** 
 Full\-time \- Contractor
**Job Summary:** 
 Join our customer's team as an AI/ML Engineer and play a pivotal role in architecting and deploying cutting\-edge AI solutions. Be part of an innovative environment where your expertise with Python, LLMs, Retrieval\-Augmented Generation (RAG), and AWS will be fully leveraged to deliver impactful, production\-grade machine learning systems.
**Key Responsibilities:** 
* Design, develop, and deploy AI/ML models, with a focus on Large Language Models and RAG architectures.
* Implement scalable, secure, and high\-performance machine learning pipelines on AWS infrastructure.
* Collaborate cross\-functionally to understand business needs and translate them into technical solutions.
* Continuously optimize models and workflows for robustness, accuracy, and efficiency.
* Conduct research to evaluate new algorithms and integrate state\-of\-the\-art techniques into existing frameworks.
* Document code, workflows, and processes, emphasizing clarity and concise communication.
* Foster a collaborative environment through effective written and verbal communication.
**Required Skills and Qualifications:** 
* Proficiency in Python with experience in developing and deploying AI/ML solutions.
* Deep understanding of Large Language Models and Retrieval\-Augmented Generation techniques.
* Hands\-on experience with AWS services related to machine learning and data engineering.
* Strong analytical and problem\-solving skills, with a drive for innovation.
* Excellent written and verbal communication abilities.
* Demonstrated ability to work effectively in fast\-paced, collaborative, on\-site environments.
* Proven track record of delivering production\-level AI/ML systems.
**Preferred Qualifications:** 
* Advanced degree in Computer Science, Data Science, or a related field.
* Experience with additional cloud platforms and MLOps tools.
* Contributions to open\-source AI/ML communities.</t>
        </is>
      </c>
    </row>
    <row r="122">
      <c r="A122" t="inlineStr">
        <is>
          <t>li-4354436813</t>
        </is>
      </c>
      <c r="B122" t="inlineStr">
        <is>
          <t>Machine Learning Engineer, Entry Level</t>
        </is>
      </c>
      <c r="C122" t="inlineStr">
        <is>
          <t>Emonics LLC</t>
        </is>
      </c>
      <c r="D122" t="inlineStr">
        <is>
          <t>linkedin</t>
        </is>
      </c>
      <c r="E122">
        <f>HYPERLINK("https://www.linkedin.com/jobs/view/4354436813", "https://www.linkedin.com/jobs/view/4354436813")</f>
        <v/>
      </c>
      <c r="F122" t="inlineStr"/>
      <c r="G122" t="inlineStr">
        <is>
          <t>New York, United States</t>
        </is>
      </c>
      <c r="H122" t="inlineStr"/>
      <c r="I122" t="inlineStr">
        <is>
          <t>Job description
 About the role
 We are hiring a Machine Learning Engineer to help design, build, and deploy ML solutions. This role focuses on turning models into reliable systems and collaborating with engineering teams to operationalize ML.
 What you will do
 • Develop and train ML models with reproducible pipelines
 • Build data preprocessing workflows and feature generation
 • Deploy models to production and monitor performance
 • Work with stakeholders to define success metrics and test outcomes
 • Document experiments and contribute to best practices
 What you are looking for
 • Degree in CS, Data Science, Engineering, or related field
 • Strong Python, data handling (pandas), and ML fundamentals
 • Familiarity with scikit\-learn and basic model evaluation
 • Understanding of software engineering basics (Git, testing, modular code)
 Nice to have
 • PyTorch or TensorFlow
 • Experience with ML pipelines, Airflow, or workflow orchestration
 • Exposure to CI/CD, Docker, and cloud services</t>
        </is>
      </c>
    </row>
    <row r="123">
      <c r="A123" t="inlineStr">
        <is>
          <t>li-4348143532</t>
        </is>
      </c>
      <c r="B123" t="inlineStr">
        <is>
          <t>Senior Staff Machine Learning Engineer, Personalization &amp; Recommendations</t>
        </is>
      </c>
      <c r="C123" t="inlineStr">
        <is>
          <t>Quizlet</t>
        </is>
      </c>
      <c r="D123" t="inlineStr">
        <is>
          <t>linkedin</t>
        </is>
      </c>
      <c r="E123">
        <f>HYPERLINK("https://www.linkedin.com/jobs/view/4348143532", "https://www.linkedin.com/jobs/view/4348143532")</f>
        <v/>
      </c>
      <c r="F123" t="inlineStr"/>
      <c r="G123" t="inlineStr">
        <is>
          <t>San Francisco, CA</t>
        </is>
      </c>
      <c r="H123" t="inlineStr"/>
      <c r="I123"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The Personalization \&amp; Recommendations ML Engineering team builds the core intelligence behind how Quizlet matches learners with content, activities, and experiences that best fit their goals. We power recommendation and search systems across multiple surfaces, from home feed and search results to adaptive study modes.
 Our team's objective is to make Quizlet feel uniquely tailored for every learner by combining cutting\-edge machine learning, scalable infrastructure, and insights from learning science.
 You’ll collaborate closely with Product Managers, Data Scientists, Platform Engineers, and fellow ML engineers to deliver personalized learning pathways that drive engagement, satisfaction, and measurable learning outcomes.
**About The Role**
 As a senior technical leader on the Personalization \&amp; Recommendations team, you’ll not only architect cutting\-edge personalization systems but also guide the strategic direction of Quizlet’s AI\-driven learner experience, mentoring peers and influencing decisions across the company. In this role, you’ll architect and implement large\-scale retrieval, ranking and recommendation systems that directly shape the learner experience. You’ll bring modern RecSys expertise (from deep learning–based retrieval and embeddings to multi\-task ranking and reinforcement learning) and help evolve Quizlet’s personalization stack.
 You’ll help define and deliver systems that learn from billions of interactions while respecting learner privacy, fairness and integrity.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Work closely with other senior leaders to define and drive the long\-term technical vision for personalization and recommendations across multiple Quizlet surfaces, ensuring alignment between modeling strategy, platform capabilities, and product roadmaps
* Communicate complex modeling trade\-offs and recommendations to diverse audiences (from senior leadership to cross\-functional partners) influencing decisions through clear reasoning, data, and empathy
* Architect and build large\-scale personalization models across candidate retrieval, ranking, and post\-ranking layers, leveraging user embeddings, contextual signals, and content features to power adaptive learning experiences
* Develop scalable retrieval and serving systems using modern architectures such as Two\-Tower, deep ranking, and ANN\-based vector search for real\-time personalization at global scale
* Lead model training, evaluation, and deployment pipelines for retrieval and ranking systems, ensuring training\-serving consistency, reliability, and robust monitoring
* Partner closely with Product and Data Science to translate learning objectives (e.g., engagement, retention, and mastery) into measurable modeling goals and experimentation frameworks
* Advance evaluation methodologies by refining offline metrics (e.g., NDCG, CTR, calibration) and online A/B testing to rigorously measure learner impact and model performance
* Collaborate with platform and infrastructure teams to optimize distributed training, inference latency, and cost\-efficient serving in production environments
* Stay at the forefront of personalization and RecSys research, bringing relevant advances from top conferences (KDD, WSDM, SIGIR, RecSys, NeurIPS) into applied production systems
* Mentor and coach engineers and applied scientists, fostering technical excellence, reproducibility, and responsible AI practices across the organization
* Champion a culture of collaboration, inclusivity, and experimentation, helping elevate Quizlet’s AI craft and ensuring personalization systems serve learners equitably and effectively
**What You Bring To The Table**
* 12\+ years of experience in applied machine learning or ML\-heavy engineering, with deep expertise in personalization, ranking, or recommendation systems
* Proven ability to shape technical direction across multiple teams or disciplines, balancing long\-term architectural vision with near\-term product and business priorities
* Exceptional communication and storytelling skills — able to distill complex technical concepts into clear narratives for executives, product partners, and non\-technical audiences
* Demonstrated leadership through influence, guiding teams through ambiguity, aligning stakeholders around measurable goals, and ensuring accountability for impact
* Experience mentoring senior engineers and applied scientists, leading technical working groups, and driving cross\-team innovation and standardization
* Track record of measurable impact, improving key online metrics such as CTR, retention, and engagement through recommender, ranking, or search systems in production
* Deep technical understanding of modern retrieval and ranking architectures (e.g., Two\-Tower, deep cross networks, GNNs, MMoE, Transformers) and multi\-stage RecSys pipelines
* Strong hands\-on skills in Python and PyTorch, with expertise in data and feature engineering, distributed training and inference on GPUs, and familiarity with modern MLOps practices — including model registries, feature stores, monitoring, and drift detection
* Experience with large\-scale embedding models and vector search systems (FAISS, ScaNN, or similar), including training, serving, and optimization at scale
* Expertise in experimentation and evaluation, connecting offline metrics (AUC, NDCG, calibration) with online A/B results to drive confident, data\-informed decisions
* Commitment to collaboration and inclusion, fostering a culture that values diverse perspectives, constructive debate, and shared ownership of results
**Bonus Points If You Have**
* Publications or open\-source contributions in RecSys, search, or ranking
* Familiarity with reinforcement learning for recommendations or contextual bandits
* Experience with hybrid RecSys systems blending collaborative filtering, content understanding, and LLM\-based reasoning
* Prior work in consumer or EdTech applications with personalization at scale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$247,800 \- $346,450,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4">
      <c r="A124" t="inlineStr">
        <is>
          <t>li-4340787145</t>
        </is>
      </c>
      <c r="B124" t="inlineStr">
        <is>
          <t>AI Engineer</t>
        </is>
      </c>
      <c r="C124" t="inlineStr">
        <is>
          <t>Capco</t>
        </is>
      </c>
      <c r="D124" t="inlineStr">
        <is>
          <t>linkedin</t>
        </is>
      </c>
      <c r="E124">
        <f>HYPERLINK("https://www.linkedin.com/jobs/view/4340787145", "https://www.linkedin.com/jobs/view/4340787145")</f>
        <v/>
      </c>
      <c r="F124" t="inlineStr"/>
      <c r="G124" t="inlineStr">
        <is>
          <t>Dallas, TX</t>
        </is>
      </c>
      <c r="H124" t="inlineStr"/>
      <c r="I124" t="inlineStr">
        <is>
          <t>**About the team:** 
 At the Capco Technology Delivery Center, we are dedicated to the financial services industries. Our professionals combine innovative thinking with unrivalled industry and domain expertise to offer our clients consulting expertise, complex technology and package integration, transformation delivery, and managed services, to move their organizations forward. Through our collaborative and efficient approach, we help our clients successfully innovate, increase revenue, manage risk and regulatory change, reduce costs, and enhance controls. Our teams stay at the forefront of industry trends and technologies that are driving innovation. From strategy to launch, we are adept at delivering across the full product lifecycle.
**About the Job:** 
 As a member of the Capco Technology Delivery Team, you’ll bring practical knowledge of agile development methodologies and engineering best practices. As an AI Engineer, you’ll play an integral role using your experience and skills to contribute to the quality and implementation of our projects.
 We are seeking a highly skilled and experienced Senior GenAI Engineer who will be instrumental in designing, developing, and deploying modern generative AI solutions, leveraging expertise in foundation models, agentic AI systems, and full\-stack application development. You will work across the entire AI lifecycle, from research and prototyping to production deployment and monitoring, contributing to high\-impact transformative projects.
**What You’ll Get to Do:** 
* Build applications leveraging foundation models and advanced GenAI techniques (Agentic RAG, KG\-RAG)
* Develop autonomous agents using modern agentic frameworks
* Implement MCP integrations and Python\-based full\-stack solutions
* Create scalable REST APIs and deploy AI workloads on major clouds
* Apply LLMOps/MLOps best practices for CI/CD and monitoring
* Work across teams, mentor others, and drive innovation in embeddings, knowledge graphs, and ontologies
**What You’ll Bring with You:** 
* Degree in CS, AI/ML, or related field
* 5\+ years of AI/ML\-focused software engineering
* Production experience with LLMs and agentic systems
* Strong MCP knowledge and expert\-level Python (zero Java)
* Experience with embeddings at scale, knowledge graphs, ontology extraction, and advanced RAG
* Full\-stack skills (Python back end \+ modern front end)
* Cloud deployment experience (AWS, Azure, or GCP)
* Familiarity with LLMOps tools and strong problem\-solving/communication skills
* Willingness to work in the Dallas office 5 days/week.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We have been informed of several recruitment scams targeting the public. We strongly advise you to verify identities before engaging in recruitment related communication. All official Capco communication will be conducted via a Capco recruiter.LI\-MB1</t>
        </is>
      </c>
    </row>
    <row r="125">
      <c r="A125" t="inlineStr">
        <is>
          <t>li-4328914293</t>
        </is>
      </c>
      <c r="B125" t="inlineStr">
        <is>
          <t>Senior Machine Learning Engineer</t>
        </is>
      </c>
      <c r="C125" t="inlineStr">
        <is>
          <t>GEICO</t>
        </is>
      </c>
      <c r="D125" t="inlineStr">
        <is>
          <t>linkedin</t>
        </is>
      </c>
      <c r="E125">
        <f>HYPERLINK("https://www.linkedin.com/jobs/view/4328914293", "https://www.linkedin.com/jobs/view/4328914293")</f>
        <v/>
      </c>
      <c r="F125" t="inlineStr"/>
      <c r="G125" t="inlineStr">
        <is>
          <t>Seattle, WA</t>
        </is>
      </c>
      <c r="H125" t="inlineStr"/>
      <c r="I12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**Overview:** 
 We are seeking an accomplished Senior ML Engineer to serve as an individual contributor to the generative AI space at GEICO. In this role, you will be collaborating with a dynamic team of AI and software engineers to design, develop, and deploy systems that drive business value. Your passion for scalability, reliability, and usability of generative AI workflows and approaches will allow you to provide hands\-on guidance, ensure architectural excellence, and lead by example to solve complex, large\-scale, cross\-functional problems.
**Responsibilities:** 
* Contribute to the design, development and maintenance of high\-performance AI solutions that utilize agentic workflows to deliver concrete business value for internal stakeholders. Examples include knowledge assistants, voice/text\-based conversational AI solutions, document/audio processing copilots, voice agents, robotic process automation, etc.
* Collaborate with cross\-functional teams, including data scientists, ML engineers, software engineers, product managers, designers to gather requirements, help define project scope and prioritize feature backlogs. Execute pragmatic technical visions \&amp; roadmaps that balance business outcomes, product release timelines and engineering excellence.
* Integrate and build solutions using GEICO AI platform architecture. Partner with platform teams to communicate requirements, understand current capabilities and gaps, and contribute to platform development.
* Work on first\-of\-its\-kind solutions within GEICO, with a deep understanding of business and technical processes, applications, and architecture to guide development.
* Participate in project planning and stakeholder management, ensuring the efficient allocation of resources and timely delivery of solutions.
* Mentor and guide junior engineers via code reviews and design sessions, fostering a collaborative and high\-performance team culture.
**Basic Qualifications**
* 5 years of experience designing and building scalable production AIML applications and systems in cloud environments,
* Proficient in Python, Java and similar general\-purpose programming languages.
* 3 years managing end\-to\-end software development life cycle (e.g. CICD pipelines, Kubernetes\-based deployments, testing, monitoring \&amp; alerting, production support etc.) for backend systems and APIs
* 2 years in training, finetuning, real\-time/batch inferencing and evaluation systems for AIML models and LLMs
* 2 years owning end\-to\-end development, monitoring, maintenance, and continuous improvement of scalable, robust AIML applications.
* Bachelor’s degree or above in Computer Science, Engineering, Statistics or a related field
**Preferred** 
**Qualifications** 
**:**
* 2 years interfacing directly with internal business stakeholders and/or external stakeholders on AIML initiatives
* 2 years working with cloud provider solutions such as Azure and AWS
* 2 years with tools that power LLM\-based AI agents: eval frameworks, agent tooling, RAG pipelines, prompt engineering, etc.
* Strong communication and problem\-solving skills to excel in dynamic, cross\-functional and ambiguous decision\-making environments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26">
      <c r="A126" t="inlineStr">
        <is>
          <t>li-4274100892</t>
        </is>
      </c>
      <c r="B126" t="inlineStr">
        <is>
          <t>Staff Machine Learning Engineer, AI Platform</t>
        </is>
      </c>
      <c r="C126" t="inlineStr">
        <is>
          <t>General Motors</t>
        </is>
      </c>
      <c r="D126" t="inlineStr">
        <is>
          <t>linkedin</t>
        </is>
      </c>
      <c r="E126">
        <f>HYPERLINK("https://www.linkedin.com/jobs/view/4274100892", "https://www.linkedin.com/jobs/view/4274100892")</f>
        <v/>
      </c>
      <c r="F126" t="inlineStr"/>
      <c r="G126" t="inlineStr">
        <is>
          <t>Sunnyvale, CA</t>
        </is>
      </c>
      <c r="H126" t="inlineStr"/>
      <c r="I126" t="inlineStr">
        <is>
          <t>****Job Description****
*Remote: This role is based remotely but if you live within a 50\-mile radius of Mountain View, you are expected to report to that location three times a week, at minimum*
**The Role:**
 We are seeking an experienced, technical oriented, impact delivering\-driven expert in ML Training Infrastructure with a strong ability to execute hands\-on technical work. In this role, you will be responsible for designing and building scalable, reliable, and high\-performance AI/ML platform infrastructure to support advanced AI research and model development initiatives. As a Staff ML System Engineer, you will collaborate closely with machine learning engineers, research scientists, and other partners to develop state\-of\-the\-art AI solutions that enable the future of intelligent driving technologies across General Motors vehicles.
**What You'll Do:**
* Lead the design and development of scalable, reliabile, high\-performance ML framework to support model training at scale.
* Lead model training performance analysis and optimizaiton solutions to scale distributed training workflows and maximize resource utilization across heterogeneous hardware environments, and save cost.
* Raise the bar on system observability, debuggability, and operational excellence, and user experience.
* Collaborate with cross\-functional teams to integrate new features and technologies into the platform.
****Your Skills \&amp; Abilities (Required Qualifications)****
* Bachelors or higher degree in Computer Science or equivalent major or equaivalent experience
* 7\+ years professional software engineering experience
* 3\+ years specialized experience in AI/ML infrastructure, e.g., enabling distributed training for scaling large ML models
* Strong programming skills in Python, with proficiency in frameworks such as,PyTorch (prefered), TensorFlow, or similar
* Experience with distributed computing, GPU computing, and cloud environments (AWS, GCP, Azure).
* Willingness to travel to Sunnyvale, CA as needed
* Comfortable working in highly ambiguous and dynamic environments
**What Will Give You a Competitive Edge (preferred qualifications):**
* Self\-motivated, strong execution, impact\-delivering oriented
* Extensive knowledge and experience with PyTorch 2\.x\+ and distributed training framework
* Experience with design and development of training framework that supports FSDP, Pipeline Parallelism and other scalable solutions to training large foundational models
* Experience with profiling, analysis, debugging and optimizing training and dataloading performance.
* Excellent communication skills to resolve controversial, make consensus, communicate risks and give constructive feedback
****Your Skills \&amp; Abilities (Required Qualifications)****
* Bachelors or higher degree in Computer Science or equivalent major or equaivalent experience
* 7\+ years professional software engineering experience
* 3\+ years specialized experience in AI/ML infrastructure, e.g., enabling distributed training for scaling large ML models
* Strong programming skills in Python, with proficiency in frameworks such as,PyTorch (prefered), TensorFlow, or similar
* Experience with distributed computing, GPU computing, and cloud environments (AWS, GCP, Azure).
* Willingness to travel to Sunnyvale, CA as needed
* Comfortable working in highly ambiguous and dynamic environments
**What Will Give You a Competitive Edge (preferred qualifications):**
* Self\-motivated, strong execution, impact\-delivering oriented
* Extensive knowledge and experience with PyTorch 2\.x\+ and distributed training framework
* Experience with design and development of training framework that supports FSDP, Pipeline Parallelism and other scalable solutions to training large foundational models
* Experience with profiling, analysis, debugging and optimizing training and dataloading performance.
* Excellent communication skills to resolve controversial, make consensus, communicate risks and give constructive feedback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$165,000 to $290,700\.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27">
      <c r="A127" t="inlineStr">
        <is>
          <t>li-4361278601</t>
        </is>
      </c>
      <c r="B127" t="inlineStr">
        <is>
          <t>Machine Learning Engineer (Intelligence &amp; Sensing)</t>
        </is>
      </c>
      <c r="C127" t="inlineStr">
        <is>
          <t>CFD Research Corporation</t>
        </is>
      </c>
      <c r="D127" t="inlineStr">
        <is>
          <t>linkedin</t>
        </is>
      </c>
      <c r="E127">
        <f>HYPERLINK("https://www.linkedin.com/jobs/view/4361278601", "https://www.linkedin.com/jobs/view/4361278601")</f>
        <v/>
      </c>
      <c r="F127">
        <f>HYPERLINK("https://grnh.se/9d8i3af59us?gh_src=f242f2062us&amp;urlHash=B1QA", "https://grnh.se/9d8i3af59us?gh_src=f242f2062us&amp;urlHash=B1QA")</f>
        <v/>
      </c>
      <c r="G127" t="inlineStr">
        <is>
          <t>Huntsville, AL</t>
        </is>
      </c>
      <c r="H127" t="inlineStr"/>
      <c r="I127" t="inlineStr">
        <is>
          <t>**About CFD Research:** 
 Since its inception in 1987, CFD Research has delivered innovative technology solutions within the Aerospace \&amp; Defense, Biomedical \&amp; Life Sciences, Intelligence \&amp; Sensing, and Energy \&amp; Materials industries. CFD Research has earned multiple national awards for successful application and commercialization of innovative component/system technology prototypes, multi\-physics simulation software, multi\-disciplinary analyses, and expert support services. Based in Huntsville, Alabama where laboratory facilities and headquarters are located, CFD Research also has office and laboratory facilities in Dayton, Ohio, prototyping test and evaluation facilities in Hollywood, Alabama, and office facilities in Fort Walton Beach, Florida. CFD Research is an ISO9001:AS9100D registered company and is appraised at CMMI Level II for Services.
 **CFD Research is a 100% ESOP (employee\-owned company) recognized in Inc. Magazine's Inc5000 as a top growing company for four of the last five years. Learn more at www.cfd\-research.com**
**Job Description**
 The engineer in this role will join a small, multidisciplinary R\&amp;D team focused on developing and advancing high\-performance computer vision and perception models for intelligence, defense, and biomedical applications. The engineer will design and implement predictive and generative machine learning models for object detection, recognition, and tracking with an emphasis on robustness, accuracy, and scalability across diverse operational conditions. This role involves close collaboration with researchers and engineers to translate domain\-specific challenges into effective learning\-based solutions and to deploy production\-quality models across desktop, cloud, and edge software environments.
 The successful candidate will contribute across the full model development lifecycle, from problem definition and data exploration through training, evaluation, and deployment of robust, high\-performance vision and tracking pipelines. Responsibilities include exploratory data analysis, neural network architecture design and tuning, integration with sensor data streams, and rigorous quantitative and qualitative evaluation to ensure accuracy, stability, and generalization. Emphasis is placed on developing reliable, scalable models and using GPU acceleration where appropriate. The engineer will collaborate closely with engineers and subject matter experts across multiple domains to deliver validated, production\-ready solutions.
**Basic Qualifications**
* Candidate must be a U.S. Citizen and possess (or be eligible to obtain) and maintain a SECRET clearance.
* Master’s degree in Computer Science, Electrical/Computer Engineering, Applied Mathematics, Physics, or a related STEM discipline.
* Strong proficiency in Python, with demonstrated experience developing and optimizing computer vision algorithms for real\-time execution on embedded and edge platforms.
* Advanced understanding of computer vision and machine learning methods for object detection, object tracking, and object recognition,
* Proficiency with deep learning frameworks such as PyTorch or TensorFlow/Keras, including experience modifying or extending framework components to support custom vision pipelines and specialized hardware accelerators.
**Desired Qualifications**
* Experience with embedded vision systems, including low\-level optimization in C/C\+\+ or assembly, and integration of perception algorithms with sensor data streams (e.g., EO/IR, video, or multimodal inputs).
* Proven track record of deploying computer vision and target tracking models into production environments, particularly on resource\-constrained devices or distributed edge\-compute architectures.
* Deep expertise in CUDA and/or OpenCL for accelerating image processing, neural network inference, and tracking pipelines on GPU\-enabled systems.
* Experience with OpenGL and/or WebGL for real\-time visualization of detections, tracks, sensor data, and algorithm outputs.
* Fluency working in Linux\-based HPC and shared compute environments, with experience scaling training and evaluation of vision and tracking models across multiple GPUs or nodes.
* Experience collaborating within multidisciplinary engineering teams using Git\-based version control workflows for code development, review, and integration.
**Benefits:** 
 CFD Research offers competitive salaries and excellent employee benefits, including an employer matching 401(k) and Employee Stock Ownership Plan (ESOP). CFD Research offers our Full\-Time, permanent employee\-owners a highly competitive insurance package, including medical, vision, and dental insurance. Additionally, we offer company paid leave, compensation time, parental leave, long\-term and short\-term disability, accidental death and dismemberment, and life insurance. Part\-Time and Temporary employee\-owners may receive partial or reduced benefits and leave time based on their employment status level. Performance appraisals occur twice a year and annual pay increases are based upon corporate goals, personal development, performance, and outstanding achievements. In addition, group and individual bonuses are awarded for exceptional performance.
***CFD Research is an EO employer \- Veterans/Disabled and other protected categories***</t>
        </is>
      </c>
    </row>
    <row r="128">
      <c r="A128" t="inlineStr">
        <is>
          <t>li-4219385204</t>
        </is>
      </c>
      <c r="B128" t="inlineStr">
        <is>
          <t>Staff Machine Learning Engineer</t>
        </is>
      </c>
      <c r="C128" t="inlineStr">
        <is>
          <t>Tubi</t>
        </is>
      </c>
      <c r="D128" t="inlineStr">
        <is>
          <t>linkedin</t>
        </is>
      </c>
      <c r="E128">
        <f>HYPERLINK("https://www.linkedin.com/jobs/view/4219385204", "https://www.linkedin.com/jobs/view/4219385204")</f>
        <v/>
      </c>
      <c r="F128" t="inlineStr"/>
      <c r="G128" t="inlineStr"/>
      <c r="H128" t="inlineStr"/>
      <c r="I128" t="inlineStr">
        <is>
          <t>About Tubi:
 Boldly built for every fandom, Tubi is a free streaming service that entertains over 100 million monthly active users. Tubi offers the world's largest collection of Hollywood movies and TV shows, thousands of creator\-led stories and hundreds of Tubi Originals made for the most passionate fans. Headquartered in San Francisco and founded in 2014, Tubi is part of Tubi Media Group, a division of Fox Corporation.
**About the Role:**
 The Machine Learning team at Tubi drives the innovation behind personalized user experiences. With the largest inventory in the industry and hundreds of millions of viewers, we tackle problems in the space of recommendations, search, content understanding and ads optimization that shape the future of streaming.
 We are seeking a highly skilled
 **Staff Machine Learning Engineer** 
 to contribute to transformative projects in video personalization. In this role, you will design and implement advanced algorithms and systems to improve our personalization strategy. As a senior technical expert, you will tackle complex problems in machine learning at scale, collaborating closely with cross\-functional teams to develop and optimize machine learning\-driven solutions.
 This is a hybrid role in our San Francisco office.
**What You'll Do:**
* Lead the design, development, and implementation of advanced recommendation systems and algorithms for a global audience
* Conduct deep dives into algorithmic components and systems, ensuring that models are optimized for both performance and scalability across multiple regions and product areas
* Build and deploy high\-impact robust ML pipelines, including data extraction, feature development, model training, testing, and deployment
* Continuously monitor, evaluate, and optimize the performance of deployed models, ensuring they meet business goals and provide high\-quality user experiences.
* Work closely with Product, Engineering, and Data Science teams to align on product requirements, set expectations, and deliver machine learning\-driven solutions that improve user engagement
**Your Background:**
* 8\+ years of industry experience building production Machine Learning systems
* MSc or Ph.D. in Computer Science, Machine Learning, Statistics, Mathematics, or a related field
* Experience with deep learning technologies for recommendation systems, including TensorFlow, PyTorch, or similar frameworks
* Proficiency in building and deploying full\-stack machine learning pipelines: data extraction, data mining, model training, feature development, testing, and deployment.
* Solid understanding of statistical concepts such as hypothesis testing, regression analysis, and performance evaluation metrics for machine learning.
* Ability to deep dive into individual components and systems, as well as understand the overall architecture of machine learning solutions.
 Pursuant to state and local pay disclosure requirements, the pay range for this role, with final offer amount dependent on education, skills, experience, and location is is listed annually below. This role is also eligible for an annual discretionary bonus, long\-term incentive plan, and various benefits including medical/dental/vision, insurance, a 401(k) plan, paid time off and other benefits in accordance with applicable plan documents.
 High cost labor markets such as but not limited to Los Angeles, New York City, and San Francisco
 $239,000—$342,000 USD
 Tubi is a division of Fox Corporation, and the FOX Employee Benefits summarized here, covers the majority of all US employee benefits. The following distinctions below outline the differences between the Tubi and FOX benefits:
* For US\-based non\-exempt Tubi employees, the FOX Employee Benefits summary accurately captures the Vacation and Sick Time.
* For all salaried/exempt employees, in lieu of the FOX Vacation policy, Tubi offers a Flexible Time off Policy to manage all personal matters.
* For all full\-time, regular employees, in lieu of FOX Paid Parental Leave, Tubi offers a generous Parental Leave Program, which allows parents twelve (12\) weeks of paid bonding leave within the first year of birth, adoption, surrogacy, or foster placement of a child in addition to applicable government leave program(s) and FOX’s short\-term disability policy. This time is 100% paid through a combination of any applicable state, city, and federal leaves and wage\-replacement programs in addition to contributions made by Tubi.
* For all full\-time, regular employees, Tubi offers a monthly wellness reimbursement.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is>
      </c>
    </row>
    <row r="129">
      <c r="A129" t="inlineStr">
        <is>
          <t>li-4316391906</t>
        </is>
      </c>
      <c r="B129" t="inlineStr">
        <is>
          <t>Staff Machine Learning Engineer - Fraud Data</t>
        </is>
      </c>
      <c r="C129" t="inlineStr">
        <is>
          <t>Plaid</t>
        </is>
      </c>
      <c r="D129" t="inlineStr">
        <is>
          <t>linkedin</t>
        </is>
      </c>
      <c r="E129">
        <f>HYPERLINK("https://www.linkedin.com/jobs/view/4316391906", "https://www.linkedin.com/jobs/view/4316391906")</f>
        <v/>
      </c>
      <c r="F129">
        <f>HYPERLINK("https://jobs.lever.co/plaid/b999e686-0d02-4a97-91c2-04912350173c/apply?lever-origin=applied&amp;lever-source=LinkedInPaid&amp;urlHash=xc-S", "https://jobs.lever.co/plaid/b999e686-0d02-4a97-91c2-04912350173c/apply?lever-origin=applied&amp;lever-source=LinkedInPaid&amp;urlHash=xc-S")</f>
        <v/>
      </c>
      <c r="G129" t="inlineStr">
        <is>
          <t>Seattle, WA</t>
        </is>
      </c>
      <c r="H129" t="inlineStr"/>
      <c r="I129"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Data team within Plaid’s Fraud organization builds the machine learning systems that power Plaid’s cutting\-edge fraud detection products. By leveraging Plaid’s extensive network data, we enable proactive fraud prevention—stopping fraud before it happens. Our team owns the entire ML lifecycle, from developing feature pipelines and training models to deploying and monitoring them in production. We ensure that our systems scale reliably and efficiently as Plaid continues to grow and support hundreds of customers.
 As a Staff Machine Learning Engineer on Plaid’s Fraud Data team, you will design and build scalable ML infrastructure that powers our industry\-leading fraud detection product. You’ll lead the evolution of our model deployment, monitoring, and observability frameworks to ensure high reliability and performance at scale. Collaborating closely with teams across ML Infrastructure, Product, and Engineering, you’ll deliver robust systems that protect users and customers from fraud. In addition, you’ll mentor other engineers and help shape the long\-term technical vision and strategy of the Fraud Data team.
 \*\*\*We are open to remote candidates for this role\*\*\*
**Responsibilities**
* Design and build scalable ML infrastructure for Plaid’s fraud detection product
* Working at a fast\-pace environment to build a rapidly growing product with a championship team
* Solving complex problems at the intersection of ML systems, data, and reliability
* Building the foundations for fraud detection on the largest financial dataset in the world
* Collaborating with talented engineers and data scientists across Plaid
**Qualifications**
* 8\+ years total experience, with at least 5 years building and deploying production ML systems.
* Proven experience in machine learning infrastructure/operations.
* Demonstrated technical leadership and architectural vision, driving systems from concept to production.
* Proficiency in Python, PyTorch, Spark, SageMaker, and Airflow, or equivalent technologies.
* Nice to have \- experience working in fraud detection, risk modeling, or financial security domains.
* Nice to have \- background in graph machine learning or related techniques.
 $192,000 \- $400,000 a year
 The target base salary for this position ranges from $192,000/year to $400,000/year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130">
      <c r="A130" t="inlineStr">
        <is>
          <t>li-4317212362</t>
        </is>
      </c>
      <c r="B130" t="inlineStr">
        <is>
          <t>Senior Machine Learning Engineer - Prediction</t>
        </is>
      </c>
      <c r="C130" t="inlineStr">
        <is>
          <t>Motional</t>
        </is>
      </c>
      <c r="D130" t="inlineStr">
        <is>
          <t>linkedin</t>
        </is>
      </c>
      <c r="E130">
        <f>HYPERLINK("https://www.linkedin.com/jobs/view/4317212362", "https://www.linkedin.com/jobs/view/4317212362")</f>
        <v/>
      </c>
      <c r="F130">
        <f>HYPERLINK("https://grnh.se/ab0c523b3us?gh_src=f16e0ebe4us&amp;gh_src=1f90d4ae3us&amp;gh_src=61bee8d12us&amp;gh_src=6d383ce23us&amp;gh_src=ec0eddf03us&amp;gh_src=2dc205461&amp;utm_source=LinkedIn&amp;src=93c4f47a1us&amp;gh_src=de9c92c2teu&amp;gh_src=85642ca12us&amp;mode=job&amp;gh_src=5ylsd31&amp;gh_src=7cc214831us&amp;gh_src=1ev8671&amp;gh_src=3def3d492us&amp;gh_src=5ac1e5d54us&amp;gh_src=9bba01a71us&amp;source=LinkedIn&amp;gh_src=d0d015e96us&amp;gh_src=f242f2062us&amp;gh_src=d39591f15us&amp;gh_src=b13de4e21&amp;iis=Job%2BBoard&amp;iisn=LinkedIn&amp;gh_src=769307a46us&amp;urlHash=d-NM", "https://grnh.se/ab0c523b3us?gh_src=f16e0ebe4us&amp;gh_src=1f90d4ae3us&amp;gh_src=61bee8d12us&amp;gh_src=6d383ce23us&amp;gh_src=ec0eddf03us&amp;gh_src=2dc205461&amp;utm_source=LinkedIn&amp;src=93c4f47a1us&amp;gh_src=de9c92c2teu&amp;gh_src=85642ca12us&amp;mode=job&amp;gh_src=5ylsd31&amp;gh_src=7cc214831us&amp;gh_src=1ev8671&amp;gh_src=3def3d492us&amp;gh_src=5ac1e5d54us&amp;gh_src=9bba01a71us&amp;source=LinkedIn&amp;gh_src=d0d015e96us&amp;gh_src=f242f2062us&amp;gh_src=d39591f15us&amp;gh_src=b13de4e21&amp;iis=Job%2BBoard&amp;iisn=LinkedIn&amp;gh_src=769307a46us&amp;urlHash=d-NM")</f>
        <v/>
      </c>
      <c r="G130" t="inlineStr"/>
      <c r="H130" t="inlineStr"/>
      <c r="I130" t="inlineStr">
        <is>
          <t>**On Behaviors** 
 , you'll have the opportunity to work with world\-class ML engineers and research scientists to make self\-driving vehicles a reality and create positive social impact. Our team works on the tech stack responsible for understanding highly complex driving scenes and generating safe, comfortable driving trajectories for our robotaxi using the latest deep neural networks. We are looking for engineers who are passionate about Level 5 autonomous driving, excited by intellectual challenges, and interested in pursuing career growth with a fast growing company.
**What You’ll Be Doing:** 
 You will be directly responsible for training, evaluation, and deployment of our ML\-based scene understanding, behavior prediction, and planning models. Day to day responsibilities include:
* Designing and executing high value experiments based on collaborative input from other machine learning engineers
* Prototyping and implementing continuously improving metrics to evaluate the performance of our behavioral models across many desired scenarios and robotaxi capabilities
* Timely release of major model updates, including analysis of both off\-line and on\-road evaluation data
* Staying up to date with the latest trends in our fast moving industry, and proposing new architectures and network designs based on published literature
* Maintaining a high quality training and evaluation code\-base, including portions of our training stack dedicated to dataset generation and evaluation
**What We’re Looking For:** 
* In\-depth understanding of common Machine Learning and Deep Learning algorithms
* Experience designing, training, and analyzing neural networks for at least one of the following applications: motion planning, object detection, sensor fusion, motion prediction, and/or multi\-object tracking
* Strong track record of tackling less well\-defined problems, and executing efficiently to deliver the successful outcome
* Advanced knowledge of software engineering principles including software design, source control management, build processes, code reviews, and testing methods
* Experience with PyTorch or other python\-based deep learning frameworks
* Experience working with large data sets and deriving insights from data
* Experience mentoring and collaborating with others
**Education** 
 Masters or PhD in Machine Learning, Computer Science, Applied Mathematics, Statistics, Physics or a related field; or equivalent industry experience
**Bonus Points** 
* Publications in relevant conferences (CVPR, ICML, NeurIPS, ICCV, ICL, etc.)
* PhD in machine learning, computer vision, or robotics vision
* Experience working on autonomous vehicles or related fields
* Experience in deploying models into real\-world environments
* Strong programming skills in C\+\+ and/or CUDA programming
* This opportunity can support remote work within the United States, with occasional travel.
**Working Conditions** 
 While performing the duties of this job, the employee is frequently required to convey and detect communication
 The employee occasionally required to remain stationary at times for up to 50% of working time, move in designated working areas; \&amp; operate and use office equipment
 The employee may occasionally move up to 50 pounds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$146,000 USD \- $225,000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131">
      <c r="A131" t="inlineStr">
        <is>
          <t>li-4346202700</t>
        </is>
      </c>
      <c r="B131" t="inlineStr">
        <is>
          <t>Senior Machine Learning Engineer</t>
        </is>
      </c>
      <c r="C131" t="inlineStr">
        <is>
          <t>Harnham</t>
        </is>
      </c>
      <c r="D131" t="inlineStr">
        <is>
          <t>linkedin</t>
        </is>
      </c>
      <c r="E131">
        <f>HYPERLINK("https://www.linkedin.com/jobs/view/4346202700", "https://www.linkedin.com/jobs/view/4346202700")</f>
        <v/>
      </c>
      <c r="F131" t="inlineStr"/>
      <c r="G131" t="inlineStr"/>
      <c r="H131" t="inlineStr"/>
      <c r="I131" t="inlineStr">
        <is>
          <t>**Senior Machine Learning Engineer** 
**Location:** 
 Remote (with optional hybrid New York)
**Salary:** 
 Salary up to $220,000
**THE COMPANY** 
 Our client is a fast\-growing, profitable technology business operating at the cutting edge of AI\-driven decisioning. They partner with global brands to deliver advanced machine learning solutions that optimize real\-time strategies across digital platforms.
**THE ROLE** 
 As a
 **Senior Machine Learning Engineer** 
 , you will play a key role in building scalable ML infrastructure and deploying production\-grade models that directly impact business outcomes. This is an opportunity to work on distributed systems, cutting\-edge neural network architectures, and MLOps best practices in a high\-performance environment.
**RESPONSIBILITIES** 
* You will architect and train neural network models for optimization and audience modeling using
 **PyTorch** 
 and distributed training frameworks.
* You will build multi\-GPU training pipelines and implement hyperparameter tuning strategies.
* You will develop feature engineering workflows using
 **PySpark** 
 and embedding techniques.
* You will own the ML lifecycle from training to batch inference, ensuring automation and reproducibility.
* You will implement monitoring and observability solutions to track model performance and system health.
* Collaborate with cross\-functional teams to align ML initiatives with product strategy and KPIs.
**REQUIREMENTS** 
* MSc or PhD in Computer Science, Machine Learning, or related field.
* Strong ML engineering with strong proficiency in
 **PyTorch** 
 .
* Hands\-on experience with
 **Databricks.**
* Expert\-level Python and PySpark skills for large\-scale data processing.
* Familiarity with cloud platforms (AWS) and data warehousing (Snowflake).
* Strong understanding of CI/CD workflows and best practices.
**BENEFITS** 
* Competitive salary and bonus structure.
* Comprehensive health coverage.
* Generous PTO and company holidays.
* Flexible remote working options.
**HOW TO APPLY** 
 If you’re passionate about building scalable ML systems and want to work in a dynamic, innovative environment, apply today to learn more.</t>
        </is>
      </c>
    </row>
    <row r="132">
      <c r="A132" t="inlineStr">
        <is>
          <t>li-4328864956</t>
        </is>
      </c>
      <c r="B132" t="inlineStr">
        <is>
          <t>Senior High Performance AI Engineer</t>
        </is>
      </c>
      <c r="C132" t="inlineStr">
        <is>
          <t>NVIDIA</t>
        </is>
      </c>
      <c r="D132" t="inlineStr">
        <is>
          <t>linkedin</t>
        </is>
      </c>
      <c r="E132">
        <f>HYPERLINK("https://www.linkedin.com/jobs/view/4328864956", "https://www.linkedin.com/jobs/view/4328864956")</f>
        <v/>
      </c>
      <c r="F132" t="inlineStr"/>
      <c r="G132" t="inlineStr">
        <is>
          <t>California, United States</t>
        </is>
      </c>
      <c r="H132" t="inlineStr"/>
      <c r="I132"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outstanding Senior High Performance AI Engineer to build groundbreaking multi\-agent systems for the CUDA ecosystem. We build innovative agentic runtimes and compiler\-integrated orchestration that work together with NVIDIA's software stack to provide comprehensive acceleration for modern agent workloads powered by foundational models. As a member of the team, you will develop new agent abstractions, GPU\-centric runtimes, and compiler\- or runtime\-driven system solutions to accelerate agent planning, tool\-use, code generation, and other high\-impact AI workloads. You will collaborate closely with internal NVIDIA software and hardware teams to push the latest developments into NVIDIA products.
**What You'll Be Doing**
* Design, build and optimize agentic AI systems for the CUDA ecosystem.
* Co\-design agentic system solutions with software, hardware and algorithm teams; influence and adopt new capabilities as they become available.
* Develop reproducible, high\-fidelity evaluation frameworks covering performance, quality and developer productivity.
* Collaborate across the AI stack—from hardware through compilers/toolchains, kernels/libraries, frameworks, distributed training, and inference/serving—and with model/agent teams.
**What We Need To See**
* Bachelor’s degree in Computer Science, Electrical Engineering, or related field (or equivalent experience); MS or PhD preferred.
* 6 years\+ industry or academia experience with AI systems development; exposure to building foundational models, agents or orchestration frameworks; hands\-on experience with deep learning frameworks and modern inference stacks.
* Strong C/C\+\+ and Python programming skills; solid software engineering fundamentals.
* Experience with GPU programming and performance optimization (CUDA or equivalent).
**Ways To Stand Out From The Crowd**
* Track record building/evaluating deep learning models, coding agents and developer tooling.
* Demonstrated ability to optimize and deploy high\-performance models, including on resource\-constrained platforms.
* Deep expertise in GPU performance optimizations, evidenced by benchmark wins or published results.
* Publications or open\-source leadership in deep learning, multi\-agent systems, reinforcement learning, or AI systems; contributions to widely used repos or standards.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JR2006964</t>
        </is>
      </c>
    </row>
    <row r="133">
      <c r="A133" t="inlineStr">
        <is>
          <t>li-4328923161</t>
        </is>
      </c>
      <c r="B133" t="inlineStr">
        <is>
          <t>Senior High Performance AI Engineer</t>
        </is>
      </c>
      <c r="C133" t="inlineStr">
        <is>
          <t>NVIDIA</t>
        </is>
      </c>
      <c r="D133" t="inlineStr">
        <is>
          <t>linkedin</t>
        </is>
      </c>
      <c r="E133">
        <f>HYPERLINK("https://www.linkedin.com/jobs/view/4328923161", "https://www.linkedin.com/jobs/view/4328923161")</f>
        <v/>
      </c>
      <c r="F133" t="inlineStr"/>
      <c r="G133" t="inlineStr">
        <is>
          <t>Austin, TX</t>
        </is>
      </c>
      <c r="H133" t="inlineStr"/>
      <c r="I133"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outstanding Senior High Performance AI Engineer to build groundbreaking multi\-agent systems for the CUDA ecosystem. We build innovative agentic runtimes and compiler\-integrated orchestration that work together with NVIDIA's software stack to provide comprehensive acceleration for modern agent workloads powered by foundational models. As a member of the team, you will develop new agent abstractions, GPU\-centric runtimes, and compiler\- or runtime\-driven system solutions to accelerate agent planning, tool\-use, code generation, and other high\-impact AI workloads. You will collaborate closely with internal NVIDIA software and hardware teams to push the latest developments into NVIDIA products.
**What You'll Be Doing**
* Design, build and optimize agentic AI systems for the CUDA ecosystem.
* Co\-design agentic system solutions with software, hardware and algorithm teams; influence and adopt new capabilities as they become available.
* Develop reproducible, high\-fidelity evaluation frameworks covering performance, quality and developer productivity.
* Collaborate across the AI stack—from hardware through compilers/toolchains, kernels/libraries, frameworks, distributed training, and inference/serving—and with model/agent teams.
**What We Need To See**
* Bachelor’s degree in Computer Science, Electrical Engineering, or related field (or equivalent experience); MS or PhD preferred.
* 6 years\+ industry or academia experience with AI systems development; exposure to building foundational models, agents or orchestration frameworks; hands\-on experience with deep learning frameworks and modern inference stacks.
* Strong C/C\+\+ and Python programming skills; solid software engineering fundamentals.
* Experience with GPU programming and performance optimization (CUDA or equivalent).
**Ways To Stand Out From The Crowd**
* Track record building/evaluating deep learning models, coding agents and developer tooling.
* Demonstrated ability to optimize and deploy high\-performance models, including on resource\-constrained platforms.
* Deep expertise in GPU performance optimizations, evidenced by benchmark wins or published results.
* Publications or open\-source leadership in deep learning, multi\-agent systems, reinforcement learning, or AI systems; contributions to widely used repos or standards.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JR2006964</t>
        </is>
      </c>
    </row>
    <row r="134">
      <c r="A134" t="inlineStr">
        <is>
          <t>li-4328864367</t>
        </is>
      </c>
      <c r="B134" t="inlineStr">
        <is>
          <t>Senior Staff Machine Learning Engineer</t>
        </is>
      </c>
      <c r="C134" t="inlineStr">
        <is>
          <t>GEICO</t>
        </is>
      </c>
      <c r="D134" t="inlineStr">
        <is>
          <t>linkedin</t>
        </is>
      </c>
      <c r="E134">
        <f>HYPERLINK("https://www.linkedin.com/jobs/view/4328864367", "https://www.linkedin.com/jobs/view/4328864367")</f>
        <v/>
      </c>
      <c r="F134" t="inlineStr"/>
      <c r="G134" t="inlineStr">
        <is>
          <t>Seattle, WA</t>
        </is>
      </c>
      <c r="H134" t="inlineStr"/>
      <c r="I13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**Overview:** 
 We are seeking an accomplished Senior Staff ML Engineer who will serve as a technical leader for the generative AI domain at GEICO. In this individual contributor role, you will be collaborating with a dynamic team of AI and software engineers to design, develop and deploy systems that ensure scalability, reliability and usability of generative AI workflows and approaches across the organization which drive business value using LLM, agentic, and knowledge\-search capabilities as their foundation. You bring a passion for providing hands\-on guidance, ensuring architectural and technical excellence and best practices, serving as a source of thought leadership, and leadingby example to solve complex, large\-scale, cross\-functional problems.
**Responsibilities:** 
* Own design, development and maintenance of high\-performance AI solutions that utilize agentic workflows to deliver concrete business value for internal stakeholders. Examples include knowledge assistants, voice/text\-based conversational AI solutions, document/audio processing copilots, voice agents, robotic process automation, etc.
* Collaborate with cross\-functional teams, including data scientists, ML engineers, software engineers, product managers, designers to gather requirements, define project scope and prioritize feature backlogs. Establish pragmatic technical visions \&amp; roadmaps that balance business outcome, product release timelines and engineering excellence.
* Integrate and build solutions using GEICO AI platform architecture. Partner with platform teams to communicate requirements, understand current capabilities and gaps, and contribute to platform development.
* Ideate and build first\-of\-its\-kind solutions within GEICO, with a deep understanding of business and technical processes, applications, and architecture to guide development.
* Drive the selection, evaluation, and implementation of software technologies, tools, and frameworks, balancing build vs. buy, speed to market, maintainability, etc.
* Take ownership in project planning and stakeholder management, ensuring the efficient allocation of resources and timely delivery of solutions.
* Mentor and guide junior engineers via code reviews and design sessions, fostering a collaborative and high\-performance team culture.
**Basic Qualifications**
* 10\+ years of experience designing and building scalable production AIML applications and systems in cloud environments,
* Proficient in Python, Java and similar general\-purpose programming languages.
* 7 years managing end\-to\-end software development life cycle (e.g. CICD pipelines, Kubernetes\-based deployments, testing, monitoring \&amp; alerting, production support etc.) for backend systems and APIs
* 5 years in training, finetuning, real\-time/batch inferencing and evaluation systems for AIML models and LLMs
* 5 years owning end\-to\-end development, monitoring, maintenance, and continuous improvement of scalable, robust AIML applications.
* Bachelor’s degree or above in Computer Science, Engineering, Statistics or a related field
**Preferred** 
**Qualifications** 
**:**
* 5 years interfacing directly with internal business stakeholders and/or external stakeholders on AIML initiatives
* 5 years working with cloud provider solutions such as Azure and AWS
* 4 years with tools that power LLM\-based AI agents: eval frameworks, agent tooling, RAG pipelines, prompt engineering, etc.
* 3 years building LLM\-based AI agent workflows via both no code/low code and traditional high\-code development environments
* 2 years of ideating, integrating, and designing applications and frontends using React or similar.
* Strong communication and problem\-solving skills to excel in dynamic, cross\-functional and ambiguous decision\-making environments
**Annual Salary**
 $150,000\.00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35">
      <c r="A135" t="inlineStr">
        <is>
          <t>li-4361351715</t>
        </is>
      </c>
      <c r="B135" t="inlineStr">
        <is>
          <t>AI/ML Engineer – Agentic Private Bank Engineer , Vice President</t>
        </is>
      </c>
      <c r="C135" t="inlineStr">
        <is>
          <t>JPMorganChase</t>
        </is>
      </c>
      <c r="D135" t="inlineStr">
        <is>
          <t>linkedin</t>
        </is>
      </c>
      <c r="E135">
        <f>HYPERLINK("https://www.linkedin.com/jobs/view/4361351715", "https://www.linkedin.com/jobs/view/4361351715")</f>
        <v/>
      </c>
      <c r="F135" t="inlineStr"/>
      <c r="G135" t="inlineStr">
        <is>
          <t>Jersey City, NJ</t>
        </is>
      </c>
      <c r="H135" t="inlineStr"/>
      <c r="I135" t="inlineStr">
        <is>
          <t>**Job Description**
 As a Applied AI ML Lead within the team at JPMorgan, you will collaborate with all lines of business and functions to deliver software solutions. You will have opportunity to research, experiment, develop, and productionize high\-quality machine learning models, services, and platforms to make a significant business impact. You will also design and implement highly scalable and reliable data processing pipelines and perform analysis and insights to promote and optimize business results.
**Job Responsibilities**
* Design, deploy and manage prompt\-based models on LLMs for various NLP tasks in the financial services domain
* Conduct research on prompt engineering techniques to improve the performance of prompt\-based models within the financial services field, exploring and utilizing LLM orchestration and agentic AI libraries.
* Collaborate with cross\-functional teams to identify requirements and develop solutions to meet business needs within the organization
* Communicate effectively with both technical and non\-technical stakeholders
* Build and maintain data pipelines and data processing workflows for prompt engineering on LLMs utilizing cloud services for scalability and efficiency.
* Develop and maintain tools and framework for prompt\-based model training, evaluation and optimization
* Analyze and interpret data to evaluate model performance to identify areas of improvement
**Required Qualifications, Capabilities, And Skills**
* Formal training or certification on software engineering concepts and 5\+ years applied experience
* Experience with prompt design and implementation or chatbot application
* Strong programming skills in Python with experience in PyTorch or TensorFlow
* Experience building data pipelines for both structured and unstructured data processing.
* Experience in developing APIs and integrating NLP or LLM models into software applications
* Hands\-on experience with cloud platforms (AWS or Azure) for AI/ML deployment and data processing.
* Excellent problem\-solving and the ability to communicate ideas and results to stakeholders and leadership in a clear and concise manner
* Basic knowledge of deployment processes, including experience with GIT and version control systems
* Familiarity with LLM orchestration and agentic AI libraries
* Hands on experience with MLOps tools and practices, ensuring seamless integration of machine learning models into production environment
**Preferred Qualifications, Capabilities, And Skills**
* Familiarity with model fine\-tuning techniques such as DPO and RLHF.
* Knowledge of Java, Spark
* Knowledge of financial products and services including trading, investment and risk management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136">
      <c r="A136" t="inlineStr">
        <is>
          <t>li-4328725183</t>
        </is>
      </c>
      <c r="B136" t="inlineStr">
        <is>
          <t>Senior High Performance AI Engineer</t>
        </is>
      </c>
      <c r="C136" t="inlineStr">
        <is>
          <t>NVIDIA</t>
        </is>
      </c>
      <c r="D136" t="inlineStr">
        <is>
          <t>linkedin</t>
        </is>
      </c>
      <c r="E136">
        <f>HYPERLINK("https://www.linkedin.com/jobs/view/4328725183", "https://www.linkedin.com/jobs/view/4328725183")</f>
        <v/>
      </c>
      <c r="F136">
        <f>HYPERLINK("https://nvidia.wd5.myworkdayjobs.com/NVIDIAExternalCareerSite/job/US-CA-Santa-Clara/Senior-High-Performance-AI-Engineer_JR2006964?source=jobboardlinkedin&amp;urlHash=RGo7", "https://nvidia.wd5.myworkdayjobs.com/NVIDIAExternalCareerSite/job/US-CA-Santa-Clara/Senior-High-Performance-AI-Engineer_JR2006964?source=jobboardlinkedin&amp;urlHash=RGo7")</f>
        <v/>
      </c>
      <c r="G136" t="inlineStr">
        <is>
          <t>Texas, United States</t>
        </is>
      </c>
      <c r="H136" t="inlineStr"/>
      <c r="I136"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outstanding Senior High Performance AI Engineer to build groundbreaking multi\-agent systems for the CUDA ecosystem. We build innovative agentic runtimes and compiler\-integrated orchestration that work together with NVIDIA's software stack to provide comprehensive acceleration for modern agent workloads powered by foundational models. As a member of the team, you will develop new agent abstractions, GPU\-centric runtimes, and compiler\- or runtime\-driven system solutions to accelerate agent planning, tool\-use, code generation, and other high\-impact AI workloads. You will collaborate closely with internal NVIDIA software and hardware teams to push the latest developments into NVIDIA products.
**What You'll Be Doing**
* Design, build and optimize agentic AI systems for the CUDA ecosystem.
* Co\-design agentic system solutions with software, hardware and algorithm teams; influence and adopt new capabilities as they become available.
* Develop reproducible, high\-fidelity evaluation frameworks covering performance, quality and developer productivity.
* Collaborate across the AI stack—from hardware through compilers/toolchains, kernels/libraries, frameworks, distributed training, and inference/serving—and with model/agent teams.
**What We Need To See**
* Bachelor’s degree in Computer Science, Electrical Engineering, or related field (or equivalent experience); MS or PhD preferred.
* 6 years\+ industry or academia experience with AI systems development; exposure to building foundational models, agents or orchestration frameworks; hands\-on experience with deep learning frameworks and modern inference stacks.
* Strong C/C\+\+ and Python programming skills; solid software engineering fundamentals.
* Experience with GPU programming and performance optimization (CUDA or equivalent).
**Ways To Stand Out From The Crowd**
* Track record building/evaluating deep learning models, coding agents and developer tooling.
* Demonstrated ability to optimize and deploy high\-performance models, including on resource\-constrained platforms.
* Deep expertise in GPU performance optimizations, evidenced by benchmark wins or published results.
* Publications or open\-source leadership in deep learning, multi\-agent systems, reinforcement learning, or AI systems; contributions to widely used repos or standards.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JR2006964</t>
        </is>
      </c>
    </row>
    <row r="137">
      <c r="A137" t="inlineStr">
        <is>
          <t>li-4306877680</t>
        </is>
      </c>
      <c r="B137" t="inlineStr">
        <is>
          <t>AI/ML Engineer (Tactical Networks - CANES) | Active Secret clearance</t>
        </is>
      </c>
      <c r="C137" t="inlineStr">
        <is>
          <t>General Dynamics Information Technology</t>
        </is>
      </c>
      <c r="D137" t="inlineStr">
        <is>
          <t>linkedin</t>
        </is>
      </c>
      <c r="E137">
        <f>HYPERLINK("https://www.linkedin.com/jobs/view/4306877680", "https://www.linkedin.com/jobs/view/4306877680")</f>
        <v/>
      </c>
      <c r="F137" t="inlineStr"/>
      <c r="G137" t="inlineStr">
        <is>
          <t>San Diego, CA</t>
        </is>
      </c>
      <c r="H137" t="inlineStr"/>
      <c r="I137" t="inlineStr">
        <is>
          <t>****Job Description:****
**Type of Requisition:**
 Pipeline
****Clearance Level Must Currently Possess:****
 Secret
****Clearance Level Must Be Able To Obtain:****
 Secret
****Public Trust/Other Required:****
 None
****Job Family:****
 Data Science and Data Engineering
****Skills:****
**Job Qualifications:**
 Artificial Intelligence (AI), Machine Learning (ML), Machine Learning Operations
****Certifications:****
 None
****Experience:****
 2 \+ years of related experience
****US Citizenship Required:****
 Yes
****Job Description:****
 Transform data into decisive advantage as a
 **AI/ML Engineer** 
 with GDIT. A career in applied machine learning at GDIT means building mission\-grade analytics and automation that harden and optimize Navy tactical networks. You’ll be at the forefront of innovation—advancing Consolidated Afloat Networks and Enterprise Services (CANES) and related platforms with NIWC Pacific (Codes 55131/55132/55133\) in support of PMW\-160 Tactical Networks.
 At GDIT, people are our differentiator. Our work depends on a Senior AI/ML Engineer who can design, deploy, and sustain models at the edge—within virtualized, bandwidth\-constrained, and intermittently connected environments—while meeting rigorous cybersecurity and programmatic standards.
**MEANINGFUL WORK AND PERSONAL IMPACT**
* Design and implement ML solutions for network assurance and cyber defense: anomaly detection, fault prediction, QoS optimization, capacity planning, and automated triage across ashore/afloat/subsurface/airborne domains.
* Build secure data pipelines (ETL/ELT) from CANES telemetry, logs, and performance counters; develop features for time\-series, graph, and NLP use cases; enforce data governance and labeling quality.
* Operationalize models with MLOps: containerize (Docker), orchestrate (Kubernetes/Openshift), version (MLflow/DVC), and automate CI/CD (GitLab/Jenkins) for model build/test/deploy in disconnected and low\-bandwidth scenarios.
* Optimize for edge inference using ONNX/TensorRT and CPU/GPU acceleration; implement drift monitoring, retraining triggers, A/B or canary deployments, and model explainability for operator trust.
* Integrate analytics with enterprise tooling (e.g., REST/gRPC services, message buses, dashboards such as Grafana/Splunk) and with program configuration management (CMPro) and issue workflows (Jira/Confluence).
* Align solutions to Risk Management Framework (RMF) and DISA STIGs; produce artifacts (e.g., security design, data flows, test plans) supporting IATT/ATO packages in Enterprise Mission Assurance Support Service (eMASS) in coordination with IA teams.
* Support Developmental Test \&amp; Evaluation (DT\&amp;E), Test Readiness Reviews (TRRs), and lab events in NIWC Pacific facilities; collect test data, analyze results, and author technical reports/white papers.
* Mentor engineers and analysts on ML best practices; contribute to Systems Engineering Plans (SEPs) and DoD Architecture Framework (DoDAF) views related to data/analytics services.
****WHAT YOU’LL NEED TO SUCCEED (Required):****
* Security Clearance: Active Secret clearance.
* Experience:
* 2\+ years applying AI/ML to large\-scale or mission systems (time\-series/graph/NLP), including production deployments and lifecycle sustainment.
* 2\+ years MLOps (containerization, orchestration, CI/CD, model/version management, monitoring) and secure software practices.
* Hands\-on data engineering with SQL/NoSQL, stream processing (e.g., Kafka), and Python\-based ML stacks (PyTorch or TensorFlow, scikit\-learn, pandas).
* Demonstrated delivery in constrained/edge environments (performance tuning, model compression/quantization, resilience to disconnection).
* Familiarity with DoD cybersecurity processes (RMF, STIGs) and documentation practices.
* Education: BS in Computer Science, Electrical/Computer Engineering, Data Science, Applied Mathematics, or related field (equivalent experience may substitute per GDIT policy).
* Position Availability: Position is currently pending final contract award.
* Work Location: Onsite San Diego, CA (NIWC Pacific); \~10–25% CONUS/OCONUS travel to labs, shipyards, and fleet concentration areas per tasking.
* US Citizenship Required
****WHAT WE’D LOVE FOR YOU TO HAVE (Desired):****
* Prior support to PMW\-160/NIWC Pacific or CANES\-like programs; understanding of Navy network operations, GPON, QoS, and transport/optical basics.
* Certifications: Security\+ CE (or higher 8140 baseline if privileged access assigned), CKA/CKAD, AWS/Azure/GCP ML Specialty, Splunk Core/Enterprise.
* Experience with graph ML (PyG/NetworkX), time\-series platforms (Kats, Prophet), and XAI (SHAP/LIME).
* Integration with observability stacks (Prometheus/Grafana), IaC (Ansible/Terraform), and secure SBOM/supply\-chain controls.
* Participation in CCRI prep, DT/OT data analysis, and performance test harness development.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Flexibility: Full\-flex work week to own your priorities at work and at home
* Community: Award\-winning culture of innovation and a military\-friendly workplace
**OWN YOUR OPPORTUNITY**
 Explore a career in data science and engineering at GDIT and you’ll find endless opportunities to grow alongside colleagues who share your determination for solving complex data challenges.
 The likely salary range for this position is $111,155 \- $150,385\. This is not, however, a guarantee of compensation or salary. Rather, salary will be set based on experience, geographic location and possibly contractual requirements and could fall outside of this range.
****Scheduled Weekly Hours:****
 40
****Travel Required:****
 10\-25%
****Telecommuting Options:****
 Onsite
**Work Location:**
 USA CA San Diego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138">
      <c r="A138" t="inlineStr">
        <is>
          <t>li-4328688078</t>
        </is>
      </c>
      <c r="B138" t="inlineStr">
        <is>
          <t>Senior High Performance AI Engineer</t>
        </is>
      </c>
      <c r="C138" t="inlineStr">
        <is>
          <t>NVIDIA</t>
        </is>
      </c>
      <c r="D138" t="inlineStr">
        <is>
          <t>linkedin</t>
        </is>
      </c>
      <c r="E138">
        <f>HYPERLINK("https://www.linkedin.com/jobs/view/4328688078", "https://www.linkedin.com/jobs/view/4328688078")</f>
        <v/>
      </c>
      <c r="F138" t="inlineStr"/>
      <c r="G138" t="inlineStr">
        <is>
          <t>Redmond, WA</t>
        </is>
      </c>
      <c r="H138" t="inlineStr"/>
      <c r="I138"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outstanding Senior High Performance AI Engineer to build groundbreaking multi\-agent systems for the CUDA ecosystem. We build innovative agentic runtimes and compiler\-integrated orchestration that work together with NVIDIA's software stack to provide comprehensive acceleration for modern agent workloads powered by foundational models. As a member of the team, you will develop new agent abstractions, GPU\-centric runtimes, and compiler\- or runtime\-driven system solutions to accelerate agent planning, tool\-use, code generation, and other high\-impact AI workloads. You will collaborate closely with internal NVIDIA software and hardware teams to push the latest developments into NVIDIA products.
**What You'll Be Doing**
* Design, build and optimize agentic AI systems for the CUDA ecosystem.
* Co\-design agentic system solutions with software, hardware and algorithm teams; influence and adopt new capabilities as they become available.
* Develop reproducible, high\-fidelity evaluation frameworks covering performance, quality and developer productivity.
* Collaborate across the AI stack—from hardware through compilers/toolchains, kernels/libraries, frameworks, distributed training, and inference/serving—and with model/agent teams.
**What We Need To See**
* Bachelor’s degree in Computer Science, Electrical Engineering, or related field (or equivalent experience); MS or PhD preferred.
* 6 years\+ industry or academia experience with AI systems development; exposure to building foundational models, agents or orchestration frameworks; hands\-on experience with deep learning frameworks and modern inference stacks.
* Strong C/C\+\+ and Python programming skills; solid software engineering fundamentals.
* Experience with GPU programming and performance optimization (CUDA or equivalent).
**Ways To Stand Out From The Crowd**
* Track record building/evaluating deep learning models, coding agents and developer tooling.
* Demonstrated ability to optimize and deploy high\-performance models, including on resource\-constrained platforms.
* Deep expertise in GPU performance optimizations, evidenced by benchmark wins or published results.
* Publications or open\-source leadership in deep learning, multi\-agent systems, reinforcement learning, or AI systems; contributions to widely used repos or standards.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JR2006964</t>
        </is>
      </c>
    </row>
    <row r="139">
      <c r="A139" t="inlineStr">
        <is>
          <t>li-4328794600</t>
        </is>
      </c>
      <c r="B139" t="inlineStr">
        <is>
          <t>Senior Staff Machine Learning Engineer</t>
        </is>
      </c>
      <c r="C139" t="inlineStr">
        <is>
          <t>GEICO</t>
        </is>
      </c>
      <c r="D139" t="inlineStr">
        <is>
          <t>linkedin</t>
        </is>
      </c>
      <c r="E139">
        <f>HYPERLINK("https://www.linkedin.com/jobs/view/4328794600", "https://www.linkedin.com/jobs/view/4328794600")</f>
        <v/>
      </c>
      <c r="F139" t="inlineStr"/>
      <c r="G139" t="inlineStr">
        <is>
          <t>Palo Alto, CA</t>
        </is>
      </c>
      <c r="H139" t="inlineStr"/>
      <c r="I13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**Overview:** 
 We are seeking an accomplished Senior Staff ML Engineer who will serve as a technical leader for the generative AI domain at GEICO. In this individual contributor role, you will be collaborating with a dynamic team of AI and software engineers to design, develop and deploy systems that ensure scalability, reliability and usability of generative AI workflows and approaches across the organization which drive business value using LLM, agentic, and knowledge\-search capabilities as their foundation. You bring a passion for providing hands\-on guidance, ensuring architectural and technical excellence and best practices, serving as a source of thought leadership, and leadingby example to solve complex, large\-scale, cross\-functional problems.
**Responsibilities:** 
* Own design, development and maintenance of high\-performance AI solutions that utilize agentic workflows to deliver concrete business value for internal stakeholders. Examples include knowledge assistants, voice/text\-based conversational AI solutions, document/audio processing copilots, voice agents, robotic process automation, etc.
* Collaborate with cross\-functional teams, including data scientists, ML engineers, software engineers, product managers, designers to gather requirements, define project scope and prioritize feature backlogs. Establish pragmatic technical visions \&amp; roadmaps that balance business outcome, product release timelines and engineering excellence.
* Integrate and build solutions using GEICO AI platform architecture. Partner with platform teams to communicate requirements, understand current capabilities and gaps, and contribute to platform development.
* Ideate and build first\-of\-its\-kind solutions within GEICO, with a deep understanding of business and technical processes, applications, and architecture to guide development.
* Drive the selection, evaluation, and implementation of software technologies, tools, and frameworks, balancing build vs. buy, speed to market, maintainability, etc.
* Take ownership in project planning and stakeholder management, ensuring the efficient allocation of resources and timely delivery of solutions.
* Mentor and guide junior engineers via code reviews and design sessions, fostering a collaborative and high\-performance team culture.
**Basic Qualifications**
* 10\+ years of experience designing and building scalable production AIML applications and systems in cloud environments,
* Proficient in Python, Java and similar general\-purpose programming languages.
* 7 years managing end\-to\-end software development life cycle (e.g. CICD pipelines, Kubernetes\-based deployments, testing, monitoring \&amp; alerting, production support etc.) for backend systems and APIs
* 5 years in training, finetuning, real\-time/batch inferencing and evaluation systems for AIML models and LLMs
* 5 years owning end\-to\-end development, monitoring, maintenance, and continuous improvement of scalable, robust AIML applications.
* Bachelor’s degree or above in Computer Science, Engineering, Statistics or a related field
**Preferred** 
**Qualifications** 
**:**
* 5 years interfacing directly with internal business stakeholders and/or external stakeholders on AIML initiatives
* 5 years working with cloud provider solutions such as Azure and AWS
* 4 years with tools that power LLM\-based AI agents: eval frameworks, agent tooling, RAG pipelines, prompt engineering, etc.
* 3 years building LLM\-based AI agent workflows via both no code/low code and traditional high\-code development environments
* 2 years of ideating, integrating, and designing applications and frontends using React or similar.
* Strong communication and problem\-solving skills to excel in dynamic, cross\-functional and ambiguous decision\-making environments
**Annual Salary**
 $150,000\.00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40">
      <c r="A140" t="inlineStr">
        <is>
          <t>li-4328747235</t>
        </is>
      </c>
      <c r="B140" t="inlineStr">
        <is>
          <t>Sr. Full Stack AI Engineer</t>
        </is>
      </c>
      <c r="C140" t="inlineStr">
        <is>
          <t>Jobot</t>
        </is>
      </c>
      <c r="D140" t="inlineStr">
        <is>
          <t>linkedin</t>
        </is>
      </c>
      <c r="E140">
        <f>HYPERLINK("https://www.linkedin.com/jobs/view/4328747235", "https://www.linkedin.com/jobs/view/4328747235")</f>
        <v/>
      </c>
      <c r="F140" t="inlineStr"/>
      <c r="G140" t="inlineStr">
        <is>
          <t>Los Angeles, CA</t>
        </is>
      </c>
      <c r="H140" t="inlineStr"/>
      <c r="I140" t="inlineStr">
        <is>
          <t>Want to learn more about this role and Jobot? Click our Jobot logo and follow our LinkedIn page!
 Job details
**NEW Sr. Full Stack AI Engineer Opportunity in Los Angeles!**
 This Jobot Job is hosted by Audrey Block
 Are you a fit? Easy Apply now by clicking the "Easy Apply" button and sending us your resume.
 Salary $125,000 \- $175,000 per year
**A Bit About Us**
 We are an AI startup headquartered in Los Angeles! We've hired 3 engineers and are looking to bring on 3 more. This posting is for a Sr. Engineer. Please apply if you fit the criteria!
****Why join us?****
 Strong funding
 HUGE Opportunity for growth
 Base salary \+ Potential Equity
 Team events
 Lunch, gym membership, Fun Fridays
 Flexible schedule
**Job Details**
 Job Details
 We are on the lookout for a highly skilled and passionate full time Sr. Full Stack Engineer to join our team. This is a unique opportunity to work in an innovative environment where you will have the chance to make a substantial impact on our cutting\-edge projects. You will be responsible for developing and maintaining our web applications, ensuring their performance, and integrating user\-facing elements with server\-side logic.
**Responsibilities**
* Design, build, and maintain efficient, reusable, and reliable code for our web applications.
* Integration of user\-facing elements developed by front\-end developers with server\-side logic.
* Identify bottlenecks and bugs, and devise solutions to mitigate and address these issues.
* Use your understanding of front\-end technologies to create visually appealing and intuitive interfaces.
* Collaborate with cross\-functional teams to define, design, and ship new features.
* Work on bug fixing and improving application performance.
* Continuously discover, evaluate, and implement new technologies to maximize development efficiency.
* Participate in code reviews to maintain a high\-quality code culture.
* Collaborate with the product team to define new product directions and implement solutions to achieve business goals.
**Qualifications**
* Bachelor's degree in Computer Science or related field.
* 3\+ years of experience as a Full Stack Developer or similar role.
* Experience in developing web applications using at least one popular web framework (e.g., solid.js, Tauri 2\.0\).
* Proficient in back\-end programming languages such as Go, Rust, C\+\+ and/or Python.
* Experience with advanced machine learning libraries and frameworks such as PyTorch, Tensorrt, and ONNX.
* Proficiency in using query languages such as SQL, and experience with Candle.
* Familiarity with front\-end languages (e.g., HTML, CSS, JavaScript) and libraries for front\-end development (e.g., solid.js).
* Knowledge of LangChain, Deep agents, and LangGraph.
* Excellent understanding of the entire web development process (design, development, and deployment).
* Analytical mind with problem\-solving aptitude.
* Ability to work independently and as part of a team.
* Excellent organizational and leadership skills.
 Join our team of experts and make a difference in the legal world. We offer a competitive salary and benefits package, along with opportunities for professional growth and advancement. If you are passionate about technology and eager to push the boundaries of what's possible, we would love to hear from you.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41">
      <c r="A141" t="inlineStr">
        <is>
          <t>li-4361570590</t>
        </is>
      </c>
      <c r="B141" t="inlineStr">
        <is>
          <t>Distinguished AI Engineer (Agentic AI Platform Infrastructure)</t>
        </is>
      </c>
      <c r="C141" t="inlineStr">
        <is>
          <t>Capital One</t>
        </is>
      </c>
      <c r="D141" t="inlineStr">
        <is>
          <t>linkedin</t>
        </is>
      </c>
      <c r="E141">
        <f>HYPERLINK("https://www.linkedin.com/jobs/view/4361570590", "https://www.linkedin.com/jobs/view/4361570590")</f>
        <v/>
      </c>
      <c r="F141" t="inlineStr"/>
      <c r="G141" t="inlineStr">
        <is>
          <t>New York, NY</t>
        </is>
      </c>
      <c r="H141" t="inlineStr"/>
      <c r="I141"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 2\+ years of experience supporting Agentic Frameworks (LangChain, CrewAI, Semantic Kernel (Microsoft), or AutoGen)
* 2\+ years of experience with LLMOps (Google Cloud Vertex AI, Amazon SageMaker, Azure Machine Learning
* Experience developing AI and ML algorithms or technologies (e.g. LLM Inference, Similarity Search and VectorDBs, Guardrails, Memory) using Python, C\+\+, C\#, Java, or Golang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$269,100 \- $307,200 for Distinguished AI Engineer
 McLean, VA: $269,100 \- $307,200 for Distinguished AI Engineer
 New York, NY: $293,600 \- $335,100 for Distinguished AI Engineer
 San Francisco, CA: $293,600 \- $335,100 for Distinguished AI Engineer
 San Jose, CA: $293,600 \- $335,100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2">
      <c r="A142" t="inlineStr">
        <is>
          <t>li-4361360804</t>
        </is>
      </c>
      <c r="B142" t="inlineStr">
        <is>
          <t>Distinguished AI Engineer (Agentic AI Platform Infrastructure)</t>
        </is>
      </c>
      <c r="C142" t="inlineStr">
        <is>
          <t>Capital One</t>
        </is>
      </c>
      <c r="D142" t="inlineStr">
        <is>
          <t>linkedin</t>
        </is>
      </c>
      <c r="E142">
        <f>HYPERLINK("https://www.linkedin.com/jobs/view/4361360804", "https://www.linkedin.com/jobs/view/4361360804")</f>
        <v/>
      </c>
      <c r="F142">
        <f>HYPERLINK("https://dsp.prng.co/LGRW3nb&amp;urlHash=r6yr", "https://dsp.prng.co/LGRW3nb&amp;urlHash=r6yr")</f>
        <v/>
      </c>
      <c r="G142" t="inlineStr">
        <is>
          <t>San Francisco, CA</t>
        </is>
      </c>
      <c r="H142" t="inlineStr"/>
      <c r="I142"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 2\+ years of experience supporting Agentic Frameworks (LangChain, CrewAI, Semantic Kernel (Microsoft), or AutoGen)
* 2\+ years of experience with LLMOps (Google Cloud Vertex AI, Amazon SageMaker, Azure Machine Learning
* Experience developing AI and ML algorithms or technologies (e.g. LLM Inference, Similarity Search and VectorDBs, Guardrails, Memory) using Python, C\+\+, C\#, Java, or Golang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$269,100 \- $307,200 for Distinguished AI Engineer
 McLean, VA: $269,100 \- $307,200 for Distinguished AI Engineer
 New York, NY: $293,600 \- $335,100 for Distinguished AI Engineer
 San Francisco, CA: $293,600 \- $335,100 for Distinguished AI Engineer
 San Jose, CA: $293,600 \- $335,100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3">
      <c r="A143" t="inlineStr">
        <is>
          <t>li-4361510662</t>
        </is>
      </c>
      <c r="B143" t="inlineStr">
        <is>
          <t>Distinguished AI Engineer (Agentic AI Platform Infrastructure)</t>
        </is>
      </c>
      <c r="C143" t="inlineStr">
        <is>
          <t>Capital One</t>
        </is>
      </c>
      <c r="D143" t="inlineStr">
        <is>
          <t>linkedin</t>
        </is>
      </c>
      <c r="E143">
        <f>HYPERLINK("https://www.linkedin.com/jobs/view/4361510662", "https://www.linkedin.com/jobs/view/4361510662")</f>
        <v/>
      </c>
      <c r="F143" t="inlineStr"/>
      <c r="G143" t="inlineStr">
        <is>
          <t>Cambridge, MA</t>
        </is>
      </c>
      <c r="H143" t="inlineStr"/>
      <c r="I143"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 2\+ years of experience supporting Agentic Frameworks (LangChain, CrewAI, Semantic Kernel (Microsoft), or AutoGen)
* 2\+ years of experience with LLMOps (Google Cloud Vertex AI, Amazon SageMaker, Azure Machine Learning
* Experience developing AI and ML algorithms or technologies (e.g. LLM Inference, Similarity Search and VectorDBs, Guardrails, Memory) using Python, C\+\+, C\#, Java, or Golang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$269,100 \- $307,200 for Distinguished AI Engineer
 McLean, VA: $269,100 \- $307,200 for Distinguished AI Engineer
 New York, NY: $293,600 \- $335,100 for Distinguished AI Engineer
 San Francisco, CA: $293,600 \- $335,100 for Distinguished AI Engineer
 San Jose, CA: $293,600 \- $335,100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4">
      <c r="A144" t="inlineStr">
        <is>
          <t>li-4361283833</t>
        </is>
      </c>
      <c r="B144" t="inlineStr">
        <is>
          <t>Distinguished AI Engineer (Agentic AI Platform Infrastructure)</t>
        </is>
      </c>
      <c r="C144" t="inlineStr">
        <is>
          <t>Capital One</t>
        </is>
      </c>
      <c r="D144" t="inlineStr">
        <is>
          <t>linkedin</t>
        </is>
      </c>
      <c r="E144">
        <f>HYPERLINK("https://www.linkedin.com/jobs/view/4361283833", "https://www.linkedin.com/jobs/view/4361283833")</f>
        <v/>
      </c>
      <c r="F144" t="inlineStr"/>
      <c r="G144" t="inlineStr">
        <is>
          <t>McLean, VA</t>
        </is>
      </c>
      <c r="H144" t="inlineStr"/>
      <c r="I144"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 2\+ years of experience supporting Agentic Frameworks (LangChain, CrewAI, Semantic Kernel (Microsoft), or AutoGen)
* 2\+ years of experience with LLMOps (Google Cloud Vertex AI, Amazon SageMaker, Azure Machine Learning
* Experience developing AI and ML algorithms or technologies (e.g. LLM Inference, Similarity Search and VectorDBs, Guardrails, Memory) using Python, C\+\+, C\#, Java, or Golang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$269,100 \- $307,200 for Distinguished AI Engineer
 McLean, VA: $269,100 \- $307,200 for Distinguished AI Engineer
 New York, NY: $293,600 \- $335,100 for Distinguished AI Engineer
 San Francisco, CA: $293,600 \- $335,100 for Distinguished AI Engineer
 San Jose, CA: $293,600 \- $335,100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5">
      <c r="A145" t="inlineStr">
        <is>
          <t>li-4294703989</t>
        </is>
      </c>
      <c r="B145" t="inlineStr">
        <is>
          <t>Service Delivery Center, AI &amp; Data, Machine Learning Engineer (MLE) - Manager</t>
        </is>
      </c>
      <c r="C145" t="inlineStr">
        <is>
          <t>EY</t>
        </is>
      </c>
      <c r="D145" t="inlineStr">
        <is>
          <t>linkedin</t>
        </is>
      </c>
      <c r="E145">
        <f>HYPERLINK("https://www.linkedin.com/jobs/view/4294703989", "https://www.linkedin.com/jobs/view/4294703989")</f>
        <v/>
      </c>
      <c r="F145">
        <f>HYPERLINK("https://careers.ey.com/ey/job/Manayunk-Service-Delivery-Center%2C-AI-&amp;-Data%2C-Machine-Learning-Engineer-%28MLE%29-Manager-PA-19127/1244775901/?feedId=337401&amp;utm_source=LinkedInJobPostings&amp;utm_campaign=j2w_linkedin&amp;urlHash=MHK9", "https://careers.ey.com/ey/job/Manayunk-Service-Delivery-Center%2C-AI-&amp;-Data%2C-Machine-Learning-Engineer-%28MLE%29-Manager-PA-19127/1244775901/?feedId=337401&amp;utm_source=LinkedInJobPostings&amp;utm_campaign=j2w_linkedin&amp;urlHash=MHK9")</f>
        <v/>
      </c>
      <c r="G145" t="inlineStr">
        <is>
          <t>Alpharetta, GA</t>
        </is>
      </c>
      <c r="H145" t="inlineStr"/>
      <c r="I145" t="inlineStr">
        <is>
          <t>Location: Manayunk, Charlotte, San Antonio, Jacksonville, Alpharetta
 At EY, we’re all in to shape your future with confidence.
 We’ll help you succeed in a globally connected powerhouse of diverse teams and take your career wherever you want it to go. Join EY and help to build a better working world.
**Manager \- Financial Services Organization – AI and Data \- Service Delivery Center**
 EY is the only professional services firm with a separate business unit (“FSO”) that is dedicated to the financial services marketplace. Our FSO teams have been at the forefront of every event that has reshaped and redefined the financial services industry. This practice also has several Service Delivery Centers that are made up of high\-performing US\-based resources who work closely with our experienced client\-serving professionals to deliver project\-based work and managed services to our US\-based Financial Services clients. If you have a passion for rallying together to solve the most complex challenges in the financial services industry, come join our dynamic FSO team!
**The opportunity**
 Data has yet to be utilized to its fullest potential. Financial institutions are looking to build smarter and more efficient ways to operate their business, through new opportunities uncovered by their data. You’ll be solving complex problems, as well as giving deliverables to our clients in the AI and data space. With support from a highly talented team, you’ll have tremendous growth opportunities, with a focus on continuous learning and skills development to become a leader that can make significant contributions to companies.
**Your Key Responsibilities**
 You will be working with diverse teams of professionals with different skill sets to deliver a wide range of AI and data services. As part of that, you’ll need to be a team player with great communication skills, and have the desire to learn the technical skills required to fill the role.
**Skills And Attributes For Success**
* Collaborating, mentoring, and coaching teams with diverse skills and backgrounds
* Fostering an innovative and inclusive team\-oriented work environment
* Being accountable for the success of your team and the project’s components
* Building strong relationships with your internal clients
* Great communication and influencing skills
* Demonstrating in\-depth technical capabilities, professional knowledge, and interest in the financial industry and technology
* Leading and managing multi\-disciplinary teams through a product life cycle – requirements, design, development, and testing
* Designing, building, and maintaining production\-grade ML and DL models, machine learning workflows, and pipelines
* Helping clients make data\-driven decisions by working with structured and unstructured data sets and building out predictive models
* Designing and developing solutions leveraging big data technology (Hadoop, Spark, etc.) to ingest, process, and analyze large, disparate data sets
**To qualify for the role you must have**
* A bachelor's or master’s degree in computer science, information systems, or related technology majors
* Minimum of 5 years of related work experience in AI/ML engineering or MLE/ML Ops
* Experience working with business, management, and technology concepts
* Proficiency in Python programming and associated machine learning libraries/packages (sklearn, TensorFlow, PyTorch, etc.)
* Extensive experience with cloud platforms such as AWS, Azure, or Google Cloud Platform (GCP) for deploying and managing ML and AI solutions
* Strong deep learning experience, particularly in applications of Neural Network architectures to Natural Language Processing, Computer Vision, and Machine Intelligence
* Knowledge of MLOps practices for continuous integration and continuous deployment (CI/CD) of machine learning models in a cloud environment
* Good written and verbal communication skills
* A willingness and ability to travel at 0%\-25%
* Valid driver’s license in the US
* Valid passport
**Ideally, you’ll also have**
* Certification in any database management system, reporting or data visualization, or programming/statistical language
* Working knowledge or certifications in cloud technologies such as Snowflake, Databricks, AWS, or Azure
* Practical experience in developing and deploying Generative AI applications for various use cases such as text generation, image synthesis, and creative AI
* Familiarity with cloud\-based machine learning services like AWS SageMaker, Google AI Platform, or Azure Machine Learning
**What We Look For**
 We’re interested in professionals that are passionate about technology, who already have an understanding of data and are comfortable analyzing or manipulating it while generating reports for clients. You’ll also need to be able to clearly articulate both problems and proposed solutions, and have the willingness to learn and quickly adapt to changing requirements. On top of this, we’re looking for team players and hard workers who are not afraid to take initiative to master their craft and produce high\-quality work. If you have a proactive approach and want to be part of a group that continues to grow significantly, this role is for you.
**What Working At EY Offers**
 We offer a competitive compensation package where you’ll be rewarded based on your performance and recognized for the value you bring to our business. In addition, our Total Rewards package includes medical and dental coverage, both pension and 401(k) plans, a minimum of 15 days of vacation plus ten observed holidays and three paid personal days, and a range of programs and benefits designed to support your physical, financial, and social well\-being. Plus, we offer:
* Opportunities to develop new skills and progress your career
* Support and coaching from some of the most engaging and knowledgeable colleagues
* A collaborative environment where everyone works together to create a better working world
* Excellent training and development prospects
**About EY**
 As a global leader in assurance, tax, transaction, and advisory services, we hire and develop the most passionate people in their field to help build a better working world. This starts with a culture that believes in giving you the training, opportunities, and creative freedom to make things better. So that whenever you join, however long you stay, the exceptional EY experience lasts a lifetime.
 Join us in building a better working world. Apply now.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$76,200 to $174,100\. The base salary range for New York City Metro Area, Washington State and California (excluding Sacramento) is $91,400 to $197,900\.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46">
      <c r="A146" t="inlineStr">
        <is>
          <t>li-4294722190</t>
        </is>
      </c>
      <c r="B146" t="inlineStr">
        <is>
          <t>Service Delivery Center, AI &amp; Data, Machine Learning Engineer (MLE) - Manager</t>
        </is>
      </c>
      <c r="C146" t="inlineStr">
        <is>
          <t>EY</t>
        </is>
      </c>
      <c r="D146" t="inlineStr">
        <is>
          <t>linkedin</t>
        </is>
      </c>
      <c r="E146">
        <f>HYPERLINK("https://www.linkedin.com/jobs/view/4294722190", "https://www.linkedin.com/jobs/view/4294722190")</f>
        <v/>
      </c>
      <c r="F146" t="inlineStr"/>
      <c r="G146" t="inlineStr">
        <is>
          <t>Philadelphia, PA</t>
        </is>
      </c>
      <c r="H146" t="inlineStr"/>
      <c r="I146" t="inlineStr">
        <is>
          <t>Location: Manayunk, Charlotte, San Antonio, Jacksonville, Alpharetta
 At EY, we’re all in to shape your future with confidence.
 We’ll help you succeed in a globally connected powerhouse of diverse teams and take your career wherever you want it to go. Join EY and help to build a better working world.
**Manager \- Financial Services Organization – AI and Data \- Service Delivery Center**
 EY is the only professional services firm with a separate business unit (“FSO”) that is dedicated to the financial services marketplace. Our FSO teams have been at the forefront of every event that has reshaped and redefined the financial services industry. This practice also has several Service Delivery Centers that are made up of high\-performing US\-based resources who work closely with our experienced client\-serving professionals to deliver project\-based work and managed services to our US\-based Financial Services clients. If you have a passion for rallying together to solve the most complex challenges in the financial services industry, come join our dynamic FSO team!
**The opportunity**
 Data has yet to be utilized to its fullest potential. Financial institutions are looking to build smarter and more efficient ways to operate their business, through new opportunities uncovered by their data. You’ll be solving complex problems, as well as giving deliverables to our clients in the AI and data space. With support from a highly talented team, you’ll have tremendous growth opportunities, with a focus on continuous learning and skills development to become a leader that can make significant contributions to companies.
**Your Key Responsibilities**
 You will be working with diverse teams of professionals with different skill sets to deliver a wide range of AI and data services. As part of that, you’ll need to be a team player with great communication skills, and have the desire to learn the technical skills required to fill the role.
**Skills And Attributes For Success**
* Collaborating, mentoring, and coaching teams with diverse skills and backgrounds
* Fostering an innovative and inclusive team\-oriented work environment
* Being accountable for the success of your team and the project’s components
* Building strong relationships with your internal clients
* Great communication and influencing skills
* Demonstrating in\-depth technical capabilities, professional knowledge, and interest in the financial industry and technology
* Leading and managing multi\-disciplinary teams through a product life cycle – requirements, design, development, and testing
* Designing, building, and maintaining production\-grade ML and DL models, machine learning workflows, and pipelines
* Helping clients make data\-driven decisions by working with structured and unstructured data sets and building out predictive models
* Designing and developing solutions leveraging big data technology (Hadoop, Spark, etc.) to ingest, process, and analyze large, disparate data sets
**To qualify for the role you must have**
* A bachelor's or master’s degree in computer science, information systems, or related technology majors
* Minimum of 5 years of related work experience in AI/ML engineering or MLE/ML Ops
* Experience working with business, management, and technology concepts
* Proficiency in Python programming and associated machine learning libraries/packages (sklearn, TensorFlow, PyTorch, etc.)
* Extensive experience with cloud platforms such as AWS, Azure, or Google Cloud Platform (GCP) for deploying and managing ML and AI solutions
* Strong deep learning experience, particularly in applications of Neural Network architectures to Natural Language Processing, Computer Vision, and Machine Intelligence
* Knowledge of MLOps practices for continuous integration and continuous deployment (CI/CD) of machine learning models in a cloud environment
* Good written and verbal communication skills
* A willingness and ability to travel at 0%\-25%
* Valid driver’s license in the US
* Valid passport
**Ideally, you’ll also have**
* Certification in any database management system, reporting or data visualization, or programming/statistical language
* Working knowledge or certifications in cloud technologies such as Snowflake, Databricks, AWS, or Azure
* Practical experience in developing and deploying Generative AI applications for various use cases such as text generation, image synthesis, and creative AI
* Familiarity with cloud\-based machine learning services like AWS SageMaker, Google AI Platform, or Azure Machine Learning
**What We Look For**
 We’re interested in professionals that are passionate about technology, who already have an understanding of data and are comfortable analyzing or manipulating it while generating reports for clients. You’ll also need to be able to clearly articulate both problems and proposed solutions, and have the willingness to learn and quickly adapt to changing requirements. On top of this, we’re looking for team players and hard workers who are not afraid to take initiative to master their craft and produce high\-quality work. If you have a proactive approach and want to be part of a group that continues to grow significantly, this role is for you.
**What Working At EY Offers**
 We offer a competitive compensation package where you’ll be rewarded based on your performance and recognized for the value you bring to our business. In addition, our Total Rewards package includes medical and dental coverage, both pension and 401(k) plans, a minimum of 15 days of vacation plus ten observed holidays and three paid personal days, and a range of programs and benefits designed to support your physical, financial, and social well\-being. Plus, we offer:
* Opportunities to develop new skills and progress your career
* Support and coaching from some of the most engaging and knowledgeable colleagues
* A collaborative environment where everyone works together to create a better working world
* Excellent training and development prospects
**About EY**
 As a global leader in assurance, tax, transaction, and advisory services, we hire and develop the most passionate people in their field to help build a better working world. This starts with a culture that believes in giving you the training, opportunities, and creative freedom to make things better. So that whenever you join, however long you stay, the exceptional EY experience lasts a lifetime.
 Join us in building a better working world. Apply now.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$76,200 to $174,100\. The base salary range for New York City Metro Area, Washington State and California (excluding Sacramento) is $91,400 to $197,900\.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47">
      <c r="A147" t="inlineStr">
        <is>
          <t>li-4294706961</t>
        </is>
      </c>
      <c r="B147" t="inlineStr">
        <is>
          <t>Service Delivery Center, AI &amp; Data, Machine Learning Engineer (MLE) - Manager</t>
        </is>
      </c>
      <c r="C147" t="inlineStr">
        <is>
          <t>EY</t>
        </is>
      </c>
      <c r="D147" t="inlineStr">
        <is>
          <t>linkedin</t>
        </is>
      </c>
      <c r="E147">
        <f>HYPERLINK("https://www.linkedin.com/jobs/view/4294706961", "https://www.linkedin.com/jobs/view/4294706961")</f>
        <v/>
      </c>
      <c r="F147" t="inlineStr"/>
      <c r="G147" t="inlineStr">
        <is>
          <t>Charlotte, NC</t>
        </is>
      </c>
      <c r="H147" t="inlineStr"/>
      <c r="I147" t="inlineStr">
        <is>
          <t>Location: Manayunk, Charlotte, San Antonio, Jacksonville, Alpharetta
 At EY, we’re all in to shape your future with confidence.
 We’ll help you succeed in a globally connected powerhouse of diverse teams and take your career wherever you want it to go. Join EY and help to build a better working world.
**Manager \- Financial Services Organization – AI and Data \- Service Delivery Center**
 EY is the only professional services firm with a separate business unit (“FSO”) that is dedicated to the financial services marketplace. Our FSO teams have been at the forefront of every event that has reshaped and redefined the financial services industry. This practice also has several Service Delivery Centers that are made up of high\-performing US\-based resources who work closely with our experienced client\-serving professionals to deliver project\-based work and managed services to our US\-based Financial Services clients. If you have a passion for rallying together to solve the most complex challenges in the financial services industry, come join our dynamic FSO team!
**The opportunity**
 Data has yet to be utilized to its fullest potential. Financial institutions are looking to build smarter and more efficient ways to operate their business, through new opportunities uncovered by their data. You’ll be solving complex problems, as well as giving deliverables to our clients in the AI and data space. With support from a highly talented team, you’ll have tremendous growth opportunities, with a focus on continuous learning and skills development to become a leader that can make significant contributions to companies.
**Your Key Responsibilities**
 You will be working with diverse teams of professionals with different skill sets to deliver a wide range of AI and data services. As part of that, you’ll need to be a team player with great communication skills, and have the desire to learn the technical skills required to fill the role.
**Skills And Attributes For Success**
* Collaborating, mentoring, and coaching teams with diverse skills and backgrounds
* Fostering an innovative and inclusive team\-oriented work environment
* Being accountable for the success of your team and the project’s components
* Building strong relationships with your internal clients
* Great communication and influencing skills
* Demonstrating in\-depth technical capabilities, professional knowledge, and interest in the financial industry and technology
* Leading and managing multi\-disciplinary teams through a product life cycle – requirements, design, development, and testing
* Designing, building, and maintaining production\-grade ML and DL models, machine learning workflows, and pipelines
* Helping clients make data\-driven decisions by working with structured and unstructured data sets and building out predictive models
* Designing and developing solutions leveraging big data technology (Hadoop, Spark, etc.) to ingest, process, and analyze large, disparate data sets
**To qualify for the role you must have**
* A bachelor's or master’s degree in computer science, information systems, or related technology majors
* Minimum of 5 years of related work experience in AI/ML engineering or MLE/ML Ops
* Experience working with business, management, and technology concepts
* Proficiency in Python programming and associated machine learning libraries/packages (sklearn, TensorFlow, PyTorch, etc.)
* Extensive experience with cloud platforms such as AWS, Azure, or Google Cloud Platform (GCP) for deploying and managing ML and AI solutions
* Strong deep learning experience, particularly in applications of Neural Network architectures to Natural Language Processing, Computer Vision, and Machine Intelligence
* Knowledge of MLOps practices for continuous integration and continuous deployment (CI/CD) of machine learning models in a cloud environment
* Good written and verbal communication skills
* A willingness and ability to travel at 0%\-25%
* Valid driver’s license in the US
* Valid passport
**Ideally, you’ll also have**
* Certification in any database management system, reporting or data visualization, or programming/statistical language
* Working knowledge or certifications in cloud technologies such as Snowflake, Databricks, AWS, or Azure
* Practical experience in developing and deploying Generative AI applications for various use cases such as text generation, image synthesis, and creative AI
* Familiarity with cloud\-based machine learning services like AWS SageMaker, Google AI Platform, or Azure Machine Learning
**What We Look For**
 We’re interested in professionals that are passionate about technology, who already have an understanding of data and are comfortable analyzing or manipulating it while generating reports for clients. You’ll also need to be able to clearly articulate both problems and proposed solutions, and have the willingness to learn and quickly adapt to changing requirements. On top of this, we’re looking for team players and hard workers who are not afraid to take initiative to master their craft and produce high\-quality work. If you have a proactive approach and want to be part of a group that continues to grow significantly, this role is for you.
**What Working At EY Offers**
 We offer a competitive compensation package where you’ll be rewarded based on your performance and recognized for the value you bring to our business. In addition, our Total Rewards package includes medical and dental coverage, both pension and 401(k) plans, a minimum of 15 days of vacation plus ten observed holidays and three paid personal days, and a range of programs and benefits designed to support your physical, financial, and social well\-being. Plus, we offer:
* Opportunities to develop new skills and progress your career
* Support and coaching from some of the most engaging and knowledgeable colleagues
* A collaborative environment where everyone works together to create a better working world
* Excellent training and development prospects
**About EY**
 As a global leader in assurance, tax, transaction, and advisory services, we hire and develop the most passionate people in their field to help build a better working world. This starts with a culture that believes in giving you the training, opportunities, and creative freedom to make things better. So that whenever you join, however long you stay, the exceptional EY experience lasts a lifetime.
 Join us in building a better working world. Apply now.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$76,200 to $174,100\. The base salary range for New York City Metro Area, Washington State and California (excluding Sacramento) is $91,400 to $197,900\.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2026-01-13T15:39:05Z</dcterms:created>
  <dcterms:modified xsi:type="dcterms:W3CDTF">2026-01-13T15:39:05Z</dcterms:modified>
</cp:coreProperties>
</file>