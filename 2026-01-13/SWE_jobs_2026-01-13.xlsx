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in-8b126a5a029e2e34</t>
        </is>
      </c>
      <c r="B2" t="inlineStr">
        <is>
          <t>Software Engineer I</t>
        </is>
      </c>
      <c r="C2" t="inlineStr">
        <is>
          <t>Amazon.com</t>
        </is>
      </c>
      <c r="D2" t="inlineStr">
        <is>
          <t>indeed</t>
        </is>
      </c>
      <c r="E2" t="inlineStr"/>
      <c r="F2" t="inlineStr"/>
      <c r="G2" t="inlineStr">
        <is>
          <t>San Francisco, CA, US</t>
        </is>
      </c>
      <c r="H2" s="2" t="n">
        <v>45946</v>
      </c>
      <c r="I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in-ec16c12eab7631ea</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in-a1b29a27da847160</t>
        </is>
      </c>
      <c r="B4" t="inlineStr">
        <is>
          <t>Software Engineer II</t>
        </is>
      </c>
      <c r="C4" t="inlineStr">
        <is>
          <t>Amazon.com</t>
        </is>
      </c>
      <c r="D4" t="inlineStr">
        <is>
          <t>indeed</t>
        </is>
      </c>
      <c r="E4" t="inlineStr"/>
      <c r="F4" t="inlineStr"/>
      <c r="G4" t="inlineStr">
        <is>
          <t>San Francisco, CA, US</t>
        </is>
      </c>
      <c r="H4" s="2" t="n">
        <v>45938</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in-b8c237d2958ea237</t>
        </is>
      </c>
      <c r="B5" t="inlineStr">
        <is>
          <t>Software Engineer II</t>
        </is>
      </c>
      <c r="C5" t="inlineStr">
        <is>
          <t>Amazon.com</t>
        </is>
      </c>
      <c r="D5" t="inlineStr">
        <is>
          <t>indeed</t>
        </is>
      </c>
      <c r="E5" t="inlineStr"/>
      <c r="F5" t="inlineStr"/>
      <c r="G5" t="inlineStr">
        <is>
          <t>Irvine,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in-efda0ecf2d53801f</t>
        </is>
      </c>
      <c r="B6" t="inlineStr">
        <is>
          <t>Software Engineer II</t>
        </is>
      </c>
      <c r="C6" t="inlineStr">
        <is>
          <t>Amazon.com</t>
        </is>
      </c>
      <c r="D6" t="inlineStr">
        <is>
          <t>indeed</t>
        </is>
      </c>
      <c r="E6" t="inlineStr"/>
      <c r="F6" t="inlineStr"/>
      <c r="G6" t="inlineStr">
        <is>
          <t>Irvine,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in-08a9ab3eeacc94d5</t>
        </is>
      </c>
      <c r="B7" t="inlineStr">
        <is>
          <t>Software Engineer II</t>
        </is>
      </c>
      <c r="C7" t="inlineStr">
        <is>
          <t>Amazon.com</t>
        </is>
      </c>
      <c r="D7" t="inlineStr">
        <is>
          <t>indeed</t>
        </is>
      </c>
      <c r="E7" t="inlineStr"/>
      <c r="F7" t="inlineStr"/>
      <c r="G7" t="inlineStr">
        <is>
          <t>San Francisco,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in-99a2b601f943359f</t>
        </is>
      </c>
      <c r="B8" t="inlineStr">
        <is>
          <t>Software Engineer II</t>
        </is>
      </c>
      <c r="C8" t="inlineStr">
        <is>
          <t>Amazon.com</t>
        </is>
      </c>
      <c r="D8" t="inlineStr">
        <is>
          <t>indeed</t>
        </is>
      </c>
      <c r="E8" t="inlineStr"/>
      <c r="F8" t="inlineStr"/>
      <c r="G8" t="inlineStr">
        <is>
          <t>Culver City,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in-682f6703bf7a792c</t>
        </is>
      </c>
      <c r="B9" t="inlineStr">
        <is>
          <t>Software Engineer II</t>
        </is>
      </c>
      <c r="C9" t="inlineStr">
        <is>
          <t>Amazon.com</t>
        </is>
      </c>
      <c r="D9" t="inlineStr">
        <is>
          <t>indeed</t>
        </is>
      </c>
      <c r="E9" t="inlineStr"/>
      <c r="F9" t="inlineStr"/>
      <c r="G9" t="inlineStr">
        <is>
          <t>Irvine, CA, US</t>
        </is>
      </c>
      <c r="H9" s="2" t="n">
        <v>45921</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in-f3afb7d44cf6b003</t>
        </is>
      </c>
      <c r="B10" t="inlineStr">
        <is>
          <t>Sr Software Engineer</t>
        </is>
      </c>
      <c r="C10" t="inlineStr">
        <is>
          <t>Amazon.com</t>
        </is>
      </c>
      <c r="D10" t="inlineStr">
        <is>
          <t>indeed</t>
        </is>
      </c>
      <c r="E10" t="inlineStr"/>
      <c r="F10" t="inlineStr"/>
      <c r="G10" t="inlineStr">
        <is>
          <t>Irvine,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in-93988a1666f48822</t>
        </is>
      </c>
      <c r="B11" t="inlineStr">
        <is>
          <t>Software Engineer II</t>
        </is>
      </c>
      <c r="C11" t="inlineStr">
        <is>
          <t>Amazon.com</t>
        </is>
      </c>
      <c r="D11" t="inlineStr">
        <is>
          <t>indeed</t>
        </is>
      </c>
      <c r="E11" t="inlineStr"/>
      <c r="F11" t="inlineStr"/>
      <c r="G11" t="inlineStr">
        <is>
          <t>San Francisco,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in-05f54c2618775330</t>
        </is>
      </c>
      <c r="B12" t="inlineStr">
        <is>
          <t>Sr Software Engineer</t>
        </is>
      </c>
      <c r="C12" t="inlineStr">
        <is>
          <t>Amazon.com</t>
        </is>
      </c>
      <c r="D12" t="inlineStr">
        <is>
          <t>indeed</t>
        </is>
      </c>
      <c r="E12" t="inlineStr"/>
      <c r="F12" t="inlineStr"/>
      <c r="G12" t="inlineStr">
        <is>
          <t>San Francisco,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in-30d7de5cb548be42</t>
        </is>
      </c>
      <c r="B13" t="inlineStr">
        <is>
          <t>Software Engineer, Trust and Safety, Tech Enablement</t>
        </is>
      </c>
      <c r="C13" t="inlineStr">
        <is>
          <t>Google</t>
        </is>
      </c>
      <c r="D13" t="inlineStr">
        <is>
          <t>indeed</t>
        </is>
      </c>
      <c r="E13" t="inlineStr"/>
      <c r="F13" t="inlineStr"/>
      <c r="G13" t="inlineStr">
        <is>
          <t>Kirkland, WA, US</t>
        </is>
      </c>
      <c r="H13" s="2" t="n">
        <v>46034</v>
      </c>
      <c r="I13"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4">
      <c r="A14" t="inlineStr">
        <is>
          <t>in-edef4e4adf3b1904</t>
        </is>
      </c>
      <c r="B14" t="inlineStr">
        <is>
          <t>Software Engineer, Trust and Safety, Tech Enablement</t>
        </is>
      </c>
      <c r="C14" t="inlineStr">
        <is>
          <t>Google</t>
        </is>
      </c>
      <c r="D14" t="inlineStr">
        <is>
          <t>indeed</t>
        </is>
      </c>
      <c r="E14" t="inlineStr"/>
      <c r="F14" t="inlineStr"/>
      <c r="G14" t="inlineStr">
        <is>
          <t>Seattle, WA, US</t>
        </is>
      </c>
      <c r="H14" s="2" t="n">
        <v>46034</v>
      </c>
      <c r="I14"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in-58c95633cb51725c</t>
        </is>
      </c>
      <c r="B15" t="inlineStr">
        <is>
          <t>Senior Software Engineer, Twitch</t>
        </is>
      </c>
      <c r="C15" t="inlineStr">
        <is>
          <t>Amazon.com</t>
        </is>
      </c>
      <c r="D15" t="inlineStr">
        <is>
          <t>indeed</t>
        </is>
      </c>
      <c r="E15" t="inlineStr"/>
      <c r="F15" t="inlineStr"/>
      <c r="G15" t="inlineStr">
        <is>
          <t>Seattle, WA,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in-29c6c9b43537068c</t>
        </is>
      </c>
      <c r="B16" t="inlineStr">
        <is>
          <t>Senior Software Engineer, Twitch</t>
        </is>
      </c>
      <c r="C16" t="inlineStr">
        <is>
          <t>Amazon.com</t>
        </is>
      </c>
      <c r="D16" t="inlineStr">
        <is>
          <t>indeed</t>
        </is>
      </c>
      <c r="E16" t="inlineStr"/>
      <c r="F16" t="inlineStr"/>
      <c r="G16" t="inlineStr">
        <is>
          <t>San Francisco, CA, US</t>
        </is>
      </c>
      <c r="H16" s="2" t="n">
        <v>45995</v>
      </c>
      <c r="I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in-6e5352082f459862</t>
        </is>
      </c>
      <c r="B17" t="inlineStr">
        <is>
          <t>Software Engineer II, ML Infra</t>
        </is>
      </c>
      <c r="C17" t="inlineStr">
        <is>
          <t>Amazon.com</t>
        </is>
      </c>
      <c r="D17" t="inlineStr">
        <is>
          <t>indeed</t>
        </is>
      </c>
      <c r="E17" t="inlineStr"/>
      <c r="F17" t="inlineStr"/>
      <c r="G17" t="inlineStr">
        <is>
          <t>San Francisco, CA, US</t>
        </is>
      </c>
      <c r="H17" s="2" t="n">
        <v>45947</v>
      </c>
      <c r="I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in-c3d9efa29e92a6b6</t>
        </is>
      </c>
      <c r="B18" t="inlineStr">
        <is>
          <t>Software Engineer II, ML Infra</t>
        </is>
      </c>
      <c r="C18" t="inlineStr">
        <is>
          <t>Amazon.com</t>
        </is>
      </c>
      <c r="D18" t="inlineStr">
        <is>
          <t>indeed</t>
        </is>
      </c>
      <c r="E18" t="inlineStr"/>
      <c r="F18" t="inlineStr"/>
      <c r="G18" t="inlineStr">
        <is>
          <t>Irvine, CA, US</t>
        </is>
      </c>
      <c r="H18" s="2" t="n">
        <v>45947</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in-eed66d5d2d532d12</t>
        </is>
      </c>
      <c r="B19" t="inlineStr">
        <is>
          <t>Sr. Software Engineer (ML), AGI Customization</t>
        </is>
      </c>
      <c r="C19" t="inlineStr">
        <is>
          <t>Amazon.com</t>
        </is>
      </c>
      <c r="D19" t="inlineStr">
        <is>
          <t>indeed</t>
        </is>
      </c>
      <c r="E19" t="inlineStr"/>
      <c r="F19" t="inlineStr"/>
      <c r="G19" t="inlineStr">
        <is>
          <t>Sunnyvale, CA, US</t>
        </is>
      </c>
      <c r="H19" s="2" t="n">
        <v>45964</v>
      </c>
      <c r="I1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in-425b82f6316ca902</t>
        </is>
      </c>
      <c r="B20" t="inlineStr">
        <is>
          <t>Sr. Software Engineer (ML), AGI Customization</t>
        </is>
      </c>
      <c r="C20" t="inlineStr">
        <is>
          <t>Amazon.com</t>
        </is>
      </c>
      <c r="D20" t="inlineStr">
        <is>
          <t>indeed</t>
        </is>
      </c>
      <c r="E20" t="inlineStr"/>
      <c r="F20" t="inlineStr"/>
      <c r="G20" t="inlineStr">
        <is>
          <t>Boston, MA, US</t>
        </is>
      </c>
      <c r="H20" s="2" t="n">
        <v>45964</v>
      </c>
      <c r="I20"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in-e8c8e8c187bae857</t>
        </is>
      </c>
      <c r="B21" t="inlineStr">
        <is>
          <t>Sr. Software Engineer (ML), AGI Foundations</t>
        </is>
      </c>
      <c r="C21" t="inlineStr">
        <is>
          <t>Amazon.com</t>
        </is>
      </c>
      <c r="D21" t="inlineStr">
        <is>
          <t>indeed</t>
        </is>
      </c>
      <c r="E21" t="inlineStr"/>
      <c r="F21" t="inlineStr"/>
      <c r="G21" t="inlineStr">
        <is>
          <t>Sunnyvale, CA, US</t>
        </is>
      </c>
      <c r="H21" s="2" t="n">
        <v>45803</v>
      </c>
      <c r="I2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in-5c1244f558f50a9b</t>
        </is>
      </c>
      <c r="B22" t="inlineStr">
        <is>
          <t>Sr. Software Engineer (ML), AGI Foundations</t>
        </is>
      </c>
      <c r="C22" t="inlineStr">
        <is>
          <t>Amazon.com</t>
        </is>
      </c>
      <c r="D22" t="inlineStr">
        <is>
          <t>indeed</t>
        </is>
      </c>
      <c r="E22" t="inlineStr"/>
      <c r="F22" t="inlineStr"/>
      <c r="G22" t="inlineStr">
        <is>
          <t>Bellevue, WA, US</t>
        </is>
      </c>
      <c r="H22" s="2" t="n">
        <v>45803</v>
      </c>
      <c r="I2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in-d938d10419ee4bae</t>
        </is>
      </c>
      <c r="B23" t="inlineStr">
        <is>
          <t>Software Engineer- AI/ML, AWS Neuron Distributed Training</t>
        </is>
      </c>
      <c r="C23" t="inlineStr">
        <is>
          <t>Amazon Web Services</t>
        </is>
      </c>
      <c r="D23" t="inlineStr">
        <is>
          <t>indeed</t>
        </is>
      </c>
      <c r="E23" t="inlineStr"/>
      <c r="F23" t="inlineStr"/>
      <c r="G23" t="inlineStr">
        <is>
          <t>Cupertino, CA,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in-ff007e368be3861f</t>
        </is>
      </c>
      <c r="B24" t="inlineStr">
        <is>
          <t>Software Engineer- AI/ML, AWS Neuron Distributed Training</t>
        </is>
      </c>
      <c r="C24" t="inlineStr">
        <is>
          <t>Amazon Web Services</t>
        </is>
      </c>
      <c r="D24" t="inlineStr">
        <is>
          <t>indeed</t>
        </is>
      </c>
      <c r="E24" t="inlineStr"/>
      <c r="F24" t="inlineStr"/>
      <c r="G24" t="inlineStr">
        <is>
          <t>Seattle, WA, US</t>
        </is>
      </c>
      <c r="H24" s="2" t="n">
        <v>45727</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in-d9637259ac67788f</t>
        </is>
      </c>
      <c r="B25" t="inlineStr">
        <is>
          <t>Sr. Software Engineer- AI/ML, AWS Neuron Distributed Training</t>
        </is>
      </c>
      <c r="C25" t="inlineStr">
        <is>
          <t>Amazon Web Services</t>
        </is>
      </c>
      <c r="D25" t="inlineStr">
        <is>
          <t>indeed</t>
        </is>
      </c>
      <c r="E25" t="inlineStr"/>
      <c r="F25" t="inlineStr"/>
      <c r="G25" t="inlineStr">
        <is>
          <t>Cupertino, CA, US</t>
        </is>
      </c>
      <c r="H25" s="2"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in-73cf6d27d59e9224</t>
        </is>
      </c>
      <c r="B26" t="inlineStr">
        <is>
          <t>Sr. Software Engineer- AI/ML, AWS Neuron Distributed Training</t>
        </is>
      </c>
      <c r="C26" t="inlineStr">
        <is>
          <t>Amazon Web Services</t>
        </is>
      </c>
      <c r="D26" t="inlineStr">
        <is>
          <t>indeed</t>
        </is>
      </c>
      <c r="E26" t="inlineStr"/>
      <c r="F26" t="inlineStr"/>
      <c r="G26" t="inlineStr">
        <is>
          <t>Seattle, WA, US</t>
        </is>
      </c>
      <c r="H26" s="2" t="n">
        <v>45713</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in-9ee7476fd20ede79</t>
        </is>
      </c>
      <c r="B27" t="inlineStr">
        <is>
          <t>Software Engineer</t>
        </is>
      </c>
      <c r="C27" t="inlineStr">
        <is>
          <t>Amazon.com</t>
        </is>
      </c>
      <c r="D27" t="inlineStr">
        <is>
          <t>indeed</t>
        </is>
      </c>
      <c r="E27" t="inlineStr"/>
      <c r="F27" t="inlineStr"/>
      <c r="G27" t="inlineStr">
        <is>
          <t>San Francisco, CA, US</t>
        </is>
      </c>
      <c r="H27" s="2" t="n">
        <v>46008</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in-b178ef2436b41531</t>
        </is>
      </c>
      <c r="B28" t="inlineStr">
        <is>
          <t>Software Engineer</t>
        </is>
      </c>
      <c r="C28" t="inlineStr">
        <is>
          <t>Amazon.com</t>
        </is>
      </c>
      <c r="D28" t="inlineStr">
        <is>
          <t>indeed</t>
        </is>
      </c>
      <c r="E28" t="inlineStr"/>
      <c r="F28" t="inlineStr"/>
      <c r="G28" t="inlineStr">
        <is>
          <t>Seattle, WA, US</t>
        </is>
      </c>
      <c r="H28" s="2" t="n">
        <v>46008</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in-eeaaa01c54c45181</t>
        </is>
      </c>
      <c r="B29" t="inlineStr">
        <is>
          <t>Software Engineer I</t>
        </is>
      </c>
      <c r="C29" t="inlineStr">
        <is>
          <t>Amazon.com</t>
        </is>
      </c>
      <c r="D29" t="inlineStr">
        <is>
          <t>indeed</t>
        </is>
      </c>
      <c r="E29" t="inlineStr"/>
      <c r="F29" t="inlineStr"/>
      <c r="G29" t="inlineStr">
        <is>
          <t>San Francisco, CA, US</t>
        </is>
      </c>
      <c r="H29" s="2" t="n">
        <v>46006</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in-8c805830d7829221</t>
        </is>
      </c>
      <c r="B30" t="inlineStr">
        <is>
          <t>Software Engineer I</t>
        </is>
      </c>
      <c r="C30" t="inlineStr">
        <is>
          <t>Amazon.com</t>
        </is>
      </c>
      <c r="D30" t="inlineStr">
        <is>
          <t>indeed</t>
        </is>
      </c>
      <c r="E30" t="inlineStr"/>
      <c r="F30" t="inlineStr"/>
      <c r="G30" t="inlineStr">
        <is>
          <t>Irvine, CA, US</t>
        </is>
      </c>
      <c r="H30" s="2" t="n">
        <v>46006</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in-130eb521c8624ebc</t>
        </is>
      </c>
      <c r="B31" t="inlineStr">
        <is>
          <t>Software Engineer I</t>
        </is>
      </c>
      <c r="C31" t="inlineStr">
        <is>
          <t>Amazon.com</t>
        </is>
      </c>
      <c r="D31" t="inlineStr">
        <is>
          <t>indeed</t>
        </is>
      </c>
      <c r="E31" t="inlineStr"/>
      <c r="F31" t="inlineStr"/>
      <c r="G31" t="inlineStr">
        <is>
          <t>Seattle, WA, US</t>
        </is>
      </c>
      <c r="H31" s="2" t="n">
        <v>46006</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in-8a03d7fa583a09a0</t>
        </is>
      </c>
      <c r="B32" t="inlineStr">
        <is>
          <t>Sr. Software Engineer, Manager</t>
        </is>
      </c>
      <c r="C32" t="inlineStr">
        <is>
          <t>Amazon.com</t>
        </is>
      </c>
      <c r="D32" t="inlineStr">
        <is>
          <t>indeed</t>
        </is>
      </c>
      <c r="E32" t="inlineStr"/>
      <c r="F32" t="inlineStr"/>
      <c r="G32" t="inlineStr">
        <is>
          <t>Irvine, CA, US</t>
        </is>
      </c>
      <c r="H32" s="2" t="n">
        <v>46006</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in-690864803a4d7c69</t>
        </is>
      </c>
      <c r="B33" t="inlineStr">
        <is>
          <t>Sr. Software Engineer, Manager</t>
        </is>
      </c>
      <c r="C33" t="inlineStr">
        <is>
          <t>Amazon.com</t>
        </is>
      </c>
      <c r="D33" t="inlineStr">
        <is>
          <t>indeed</t>
        </is>
      </c>
      <c r="E33" t="inlineStr"/>
      <c r="F33" t="inlineStr"/>
      <c r="G33" t="inlineStr">
        <is>
          <t>Culver City, CA, US</t>
        </is>
      </c>
      <c r="H33" s="2" t="n">
        <v>46006</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in-2d49462d69a8381c</t>
        </is>
      </c>
      <c r="B34" t="inlineStr">
        <is>
          <t>Sr. Software Engineer, Manager</t>
        </is>
      </c>
      <c r="C34" t="inlineStr">
        <is>
          <t>Amazon.com</t>
        </is>
      </c>
      <c r="D34" t="inlineStr">
        <is>
          <t>indeed</t>
        </is>
      </c>
      <c r="E34" t="inlineStr"/>
      <c r="F34" t="inlineStr"/>
      <c r="G34" t="inlineStr">
        <is>
          <t>San Francisco, CA, US</t>
        </is>
      </c>
      <c r="H34" s="2" t="n">
        <v>46006</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in-e7222a6f1bdb24d9</t>
        </is>
      </c>
      <c r="B35" t="inlineStr">
        <is>
          <t>Sr. Software Engineer, Manager</t>
        </is>
      </c>
      <c r="C35" t="inlineStr">
        <is>
          <t>Amazon.com</t>
        </is>
      </c>
      <c r="D35" t="inlineStr">
        <is>
          <t>indeed</t>
        </is>
      </c>
      <c r="E35" t="inlineStr"/>
      <c r="F35" t="inlineStr"/>
      <c r="G35" t="inlineStr">
        <is>
          <t>New York, NY, US</t>
        </is>
      </c>
      <c r="H35" s="2" t="n">
        <v>46006</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in-60d29c7e0cda8e8b</t>
        </is>
      </c>
      <c r="B36" t="inlineStr">
        <is>
          <t>Sr. Software Engineer, Manager</t>
        </is>
      </c>
      <c r="C36" t="inlineStr">
        <is>
          <t>Amazon.com</t>
        </is>
      </c>
      <c r="D36" t="inlineStr">
        <is>
          <t>indeed</t>
        </is>
      </c>
      <c r="E36" t="inlineStr"/>
      <c r="F36" t="inlineStr"/>
      <c r="G36" t="inlineStr">
        <is>
          <t>Seattle, WA, US</t>
        </is>
      </c>
      <c r="H36" s="2" t="n">
        <v>46006</v>
      </c>
      <c r="I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in-a22cdf525e8ddcdd</t>
        </is>
      </c>
      <c r="B37" t="inlineStr">
        <is>
          <t>Sr. Software Engineer - EC2 Windows OS Technologies team, EC2 Windows</t>
        </is>
      </c>
      <c r="C37" t="inlineStr">
        <is>
          <t>Amazon.com</t>
        </is>
      </c>
      <c r="D37" t="inlineStr">
        <is>
          <t>indeed</t>
        </is>
      </c>
      <c r="E37" t="inlineStr"/>
      <c r="F37" t="inlineStr"/>
      <c r="G37" t="inlineStr">
        <is>
          <t>Santa Clara, CA, US</t>
        </is>
      </c>
      <c r="H37" s="2" t="n">
        <v>46006</v>
      </c>
      <c r="I37"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in-d534a7ccdbdabf62</t>
        </is>
      </c>
      <c r="B38" t="inlineStr">
        <is>
          <t>Sr. Software Engineer - EC2 Windows OS Technologies team, EC2 Windows</t>
        </is>
      </c>
      <c r="C38" t="inlineStr">
        <is>
          <t>Amazon.com</t>
        </is>
      </c>
      <c r="D38" t="inlineStr">
        <is>
          <t>indeed</t>
        </is>
      </c>
      <c r="E38" t="inlineStr"/>
      <c r="F38" t="inlineStr"/>
      <c r="G38" t="inlineStr">
        <is>
          <t>Bellevue, WA, US</t>
        </is>
      </c>
      <c r="H38" s="2" t="n">
        <v>46006</v>
      </c>
      <c r="I38"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in-e20a7fd2634a819d</t>
        </is>
      </c>
      <c r="B39" t="inlineStr">
        <is>
          <t>Sr Software Engineer, Amazon Ads Exchange</t>
        </is>
      </c>
      <c r="C39" t="inlineStr">
        <is>
          <t>Amazon.com</t>
        </is>
      </c>
      <c r="D39" t="inlineStr">
        <is>
          <t>indeed</t>
        </is>
      </c>
      <c r="E39" t="inlineStr"/>
      <c r="F39" t="inlineStr"/>
      <c r="G39" t="inlineStr">
        <is>
          <t>Palo Alto, CA, US</t>
        </is>
      </c>
      <c r="H39" s="2" t="n">
        <v>46002</v>
      </c>
      <c r="I3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in-0bbcd5e9751a00ff</t>
        </is>
      </c>
      <c r="B40" t="inlineStr">
        <is>
          <t>Sr Software Engineer, Amazon Ads Exchange</t>
        </is>
      </c>
      <c r="C40" t="inlineStr">
        <is>
          <t>Amazon.com</t>
        </is>
      </c>
      <c r="D40" t="inlineStr">
        <is>
          <t>indeed</t>
        </is>
      </c>
      <c r="E40" t="inlineStr"/>
      <c r="F40" t="inlineStr"/>
      <c r="G40" t="inlineStr">
        <is>
          <t>Arlington, VA, US</t>
        </is>
      </c>
      <c r="H40" s="2" t="n">
        <v>46002</v>
      </c>
      <c r="I4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in-5eb090cd861f9bfb</t>
        </is>
      </c>
      <c r="B41" t="inlineStr">
        <is>
          <t>Sr Software Engineer, Amazon Ads Exchange</t>
        </is>
      </c>
      <c r="C41" t="inlineStr">
        <is>
          <t>Amazon.com</t>
        </is>
      </c>
      <c r="D41" t="inlineStr">
        <is>
          <t>indeed</t>
        </is>
      </c>
      <c r="E41" t="inlineStr"/>
      <c r="F41" t="inlineStr"/>
      <c r="G41" t="inlineStr">
        <is>
          <t>San Francisco, CA, US</t>
        </is>
      </c>
      <c r="H41" s="2" t="n">
        <v>46002</v>
      </c>
      <c r="I4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in-e3a81f44739b1c35</t>
        </is>
      </c>
      <c r="B42" t="inlineStr">
        <is>
          <t>Software Engineer II, Twitch</t>
        </is>
      </c>
      <c r="C42" t="inlineStr">
        <is>
          <t>Amazon.com</t>
        </is>
      </c>
      <c r="D42" t="inlineStr">
        <is>
          <t>indeed</t>
        </is>
      </c>
      <c r="E42" t="inlineStr"/>
      <c r="F42" t="inlineStr"/>
      <c r="G42" t="inlineStr">
        <is>
          <t>San Francisco, CA, US</t>
        </is>
      </c>
      <c r="H42" s="2" t="n">
        <v>45995</v>
      </c>
      <c r="I4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in-cc935d51d4b65209</t>
        </is>
      </c>
      <c r="B43" t="inlineStr">
        <is>
          <t>Software Engineer II, Twitch</t>
        </is>
      </c>
      <c r="C43" t="inlineStr">
        <is>
          <t>Amazon.com</t>
        </is>
      </c>
      <c r="D43" t="inlineStr">
        <is>
          <t>indeed</t>
        </is>
      </c>
      <c r="E43" t="inlineStr"/>
      <c r="F43" t="inlineStr"/>
      <c r="G43" t="inlineStr">
        <is>
          <t>Seattle, WA, US</t>
        </is>
      </c>
      <c r="H43" s="2" t="n">
        <v>45995</v>
      </c>
      <c r="I4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in-de4827b289464452</t>
        </is>
      </c>
      <c r="B44" t="inlineStr">
        <is>
          <t>Software Engineer II, Android</t>
        </is>
      </c>
      <c r="C44" t="inlineStr">
        <is>
          <t>Amazon.com</t>
        </is>
      </c>
      <c r="D44" t="inlineStr">
        <is>
          <t>indeed</t>
        </is>
      </c>
      <c r="E44" t="inlineStr"/>
      <c r="F44" t="inlineStr"/>
      <c r="G44" t="inlineStr">
        <is>
          <t>San Francisco, CA, US</t>
        </is>
      </c>
      <c r="H44" s="2" t="n">
        <v>45995</v>
      </c>
      <c r="I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in-8b007da685d7a6be</t>
        </is>
      </c>
      <c r="B45" t="inlineStr">
        <is>
          <t>Software Engineer II, Android</t>
        </is>
      </c>
      <c r="C45" t="inlineStr">
        <is>
          <t>Amazon.com</t>
        </is>
      </c>
      <c r="D45" t="inlineStr">
        <is>
          <t>indeed</t>
        </is>
      </c>
      <c r="E45" t="inlineStr"/>
      <c r="F45" t="inlineStr"/>
      <c r="G45" t="inlineStr">
        <is>
          <t>Irvine, CA, US</t>
        </is>
      </c>
      <c r="H45" s="2" t="n">
        <v>45995</v>
      </c>
      <c r="I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in-3e32020caf476086</t>
        </is>
      </c>
      <c r="B46" t="inlineStr">
        <is>
          <t>Software Engineer II, Android</t>
        </is>
      </c>
      <c r="C46" t="inlineStr">
        <is>
          <t>Amazon.com</t>
        </is>
      </c>
      <c r="D46" t="inlineStr">
        <is>
          <t>indeed</t>
        </is>
      </c>
      <c r="E46" t="inlineStr"/>
      <c r="F46" t="inlineStr"/>
      <c r="G46" t="inlineStr">
        <is>
          <t>Seattle, WA, US</t>
        </is>
      </c>
      <c r="H46" s="2" t="n">
        <v>45995</v>
      </c>
      <c r="I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in-c45a74eb93008f1f</t>
        </is>
      </c>
      <c r="B47" t="inlineStr">
        <is>
          <t>Embedded Software Engineer, Merlin Manager</t>
        </is>
      </c>
      <c r="C47" t="inlineStr">
        <is>
          <t>Amazon.com</t>
        </is>
      </c>
      <c r="D47" t="inlineStr">
        <is>
          <t>indeed</t>
        </is>
      </c>
      <c r="E47" t="inlineStr"/>
      <c r="F47" t="inlineStr"/>
      <c r="G47" t="inlineStr">
        <is>
          <t>Sunnyvale, CA, US</t>
        </is>
      </c>
      <c r="H47" s="2" t="n">
        <v>45981</v>
      </c>
      <c r="I47"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in-6677c07fcdafd273</t>
        </is>
      </c>
      <c r="B48" t="inlineStr">
        <is>
          <t>Embedded Software Engineer, Merlin Manager</t>
        </is>
      </c>
      <c r="C48" t="inlineStr">
        <is>
          <t>Amazon.com</t>
        </is>
      </c>
      <c r="D48" t="inlineStr">
        <is>
          <t>indeed</t>
        </is>
      </c>
      <c r="E48" t="inlineStr"/>
      <c r="F48" t="inlineStr"/>
      <c r="G48" t="inlineStr">
        <is>
          <t>Redmond, WA, US</t>
        </is>
      </c>
      <c r="H48" s="2" t="n">
        <v>45981</v>
      </c>
      <c r="I4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in-c3bf29c305d28918</t>
        </is>
      </c>
      <c r="B49" t="inlineStr">
        <is>
          <t>Senior Embedded Software Engineer, Amazon Leo Digital RF Systems</t>
        </is>
      </c>
      <c r="C49" t="inlineStr">
        <is>
          <t>Amazon.com</t>
        </is>
      </c>
      <c r="D49" t="inlineStr">
        <is>
          <t>indeed</t>
        </is>
      </c>
      <c r="E49" t="inlineStr"/>
      <c r="F49" t="inlineStr"/>
      <c r="G49" t="inlineStr">
        <is>
          <t>Redmond, WA, US</t>
        </is>
      </c>
      <c r="H49" s="2" t="n">
        <v>45981</v>
      </c>
      <c r="I4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in-b1ff5c730747bbd1</t>
        </is>
      </c>
      <c r="B50" t="inlineStr">
        <is>
          <t>Senior Embedded Software Engineer, Amazon Leo Digital RF Systems</t>
        </is>
      </c>
      <c r="C50" t="inlineStr">
        <is>
          <t>Amazon.com</t>
        </is>
      </c>
      <c r="D50" t="inlineStr">
        <is>
          <t>indeed</t>
        </is>
      </c>
      <c r="E50" t="inlineStr"/>
      <c r="F50" t="inlineStr"/>
      <c r="G50" t="inlineStr">
        <is>
          <t>San Diego, CA, US</t>
        </is>
      </c>
      <c r="H50" s="2" t="n">
        <v>45981</v>
      </c>
      <c r="I5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in-be704d87a37ad129</t>
        </is>
      </c>
      <c r="B51" t="inlineStr">
        <is>
          <t>Sr. Device Software Engineer, Amazon Leo Government</t>
        </is>
      </c>
      <c r="C51" t="inlineStr">
        <is>
          <t>Amazon.com</t>
        </is>
      </c>
      <c r="D51" t="inlineStr">
        <is>
          <t>indeed</t>
        </is>
      </c>
      <c r="E51" t="inlineStr"/>
      <c r="F51" t="inlineStr"/>
      <c r="G51" t="inlineStr">
        <is>
          <t>Arlington, VA, US</t>
        </is>
      </c>
      <c r="H51" s="2" t="n">
        <v>45911</v>
      </c>
      <c r="I5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in-613f2245546a3cc6</t>
        </is>
      </c>
      <c r="B52" t="inlineStr">
        <is>
          <t>Sr. Device Software Engineer, Amazon Leo Government</t>
        </is>
      </c>
      <c r="C52" t="inlineStr">
        <is>
          <t>Amazon.com</t>
        </is>
      </c>
      <c r="D52" t="inlineStr">
        <is>
          <t>indeed</t>
        </is>
      </c>
      <c r="E52" t="inlineStr"/>
      <c r="F52" t="inlineStr"/>
      <c r="G52" t="inlineStr">
        <is>
          <t>Redmond, WA, US</t>
        </is>
      </c>
      <c r="H52" s="2" t="n">
        <v>45911</v>
      </c>
      <c r="I5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in-a86b7f2f5d3e7062</t>
        </is>
      </c>
      <c r="B53" t="inlineStr">
        <is>
          <t>Sr. Device Software Engineer, Amazon Leo Government</t>
        </is>
      </c>
      <c r="C53" t="inlineStr">
        <is>
          <t>Amazon.com</t>
        </is>
      </c>
      <c r="D53" t="inlineStr">
        <is>
          <t>indeed</t>
        </is>
      </c>
      <c r="E53" t="inlineStr"/>
      <c r="F53" t="inlineStr"/>
      <c r="G53" t="inlineStr">
        <is>
          <t>El Segundo, CA, US</t>
        </is>
      </c>
      <c r="H53" s="2" t="n">
        <v>45911</v>
      </c>
      <c r="I5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in-4263e7cc5d5d93aa</t>
        </is>
      </c>
      <c r="B54" t="inlineStr">
        <is>
          <t>Sr. Device Software Engineer, Amazon Leo Government</t>
        </is>
      </c>
      <c r="C54" t="inlineStr">
        <is>
          <t>Amazon.com</t>
        </is>
      </c>
      <c r="D54" t="inlineStr">
        <is>
          <t>indeed</t>
        </is>
      </c>
      <c r="E54" t="inlineStr"/>
      <c r="F54" t="inlineStr"/>
      <c r="G54" t="inlineStr">
        <is>
          <t>Northridge, CA, US</t>
        </is>
      </c>
      <c r="H54" s="2" t="n">
        <v>45911</v>
      </c>
      <c r="I5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in-94071d4bb4558b7c</t>
        </is>
      </c>
      <c r="B55" t="inlineStr">
        <is>
          <t>Device Software Engineer, Amazon Leo Government</t>
        </is>
      </c>
      <c r="C55" t="inlineStr">
        <is>
          <t>Amazon.com</t>
        </is>
      </c>
      <c r="D55" t="inlineStr">
        <is>
          <t>indeed</t>
        </is>
      </c>
      <c r="E55" t="inlineStr"/>
      <c r="F55" t="inlineStr"/>
      <c r="G55" t="inlineStr">
        <is>
          <t>Arlington, VA, US</t>
        </is>
      </c>
      <c r="H55" s="2" t="n">
        <v>45910</v>
      </c>
      <c r="I5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in-59b7019600ae3c83</t>
        </is>
      </c>
      <c r="B56" t="inlineStr">
        <is>
          <t>Device Software Engineer, Amazon Leo Government</t>
        </is>
      </c>
      <c r="C56" t="inlineStr">
        <is>
          <t>Amazon.com</t>
        </is>
      </c>
      <c r="D56" t="inlineStr">
        <is>
          <t>indeed</t>
        </is>
      </c>
      <c r="E56" t="inlineStr"/>
      <c r="F56" t="inlineStr"/>
      <c r="G56" t="inlineStr">
        <is>
          <t>Northridge, CA, US</t>
        </is>
      </c>
      <c r="H56" s="2" t="n">
        <v>45910</v>
      </c>
      <c r="I5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in-a980ae9a39b610ae</t>
        </is>
      </c>
      <c r="B57" t="inlineStr">
        <is>
          <t>Device Software Engineer, Amazon Leo Government</t>
        </is>
      </c>
      <c r="C57" t="inlineStr">
        <is>
          <t>Amazon.com</t>
        </is>
      </c>
      <c r="D57" t="inlineStr">
        <is>
          <t>indeed</t>
        </is>
      </c>
      <c r="E57" t="inlineStr"/>
      <c r="F57" t="inlineStr"/>
      <c r="G57" t="inlineStr">
        <is>
          <t>El Segundo, CA, US</t>
        </is>
      </c>
      <c r="H57" s="2" t="n">
        <v>45910</v>
      </c>
      <c r="I5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in-8334f1a086b40527</t>
        </is>
      </c>
      <c r="B58" t="inlineStr">
        <is>
          <t>Device Software Engineer, Amazon Leo Government</t>
        </is>
      </c>
      <c r="C58" t="inlineStr">
        <is>
          <t>Amazon.com</t>
        </is>
      </c>
      <c r="D58" t="inlineStr">
        <is>
          <t>indeed</t>
        </is>
      </c>
      <c r="E58" t="inlineStr"/>
      <c r="F58" t="inlineStr"/>
      <c r="G58" t="inlineStr">
        <is>
          <t>Redmond, WA, US</t>
        </is>
      </c>
      <c r="H58" s="2" t="n">
        <v>45910</v>
      </c>
      <c r="I5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in-9c7e9cbbad52ae70</t>
        </is>
      </c>
      <c r="B59" t="inlineStr">
        <is>
          <t>Software Engineer I- Ad Demand</t>
        </is>
      </c>
      <c r="C59" t="inlineStr">
        <is>
          <t>Amazon.com</t>
        </is>
      </c>
      <c r="D59" t="inlineStr">
        <is>
          <t>indeed</t>
        </is>
      </c>
      <c r="E59" t="inlineStr"/>
      <c r="F59" t="inlineStr"/>
      <c r="G59" t="inlineStr">
        <is>
          <t>San Francisco, CA, US</t>
        </is>
      </c>
      <c r="H59" s="2" t="n">
        <v>45908</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in-0d3700a70e035e6a</t>
        </is>
      </c>
      <c r="B60" t="inlineStr">
        <is>
          <t>Software Engineer I- Ad Demand</t>
        </is>
      </c>
      <c r="C60" t="inlineStr">
        <is>
          <t>Amazon.com</t>
        </is>
      </c>
      <c r="D60" t="inlineStr">
        <is>
          <t>indeed</t>
        </is>
      </c>
      <c r="E60" t="inlineStr"/>
      <c r="F60" t="inlineStr"/>
      <c r="G60" t="inlineStr">
        <is>
          <t>New York, NY, US</t>
        </is>
      </c>
      <c r="H60" s="2" t="n">
        <v>45908</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in-12e63195446f128d</t>
        </is>
      </c>
      <c r="B61" t="inlineStr">
        <is>
          <t>Senior Software Engineer - Query Processing, Aurora DSQL</t>
        </is>
      </c>
      <c r="C61" t="inlineStr">
        <is>
          <t>Amazon Web Services</t>
        </is>
      </c>
      <c r="D61" t="inlineStr">
        <is>
          <t>indeed</t>
        </is>
      </c>
      <c r="E61" t="inlineStr"/>
      <c r="F61" t="inlineStr"/>
      <c r="G61" t="inlineStr">
        <is>
          <t>Seattle, WA, US</t>
        </is>
      </c>
      <c r="H61" s="2" t="n">
        <v>45796</v>
      </c>
      <c r="I6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in-42043938fdb40dc7</t>
        </is>
      </c>
      <c r="B62" t="inlineStr">
        <is>
          <t>Senior Software Engineer - Query Processing, Aurora DSQL</t>
        </is>
      </c>
      <c r="C62" t="inlineStr">
        <is>
          <t>Amazon Web Services</t>
        </is>
      </c>
      <c r="D62" t="inlineStr">
        <is>
          <t>indeed</t>
        </is>
      </c>
      <c r="E62" t="inlineStr"/>
      <c r="F62" t="inlineStr"/>
      <c r="G62" t="inlineStr">
        <is>
          <t>East Palo Alto, CA, US</t>
        </is>
      </c>
      <c r="H62" s="2" t="n">
        <v>45796</v>
      </c>
      <c r="I6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in-4ff0ac4621ec7768</t>
        </is>
      </c>
      <c r="B63" t="inlineStr">
        <is>
          <t>Embedded C++ Software Engineer, Machine Learning Acceleration</t>
        </is>
      </c>
      <c r="C63" t="inlineStr">
        <is>
          <t>Amazon Web Services</t>
        </is>
      </c>
      <c r="D63" t="inlineStr">
        <is>
          <t>indeed</t>
        </is>
      </c>
      <c r="E63" t="inlineStr"/>
      <c r="F63" t="inlineStr"/>
      <c r="G63" t="inlineStr">
        <is>
          <t>Austin, TX, US</t>
        </is>
      </c>
      <c r="H63" s="2" t="n">
        <v>45691</v>
      </c>
      <c r="I6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in-1330413bd7c1bab3</t>
        </is>
      </c>
      <c r="B64" t="inlineStr">
        <is>
          <t>Embedded C++ Software Engineer, Machine Learning Acceleration</t>
        </is>
      </c>
      <c r="C64" t="inlineStr">
        <is>
          <t>Amazon Web Services</t>
        </is>
      </c>
      <c r="D64" t="inlineStr">
        <is>
          <t>indeed</t>
        </is>
      </c>
      <c r="E64" t="inlineStr"/>
      <c r="F64" t="inlineStr"/>
      <c r="G64" t="inlineStr">
        <is>
          <t>Cupertino, CA, US</t>
        </is>
      </c>
      <c r="H64" s="2" t="n">
        <v>45691</v>
      </c>
      <c r="I6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in-8b126a5a029e2e34</t>
        </is>
      </c>
      <c r="B65" t="inlineStr">
        <is>
          <t>Software Engineer I</t>
        </is>
      </c>
      <c r="C65" t="inlineStr">
        <is>
          <t>Amazon.com</t>
        </is>
      </c>
      <c r="D65" t="inlineStr">
        <is>
          <t>indeed</t>
        </is>
      </c>
      <c r="E65">
        <f>HYPERLINK("https://www.indeed.com/viewjob?jk=8b126a5a029e2e34", "https://www.indeed.com/viewjob?jk=8b126a5a029e2e34")</f>
        <v/>
      </c>
      <c r="F65">
        <f>HYPERLINK("https://www.amazon.jobs/jobs/3111761/software-engineer-i?cmpid=DA_INAD200785B", "https://www.amazon.jobs/jobs/3111761/software-engineer-i?cmpid=DA_INAD200785B")</f>
        <v/>
      </c>
      <c r="G65" t="inlineStr">
        <is>
          <t>San Francisco, CA, US</t>
        </is>
      </c>
      <c r="H65" s="3" t="n">
        <v>45946</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in-ec16c12eab7631ea</t>
        </is>
      </c>
      <c r="B66" t="inlineStr">
        <is>
          <t>Software Engineer I</t>
        </is>
      </c>
      <c r="C66" t="inlineStr">
        <is>
          <t>Amazon.com</t>
        </is>
      </c>
      <c r="D66" t="inlineStr">
        <is>
          <t>indeed</t>
        </is>
      </c>
      <c r="E66">
        <f>HYPERLINK("https://www.indeed.com/viewjob?jk=ec16c12eab7631ea", "https://www.indeed.com/viewjob?jk=ec16c12eab7631ea")</f>
        <v/>
      </c>
      <c r="F66">
        <f>HYPERLINK("https://www.amazon.jobs/jobs/3111761/software-engineer-i?cmpid=DA_INAD200785B", "https://www.amazon.jobs/jobs/3111761/software-engineer-i?cmpid=DA_INAD200785B")</f>
        <v/>
      </c>
      <c r="G66" t="inlineStr">
        <is>
          <t>Irvine, CA, US</t>
        </is>
      </c>
      <c r="H66" s="3" t="n">
        <v>45946</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in-a1b29a27da847160</t>
        </is>
      </c>
      <c r="B67" t="inlineStr">
        <is>
          <t>Software Engineer II</t>
        </is>
      </c>
      <c r="C67" t="inlineStr">
        <is>
          <t>Amazon.com</t>
        </is>
      </c>
      <c r="D67" t="inlineStr">
        <is>
          <t>indeed</t>
        </is>
      </c>
      <c r="E67">
        <f>HYPERLINK("https://www.indeed.com/viewjob?jk=a1b29a27da847160", "https://www.indeed.com/viewjob?jk=a1b29a27da847160")</f>
        <v/>
      </c>
      <c r="F67">
        <f>HYPERLINK("https://www.amazon.jobs/jobs/3104730/software-engineer-ii?cmpid=DA_INAD200785B", "https://www.amazon.jobs/jobs/3104730/software-engineer-ii?cmpid=DA_INAD200785B")</f>
        <v/>
      </c>
      <c r="G67" t="inlineStr">
        <is>
          <t>San Francisco, CA, US</t>
        </is>
      </c>
      <c r="H67" s="3" t="n">
        <v>45938</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in-b8c237d2958ea237</t>
        </is>
      </c>
      <c r="B68" t="inlineStr">
        <is>
          <t>Software Engineer II</t>
        </is>
      </c>
      <c r="C68" t="inlineStr">
        <is>
          <t>Amazon.com</t>
        </is>
      </c>
      <c r="D68" t="inlineStr">
        <is>
          <t>indeed</t>
        </is>
      </c>
      <c r="E68">
        <f>HYPERLINK("https://www.indeed.com/viewjob?jk=b8c237d2958ea237", "https://www.indeed.com/viewjob?jk=b8c237d2958ea237")</f>
        <v/>
      </c>
      <c r="F68">
        <f>HYPERLINK("https://www.amazon.jobs/jobs/3104730/software-engineer-ii?cmpid=DA_INAD200785B", "https://www.amazon.jobs/jobs/3104730/software-engineer-ii?cmpid=DA_INAD200785B")</f>
        <v/>
      </c>
      <c r="G68" t="inlineStr">
        <is>
          <t>Irvine, CA, US</t>
        </is>
      </c>
      <c r="H68" s="3" t="n">
        <v>45938</v>
      </c>
      <c r="I6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in-efda0ecf2d53801f</t>
        </is>
      </c>
      <c r="B69" t="inlineStr">
        <is>
          <t>Software Engineer II</t>
        </is>
      </c>
      <c r="C69" t="inlineStr">
        <is>
          <t>Amazon.com</t>
        </is>
      </c>
      <c r="D69" t="inlineStr">
        <is>
          <t>indeed</t>
        </is>
      </c>
      <c r="E69">
        <f>HYPERLINK("https://www.indeed.com/viewjob?jk=efda0ecf2d53801f", "https://www.indeed.com/viewjob?jk=efda0ecf2d53801f")</f>
        <v/>
      </c>
      <c r="F69">
        <f>HYPERLINK("https://www.amazon.jobs/jobs/3104734/software-engineer-ii?cmpid=DA_INAD200785B", "https://www.amazon.jobs/jobs/3104734/software-engineer-ii?cmpid=DA_INAD200785B")</f>
        <v/>
      </c>
      <c r="G69" t="inlineStr">
        <is>
          <t>Irvine, CA, US</t>
        </is>
      </c>
      <c r="H69" s="3" t="n">
        <v>45938</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in-08a9ab3eeacc94d5</t>
        </is>
      </c>
      <c r="B70" t="inlineStr">
        <is>
          <t>Software Engineer II</t>
        </is>
      </c>
      <c r="C70" t="inlineStr">
        <is>
          <t>Amazon.com</t>
        </is>
      </c>
      <c r="D70" t="inlineStr">
        <is>
          <t>indeed</t>
        </is>
      </c>
      <c r="E70">
        <f>HYPERLINK("https://www.indeed.com/viewjob?jk=08a9ab3eeacc94d5", "https://www.indeed.com/viewjob?jk=08a9ab3eeacc94d5")</f>
        <v/>
      </c>
      <c r="F70">
        <f>HYPERLINK("https://www.amazon.jobs/jobs/3104734/software-engineer-ii?cmpid=DA_INAD200785B", "https://www.amazon.jobs/jobs/3104734/software-engineer-ii?cmpid=DA_INAD200785B")</f>
        <v/>
      </c>
      <c r="G70" t="inlineStr">
        <is>
          <t>San Francisco, CA, US</t>
        </is>
      </c>
      <c r="H70" s="3" t="n">
        <v>45938</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in-99a2b601f943359f</t>
        </is>
      </c>
      <c r="B71" t="inlineStr">
        <is>
          <t>Software Engineer II</t>
        </is>
      </c>
      <c r="C71" t="inlineStr">
        <is>
          <t>Amazon.com</t>
        </is>
      </c>
      <c r="D71" t="inlineStr">
        <is>
          <t>indeed</t>
        </is>
      </c>
      <c r="E71">
        <f>HYPERLINK("https://www.indeed.com/viewjob?jk=99a2b601f943359f", "https://www.indeed.com/viewjob?jk=99a2b601f943359f")</f>
        <v/>
      </c>
      <c r="F71">
        <f>HYPERLINK("https://www.amazon.jobs/jobs/3104734/software-engineer-ii?cmpid=DA_INAD200785B", "https://www.amazon.jobs/jobs/3104734/software-engineer-ii?cmpid=DA_INAD200785B")</f>
        <v/>
      </c>
      <c r="G71" t="inlineStr">
        <is>
          <t>Culver City, CA, US</t>
        </is>
      </c>
      <c r="H71" s="3" t="n">
        <v>45938</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in-682f6703bf7a792c</t>
        </is>
      </c>
      <c r="B72" t="inlineStr">
        <is>
          <t>Software Engineer II</t>
        </is>
      </c>
      <c r="C72" t="inlineStr">
        <is>
          <t>Amazon.com</t>
        </is>
      </c>
      <c r="D72" t="inlineStr">
        <is>
          <t>indeed</t>
        </is>
      </c>
      <c r="E72">
        <f>HYPERLINK("https://www.indeed.com/viewjob?jk=682f6703bf7a792c", "https://www.indeed.com/viewjob?jk=682f6703bf7a792c")</f>
        <v/>
      </c>
      <c r="F72">
        <f>HYPERLINK("https://www.amazon.jobs/jobs/3090680/software-engineer-ii?cmpid=DA_INAD200785B", "https://www.amazon.jobs/jobs/3090680/software-engineer-ii?cmpid=DA_INAD200785B")</f>
        <v/>
      </c>
      <c r="G72" t="inlineStr">
        <is>
          <t>Irvine, CA, US</t>
        </is>
      </c>
      <c r="H72" s="3" t="n">
        <v>45921</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in-f3afb7d44cf6b003</t>
        </is>
      </c>
      <c r="B73" t="inlineStr">
        <is>
          <t>Sr Software Engineer</t>
        </is>
      </c>
      <c r="C73" t="inlineStr">
        <is>
          <t>Amazon.com</t>
        </is>
      </c>
      <c r="D73" t="inlineStr">
        <is>
          <t>indeed</t>
        </is>
      </c>
      <c r="E73">
        <f>HYPERLINK("https://www.indeed.com/viewjob?jk=f3afb7d44cf6b003", "https://www.indeed.com/viewjob?jk=f3afb7d44cf6b003")</f>
        <v/>
      </c>
      <c r="F73">
        <f>HYPERLINK("https://www.amazon.jobs/jobs/3090674/sr-software-engineer?cmpid=DA_INAD200785B", "https://www.amazon.jobs/jobs/3090674/sr-software-engineer?cmpid=DA_INAD200785B")</f>
        <v/>
      </c>
      <c r="G73" t="inlineStr">
        <is>
          <t>Irvine, CA, US</t>
        </is>
      </c>
      <c r="H73" s="3" t="n">
        <v>45921</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in-93988a1666f48822</t>
        </is>
      </c>
      <c r="B74" t="inlineStr">
        <is>
          <t>Software Engineer II</t>
        </is>
      </c>
      <c r="C74" t="inlineStr">
        <is>
          <t>Amazon.com</t>
        </is>
      </c>
      <c r="D74" t="inlineStr">
        <is>
          <t>indeed</t>
        </is>
      </c>
      <c r="E74">
        <f>HYPERLINK("https://www.indeed.com/viewjob?jk=93988a1666f48822", "https://www.indeed.com/viewjob?jk=93988a1666f48822")</f>
        <v/>
      </c>
      <c r="F74">
        <f>HYPERLINK("https://www.amazon.jobs/jobs/3090680/software-engineer-ii?cmpid=DA_INAD200785B", "https://www.amazon.jobs/jobs/3090680/software-engineer-ii?cmpid=DA_INAD200785B")</f>
        <v/>
      </c>
      <c r="G74" t="inlineStr">
        <is>
          <t>San Francisco, CA, US</t>
        </is>
      </c>
      <c r="H74" s="3" t="n">
        <v>45921</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in-05f54c2618775330</t>
        </is>
      </c>
      <c r="B75" t="inlineStr">
        <is>
          <t>Sr Software Engineer</t>
        </is>
      </c>
      <c r="C75" t="inlineStr">
        <is>
          <t>Amazon.com</t>
        </is>
      </c>
      <c r="D75" t="inlineStr">
        <is>
          <t>indeed</t>
        </is>
      </c>
      <c r="E75">
        <f>HYPERLINK("https://www.indeed.com/viewjob?jk=05f54c2618775330", "https://www.indeed.com/viewjob?jk=05f54c2618775330")</f>
        <v/>
      </c>
      <c r="F75">
        <f>HYPERLINK("https://www.amazon.jobs/jobs/3090674/sr-software-engineer?cmpid=DA_INAD200785B", "https://www.amazon.jobs/jobs/3090674/sr-software-engineer?cmpid=DA_INAD200785B")</f>
        <v/>
      </c>
      <c r="G75" t="inlineStr">
        <is>
          <t>San Francisco, CA, US</t>
        </is>
      </c>
      <c r="H75" s="3" t="n">
        <v>45921</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in-30d7de5cb548be42</t>
        </is>
      </c>
      <c r="B76" t="inlineStr">
        <is>
          <t>Software Engineer, Trust and Safety, Tech Enablement</t>
        </is>
      </c>
      <c r="C76" t="inlineStr">
        <is>
          <t>Google</t>
        </is>
      </c>
      <c r="D76" t="inlineStr">
        <is>
          <t>indeed</t>
        </is>
      </c>
      <c r="E76">
        <f>HYPERLINK("https://www.indeed.com/viewjob?jk=30d7de5cb548be42", "https://www.indeed.com/viewjob?jk=30d7de5cb548be42")</f>
        <v/>
      </c>
      <c r="F76">
        <f>HYPERLINK("https://careers.google.com/jobs/results/120541604774585030-software-engineer/", "https://careers.google.com/jobs/results/120541604774585030-software-engineer/")</f>
        <v/>
      </c>
      <c r="G76" t="inlineStr">
        <is>
          <t>Kirkland, WA, US</t>
        </is>
      </c>
      <c r="H76" s="3" t="n">
        <v>46034</v>
      </c>
      <c r="I76"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7">
      <c r="A77" t="inlineStr">
        <is>
          <t>in-edef4e4adf3b1904</t>
        </is>
      </c>
      <c r="B77" t="inlineStr">
        <is>
          <t>Software Engineer, Trust and Safety, Tech Enablement</t>
        </is>
      </c>
      <c r="C77" t="inlineStr">
        <is>
          <t>Google</t>
        </is>
      </c>
      <c r="D77" t="inlineStr">
        <is>
          <t>indeed</t>
        </is>
      </c>
      <c r="E77">
        <f>HYPERLINK("https://www.indeed.com/viewjob?jk=edef4e4adf3b1904", "https://www.indeed.com/viewjob?jk=edef4e4adf3b1904")</f>
        <v/>
      </c>
      <c r="F77">
        <f>HYPERLINK("https://careers.google.com/jobs/results/120541604774585030-software-engineer/", "https://careers.google.com/jobs/results/120541604774585030-software-engineer/")</f>
        <v/>
      </c>
      <c r="G77" t="inlineStr">
        <is>
          <t>Seattle, WA, US</t>
        </is>
      </c>
      <c r="H77" s="3" t="n">
        <v>46034</v>
      </c>
      <c r="I77"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 5 years of experience in software engineering or related technical fields.
* 3 years of experience debugging issues relating to hardware, test setup, firmware, and software.
### **Preferred qualifications:**
* Master's degree or PhD in Computer Science or a related technical field.
* 3 years of experience with abuse detection.
* 3 years of experience with AI algorithms.
* Experience with Generative AI.
* Excellent problem\-solving skills, with the ability to apply on complex issues.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Trust and Safety (T\&amp;S) is dedicated to promoting trust in Google and ensuring user safety, and we work to proactively identify and mitigate potential harms across all Google products and services. Our team takes a scalable approach to helping Google stay ahead of attackers, and strives to deliver trusted and safe experiences to all users.  
We are a global team of experts, including technical analysts, data scientists, policy specialists, and data engineers, who collaborate with cross\-functional partners across the company to defend our platforms. Our work is mission\-critical, ensuring the safety and security of billions of users, developers, creators, advertisers, and other customers. We drive responsible innovation and are the industry's leading abuse fighters.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Scope, design, test, and deploy new features and components that leverage AI to automate and enhance T\&amp;S operations, enabling teams to scale their user protection impact efficiently.
* Troubleshoot and debug issues, ensuring a high\-quality user experience.
* Work across the stack from building AI models, to performing experiments, improving quality, building infrastructure and tools, etc.
* Collaborate cross\-functionally to solve ambiguous, testing, and impactful problems at the intersection of technology, automation, user protection, and AI.
* Participate in code reviews, receive and give constructive feedback to peers.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78">
      <c r="A78" t="inlineStr">
        <is>
          <t>in-58c95633cb51725c</t>
        </is>
      </c>
      <c r="B78" t="inlineStr">
        <is>
          <t>Senior Software Engineer, Twitch</t>
        </is>
      </c>
      <c r="C78" t="inlineStr">
        <is>
          <t>Amazon.com</t>
        </is>
      </c>
      <c r="D78" t="inlineStr">
        <is>
          <t>indeed</t>
        </is>
      </c>
      <c r="E78">
        <f>HYPERLINK("https://www.indeed.com/viewjob?jk=58c95633cb51725c", "https://www.indeed.com/viewjob?jk=58c95633cb51725c")</f>
        <v/>
      </c>
      <c r="F78">
        <f>HYPERLINK("https://www.amazon.jobs/jobs/3138042/senior-software-engineer-twitch?cmpid=DA_INAD200785B", "https://www.amazon.jobs/jobs/3138042/senior-software-engineer-twitch?cmpid=DA_INAD200785B")</f>
        <v/>
      </c>
      <c r="G78" t="inlineStr">
        <is>
          <t>Seattle, WA, US</t>
        </is>
      </c>
      <c r="H78" s="3" t="n">
        <v>45995</v>
      </c>
      <c r="I7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in-29c6c9b43537068c</t>
        </is>
      </c>
      <c r="B79" t="inlineStr">
        <is>
          <t>Senior Software Engineer, Twitch</t>
        </is>
      </c>
      <c r="C79" t="inlineStr">
        <is>
          <t>Amazon.com</t>
        </is>
      </c>
      <c r="D79" t="inlineStr">
        <is>
          <t>indeed</t>
        </is>
      </c>
      <c r="E79">
        <f>HYPERLINK("https://www.indeed.com/viewjob?jk=29c6c9b43537068c", "https://www.indeed.com/viewjob?jk=29c6c9b43537068c")</f>
        <v/>
      </c>
      <c r="F79">
        <f>HYPERLINK("https://www.amazon.jobs/jobs/3138042/senior-software-engineer-twitch?cmpid=DA_INAD200785B", "https://www.amazon.jobs/jobs/3138042/senior-software-engineer-twitch?cmpid=DA_INAD200785B")</f>
        <v/>
      </c>
      <c r="G79" t="inlineStr">
        <is>
          <t>San Francisco, CA, US</t>
        </is>
      </c>
      <c r="H79" s="3" t="n">
        <v>45995</v>
      </c>
      <c r="I7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in-6e5352082f459862</t>
        </is>
      </c>
      <c r="B80" t="inlineStr">
        <is>
          <t>Software Engineer II, ML Infra</t>
        </is>
      </c>
      <c r="C80" t="inlineStr">
        <is>
          <t>Amazon.com</t>
        </is>
      </c>
      <c r="D80" t="inlineStr">
        <is>
          <t>indeed</t>
        </is>
      </c>
      <c r="E80">
        <f>HYPERLINK("https://www.indeed.com/viewjob?jk=6e5352082f459862", "https://www.indeed.com/viewjob?jk=6e5352082f459862")</f>
        <v/>
      </c>
      <c r="F80">
        <f>HYPERLINK("https://www.amazon.jobs/jobs/3112104/software-engineer-ii-ml-infra?cmpid=DA_INAD200785B", "https://www.amazon.jobs/jobs/3112104/software-engineer-ii-ml-infra?cmpid=DA_INAD200785B")</f>
        <v/>
      </c>
      <c r="G80" t="inlineStr">
        <is>
          <t>San Francisco, CA, US</t>
        </is>
      </c>
      <c r="H80" s="3" t="n">
        <v>45947</v>
      </c>
      <c r="I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in-c3d9efa29e92a6b6</t>
        </is>
      </c>
      <c r="B81" t="inlineStr">
        <is>
          <t>Software Engineer II, ML Infra</t>
        </is>
      </c>
      <c r="C81" t="inlineStr">
        <is>
          <t>Amazon.com</t>
        </is>
      </c>
      <c r="D81" t="inlineStr">
        <is>
          <t>indeed</t>
        </is>
      </c>
      <c r="E81">
        <f>HYPERLINK("https://www.indeed.com/viewjob?jk=c3d9efa29e92a6b6", "https://www.indeed.com/viewjob?jk=c3d9efa29e92a6b6")</f>
        <v/>
      </c>
      <c r="F81">
        <f>HYPERLINK("https://www.amazon.jobs/jobs/3112104/software-engineer-ii-ml-infra?cmpid=DA_INAD200785B", "https://www.amazon.jobs/jobs/3112104/software-engineer-ii-ml-infra?cmpid=DA_INAD200785B")</f>
        <v/>
      </c>
      <c r="G81" t="inlineStr">
        <is>
          <t>Irvine, CA, US</t>
        </is>
      </c>
      <c r="H81" s="3" t="n">
        <v>45947</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in-eed66d5d2d532d12</t>
        </is>
      </c>
      <c r="B82" t="inlineStr">
        <is>
          <t>Sr. Software Engineer (ML), AGI Customization</t>
        </is>
      </c>
      <c r="C82" t="inlineStr">
        <is>
          <t>Amazon.com</t>
        </is>
      </c>
      <c r="D82" t="inlineStr">
        <is>
          <t>indeed</t>
        </is>
      </c>
      <c r="E82">
        <f>HYPERLINK("https://www.indeed.com/viewjob?jk=eed66d5d2d532d12", "https://www.indeed.com/viewjob?jk=eed66d5d2d532d12")</f>
        <v/>
      </c>
      <c r="F82">
        <f>HYPERLINK("https://www.amazon.jobs/jobs/3127625/sr-software-engineer-ml-agi-customization?cmpid=DA_INAD200785B", "https://www.amazon.jobs/jobs/3127625/sr-software-engineer-ml-agi-customization?cmpid=DA_INAD200785B")</f>
        <v/>
      </c>
      <c r="G82" t="inlineStr">
        <is>
          <t>Sunnyvale, CA, US</t>
        </is>
      </c>
      <c r="H82" s="3" t="n">
        <v>45964</v>
      </c>
      <c r="I8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in-425b82f6316ca902</t>
        </is>
      </c>
      <c r="B83" t="inlineStr">
        <is>
          <t>Sr. Software Engineer (ML), AGI Customization</t>
        </is>
      </c>
      <c r="C83" t="inlineStr">
        <is>
          <t>Amazon.com</t>
        </is>
      </c>
      <c r="D83" t="inlineStr">
        <is>
          <t>indeed</t>
        </is>
      </c>
      <c r="E83">
        <f>HYPERLINK("https://www.indeed.com/viewjob?jk=425b82f6316ca902", "https://www.indeed.com/viewjob?jk=425b82f6316ca902")</f>
        <v/>
      </c>
      <c r="F83">
        <f>HYPERLINK("https://www.amazon.jobs/jobs/3127625/sr-software-engineer-ml-agi-customization?cmpid=DA_INAD200785B", "https://www.amazon.jobs/jobs/3127625/sr-software-engineer-ml-agi-customization?cmpid=DA_INAD200785B")</f>
        <v/>
      </c>
      <c r="G83" t="inlineStr">
        <is>
          <t>Boston, MA, US</t>
        </is>
      </c>
      <c r="H83" s="3" t="n">
        <v>45964</v>
      </c>
      <c r="I8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in-e8c8e8c187bae857</t>
        </is>
      </c>
      <c r="B84" t="inlineStr">
        <is>
          <t>Sr. Software Engineer (ML), AGI Foundations</t>
        </is>
      </c>
      <c r="C84" t="inlineStr">
        <is>
          <t>Amazon.com</t>
        </is>
      </c>
      <c r="D84" t="inlineStr">
        <is>
          <t>indeed</t>
        </is>
      </c>
      <c r="E84">
        <f>HYPERLINK("https://www.indeed.com/viewjob?jk=e8c8e8c187bae857", "https://www.indeed.com/viewjob?jk=e8c8e8c187bae857")</f>
        <v/>
      </c>
      <c r="F84">
        <f>HYPERLINK("https://www.amazon.jobs/jobs/2993074/sr-software-engineer-ml-agi-foundations?cmpid=DA_INAD200785B", "https://www.amazon.jobs/jobs/2993074/sr-software-engineer-ml-agi-foundations?cmpid=DA_INAD200785B")</f>
        <v/>
      </c>
      <c r="G84" t="inlineStr">
        <is>
          <t>Sunnyvale, CA, US</t>
        </is>
      </c>
      <c r="H84" s="3" t="n">
        <v>45803</v>
      </c>
      <c r="I84"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in-5c1244f558f50a9b</t>
        </is>
      </c>
      <c r="B85" t="inlineStr">
        <is>
          <t>Sr. Software Engineer (ML), AGI Foundations</t>
        </is>
      </c>
      <c r="C85" t="inlineStr">
        <is>
          <t>Amazon.com</t>
        </is>
      </c>
      <c r="D85" t="inlineStr">
        <is>
          <t>indeed</t>
        </is>
      </c>
      <c r="E85">
        <f>HYPERLINK("https://www.indeed.com/viewjob?jk=5c1244f558f50a9b", "https://www.indeed.com/viewjob?jk=5c1244f558f50a9b")</f>
        <v/>
      </c>
      <c r="F85">
        <f>HYPERLINK("https://www.amazon.jobs/jobs/2993074/sr-software-engineer-ml-agi-foundations?cmpid=DA_INAD200785B", "https://www.amazon.jobs/jobs/2993074/sr-software-engineer-ml-agi-foundations?cmpid=DA_INAD200785B")</f>
        <v/>
      </c>
      <c r="G85" t="inlineStr">
        <is>
          <t>Bellevue, WA, US</t>
        </is>
      </c>
      <c r="H85" s="3" t="n">
        <v>45803</v>
      </c>
      <c r="I8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in-d938d10419ee4bae</t>
        </is>
      </c>
      <c r="B86" t="inlineStr">
        <is>
          <t>Software Engineer- AI/ML, AWS Neuron Distributed Training</t>
        </is>
      </c>
      <c r="C86" t="inlineStr">
        <is>
          <t>Amazon Web Services</t>
        </is>
      </c>
      <c r="D86" t="inlineStr">
        <is>
          <t>indeed</t>
        </is>
      </c>
      <c r="E86">
        <f>HYPERLINK("https://www.indeed.com/viewjob?jk=d938d10419ee4bae", "https://www.indeed.com/viewjob?jk=d938d10419ee4bae")</f>
        <v/>
      </c>
      <c r="F86">
        <f>HYPERLINK("https://www.amazon.jobs/jobs/2937757/software-engineer-aiml-aws-neuron-distributed-training?cmpid=DA_INAD200785B", "https://www.amazon.jobs/jobs/2937757/software-engineer-aiml-aws-neuron-distributed-training?cmpid=DA_INAD200785B")</f>
        <v/>
      </c>
      <c r="G86" t="inlineStr">
        <is>
          <t>Cupertino, CA, US</t>
        </is>
      </c>
      <c r="H86" s="3" t="n">
        <v>45727</v>
      </c>
      <c r="I8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in-ff007e368be3861f</t>
        </is>
      </c>
      <c r="B87" t="inlineStr">
        <is>
          <t>Software Engineer- AI/ML, AWS Neuron Distributed Training</t>
        </is>
      </c>
      <c r="C87" t="inlineStr">
        <is>
          <t>Amazon Web Services</t>
        </is>
      </c>
      <c r="D87" t="inlineStr">
        <is>
          <t>indeed</t>
        </is>
      </c>
      <c r="E87">
        <f>HYPERLINK("https://www.indeed.com/viewjob?jk=ff007e368be3861f", "https://www.indeed.com/viewjob?jk=ff007e368be3861f")</f>
        <v/>
      </c>
      <c r="F87">
        <f>HYPERLINK("https://www.amazon.jobs/jobs/2937757/software-engineer-aiml-aws-neuron-distributed-training?cmpid=DA_INAD200785B", "https://www.amazon.jobs/jobs/2937757/software-engineer-aiml-aws-neuron-distributed-training?cmpid=DA_INAD200785B")</f>
        <v/>
      </c>
      <c r="G87" t="inlineStr">
        <is>
          <t>Seattle, WA, US</t>
        </is>
      </c>
      <c r="H87" s="3" t="n">
        <v>45727</v>
      </c>
      <c r="I8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in-d9637259ac67788f</t>
        </is>
      </c>
      <c r="B88" t="inlineStr">
        <is>
          <t>Sr. Software Engineer- AI/ML, AWS Neuron Distributed Training</t>
        </is>
      </c>
      <c r="C88" t="inlineStr">
        <is>
          <t>Amazon Web Services</t>
        </is>
      </c>
      <c r="D88" t="inlineStr">
        <is>
          <t>indeed</t>
        </is>
      </c>
      <c r="E88">
        <f>HYPERLINK("https://www.indeed.com/viewjob?jk=d9637259ac67788f", "https://www.indeed.com/viewjob?jk=d9637259ac67788f")</f>
        <v/>
      </c>
      <c r="F88">
        <f>HYPERLINK("https://www.amazon.jobs/jobs/2912412/sr-software-engineer-aiml-aws-neuron-distributed-training?cmpid=DA_INAD200785B", "https://www.amazon.jobs/jobs/2912412/sr-software-engineer-aiml-aws-neuron-distributed-training?cmpid=DA_INAD200785B")</f>
        <v/>
      </c>
      <c r="G88" t="inlineStr">
        <is>
          <t>Cupertino, CA, US</t>
        </is>
      </c>
      <c r="H88" s="3" t="n">
        <v>45713</v>
      </c>
      <c r="I8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in-73cf6d27d59e9224</t>
        </is>
      </c>
      <c r="B89" t="inlineStr">
        <is>
          <t>Sr. Software Engineer- AI/ML, AWS Neuron Distributed Training</t>
        </is>
      </c>
      <c r="C89" t="inlineStr">
        <is>
          <t>Amazon Web Services</t>
        </is>
      </c>
      <c r="D89" t="inlineStr">
        <is>
          <t>indeed</t>
        </is>
      </c>
      <c r="E89">
        <f>HYPERLINK("https://www.indeed.com/viewjob?jk=73cf6d27d59e9224", "https://www.indeed.com/viewjob?jk=73cf6d27d59e9224")</f>
        <v/>
      </c>
      <c r="F89">
        <f>HYPERLINK("https://www.amazon.jobs/jobs/2912412/sr-software-engineer-aiml-aws-neuron-distributed-training?cmpid=DA_INAD200785B", "https://www.amazon.jobs/jobs/2912412/sr-software-engineer-aiml-aws-neuron-distributed-training?cmpid=DA_INAD200785B")</f>
        <v/>
      </c>
      <c r="G89" t="inlineStr">
        <is>
          <t>Seattle, WA, US</t>
        </is>
      </c>
      <c r="H89" s="3" t="n">
        <v>45713</v>
      </c>
      <c r="I8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in-a1f85de4bdfeefeb</t>
        </is>
      </c>
      <c r="B90" t="inlineStr">
        <is>
          <t>Senior Software Developer</t>
        </is>
      </c>
      <c r="C90" t="inlineStr">
        <is>
          <t>Davidson Technologies, Inc.</t>
        </is>
      </c>
      <c r="D90" t="inlineStr">
        <is>
          <t>indeed</t>
        </is>
      </c>
      <c r="E90">
        <f>HYPERLINK("https://www.indeed.com/viewjob?jk=a1f85de4bdfeefeb", "https://www.indeed.com/viewjob?jk=a1f85de4bdfeefeb")</f>
        <v/>
      </c>
      <c r="F90">
        <f>HYPERLINK("https://www.applicantpro.com/openings/davidsontech/jobs/3960038-955850", "https://www.applicantpro.com/openings/davidsontech/jobs/3960038-955850")</f>
        <v/>
      </c>
      <c r="G90" t="inlineStr">
        <is>
          <t>Huntsville, AL, US</t>
        </is>
      </c>
      <c r="H90" s="3" t="n">
        <v>46034</v>
      </c>
      <c r="I90" t="inlineStr">
        <is>
          <t>**Why apply to this position?**  
* **100% paid medical benefits \- Prioritizing your health and well\-being.**
* **Competitive 401(k) with company match \- Investing in your future.**
* **Opportunity to be a part of forward\-thinking team dedicated to innovation.**
* **A chance to work on cutting\-edge projects in a fast\-paced, exciting environment.**
* **Support for professional development and continuous learning.**
Davidson is distinguished in the aerospace and missile defense industry, in part, because of its excellence in hiring exceptional experts, engineers and software developers dedicated to delivering advanced, intelligent technology solutions in defense of our nation.
Davidson Technologies is seeking a Sr. Software Developer in Huntsville, Alabama.
**Required Qualifications:**
* BS in engineering, computer sciencem mathematics or related field.
* 10\-20 years related work experience or an equivalent combination of technical education and experience
* Proficient in C/C\+\+ and Java development languages
* Experience with RedHat Linux, Linux Fedora Core, and Linux batch scripting.
* Minimum 10 years of experience in developing real\-time, multi\-processor, multi\-core, distributed simulation synchronization software.
* Experience in development of interfaces and communication with the GMD Fire Control and Communications (GFC/C).
* Experience in development of interfaces and communication with the Command, Control, Battle Management, and Communications system (C2BMC).
* Experience in the modeling and simulation of launch vehicle radar simulation for HWIL systems integration and test.
* Systems engineering experience in disciplines such as hardware and software integration, requirements development, verification and validation, and testing.
**Desired Qualifications:**
* Experience in the following:
	+ Software/hardware integration activities
	+ Software/hardware integration troubleshooting and bug\-fix activities
	+ Unit and system level verification and validation activities
	+ Conducting and participating in design and code reviews
	+ Troubleshooting and correcting simulation anomalies
	+ Analyzing and developing software in support of customer requirements
**Clearance Requirements:**  
Must have an Active DoD Secret Clearance</t>
        </is>
      </c>
    </row>
    <row r="91">
      <c r="A91" t="inlineStr">
        <is>
          <t>in-c9980b37ead44947</t>
        </is>
      </c>
      <c r="B91" t="inlineStr">
        <is>
          <t>Software Engineering Manager</t>
        </is>
      </c>
      <c r="C91" t="inlineStr">
        <is>
          <t>Boeing</t>
        </is>
      </c>
      <c r="D91" t="inlineStr">
        <is>
          <t>indeed</t>
        </is>
      </c>
      <c r="E91">
        <f>HYPERLINK("https://www.indeed.com/viewjob?jk=c9980b37ead44947", "https://www.indeed.com/viewjob?jk=c9980b37ead44947")</f>
        <v/>
      </c>
      <c r="F91">
        <f>HYPERLINK("https://jobs.boeing.com/job/-/-/185/90531147936", "https://jobs.boeing.com/job/-/-/185/90531147936")</f>
        <v/>
      </c>
      <c r="G91" t="inlineStr">
        <is>
          <t>Seattle, WA, US</t>
        </is>
      </c>
      <c r="H91" s="3" t="n">
        <v>46034</v>
      </c>
      <c r="I91"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looking for a **Software Engineering Manager** for the Commercial Aviation Training Solutions program located in **Seattle, WA**. The successful candidate will have a passion for teamwork delivering exceptional software products to Boeing’s internal and external customers involved in the training and certification of pilots and mechanics on Boeing aircraft. Additionally, the successful candidate brings experience leading commercial cloud\-based and mobile application software development at scale throughout the software lifecycle. The successful candidate will have experience with Agile processes, scheduling, project management, and designing fault tolerant high\-availability low\-latency applications. Responsibilities include people management, schedule management, risk management, and oversite of the delivery of high\-quality customer value.
**Position Responsibilities:**
* Lead senior software engineers and offshore development teams through the software development life\-cycle
* Oversee design, development, analyses, maintenance, and use of best practices to meet industry, customer and internal quality, safety, security, and training standards
* Oversee and maintain Boeing Flight training Center operations software
* Lead the development and maintenance of aviation maintenance training applications
* Lead the development and maintenance of airline transport pilot flight training and assessment applications
* Lead the development and maintenance of early career pilot flight training and assessment applications
* Identify and implement industry best practices to improve the performance and efficiency of the software development teams working within the program
* Travel to India, Australia, and Germany as necessary to maintain team morale and grow team capabilities
* Grow and develop the skills and abilities of resources within the organization
* Hold individuals accountable for meeting stated goals and value delivery
* Develop and maintain positive relationships with peers, business partners, customers, and other stakeholders
* Collaborate with the organization’s senior leadership team representing the training solutions program
* Discover and investigate new capabilities which can be leveraged by Boeing to enhance training effectiveness
**This position is expected to be 100% onsite. The selected candidate will be required to work onsite at one of the listed location options.**
**Basic Qualifications (Required Skills/Experience):**
* 5\+ years of experience in leading or managing software engineering activities
* 3\+ years of experience developing software products in a cloud computing environment e.g. Azure/AWS/Google Cloud
* 1\+ years of experience with mobile application development
**Preferred Qualifications (Desired Skills/Experience):**
* Bachelor of Science degree from an accredited course of study in engineering, engineering technology (includes manufacturing engineering technology), chemistry, physics, mathematics, data science, or computer science
* Experience employing generative AI and agentic AI to improving software development efficiency and effectiveness
* Experience implementing A/B feature testing infrastructures
* Experience developing and driving software technical roadmaps
* Experience validating existing and proposed software application architectures
* Experience managing engineering capacity against roadmaps and critical deliverables
* Experience creating product deployment and rollout plans
* Experience coordinating development activities across many different technical and business organizations
**Drug Free Workplace:**
Boeing is a Drug Free Workplace (DFW) where post offer applicants and employees are subject to testing for marijuana, cocaine, opioids, amphetamines, PCP, and alcohol when criteria is met as outlined in our policies.
**Travel:**
Less than 20%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Manager: $171,700 \- $232,300
Applications for this position will be accepted until **Jan. 26,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92">
      <c r="A92" t="inlineStr">
        <is>
          <t>in-ab5bc91039295522</t>
        </is>
      </c>
      <c r="B92" t="inlineStr">
        <is>
          <t>Senior Software Engineer, Enterprise Applications | US (EST) - EMEA | Remote</t>
        </is>
      </c>
      <c r="C92" t="inlineStr">
        <is>
          <t>Grafana Labs</t>
        </is>
      </c>
      <c r="D92" t="inlineStr">
        <is>
          <t>indeed</t>
        </is>
      </c>
      <c r="E92">
        <f>HYPERLINK("https://www.indeed.com/viewjob?jk=ab5bc91039295522", "https://www.indeed.com/viewjob?jk=ab5bc91039295522")</f>
        <v/>
      </c>
      <c r="F92">
        <f>HYPERLINK("https://job-boards.greenhouse.io/grafanalabs/jobs/5762859004", "https://job-boards.greenhouse.io/grafanalabs/jobs/5762859004")</f>
        <v/>
      </c>
      <c r="G92" t="inlineStr">
        <is>
          <t>Remote, US</t>
        </is>
      </c>
      <c r="H92" s="3" t="n">
        <v>46034</v>
      </c>
      <c r="I92"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applications from the EST in NASA, UK, Spain, Germany or Sweden.**
**The Opportunity:**
We are seeking a highly technical Enterprise Application Developer to own the architecture, development, and maintenance of Grafana Labs’ internal business systems. In this role you will be the driving force behind our operational efficiency: connecting disparate systems with robust automation, developing custom internal applications where off\-the\-shelf software falls short, and designing scalable, secure architectures that enable seamless automation across IT, Finance, Security, PeopleOps, L\&amp;D, and more.
You will operate at the nexus of engineering and business operations, elevating our engineering culture by setting code\-quality standards, implementing automated CI/CD pipelines, and leveraging modern languages and AI\-assisted tooling to deliver best\-in\-class solutions. Much of the work will involve building identity and access automation, as well as platform integrations, internal services in Go, and platform\-grade CI/CD and security practices to support internal tooling at scale.
**What You’ll Be Doing:**
* Architect, build, and maintain identity and access automation using Okta Workflows to deliver a fully automated Joiner\-Mover\-Leaver (JML) lifecycle.
* Ensure the provisioning and de\-provisioning of access across the enterprise stack, driven by HRIS triggers, to enable zero\-touch onboarding and offboarding.
* Design and deploy complex processes using flowgramming systems that automate reporting and data flows.
* Own the automation strategy and workflow development for Freshservice — including automated user and group management, software provisioning, and logic\-based approval routing.
* Integrate HelpDesk and ITSM platforms with other enterprise tools via APIs to reduce manual ticket touches and improve operational SLAs.
* Design, build, and deploy custom internal applications and services using Go (Golang) to solve niche business problems (e.g., software licensing management, automated training assignments).
* Design efficient relational database schemas and author complex SQL for reporting, transactional systems, and financial integrations.
* Manage the full SDLC for internal tooling: gather requirements, design, build, test, deploy, run, and iterate based on production feedback.
* Build and maintain custom MCP servers, Slack bots, and other automation utilities for operational tooling.
* Implement and maintain robust CI/CD pipelines (GitHub Actions preferred) to automate testing, linting, security scanning, and deployments for internal tooling.
* Integrate security tooling into build and deploy pipelines (SAST/DAST), ensure secure handling of API keys and secrets, and drive secure coding practices across the team.
* Conduct and lead code reviews, mentor peers, and drive engineering best practices for maintainability, testability, and clarity.
* Embrace and responsibly use AI coding assistants (Cursor, Warp.dev, GitHub Copilot, etc.) — able to evaluate and own code produced with AI assistance.
* Collaborate closely with IT, Finance, Security, PeopleOps, and other stakeholders to align priorities, produce clear documentation and diagrams, and implement safe rollout strategies for changes that impact business workflows.
**What Makes You a Great Fit:**
* Strong coding skills and operational experience: you’ve built software and been responsible for operating it in production.
* Experience with enterprise identity and lifecycle management — deep, hands\-on experience with Okta, Okta Workflows, and lifecycle provisioning.
* Experience building automation for Finance and ITSM workflows (Workato or similar iPaaS platforms; Freshservice or similar ITSM tooling).
* Proficiency in at least one widely used programming language — Go (Golang) preferred; Python, Rust, C, C\+\+ or similar is acceptable. You are comfortable writing production services in Go or are excited to learn.
* Strong SQL skills with experience designing schemas, writing complex queries, and integrating custom applications with relational databases (Postgres, MySQL, etc.).
* In\-depth experience designing and consuming REST and GraphQL APIs and handling authentication (OAuth2, API tokens), rate limiting, and pagination.
* Expertise in building and maintaining CI/CD pipelines and automations (GitHub Actions experience preferred).
* Demonstrated experience with secure coding practices and integrating code security tools (SAST/DAST) into pipelines.
* Strong Git and GitHub experience, including branching strategies and release workflows.
* Comfortable working with AI toolchains for developer productivity and able to fully understand, vet, and take full ownership of AI\-assisted code.
* Able to translate complex business requirements from non\-technical stakeholders into technical solutions and documentation (including architecture diagrams and runbooks).
* Excellent troubleshooting skills and a drive to automate repetitive work away.
* A collaborative mindset: you work across teams, make plans transparent, bring stakeholders along, and accept feedback.
* Pragmatic: You prioritize progress over perfection and can navigate ambiguity.
**Compensation \&amp; Rewards:**
In the US, the compensation range for this role is $154K \- $185K.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t>
        </is>
      </c>
    </row>
    <row r="93">
      <c r="A93" t="inlineStr">
        <is>
          <t>in-9ee7476fd20ede79</t>
        </is>
      </c>
      <c r="B93" t="inlineStr">
        <is>
          <t>Software Engineer</t>
        </is>
      </c>
      <c r="C93" t="inlineStr">
        <is>
          <t>Amazon.com</t>
        </is>
      </c>
      <c r="D93" t="inlineStr">
        <is>
          <t>indeed</t>
        </is>
      </c>
      <c r="E93">
        <f>HYPERLINK("https://www.indeed.com/viewjob?jk=9ee7476fd20ede79", "https://www.indeed.com/viewjob?jk=9ee7476fd20ede79")</f>
        <v/>
      </c>
      <c r="F93">
        <f>HYPERLINK("https://www.amazon.jobs/jobs/3145977/software-engineer?cmpid=DA_INAD200785B", "https://www.amazon.jobs/jobs/3145977/software-engineer?cmpid=DA_INAD200785B")</f>
        <v/>
      </c>
      <c r="G93" t="inlineStr">
        <is>
          <t>San Francisco, CA, US</t>
        </is>
      </c>
      <c r="H93" s="3" t="n">
        <v>46008</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in-b178ef2436b41531</t>
        </is>
      </c>
      <c r="B94" t="inlineStr">
        <is>
          <t>Software Engineer</t>
        </is>
      </c>
      <c r="C94" t="inlineStr">
        <is>
          <t>Amazon.com</t>
        </is>
      </c>
      <c r="D94" t="inlineStr">
        <is>
          <t>indeed</t>
        </is>
      </c>
      <c r="E94">
        <f>HYPERLINK("https://www.indeed.com/viewjob?jk=b178ef2436b41531", "https://www.indeed.com/viewjob?jk=b178ef2436b41531")</f>
        <v/>
      </c>
      <c r="F94">
        <f>HYPERLINK("https://www.amazon.jobs/jobs/3145977/software-engineer?cmpid=DA_INAD200785B", "https://www.amazon.jobs/jobs/3145977/software-engineer?cmpid=DA_INAD200785B")</f>
        <v/>
      </c>
      <c r="G94" t="inlineStr">
        <is>
          <t>Seattle, WA, US</t>
        </is>
      </c>
      <c r="H94" s="3" t="n">
        <v>46008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in-eeaaa01c54c45181</t>
        </is>
      </c>
      <c r="B95" t="inlineStr">
        <is>
          <t>Software Engineer I</t>
        </is>
      </c>
      <c r="C95" t="inlineStr">
        <is>
          <t>Amazon.com</t>
        </is>
      </c>
      <c r="D95" t="inlineStr">
        <is>
          <t>indeed</t>
        </is>
      </c>
      <c r="E95">
        <f>HYPERLINK("https://www.indeed.com/viewjob?jk=eeaaa01c54c45181", "https://www.indeed.com/viewjob?jk=eeaaa01c54c45181")</f>
        <v/>
      </c>
      <c r="F95">
        <f>HYPERLINK("https://www.amazon.jobs/jobs/3144113/software-engineer-i?cmpid=DA_INAD200785B", "https://www.amazon.jobs/jobs/3144113/software-engineer-i?cmpid=DA_INAD200785B")</f>
        <v/>
      </c>
      <c r="G95" t="inlineStr">
        <is>
          <t>San Francisco, CA, US</t>
        </is>
      </c>
      <c r="H95" s="3" t="n">
        <v>46006</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in-8c805830d7829221</t>
        </is>
      </c>
      <c r="B96" t="inlineStr">
        <is>
          <t>Software Engineer I</t>
        </is>
      </c>
      <c r="C96" t="inlineStr">
        <is>
          <t>Amazon.com</t>
        </is>
      </c>
      <c r="D96" t="inlineStr">
        <is>
          <t>indeed</t>
        </is>
      </c>
      <c r="E96">
        <f>HYPERLINK("https://www.indeed.com/viewjob?jk=8c805830d7829221", "https://www.indeed.com/viewjob?jk=8c805830d7829221")</f>
        <v/>
      </c>
      <c r="F96">
        <f>HYPERLINK("https://www.amazon.jobs/jobs/3144113/software-engineer-i?cmpid=DA_INAD200785B", "https://www.amazon.jobs/jobs/3144113/software-engineer-i?cmpid=DA_INAD200785B")</f>
        <v/>
      </c>
      <c r="G96" t="inlineStr">
        <is>
          <t>Irvine, CA, US</t>
        </is>
      </c>
      <c r="H96" s="3" t="n">
        <v>46006</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in-130eb521c8624ebc</t>
        </is>
      </c>
      <c r="B97" t="inlineStr">
        <is>
          <t>Software Engineer I</t>
        </is>
      </c>
      <c r="C97" t="inlineStr">
        <is>
          <t>Amazon.com</t>
        </is>
      </c>
      <c r="D97" t="inlineStr">
        <is>
          <t>indeed</t>
        </is>
      </c>
      <c r="E97">
        <f>HYPERLINK("https://www.indeed.com/viewjob?jk=130eb521c8624ebc", "https://www.indeed.com/viewjob?jk=130eb521c8624ebc")</f>
        <v/>
      </c>
      <c r="F97">
        <f>HYPERLINK("https://www.amazon.jobs/jobs/3144113/software-engineer-i?cmpid=DA_INAD200785B", "https://www.amazon.jobs/jobs/3144113/software-engineer-i?cmpid=DA_INAD200785B")</f>
        <v/>
      </c>
      <c r="G97" t="inlineStr">
        <is>
          <t>Seattle, WA, US</t>
        </is>
      </c>
      <c r="H97" s="3" t="n">
        <v>46006</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in-8a03d7fa583a09a0</t>
        </is>
      </c>
      <c r="B98" t="inlineStr">
        <is>
          <t>Sr. Software Engineer, Manager</t>
        </is>
      </c>
      <c r="C98" t="inlineStr">
        <is>
          <t>Amazon.com</t>
        </is>
      </c>
      <c r="D98" t="inlineStr">
        <is>
          <t>indeed</t>
        </is>
      </c>
      <c r="E98">
        <f>HYPERLINK("https://www.indeed.com/viewjob?jk=8a03d7fa583a09a0", "https://www.indeed.com/viewjob?jk=8a03d7fa583a09a0")</f>
        <v/>
      </c>
      <c r="F98">
        <f>HYPERLINK("https://www.amazon.jobs/jobs/3144309/sr-software-engineer-manager?cmpid=DA_INAD200785B", "https://www.amazon.jobs/jobs/3144309/sr-software-engineer-manager?cmpid=DA_INAD200785B")</f>
        <v/>
      </c>
      <c r="G98" t="inlineStr">
        <is>
          <t>Irvine, CA, US</t>
        </is>
      </c>
      <c r="H98" s="3" t="n">
        <v>46006</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in-690864803a4d7c69</t>
        </is>
      </c>
      <c r="B99" t="inlineStr">
        <is>
          <t>Sr. Software Engineer, Manager</t>
        </is>
      </c>
      <c r="C99" t="inlineStr">
        <is>
          <t>Amazon.com</t>
        </is>
      </c>
      <c r="D99" t="inlineStr">
        <is>
          <t>indeed</t>
        </is>
      </c>
      <c r="E99">
        <f>HYPERLINK("https://www.indeed.com/viewjob?jk=690864803a4d7c69", "https://www.indeed.com/viewjob?jk=690864803a4d7c69")</f>
        <v/>
      </c>
      <c r="F99">
        <f>HYPERLINK("https://www.amazon.jobs/jobs/3144309/sr-software-engineer-manager?cmpid=DA_INAD200785B", "https://www.amazon.jobs/jobs/3144309/sr-software-engineer-manager?cmpid=DA_INAD200785B")</f>
        <v/>
      </c>
      <c r="G99" t="inlineStr">
        <is>
          <t>Culver City, CA, US</t>
        </is>
      </c>
      <c r="H99" s="3" t="n">
        <v>46006</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in-2d49462d69a8381c</t>
        </is>
      </c>
      <c r="B100" t="inlineStr">
        <is>
          <t>Sr. Software Engineer, Manager</t>
        </is>
      </c>
      <c r="C100" t="inlineStr">
        <is>
          <t>Amazon.com</t>
        </is>
      </c>
      <c r="D100" t="inlineStr">
        <is>
          <t>indeed</t>
        </is>
      </c>
      <c r="E100">
        <f>HYPERLINK("https://www.indeed.com/viewjob?jk=2d49462d69a8381c", "https://www.indeed.com/viewjob?jk=2d49462d69a8381c")</f>
        <v/>
      </c>
      <c r="F100">
        <f>HYPERLINK("https://www.amazon.jobs/jobs/3144309/sr-software-engineer-manager?cmpid=DA_INAD200785B", "https://www.amazon.jobs/jobs/3144309/sr-software-engineer-manager?cmpid=DA_INAD200785B")</f>
        <v/>
      </c>
      <c r="G100" t="inlineStr">
        <is>
          <t>San Francisco, CA, US</t>
        </is>
      </c>
      <c r="H100" s="3" t="n">
        <v>46006</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in-e7222a6f1bdb24d9</t>
        </is>
      </c>
      <c r="B101" t="inlineStr">
        <is>
          <t>Sr. Software Engineer, Manager</t>
        </is>
      </c>
      <c r="C101" t="inlineStr">
        <is>
          <t>Amazon.com</t>
        </is>
      </c>
      <c r="D101" t="inlineStr">
        <is>
          <t>indeed</t>
        </is>
      </c>
      <c r="E101">
        <f>HYPERLINK("https://www.indeed.com/viewjob?jk=e7222a6f1bdb24d9", "https://www.indeed.com/viewjob?jk=e7222a6f1bdb24d9")</f>
        <v/>
      </c>
      <c r="F101">
        <f>HYPERLINK("https://www.amazon.jobs/jobs/3144309/sr-software-engineer-manager?cmpid=DA_INAD200785B", "https://www.amazon.jobs/jobs/3144309/sr-software-engineer-manager?cmpid=DA_INAD200785B")</f>
        <v/>
      </c>
      <c r="G101" t="inlineStr">
        <is>
          <t>New York, NY, US</t>
        </is>
      </c>
      <c r="H101" s="3" t="n">
        <v>46006</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in-60d29c7e0cda8e8b</t>
        </is>
      </c>
      <c r="B102" t="inlineStr">
        <is>
          <t>Sr. Software Engineer, Manager</t>
        </is>
      </c>
      <c r="C102" t="inlineStr">
        <is>
          <t>Amazon.com</t>
        </is>
      </c>
      <c r="D102" t="inlineStr">
        <is>
          <t>indeed</t>
        </is>
      </c>
      <c r="E102">
        <f>HYPERLINK("https://www.indeed.com/viewjob?jk=60d29c7e0cda8e8b", "https://www.indeed.com/viewjob?jk=60d29c7e0cda8e8b")</f>
        <v/>
      </c>
      <c r="F102">
        <f>HYPERLINK("https://www.amazon.jobs/jobs/3144309/sr-software-engineer-manager?cmpid=DA_INAD200785B", "https://www.amazon.jobs/jobs/3144309/sr-software-engineer-manager?cmpid=DA_INAD200785B")</f>
        <v/>
      </c>
      <c r="G102" t="inlineStr">
        <is>
          <t>Seattle, WA, US</t>
        </is>
      </c>
      <c r="H102" s="3" t="n">
        <v>46006</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in-a22cdf525e8ddcdd</t>
        </is>
      </c>
      <c r="B103" t="inlineStr">
        <is>
          <t>Sr. Software Engineer - EC2 Windows OS Technologies team, EC2 Windows</t>
        </is>
      </c>
      <c r="C103" t="inlineStr">
        <is>
          <t>Amazon.com</t>
        </is>
      </c>
      <c r="D103" t="inlineStr">
        <is>
          <t>indeed</t>
        </is>
      </c>
      <c r="E103">
        <f>HYPERLINK("https://www.indeed.com/viewjob?jk=a22cdf525e8ddcdd", "https://www.indeed.com/viewjob?jk=a22cdf525e8ddcdd")</f>
        <v/>
      </c>
      <c r="F103">
        <f>HYPERLINK("https://www.amazon.jobs/jobs/3144548/sr-software-engineer--ec-windows-os-technologies-team-ec-windows?cmpid=DA_INAD200785B", "https://www.amazon.jobs/jobs/3144548/sr-software-engineer--ec-windows-os-technologies-team-ec-windows?cmpid=DA_INAD200785B")</f>
        <v/>
      </c>
      <c r="G103" t="inlineStr">
        <is>
          <t>Santa Clara, CA, US</t>
        </is>
      </c>
      <c r="H103" s="3" t="n">
        <v>46006</v>
      </c>
      <c r="I103"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in-d534a7ccdbdabf62</t>
        </is>
      </c>
      <c r="B104" t="inlineStr">
        <is>
          <t>Sr. Software Engineer - EC2 Windows OS Technologies team, EC2 Windows</t>
        </is>
      </c>
      <c r="C104" t="inlineStr">
        <is>
          <t>Amazon.com</t>
        </is>
      </c>
      <c r="D104" t="inlineStr">
        <is>
          <t>indeed</t>
        </is>
      </c>
      <c r="E104">
        <f>HYPERLINK("https://www.indeed.com/viewjob?jk=d534a7ccdbdabf62", "https://www.indeed.com/viewjob?jk=d534a7ccdbdabf62")</f>
        <v/>
      </c>
      <c r="F104">
        <f>HYPERLINK("https://www.amazon.jobs/jobs/3144548/sr-software-engineer--ec-windows-os-technologies-team-ec-windows?cmpid=DA_INAD200785B", "https://www.amazon.jobs/jobs/3144548/sr-software-engineer--ec-windows-os-technologies-team-ec-windows?cmpid=DA_INAD200785B")</f>
        <v/>
      </c>
      <c r="G104" t="inlineStr">
        <is>
          <t>Bellevue, WA, US</t>
        </is>
      </c>
      <c r="H104" s="3" t="n">
        <v>46006</v>
      </c>
      <c r="I104" t="inlineStr">
        <is>
          <t>**DESCRIPTION**
---------------
Do you want to help shape the future of compute for the Amazon Web Services cloud?  
The EC2 Instance Platform organization is responsible for tackling challenging problems faced by enterprise customers via cloud\-based solutions. The team uses next\-gen technologies to develop large\-scale platforms to help customers optimally run their business.
We are hiring Senior Software Development Engineers to make Amazon Elastic Compute Cloud (EC2\) the best place to run enterprise class workloads. As part of our team you will help build next generation services that simplifies how our customers and partners configure and manage high performance computing workloads on the cloud. You will closely work with various pre\-release Amazon technologies and build services that handle large scale, highly available distributed systems.
We are looking for Software Development Engineers who are passionate about working on next\-gen technologies, who bring deep technical knowledge, and who have experience with distributed systems to drive technical design and implement end\-end solutions. If you’re into operating systems, how software interfaces with hardware, file systems, or just working on challenging software problems where performance and code size still matter, come and join us. The ideal candidate for this position is a software engineer excited to work in a cloud scale environment who has a strong track record of developing and delivering Windows user\- or kernel\-mode drivers in a system level programming language such as C/C\+\+.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conferences. Amazon’s culture of inclusion is reinforced within our 14 Leadership Principles, which remind team members to seek diverse perspectives, learn and be curious, and earn trust.  
Key job responsibilities  
This team and the role would be a good fit for you if you feel excited about the following  
* innovate and come up with a vision to bring the best system software to enterprise customers
* improve the CI/CD process across multiple services/pipelines to increase development velocity
* work collaboratively with team and other teams on solution development of both user and kernel space applications
* work with Principal / Sr. Principals and Product management team to define solution technical roadmap
* analyze business requirements and provide solution design with estimated work effort
* create architecture design with resilience, scalability, and performance
* assure the highest quality bar relentlessly with software development best practices
* participate design and code review and provide insightful suggestions across products and/or teams
* mentor junior team members and develop the best
* participate in Agile development process and influence the process refinery
A day in the life  
As a software development engineer, your daily tasks may include the following  
* Participate regularly in stand\-ups and team meetings
* Review design docs, code changes from team peers
* Design, implement, and deploy the new software solution assigned to you or owned by team
* Improve existing automation processes
* Go through backlogs related with products you or team own
* Participate in oncall rotation
* Have fun and learn new AWS services and Windows technologies.
About the team  
The EC2 Windows OST (OS Technologies) team owns the fundamental OS level software and services which enable the EC2 Windows offerings. We bring innovations to Windows OS so that Windows instances and enterprise workloads can perform best on AWS EC2 platforms. These innovations include but not limited to kernel drivers, user applications, and machine learning powered troubleshooting services. We also make efforts to provide fundamental support for other AWS teams to enable their services like Backup, High performance computing, Security and many others**BASIC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BS in CS/EE or related field with 10\+ years of experience
* MS/PhD in CS/EE or related field with 8\+ years of experience.
* Proficient in C/C\+\+
* Computer Science fundamentals in algorithms, data structures, system architecture, software engineering basics
* 5\+ years of experience in developing Windows user\-mode or kernel\-mode drivers
* Familiar with at least one Windows driver development model, such as MiniPort, NDIS, StorPort, WDM, WDF etc
* Deep understanding into OS level, familiar with either Windows or Linux kernels
* Prior experience with at least one full software development cycle from architect, design, code, review, verification, automation, debugging / system\-level troubleshooting, release / maintenance
* Good communication skills in both verbal and written forms
**PREFERRED QUALIFICATIONS**
----------------------------
* 5\+ years of full software development life cycle, including coding standards, code reviews, source control management, build processes, testing, and operations experience
* Bachelor's degree in computer science or equivalent
* Programming experience with other higher level languages, like PowerShell, Python, Rust, Golang etc
* Knowledge in storage stack, familiar with NVMe protocol, Windows file system, storage space, S2D.
* Knowledge about Virtualization technologies, Cloud\-computing concepts
* Knowledge about OS boot up sequences
* Knowledge about security concepts, like TLS, PKI, attestation, Signing, Encryption, Certificate, TPM, Secure Boot, TEE
* Knowledge about CPU technologies, like Intel SGX, Intel TDX, AMD SEV\-SNP, ARM CCA
* Experience with software performance, scale, or/and stress testing
* Knowledge or experience with software performance evaluation or benchmarking
* Comfortable in a fast\-paced, start\-up like environment
* Passion to work with mission critical services and deliver the best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in-e20a7fd2634a819d</t>
        </is>
      </c>
      <c r="B105" t="inlineStr">
        <is>
          <t>Sr Software Engineer, Amazon Ads Exchange</t>
        </is>
      </c>
      <c r="C105" t="inlineStr">
        <is>
          <t>Amazon.com</t>
        </is>
      </c>
      <c r="D105" t="inlineStr">
        <is>
          <t>indeed</t>
        </is>
      </c>
      <c r="E105">
        <f>HYPERLINK("https://www.indeed.com/viewjob?jk=e20a7fd2634a819d", "https://www.indeed.com/viewjob?jk=e20a7fd2634a819d")</f>
        <v/>
      </c>
      <c r="F105">
        <f>HYPERLINK("https://www.amazon.jobs/jobs/3146713/sr-software-engineer-amazon-ads-exchange?cmpid=DA_INAD200785B", "https://www.amazon.jobs/jobs/3146713/sr-software-engineer-amazon-ads-exchange?cmpid=DA_INAD200785B")</f>
        <v/>
      </c>
      <c r="G105" t="inlineStr">
        <is>
          <t>Palo Alto, CA, US</t>
        </is>
      </c>
      <c r="H105" s="3" t="n">
        <v>46002</v>
      </c>
      <c r="I105"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in-0bbcd5e9751a00ff</t>
        </is>
      </c>
      <c r="B106" t="inlineStr">
        <is>
          <t>Sr Software Engineer, Amazon Ads Exchange</t>
        </is>
      </c>
      <c r="C106" t="inlineStr">
        <is>
          <t>Amazon.com</t>
        </is>
      </c>
      <c r="D106" t="inlineStr">
        <is>
          <t>indeed</t>
        </is>
      </c>
      <c r="E106">
        <f>HYPERLINK("https://www.indeed.com/viewjob?jk=0bbcd5e9751a00ff", "https://www.indeed.com/viewjob?jk=0bbcd5e9751a00ff")</f>
        <v/>
      </c>
      <c r="F106">
        <f>HYPERLINK("https://www.amazon.jobs/jobs/3146713/sr-software-engineer-amazon-ads-exchange?cmpid=DA_INAD200785B", "https://www.amazon.jobs/jobs/3146713/sr-software-engineer-amazon-ads-exchange?cmpid=DA_INAD200785B")</f>
        <v/>
      </c>
      <c r="G106" t="inlineStr">
        <is>
          <t>Arlington, VA, US</t>
        </is>
      </c>
      <c r="H106" s="3" t="n">
        <v>46002</v>
      </c>
      <c r="I106"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in-5eb090cd861f9bfb</t>
        </is>
      </c>
      <c r="B107" t="inlineStr">
        <is>
          <t>Sr Software Engineer, Amazon Ads Exchange</t>
        </is>
      </c>
      <c r="C107" t="inlineStr">
        <is>
          <t>Amazon.com</t>
        </is>
      </c>
      <c r="D107" t="inlineStr">
        <is>
          <t>indeed</t>
        </is>
      </c>
      <c r="E107">
        <f>HYPERLINK("https://www.indeed.com/viewjob?jk=5eb090cd861f9bfb", "https://www.indeed.com/viewjob?jk=5eb090cd861f9bfb")</f>
        <v/>
      </c>
      <c r="F107">
        <f>HYPERLINK("https://www.amazon.jobs/jobs/3146713/sr-software-engineer-amazon-ads-exchange?cmpid=DA_INAD200785B", "https://www.amazon.jobs/jobs/3146713/sr-software-engineer-amazon-ads-exchange?cmpid=DA_INAD200785B")</f>
        <v/>
      </c>
      <c r="G107" t="inlineStr">
        <is>
          <t>San Francisco, CA, US</t>
        </is>
      </c>
      <c r="H107" s="3" t="n">
        <v>46002</v>
      </c>
      <c r="I107"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in-e3a81f44739b1c35</t>
        </is>
      </c>
      <c r="B108" t="inlineStr">
        <is>
          <t>Software Engineer II, Twitch</t>
        </is>
      </c>
      <c r="C108" t="inlineStr">
        <is>
          <t>Amazon.com</t>
        </is>
      </c>
      <c r="D108" t="inlineStr">
        <is>
          <t>indeed</t>
        </is>
      </c>
      <c r="E108">
        <f>HYPERLINK("https://www.indeed.com/viewjob?jk=e3a81f44739b1c35", "https://www.indeed.com/viewjob?jk=e3a81f44739b1c35")</f>
        <v/>
      </c>
      <c r="F108">
        <f>HYPERLINK("https://www.amazon.jobs/jobs/3138052/software-engineer-ii-twitch?cmpid=DA_INAD200785B", "https://www.amazon.jobs/jobs/3138052/software-engineer-ii-twitch?cmpid=DA_INAD200785B")</f>
        <v/>
      </c>
      <c r="G108" t="inlineStr">
        <is>
          <t>San Francisco, CA, US</t>
        </is>
      </c>
      <c r="H108" s="3" t="n">
        <v>45995</v>
      </c>
      <c r="I10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in-cc935d51d4b65209</t>
        </is>
      </c>
      <c r="B109" t="inlineStr">
        <is>
          <t>Software Engineer II, Twitch</t>
        </is>
      </c>
      <c r="C109" t="inlineStr">
        <is>
          <t>Amazon.com</t>
        </is>
      </c>
      <c r="D109" t="inlineStr">
        <is>
          <t>indeed</t>
        </is>
      </c>
      <c r="E109">
        <f>HYPERLINK("https://www.indeed.com/viewjob?jk=cc935d51d4b65209", "https://www.indeed.com/viewjob?jk=cc935d51d4b65209")</f>
        <v/>
      </c>
      <c r="F109">
        <f>HYPERLINK("https://www.amazon.jobs/jobs/3138052/software-engineer-ii-twitch?cmpid=DA_INAD200785B", "https://www.amazon.jobs/jobs/3138052/software-engineer-ii-twitch?cmpid=DA_INAD200785B")</f>
        <v/>
      </c>
      <c r="G109" t="inlineStr">
        <is>
          <t>Seattle, WA, US</t>
        </is>
      </c>
      <c r="H109" s="3" t="n">
        <v>45995</v>
      </c>
      <c r="I10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in-de4827b289464452</t>
        </is>
      </c>
      <c r="B110" t="inlineStr">
        <is>
          <t>Software Engineer II, Android</t>
        </is>
      </c>
      <c r="C110" t="inlineStr">
        <is>
          <t>Amazon.com</t>
        </is>
      </c>
      <c r="D110" t="inlineStr">
        <is>
          <t>indeed</t>
        </is>
      </c>
      <c r="E110">
        <f>HYPERLINK("https://www.indeed.com/viewjob?jk=de4827b289464452", "https://www.indeed.com/viewjob?jk=de4827b289464452")</f>
        <v/>
      </c>
      <c r="F110">
        <f>HYPERLINK("https://www.amazon.jobs/jobs/3138330/software-engineer-ii-android?cmpid=DA_INAD200785B", "https://www.amazon.jobs/jobs/3138330/software-engineer-ii-android?cmpid=DA_INAD200785B")</f>
        <v/>
      </c>
      <c r="G110" t="inlineStr">
        <is>
          <t>San Francisco, CA, US</t>
        </is>
      </c>
      <c r="H110" s="3" t="n">
        <v>45995</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in-8b007da685d7a6be</t>
        </is>
      </c>
      <c r="B111" t="inlineStr">
        <is>
          <t>Software Engineer II, Android</t>
        </is>
      </c>
      <c r="C111" t="inlineStr">
        <is>
          <t>Amazon.com</t>
        </is>
      </c>
      <c r="D111" t="inlineStr">
        <is>
          <t>indeed</t>
        </is>
      </c>
      <c r="E111">
        <f>HYPERLINK("https://www.indeed.com/viewjob?jk=8b007da685d7a6be", "https://www.indeed.com/viewjob?jk=8b007da685d7a6be")</f>
        <v/>
      </c>
      <c r="F111">
        <f>HYPERLINK("https://www.amazon.jobs/jobs/3138330/software-engineer-ii-android?cmpid=DA_INAD200785B", "https://www.amazon.jobs/jobs/3138330/software-engineer-ii-android?cmpid=DA_INAD200785B")</f>
        <v/>
      </c>
      <c r="G111" t="inlineStr">
        <is>
          <t>Irvine, CA, US</t>
        </is>
      </c>
      <c r="H111" s="3" t="n">
        <v>45995</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in-3e32020caf476086</t>
        </is>
      </c>
      <c r="B112" t="inlineStr">
        <is>
          <t>Software Engineer II, Android</t>
        </is>
      </c>
      <c r="C112" t="inlineStr">
        <is>
          <t>Amazon.com</t>
        </is>
      </c>
      <c r="D112" t="inlineStr">
        <is>
          <t>indeed</t>
        </is>
      </c>
      <c r="E112">
        <f>HYPERLINK("https://www.indeed.com/viewjob?jk=3e32020caf476086", "https://www.indeed.com/viewjob?jk=3e32020caf476086")</f>
        <v/>
      </c>
      <c r="F112">
        <f>HYPERLINK("https://www.amazon.jobs/jobs/3138330/software-engineer-ii-android?cmpid=DA_INAD200785B", "https://www.amazon.jobs/jobs/3138330/software-engineer-ii-android?cmpid=DA_INAD200785B")</f>
        <v/>
      </c>
      <c r="G112" t="inlineStr">
        <is>
          <t>Seattle, WA, US</t>
        </is>
      </c>
      <c r="H112" s="3" t="n">
        <v>45995</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in-c45a74eb93008f1f</t>
        </is>
      </c>
      <c r="B113" t="inlineStr">
        <is>
          <t>Embedded Software Engineer, Merlin Manager</t>
        </is>
      </c>
      <c r="C113" t="inlineStr">
        <is>
          <t>Amazon.com</t>
        </is>
      </c>
      <c r="D113" t="inlineStr">
        <is>
          <t>indeed</t>
        </is>
      </c>
      <c r="E113">
        <f>HYPERLINK("https://www.indeed.com/viewjob?jk=c45a74eb93008f1f", "https://www.indeed.com/viewjob?jk=c45a74eb93008f1f")</f>
        <v/>
      </c>
      <c r="F113">
        <f>HYPERLINK("https://www.amazon.jobs/jobs/3136032/embedded-software-engineer-merlin-manager?cmpid=DA_INAD200785B", "https://www.amazon.jobs/jobs/3136032/embedded-software-engineer-merlin-manager?cmpid=DA_INAD200785B")</f>
        <v/>
      </c>
      <c r="G113" t="inlineStr">
        <is>
          <t>Sunnyvale, CA, US</t>
        </is>
      </c>
      <c r="H113" s="3" t="n">
        <v>45981</v>
      </c>
      <c r="I11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in-6677c07fcdafd273</t>
        </is>
      </c>
      <c r="B114" t="inlineStr">
        <is>
          <t>Embedded Software Engineer, Merlin Manager</t>
        </is>
      </c>
      <c r="C114" t="inlineStr">
        <is>
          <t>Amazon.com</t>
        </is>
      </c>
      <c r="D114" t="inlineStr">
        <is>
          <t>indeed</t>
        </is>
      </c>
      <c r="E114">
        <f>HYPERLINK("https://www.indeed.com/viewjob?jk=6677c07fcdafd273", "https://www.indeed.com/viewjob?jk=6677c07fcdafd273")</f>
        <v/>
      </c>
      <c r="F114">
        <f>HYPERLINK("https://www.amazon.jobs/jobs/3136032/embedded-software-engineer-merlin-manager?cmpid=DA_INAD200785B", "https://www.amazon.jobs/jobs/3136032/embedded-software-engineer-merlin-manager?cmpid=DA_INAD200785B")</f>
        <v/>
      </c>
      <c r="G114" t="inlineStr">
        <is>
          <t>Redmond, WA, US</t>
        </is>
      </c>
      <c r="H114" s="3" t="n">
        <v>45981</v>
      </c>
      <c r="I11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in-c3bf29c305d28918</t>
        </is>
      </c>
      <c r="B115" t="inlineStr">
        <is>
          <t>Senior Embedded Software Engineer, Amazon Leo Digital RF Systems</t>
        </is>
      </c>
      <c r="C115" t="inlineStr">
        <is>
          <t>Amazon.com</t>
        </is>
      </c>
      <c r="D115" t="inlineStr">
        <is>
          <t>indeed</t>
        </is>
      </c>
      <c r="E115">
        <f>HYPERLINK("https://www.indeed.com/viewjob?jk=c3bf29c305d28918", "https://www.indeed.com/viewjob?jk=c3bf29c305d28918")</f>
        <v/>
      </c>
      <c r="F115">
        <f>HYPERLINK("https://www.amazon.jobs/jobs/3130773/senior-embedded-software-engineer-amazon-leo-digital-rf-systems?cmpid=DA_INAD200785B", "https://www.amazon.jobs/jobs/3130773/senior-embedded-software-engineer-amazon-leo-digital-rf-systems?cmpid=DA_INAD200785B")</f>
        <v/>
      </c>
      <c r="G115" t="inlineStr">
        <is>
          <t>Redmond, WA, US</t>
        </is>
      </c>
      <c r="H115" s="3" t="n">
        <v>45981</v>
      </c>
      <c r="I11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in-be704d87a37ad129</t>
        </is>
      </c>
      <c r="B116" t="inlineStr">
        <is>
          <t>Sr. Device Software Engineer, Amazon Leo Government</t>
        </is>
      </c>
      <c r="C116" t="inlineStr">
        <is>
          <t>Amazon.com</t>
        </is>
      </c>
      <c r="D116" t="inlineStr">
        <is>
          <t>indeed</t>
        </is>
      </c>
      <c r="E116">
        <f>HYPERLINK("https://www.indeed.com/viewjob?jk=be704d87a37ad129", "https://www.indeed.com/viewjob?jk=be704d87a37ad129")</f>
        <v/>
      </c>
      <c r="F116">
        <f>HYPERLINK("https://www.amazon.jobs/jobs/3082545/sr-device-software-engineer-amazon-leo-government-?cmpid=DA_INAD200785B", "https://www.amazon.jobs/jobs/3082545/sr-device-software-engineer-amazon-leo-government-?cmpid=DA_INAD200785B")</f>
        <v/>
      </c>
      <c r="G116" t="inlineStr">
        <is>
          <t>Arlington, VA, US</t>
        </is>
      </c>
      <c r="H116" s="3" t="n">
        <v>45911</v>
      </c>
      <c r="I11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in-613f2245546a3cc6</t>
        </is>
      </c>
      <c r="B117" t="inlineStr">
        <is>
          <t>Sr. Device Software Engineer, Amazon Leo Government</t>
        </is>
      </c>
      <c r="C117" t="inlineStr">
        <is>
          <t>Amazon.com</t>
        </is>
      </c>
      <c r="D117" t="inlineStr">
        <is>
          <t>indeed</t>
        </is>
      </c>
      <c r="E117">
        <f>HYPERLINK("https://www.indeed.com/viewjob?jk=613f2245546a3cc6", "https://www.indeed.com/viewjob?jk=613f2245546a3cc6")</f>
        <v/>
      </c>
      <c r="F117">
        <f>HYPERLINK("https://www.amazon.jobs/jobs/3082545/sr-device-software-engineer-amazon-leo-government-?cmpid=DA_INAD200785B", "https://www.amazon.jobs/jobs/3082545/sr-device-software-engineer-amazon-leo-government-?cmpid=DA_INAD200785B")</f>
        <v/>
      </c>
      <c r="G117" t="inlineStr">
        <is>
          <t>Redmond, WA, US</t>
        </is>
      </c>
      <c r="H117" s="3" t="n">
        <v>45911</v>
      </c>
      <c r="I11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in-a86b7f2f5d3e7062</t>
        </is>
      </c>
      <c r="B118" t="inlineStr">
        <is>
          <t>Sr. Device Software Engineer, Amazon Leo Government</t>
        </is>
      </c>
      <c r="C118" t="inlineStr">
        <is>
          <t>Amazon.com</t>
        </is>
      </c>
      <c r="D118" t="inlineStr">
        <is>
          <t>indeed</t>
        </is>
      </c>
      <c r="E118">
        <f>HYPERLINK("https://www.indeed.com/viewjob?jk=a86b7f2f5d3e7062", "https://www.indeed.com/viewjob?jk=a86b7f2f5d3e7062")</f>
        <v/>
      </c>
      <c r="F118">
        <f>HYPERLINK("https://www.amazon.jobs/jobs/3082545/sr-device-software-engineer-amazon-leo-government-?cmpid=DA_INAD200785B", "https://www.amazon.jobs/jobs/3082545/sr-device-software-engineer-amazon-leo-government-?cmpid=DA_INAD200785B")</f>
        <v/>
      </c>
      <c r="G118" t="inlineStr">
        <is>
          <t>El Segundo, CA, US</t>
        </is>
      </c>
      <c r="H118" s="3" t="n">
        <v>45911</v>
      </c>
      <c r="I11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in-4263e7cc5d5d93aa</t>
        </is>
      </c>
      <c r="B119" t="inlineStr">
        <is>
          <t>Sr. Device Software Engineer, Amazon Leo Government</t>
        </is>
      </c>
      <c r="C119" t="inlineStr">
        <is>
          <t>Amazon.com</t>
        </is>
      </c>
      <c r="D119" t="inlineStr">
        <is>
          <t>indeed</t>
        </is>
      </c>
      <c r="E119">
        <f>HYPERLINK("https://www.indeed.com/viewjob?jk=4263e7cc5d5d93aa", "https://www.indeed.com/viewjob?jk=4263e7cc5d5d93aa")</f>
        <v/>
      </c>
      <c r="F119">
        <f>HYPERLINK("https://www.amazon.jobs/jobs/3082545/sr-device-software-engineer-amazon-leo-government-?cmpid=DA_INAD200785B", "https://www.amazon.jobs/jobs/3082545/sr-device-software-engineer-amazon-leo-government-?cmpid=DA_INAD200785B")</f>
        <v/>
      </c>
      <c r="G119" t="inlineStr">
        <is>
          <t>Northridge, CA, US</t>
        </is>
      </c>
      <c r="H119" s="3" t="n">
        <v>45911</v>
      </c>
      <c r="I119"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in-94071d4bb4558b7c</t>
        </is>
      </c>
      <c r="B120" t="inlineStr">
        <is>
          <t>Device Software Engineer, Amazon Leo Government</t>
        </is>
      </c>
      <c r="C120" t="inlineStr">
        <is>
          <t>Amazon.com</t>
        </is>
      </c>
      <c r="D120" t="inlineStr">
        <is>
          <t>indeed</t>
        </is>
      </c>
      <c r="E120">
        <f>HYPERLINK("https://www.indeed.com/viewjob?jk=94071d4bb4558b7c", "https://www.indeed.com/viewjob?jk=94071d4bb4558b7c")</f>
        <v/>
      </c>
      <c r="F120">
        <f>HYPERLINK("https://www.amazon.jobs/jobs/3083623/device-software-engineer-amazon-leo-government-?cmpid=DA_INAD200785B", "https://www.amazon.jobs/jobs/3083623/device-software-engineer-amazon-leo-government-?cmpid=DA_INAD200785B")</f>
        <v/>
      </c>
      <c r="G120" t="inlineStr">
        <is>
          <t>Arlington, VA, US</t>
        </is>
      </c>
      <c r="H120" s="3" t="n">
        <v>45910</v>
      </c>
      <c r="I120"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in-59b7019600ae3c83</t>
        </is>
      </c>
      <c r="B121" t="inlineStr">
        <is>
          <t>Device Software Engineer, Amazon Leo Government</t>
        </is>
      </c>
      <c r="C121" t="inlineStr">
        <is>
          <t>Amazon.com</t>
        </is>
      </c>
      <c r="D121" t="inlineStr">
        <is>
          <t>indeed</t>
        </is>
      </c>
      <c r="E121">
        <f>HYPERLINK("https://www.indeed.com/viewjob?jk=59b7019600ae3c83", "https://www.indeed.com/viewjob?jk=59b7019600ae3c83")</f>
        <v/>
      </c>
      <c r="F121">
        <f>HYPERLINK("https://www.amazon.jobs/jobs/3083623/device-software-engineer-amazon-leo-government-?cmpid=DA_INAD200785B", "https://www.amazon.jobs/jobs/3083623/device-software-engineer-amazon-leo-government-?cmpid=DA_INAD200785B")</f>
        <v/>
      </c>
      <c r="G121" t="inlineStr">
        <is>
          <t>Northridge, CA, US</t>
        </is>
      </c>
      <c r="H121" s="3" t="n">
        <v>45910</v>
      </c>
      <c r="I12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in-a980ae9a39b610ae</t>
        </is>
      </c>
      <c r="B122" t="inlineStr">
        <is>
          <t>Device Software Engineer, Amazon Leo Government</t>
        </is>
      </c>
      <c r="C122" t="inlineStr">
        <is>
          <t>Amazon.com</t>
        </is>
      </c>
      <c r="D122" t="inlineStr">
        <is>
          <t>indeed</t>
        </is>
      </c>
      <c r="E122">
        <f>HYPERLINK("https://www.indeed.com/viewjob?jk=a980ae9a39b610ae", "https://www.indeed.com/viewjob?jk=a980ae9a39b610ae")</f>
        <v/>
      </c>
      <c r="F122">
        <f>HYPERLINK("https://www.amazon.jobs/jobs/3083623/device-software-engineer-amazon-leo-government-?cmpid=DA_INAD200785B", "https://www.amazon.jobs/jobs/3083623/device-software-engineer-amazon-leo-government-?cmpid=DA_INAD200785B")</f>
        <v/>
      </c>
      <c r="G122" t="inlineStr">
        <is>
          <t>El Segundo, CA, US</t>
        </is>
      </c>
      <c r="H122" s="3" t="n">
        <v>45910</v>
      </c>
      <c r="I12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in-8334f1a086b40527</t>
        </is>
      </c>
      <c r="B123" t="inlineStr">
        <is>
          <t>Device Software Engineer, Amazon Leo Government</t>
        </is>
      </c>
      <c r="C123" t="inlineStr">
        <is>
          <t>Amazon.com</t>
        </is>
      </c>
      <c r="D123" t="inlineStr">
        <is>
          <t>indeed</t>
        </is>
      </c>
      <c r="E123">
        <f>HYPERLINK("https://www.indeed.com/viewjob?jk=8334f1a086b40527", "https://www.indeed.com/viewjob?jk=8334f1a086b40527")</f>
        <v/>
      </c>
      <c r="F123">
        <f>HYPERLINK("https://www.amazon.jobs/jobs/3083623/device-software-engineer-amazon-leo-government-?cmpid=DA_INAD200785B", "https://www.amazon.jobs/jobs/3083623/device-software-engineer-amazon-leo-government-?cmpid=DA_INAD200785B")</f>
        <v/>
      </c>
      <c r="G123" t="inlineStr">
        <is>
          <t>Redmond, WA, US</t>
        </is>
      </c>
      <c r="H123" s="3" t="n">
        <v>45910</v>
      </c>
      <c r="I12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in-9c7e9cbbad52ae70</t>
        </is>
      </c>
      <c r="B124" t="inlineStr">
        <is>
          <t>Software Engineer I- Ad Demand</t>
        </is>
      </c>
      <c r="C124" t="inlineStr">
        <is>
          <t>Amazon.com</t>
        </is>
      </c>
      <c r="D124" t="inlineStr">
        <is>
          <t>indeed</t>
        </is>
      </c>
      <c r="E124">
        <f>HYPERLINK("https://www.indeed.com/viewjob?jk=9c7e9cbbad52ae70", "https://www.indeed.com/viewjob?jk=9c7e9cbbad52ae70")</f>
        <v/>
      </c>
      <c r="F124">
        <f>HYPERLINK("https://www.amazon.jobs/jobs/3082168/software-engineer-i-ad-demand?cmpid=DA_INAD200785B", "https://www.amazon.jobs/jobs/3082168/software-engineer-i-ad-demand?cmpid=DA_INAD200785B")</f>
        <v/>
      </c>
      <c r="G124" t="inlineStr">
        <is>
          <t>San Francisco, CA, US</t>
        </is>
      </c>
      <c r="H124" s="3" t="n">
        <v>45908</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in-0d3700a70e035e6a</t>
        </is>
      </c>
      <c r="B125" t="inlineStr">
        <is>
          <t>Software Engineer I- Ad Demand</t>
        </is>
      </c>
      <c r="C125" t="inlineStr">
        <is>
          <t>Amazon.com</t>
        </is>
      </c>
      <c r="D125" t="inlineStr">
        <is>
          <t>indeed</t>
        </is>
      </c>
      <c r="E125">
        <f>HYPERLINK("https://www.indeed.com/viewjob?jk=0d3700a70e035e6a", "https://www.indeed.com/viewjob?jk=0d3700a70e035e6a")</f>
        <v/>
      </c>
      <c r="F125">
        <f>HYPERLINK("https://www.amazon.jobs/jobs/3082168/software-engineer-i-ad-demand?cmpid=DA_INAD200785B", "https://www.amazon.jobs/jobs/3082168/software-engineer-i-ad-demand?cmpid=DA_INAD200785B")</f>
        <v/>
      </c>
      <c r="G125" t="inlineStr">
        <is>
          <t>New York, NY, US</t>
        </is>
      </c>
      <c r="H125" s="3" t="n">
        <v>45908</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in-12e63195446f128d</t>
        </is>
      </c>
      <c r="B126" t="inlineStr">
        <is>
          <t>Senior Software Engineer - Query Processing, Aurora DSQL</t>
        </is>
      </c>
      <c r="C126" t="inlineStr">
        <is>
          <t>Amazon Web Services</t>
        </is>
      </c>
      <c r="D126" t="inlineStr">
        <is>
          <t>indeed</t>
        </is>
      </c>
      <c r="E126">
        <f>HYPERLINK("https://www.indeed.com/viewjob?jk=12e63195446f128d", "https://www.indeed.com/viewjob?jk=12e63195446f128d")</f>
        <v/>
      </c>
      <c r="F126">
        <f>HYPERLINK("https://www.amazon.jobs/jobs/2987643/senior-software-engineer--query-processing-aurora-dsql?cmpid=DA_INAD200785B", "https://www.amazon.jobs/jobs/2987643/senior-software-engineer--query-processing-aurora-dsql?cmpid=DA_INAD200785B")</f>
        <v/>
      </c>
      <c r="G126" t="inlineStr">
        <is>
          <t>Seattle, WA, US</t>
        </is>
      </c>
      <c r="H126" s="3" t="n">
        <v>45796</v>
      </c>
      <c r="I12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in-42043938fdb40dc7</t>
        </is>
      </c>
      <c r="B127" t="inlineStr">
        <is>
          <t>Senior Software Engineer - Query Processing, Aurora DSQL</t>
        </is>
      </c>
      <c r="C127" t="inlineStr">
        <is>
          <t>Amazon Web Services</t>
        </is>
      </c>
      <c r="D127" t="inlineStr">
        <is>
          <t>indeed</t>
        </is>
      </c>
      <c r="E127">
        <f>HYPERLINK("https://www.indeed.com/viewjob?jk=42043938fdb40dc7", "https://www.indeed.com/viewjob?jk=42043938fdb40dc7")</f>
        <v/>
      </c>
      <c r="F127">
        <f>HYPERLINK("https://www.amazon.jobs/jobs/2987643/senior-software-engineer--query-processing-aurora-dsql?cmpid=DA_INAD200785B", "https://www.amazon.jobs/jobs/2987643/senior-software-engineer--query-processing-aurora-dsql?cmpid=DA_INAD200785B")</f>
        <v/>
      </c>
      <c r="G127" t="inlineStr">
        <is>
          <t>East Palo Alto, CA, US</t>
        </is>
      </c>
      <c r="H127" s="3" t="n">
        <v>45796</v>
      </c>
      <c r="I12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in-4ff0ac4621ec7768</t>
        </is>
      </c>
      <c r="B128" t="inlineStr">
        <is>
          <t>Embedded C++ Software Engineer, Machine Learning Acceleration</t>
        </is>
      </c>
      <c r="C128" t="inlineStr">
        <is>
          <t>Amazon Web Services</t>
        </is>
      </c>
      <c r="D128" t="inlineStr">
        <is>
          <t>indeed</t>
        </is>
      </c>
      <c r="E128">
        <f>HYPERLINK("https://www.indeed.com/viewjob?jk=4ff0ac4621ec7768", "https://www.indeed.com/viewjob?jk=4ff0ac4621ec7768")</f>
        <v/>
      </c>
      <c r="F128">
        <f>HYPERLINK("https://www.amazon.jobs/jobs/2894488/embedded-c-software-engineer-machine-learning-acceleration?cmpid=DA_INAD200785B", "https://www.amazon.jobs/jobs/2894488/embedded-c-software-engineer-machine-learning-acceleration?cmpid=DA_INAD200785B")</f>
        <v/>
      </c>
      <c r="G128" t="inlineStr">
        <is>
          <t>Austin, TX, US</t>
        </is>
      </c>
      <c r="H128" s="3" t="n">
        <v>45691</v>
      </c>
      <c r="I12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in-1330413bd7c1bab3</t>
        </is>
      </c>
      <c r="B129" t="inlineStr">
        <is>
          <t>Embedded C++ Software Engineer, Machine Learning Acceleration</t>
        </is>
      </c>
      <c r="C129" t="inlineStr">
        <is>
          <t>Amazon Web Services</t>
        </is>
      </c>
      <c r="D129" t="inlineStr">
        <is>
          <t>indeed</t>
        </is>
      </c>
      <c r="E129">
        <f>HYPERLINK("https://www.indeed.com/viewjob?jk=1330413bd7c1bab3", "https://www.indeed.com/viewjob?jk=1330413bd7c1bab3")</f>
        <v/>
      </c>
      <c r="F129">
        <f>HYPERLINK("https://www.amazon.jobs/jobs/2894488/embedded-c-software-engineer-machine-learning-acceleration?cmpid=DA_INAD200785B", "https://www.amazon.jobs/jobs/2894488/embedded-c-software-engineer-machine-learning-acceleration?cmpid=DA_INAD200785B")</f>
        <v/>
      </c>
      <c r="G129" t="inlineStr">
        <is>
          <t>Cupertino, CA, US</t>
        </is>
      </c>
      <c r="H129" s="3" t="n">
        <v>45691</v>
      </c>
      <c r="I129"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li-4358142326</t>
        </is>
      </c>
      <c r="B2" t="inlineStr">
        <is>
          <t>Software Engineering Manager - Manager Level 2 - R10218125</t>
        </is>
      </c>
      <c r="C2" t="inlineStr">
        <is>
          <t>Northrop Grumman</t>
        </is>
      </c>
      <c r="D2" t="inlineStr">
        <is>
          <t>linkedin</t>
        </is>
      </c>
      <c r="E2" t="inlineStr"/>
      <c r="F2" t="inlineStr"/>
      <c r="G2" t="inlineStr">
        <is>
          <t>Dulles, VA</t>
        </is>
      </c>
      <c r="H2" t="inlineStr"/>
      <c r="I2" t="inlineStr">
        <is>
          <t>RELOCATION ASSISTANCE: Relocation assistance may be available
 CLEARANCE TYPE: SCI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Expand your horizons, advance your career, and contribute to a secure future for generations. Northrop Grumman’s Space Sector invites you to bring your pioneering spirit to our collaborative teams.
 As a
 ***Software Engineering Manager***
 –
 ***Manager Level 2***
 located in
 **Dulles, VA** 
 , you’ll be a linchpin in missions of paramount importance, defining the art of the possible from day one. This position is 100% onsite and cannot accommodate telecommute work.
 This
 ***Software Engineering Manager***
 role will be approximately 75% program \&amp; technical work and approximately 25% functional management work managing a segment of a program or a function. This role is responsible for the direct supervision \&amp; management of embedded software staff, and for providing objective\-oriented directions to subordinates utilizing management guidelines \&amp; general policies.
 This position will work a 9/80 schedule, with every other Friday off.
 Job responsibilities include, but are not limited to, the following:
* Addressing cost, schedule, technical performance, and quality of a work package, subsystem, or related group of work packages on a large system development\-type contract or full responsibility for all aspects of program performance on a large delivery order or mid\-size technical services\-type contract
* Assignments received in objective oriented terms
* Full working knowledge of procedures and practices
* Overseeing projects and tasks assigned to the organizational group
* Interpreting and executing policies and procedures that directly impact team performance, morale, and effectiveness
* Recommending modifications to operating policies
* Ensuring that projects are completed on schedule and within budget
* Functioning as an advisor to team members regarding tasks, projects, and operations
* Frequent contacts with internal personnel and outside customer representatives at various management levels concerning operations or scheduling or specific phases of projects or contracts
* Conducting briefings and participating in technical meetings for internal/external representatives
* Other duties as assigned
 If this job description reads like it was written specifically for you, consider joining our team!
*This position is contingent upon the candidate obtaining final clearances and program access(es) within a reasonable period of time as determined by the company.*
**Basic Qualifications**
* Bachelor’s degree of Science in a STEM (Science, Technology, Engineering, Math \- or related technical area) with 8\+ years of Software related experience with a high proficiency in technical problem solving to include decomposition, root cause analysis, solution development, implementation and control account monitoring – OR – Master’s degree of Science in a STEM (Science, Technology, Engineering, Math \- or related technical area) with 6\+ years of of Software related experience with a high proficiency in technical problem solving to include decomposition, root cause analysis, solution development, implementation and control account monitoring
* No Clearance required to start, but must have the ability to obtain and maintain a Top\-Secret clearance with SCI to meet business needs as required
* US Citizenship required
* Experience in requirements analysis, modeling and simulation, embedded software development, and verification and validation at subsystem and system level
* Demonstrated software engineering, controls, or systems engineering leadership experience, preferably with experience in Space Flight Software or Simulation Software.
* Ability to form strong partnerships to ensure lockstep coordination with adjacent discipline areas and program manager leadership
**Preferred Qualifications**
* Active TS clearance with current/active SCI \[TS/SCI]
* Master of Science in Engineering or other STEM discipline
* Demonstrated excellence in a technical leadership/management role with 15\+ team members
* Experience with Earned Value Management
* Working knowledge of Staffing, Engineering Metrics and Training resources, processes, and tools
* Demonstrated excellence in requirements analysis, modeling and simulation, verification and validation at subsystem and system level or Demonstrated vehicle development, mission systems integration, ground and flight test validation experience
* Experience in successfully developing and integrating software and hardware solutions for space applications
* Experience in system and subsystem specification development including verification methodologies
* Experience implementing action plans based on metrics and/or root cause/corrective actions
* Hands\-on technical experience with spacecraft or satellite related systems
* Proven experience leading technically diverse teams, possibly across multiple locations
* Experience with Space Flight Software, Simulation Software
 As a leader with integrity, you ensure ethical conduct, balanced results, and partner satisfaction. You respect and nurture growth, fostering a culture of excellence. Skilled in building collaborative teams and customer trust, you communicate well, foster strong teams, and embrace change.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Northrop Grumman Total Rewards
 Primary Level Salary Range: $161,100\.00 \- $241,700\.00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
      <c r="A3" t="inlineStr">
        <is>
          <t>li-4361540927</t>
        </is>
      </c>
      <c r="B3" t="inlineStr">
        <is>
          <t>Senior AI/ML Software Engineer</t>
        </is>
      </c>
      <c r="C3" t="inlineStr">
        <is>
          <t>Maximus</t>
        </is>
      </c>
      <c r="D3" t="inlineStr">
        <is>
          <t>linkedin</t>
        </is>
      </c>
      <c r="E3" t="inlineStr"/>
      <c r="F3" t="inlineStr"/>
      <c r="G3" t="inlineStr"/>
      <c r="H3" t="inlineStr"/>
      <c r="I3" t="inlineStr">
        <is>
          <t>**General information**
**Date**
 Tuesday, December 30, 2025
**City**
 Remote
**Country**
 United States
**Working time**
 Full\-time
**Description \&amp; Requirements**
 The Senior AI Software Engineer will design, develop, and implement machine learning solutions, support AI initiatives for our federal agency client, and contribute to innovative projects.
 Position is fully remote. Candidates in the Washington DC area are preferred.
 The selected candidate must be able to obtain and wait for the completion of an interim federal background investigation prior to starting employment. Maximus will provide guidance and facilitate the necessary administrative steps required for this process, which typically takes approximately 3\-4 months.
 Essential Duties and Responsibilities:
* Lead, develop, collaborate, and advance the applied and responsible use of AI, ML, mathematical, and data science solutions throughout the enterprise by finding the right fit of tools, technologies, methodologies, processes, and automation to enable effective and efficient solutions for each unique situation. Lead the use of applied mathematical analyses to provide solutions.
* Lead efforts across the enterprise to support the creation of solutions and real mission outcomes, emphasizing and teaching the ability to flex and demonstrate initiative when dealing with ambiguous and fast\-paced situations.
* Act as technical translator and role model for effectively articulating and translating technical needs, solutions, outputs, and impacts to all levels, regardless of technical proficiency, in a respectful, collaborative, and situationally appropriate manner.
* Maintain deep, current knowledge of the AI technology landscape and emerging developments, evaluating their applicability for use in production/operational environments.
* Lead the creation, curation, and promotion of playbooks, best practices, lessons learned, and firm intellectual capital.
**Job\-Specific Essential Duties and Responsibilities:**
* Design, develop, and deploy (AI) Machine Learning, Deep Learning models that support business objectives and enhance product functionality.
* Demonstrated knowledge in designing, building, testing, and deploying machine models.
* Collaborate with software engineers and data scientists to integrate trained models into production environments and ensure scalable performance.
* Proficient in using Python, have good working knowledge of R, and other programming languages to develop data pipelines, preprocessing routines to clean up data, and model automation workflows as needed.
* Apply knowledge of data structures, algorithms, and statistics to ensure model accuracy, efficiency, and reliability.
* Work with large language models (LLMs) such as ChatGPT, Gemini, or Meta LLMs, including OpenAI API integration and prompt optimization.
* Preferably to have worked with LangChain family of products, MCP, and other integration technologies with databases and other knowledge artifacts
* Implement and maintain MLOps practices for continuous training, deployment, and monitoring of AI models.
* Evaluate and adopt emerging AI tools, frameworks, and methodologies to
 improve system performance and development efficiency.
* Collaborate cross\-functionally to identify opportunities for AI applications and translate business requirements into technical solutions.
* Document system design, model performance, and process workflows to support transparency, reproducibility, and future improvements.
**Minimum Requirements**
* Bachelor's degree in relevant field of study and 7\+ years of relevant professional experience required, or equivalent combination of education and experience.
**Job\-Specific Minimum Requirements:**
* A bachelor’s degree in computer science is strongly preferred; however, additional years of directly related professional experience may be considered in lieu of a degree. Degrees in Mathematics, Artificial Intelligence, Data Science, or related fields are also acceptable.
* 10\+ years of professional software engineering experience, with proficiency in one or more programming languages such as Java, Python, or R.
* 2\+ years of current hands\-on experience in areas such as data mining, machine learning, deep learning (neural networks), data structures, algorithms, statistics, and AI model training.
* Practical experience working with Python, PyTorch, TensorFlow, and related frameworks and libraries.
* Experience with at least one large language model (LLM) platform such as ChatGPT, Gemini, or Meta LLMs, with a solid understanding of OpenAI APIs and their integration.
* Strong verbal and written communication skills
* Demonstrated success in client support
* Ability to interface with all levels of management
* Ability to perform complex tasks with minimal supervision and guidance
* Excellent time management, scheduling and organizational skills
* Ability to work well independently or in a team setting
* Candidates must meet requirements to obtain and maintain a federal background investigation clearance
* To be eligible for the federal background clearance, candidates must be a US Citizen or a Legal Permanent Resident (Green Card status) for at least three (3\) years
**Preferred Skills and Qualifications:**
* Preferred certifications include AWS Certified Machine Learning – Specialty, Google Cloud Professional Machine Learning Engineer, Microsoft Certified: Azure AI Engineer Associate, TensorFlow Developer Certificate, or IBM Machine Learning Professional Certificate
 \#techjobs \#clearance \#veteranspage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$ 160,000\.00
**Maximum Salary**
 $ 170,000\.00</t>
        </is>
      </c>
    </row>
    <row r="4">
      <c r="A4" t="inlineStr">
        <is>
          <t>li-4361551460</t>
        </is>
      </c>
      <c r="B4" t="inlineStr">
        <is>
          <t>Software Engineer, AI Platform</t>
        </is>
      </c>
      <c r="C4" t="inlineStr">
        <is>
          <t>LinkedIn</t>
        </is>
      </c>
      <c r="D4" t="inlineStr">
        <is>
          <t>linkedin</t>
        </is>
      </c>
      <c r="E4" t="inlineStr"/>
      <c r="F4" t="inlineStr"/>
      <c r="G4" t="inlineStr">
        <is>
          <t>Mountain View, CA</t>
        </is>
      </c>
      <c r="H4" t="inlineStr"/>
      <c r="I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**Team Name:** 
 Feature Serving
 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Designing, implementing, and optimizing the performance of large\-scale distributed serving or training for personalized recommendation as well as large language models.
 Improving the observability and understandability of various systems with a focus on improving developer productivity and system sustenance.
 Partner with peers, leads and partners to define, scope, prioritize, and build impactful features at a high velocity.
****Qualifications****
 Basic Qualifications
* Bachelor's Degree in Computer Science or related technical discipline, or equivalent practical experience
* 1\+ years of experience in the industry with leading/ building deep learning systems.
* Experience with Java, C\+\+, Python, Go, Rust, C\# and/or Functional languages such as Scala or other relevant coding languages
* Experience, qualifications in Machine Learning, AI
**Preferred Qualifications**
* 2\+ years of relevant work experience
* MS or PhD in Computer Science or related technical discipline
* Experience building ML applications, LLM serving, GPU serving.
* Experience with search systems or similar large\-scale distributed systems
* Experience with distributed data processing engines like Flink, Beam, Spark etc., feature engineering,
* Experience in distributed machine learning training infrastructure, including technologies like Horovod, PyTorch FSDP, DeepSpeed, Hugginface, PyTorch Lightning, LLMs, GNNs, MLFlow, Kubeflow and large scale distributed systems
* Familiarity with containers and container orchestration systems like Kubernetes
* Experience in deep learning frameworks and tensor libraries like PyTorch, Tensorflow, JAX/FLAX
 Suggested Skills
* ML Algorithm Development
* Experience in Machine Learning and Deep Learning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$114,000 \-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
      <c r="A5" t="inlineStr">
        <is>
          <t>li-4361511497</t>
        </is>
      </c>
      <c r="B5" t="inlineStr">
        <is>
          <t>Senior Software Engineer, AI Platform</t>
        </is>
      </c>
      <c r="C5" t="inlineStr">
        <is>
          <t>LinkedIn</t>
        </is>
      </c>
      <c r="D5" t="inlineStr">
        <is>
          <t>linkedin</t>
        </is>
      </c>
      <c r="E5" t="inlineStr"/>
      <c r="F5" t="inlineStr"/>
      <c r="G5" t="inlineStr">
        <is>
          <t>Mountain View, CA</t>
        </is>
      </c>
      <c r="H5" t="inlineStr"/>
      <c r="I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Senior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**Qualifications**
 Basic Qualifications
* Bachelor's Degree in Computer Science or related technical discipline, or equivalent practical experience
* 2\+ years of experience in the industry with leading/ building deep learning systems.
* 2\+ years of experience with Java, C\+\+, Python, Go, Rust, C\# and/or Functional languages such as Scala or other relevant coding languages
* Hands\-on experience developing distributed systems or other large\-scale systems.
**Preferred Qualifications**
* BS and 5\+ years of relevant work experience, MS and 4\+ years of relevant work experience, or PhD and 2\+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distributed data processing engines like Flink, Beam, Spark etc., feature engineering,
* Experience with search systems or similar large\-scale distributed systems
* Expertise in machine learning infrastructure, including technologies like MLFlow, Kubeflow and large scale distributed systems
* Co\-author or maintainer of any open\-source projects
* Familiarity with containers and container orchestration systems
* Expertise in deep learning frameworks and tensor libraries like PyTorch, Tensorflow, JAX/FLAX
 Suggested Skills
* ML Algorithm Development
* Experience in Machine Learning and Deep Learning
* Experience in Information retrieval / recommendation systems / distributed serving / Big Data is a plus.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
      <c r="A6" t="inlineStr">
        <is>
          <t>li-4361590519</t>
        </is>
      </c>
      <c r="B6" t="inlineStr">
        <is>
          <t>Sr. Software Engineer - Studio Engineering</t>
        </is>
      </c>
      <c r="C6" t="inlineStr">
        <is>
          <t>LinkedIn</t>
        </is>
      </c>
      <c r="D6" t="inlineStr">
        <is>
          <t>linkedin</t>
        </is>
      </c>
      <c r="E6" t="inlineStr"/>
      <c r="F6" t="inlineStr"/>
      <c r="G6" t="inlineStr">
        <is>
          <t>New York, NY</t>
        </is>
      </c>
      <c r="H6" t="inlineStr"/>
      <c r="I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The Content Technology Engineering \- Studio Engineering team builds high\-quality applications, automation services, and integrations to power the productivity of Enterprise Creators at LinkedIn. As a Senior Software Engineer, you will be responsible for leading the design of content creation systems and integrating with industry leading technologies that empower LinkedIn to create world\-class content at scale. You will directly impact our Content Development products, including Editorial and News where you will act as the line of business lead, as well as the LinkedIn Learning product.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are expected to be the primary engineering contact for the Editorial team, learning their workflows and recommending optimizations in partnership with Engineering and Product management.
* You will evaluate and integrate cutting\-edge AI Content Creation services into LinkedIn’s enterprise ecosystem, focusing on delivering improvements to time\-to\-market and lowering our overall cost to create content.
* You are expected to produce high quality software that is unit tested, code reviewed, and checked in regularly for continuous integration.
* You will design, develop, and integrate cutting\-edge media technologies. Act as primary management interface and escalation for all product system related issues.
* You are expected to provide mentorship and invest in organizational activities such as hiring committees.
* You will participate in a 12x7 oncall rotation with other members of the US\-based team.
**Qualifications**
 Basic Qualifications
* BS (or higher, e.g., MS, or PhD) in Computer Science or related technical field involving coding (e.g., physics or mathematics), or equivalent technical experience.
* 2\+ years of industry experience.
**Preferred Qualifications**
* BS and 5\+ years of relevant work experience, MS and 4\+ years of relevant work experience, or PhD and 2\+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API Development
* Advanced Programming Skills
* Database Management
* Performance Optimization and Scalability
*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
      <c r="A7" t="inlineStr">
        <is>
          <t>li-4325252246</t>
        </is>
      </c>
      <c r="B7" t="inlineStr">
        <is>
          <t>Software Engineer I</t>
        </is>
      </c>
      <c r="C7" t="inlineStr">
        <is>
          <t>Twitch</t>
        </is>
      </c>
      <c r="D7" t="inlineStr">
        <is>
          <t>linkedin</t>
        </is>
      </c>
      <c r="E7" t="inlineStr"/>
      <c r="F7" t="inlineStr"/>
      <c r="G7" t="inlineStr">
        <is>
          <t>San Francisco, CA</t>
        </is>
      </c>
      <c r="H7" t="inlineStr"/>
      <c r="I7"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8">
      <c r="A8" t="inlineStr">
        <is>
          <t>li-4296093604</t>
        </is>
      </c>
      <c r="B8" t="inlineStr">
        <is>
          <t>Backend Engineer</t>
        </is>
      </c>
      <c r="C8" t="inlineStr">
        <is>
          <t>Wealthfront</t>
        </is>
      </c>
      <c r="D8" t="inlineStr">
        <is>
          <t>linkedin</t>
        </is>
      </c>
      <c r="E8" t="inlineStr"/>
      <c r="F8" t="inlineStr"/>
      <c r="G8" t="inlineStr">
        <is>
          <t>Palo Alto, CA</t>
        </is>
      </c>
      <c r="H8" t="inlineStr"/>
      <c r="I8"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9">
      <c r="A9" t="inlineStr">
        <is>
          <t>li-4361523024</t>
        </is>
      </c>
      <c r="B9" t="inlineStr">
        <is>
          <t>Full-Stack Software Engineer (New graduates: United States)</t>
        </is>
      </c>
      <c r="C9" t="inlineStr">
        <is>
          <t>Wanderlog</t>
        </is>
      </c>
      <c r="D9" t="inlineStr">
        <is>
          <t>linkedin</t>
        </is>
      </c>
      <c r="E9" t="inlineStr"/>
      <c r="F9" t="inlineStr"/>
      <c r="G9" t="inlineStr"/>
      <c r="H9" t="inlineStr"/>
      <c r="I9" t="inlineStr">
        <is>
          <t>**Warning** 
 : if you’re outside of the Americas timezones, unfortunately, we’re only hiring for engineers with at least some timezone overlap.
 Wanderlog helps make leisure travel easier. We believe that travel makes the world better, and are building tools that lower the bar to it. Our core product, built starting 2019, is a travel planning app (we’re the top\-ranked trip planner on iOS and Android), but we’re also helping travelers book hotels (without hidden fees), providing them with information (through various pages on e.g., best attractions, restaurants, etc.), and more.
 Our founders are twin brothers. Peter worked as an engineer at Stripe and a consultant at McKinsey, and Harry as a product manager at Google. We’re an engineering and product\-driven team: the founders studied computer science at Yale, and have built successful, bootstrapped travel companies (BookWithMatrix and All the Flight Deals) with products people love before starting Wanderlog.
 We now serve millions of travelers a month, and are a team of 6, including 5 engineers hailing from Yale, University of Toronto, UCLA, and more; and 1 designer. We’re a self\-sustaining, default\-alive startup.
 We also love traveling. Whether it’s a short hop to Austin, Seattle, or New Orleans; or a longer jaunt to Australia, Hawaii, or Banff National Park (all places the team’s traveled to in the past year!), travel broadens our horizons, builds empathy, and challenges us to grow. We’re working to bring these experiences to more of the world.
**What You’ll Do**
 As an engineer, you’ll be responsible for owning portions of the product. You’ll be expected to:
* Build new features on our website and mobile app. (Our stack is Javascript (Typescript): modern React on the web, React Native on mobile, and Node.js/Express on the server.)
* Design and decide what to build based on what would help travelers and drive growth. You won’t be handed a spec; you’ll be coming up with it!
* Build data pipelines to crawl, process, and synthesize data from various sources around the web.
* Write tests and and build out engineering infrastructure. Our code is fully typed (Typescript) and tested.
* Debug and fix bugs and scale the infrastructure as it grows.
* Review code written by other engineers.
* Be fast and nimble: figure out the best way to build new features at lowest cost in time and future technical debt.
 This position is a full\-time role reporting to the cofounders at Wanderlog.
**What You Might Work On**
* New, user\-friendly hotel booking interfaces that make finding a place to stay easier.
* AI\-powered tools that read articles and watch videos for you and summarize the places they mention.
* Improvements to our React Native mobile app so that it runs faster on slower Android phones.
* A Chrome extension to let travelers quickly compare possible places to visit, airfares, and hotels.
* Better invite and collaboration tools to encourage people using Wanderlog to get more friends to join them.
* A better profile page that lets travelers on Wanderlog show off where they’ve been, see how many people they’ve helped, and follow other friends and their trips.
**You May Be a Good Fit If You**
* Are a Javascript developer comfortable with React and/or React Native.
* Are a product person: you’ve built products end\-to\-end before, and really care about the people who use them.
* Are comfortable with picking up various technologies for the task at hand. We quickly evaluate libraries and tools that could help our product, and variously use Redis, Elasticsearch, and Python as needed too.
* Are entrepreneurial: excited about joining a small, high\-growth team and talking to users, doing product and design, and wearing a variety of hats.
* Love travel and believe in it as a positive force personally and for the world.
 What’s it like to work here?
 We’re an engineering and product\-heavy team. Travel’s something everyone does, and we love using the tools we build. A typical week’s work involves talking to users, prioritizing tasks in Sheets, designing on Figma, and building and shipping them continuously.
 Our values include putting travelers first, owning the product end\-to\-end, treating teammates with respect, and moving fast by being smart about what we build and how we build it.
 We believe in work fitting in with your life. We love travel and believe it rejuvenates us and makes us better people, and have twice annual travel offsites where the goal is to enjoy visiting a new place and collaborate more closely with the team in person.
 Our hiring process
 We’ll first have you do 2 short rounds of asynchronous programming challenges, including one with a virtual interviewer. After that, we’ll have a coding interview where you work on a quick program on your laptop in your preferred language with one of the founders, followed by a half\-day final\-round virtual onsite via video call.
 Founders
 Peter Xu and Harry Yu are twin brothers. Peter shuttled between Los Angeles, Houston, New York, Tokyo, and Hong Kong as a consultant at McKinsey before settling down at Stripe as a full\-stack engineer, where he worked closely with support teams to build tools that made support agents’ work more productive.
 Harry worked at Google as a product manager on Hotel Search, Chrome, and finally Google Assistant for the past three, where he was one of the early PMs on the team.
 Before building Wanderlog, they had built Coursetable (featured in the New York Times) and travel sites All the Flight Deals (a flight deals aggregator) and BookWithMatrix (a power\-traveler flight search tool). The founders are now glad to have been working on Wanderlog for 6 years, and are excited to make travelers’ lives easier!</t>
        </is>
      </c>
    </row>
    <row r="10">
      <c r="A10" t="inlineStr">
        <is>
          <t>li-4313399648</t>
        </is>
      </c>
      <c r="B10" t="inlineStr">
        <is>
          <t>Software Engineer, Backend</t>
        </is>
      </c>
      <c r="C10" t="inlineStr">
        <is>
          <t>OpenAI</t>
        </is>
      </c>
      <c r="D10" t="inlineStr">
        <is>
          <t>linkedin</t>
        </is>
      </c>
      <c r="E10" t="inlineStr"/>
      <c r="F10" t="inlineStr"/>
      <c r="G10" t="inlineStr">
        <is>
          <t>San Francisco, CA</t>
        </is>
      </c>
      <c r="H10" t="inlineStr"/>
      <c r="I10" t="inlineStr">
        <is>
          <t>**About The Team**
 OpenAI’s Applications Engineering organization builds and operates the products that bring our cutting\-edge research to millions of users and developers worldwide. We power products such as ChatGPT, the OpenAI API, and emerging AI\-native applications. Our teams span product engineering, infrastructure, and safety, working together to ensure that OpenAI’s technology is delivered with reliability, security, and a world\-class user experience.
**About The Role**
 We’re looking for backend engineers to design and scale the systems that drive our customer\-facing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Design and build robust backend services and APIs that power products like ChatGPT and the OpenAI API.
* Develop scalable data pipelines and storage systems for high\-volume, low\-latency workloads.
* Improve system reliability, observability, and security across production environments.
* Collaborate with product and research teams to translate cutting\-edge AI into dependable, user\-ready features.
* Participate in an on\-call rotation to maintain uptime and respond to critical incidents.
**You Might Thrive In This Role If You**
* Have up to 6 years of professional software engineering experience.
* Are proficient in one or more backend languages (e.g., Python, Go, Rust, or similar) and distributed systems concepts.
* Enjoy building infrastructure that supports billions of requests and petabytes of data.
* Care deeply about reliability, safety, and performance in production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1">
      <c r="A11" t="inlineStr">
        <is>
          <t>li-4296091740</t>
        </is>
      </c>
      <c r="B11" t="inlineStr">
        <is>
          <t>Backend Engineer</t>
        </is>
      </c>
      <c r="C11" t="inlineStr">
        <is>
          <t>Wealthfront</t>
        </is>
      </c>
      <c r="D11" t="inlineStr">
        <is>
          <t>linkedin</t>
        </is>
      </c>
      <c r="E11" t="inlineStr"/>
      <c r="F11" t="inlineStr"/>
      <c r="G11" t="inlineStr">
        <is>
          <t>Seattle, WA</t>
        </is>
      </c>
      <c r="H11" t="inlineStr"/>
      <c r="I11"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2">
      <c r="A12" t="inlineStr">
        <is>
          <t>li-4361371558</t>
        </is>
      </c>
      <c r="B12" t="inlineStr">
        <is>
          <t>Staff Software Engineer - Applications</t>
        </is>
      </c>
      <c r="C12" t="inlineStr">
        <is>
          <t>LinkedIn</t>
        </is>
      </c>
      <c r="D12" t="inlineStr">
        <is>
          <t>linkedin</t>
        </is>
      </c>
      <c r="E12" t="inlineStr"/>
      <c r="F12" t="inlineStr"/>
      <c r="G12" t="inlineStr">
        <is>
          <t>New York, NY</t>
        </is>
      </c>
      <c r="H12" t="inlineStr"/>
      <c r="I1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scale distributed applications, make architectural trade\-offs applying synchronous and asynchronous design patterns, write code, and deliver with speediness and quality.
* You will develop multi\-tier scalable, high\-volume performing, and reliable user\-centric applications that operate 24x7\.
* You will produce high quality software that is unit tested, code reviewed, and checked in regularly for continuous integration.
*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Python, Java, Javascript, C/C\+\+, C\#, Objective\-C, or Ruby.
**Preferred Qualifications**
* BS and 8\+ years of relevant work experience, MS and 7\+ years of relevant work experience, or PhD and 4\+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Technical Leadership
* Architectural Mastery
* Code Review and Quality Assurance
* Advanced Security Practices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
      <c r="A13" t="inlineStr">
        <is>
          <t>li-4361276944</t>
        </is>
      </c>
      <c r="B13" t="inlineStr">
        <is>
          <t>Sr Staff Software Engineer, LinkedIn Business Platform</t>
        </is>
      </c>
      <c r="C13" t="inlineStr">
        <is>
          <t>LinkedIn</t>
        </is>
      </c>
      <c r="D13" t="inlineStr">
        <is>
          <t>linkedin</t>
        </is>
      </c>
      <c r="E13" t="inlineStr"/>
      <c r="F13" t="inlineStr"/>
      <c r="G13" t="inlineStr">
        <is>
          <t>Mountain View, CA</t>
        </is>
      </c>
      <c r="H13" t="inlineStr"/>
      <c r="I1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is based in our Mountain View, CA office.
 We are seeking a Senior Staff Software Engineer to lead LinkedIn's Field Commercial team which is the core team that owns the platform and infrastructure responsible for enabling LinkedIn to process north of $15 billion in annual revenue. They will lead our configure\-price\-quote engine for LinkedIn’s Field and Online businesses, which sits at the intersection of large scale infrastructure, platform, and end user experiences. This technical leader will help us enable omnichannel sales motions for LinkedIn’s growing business lines, architecting new commercial models that evolve from per seat to a value based offering as we bring agentic products to life. They will be responsible for innovating how we price, package, and sell enterprise products with insights on utilization and renewals.
 Responsibilities:
* You will deliver impact by driving innovation while building and shipping software at scale.
* You will work closely with and influence product and/or technology partners regularly to help define a long\-term technology roadmap.
* Owning the technical strategy for broad or complex requirements with insightful and forward\-looking approaches that go beyond the direct team and solve large open\-ended problems.
* You will execute on product and technical workstreams by collaborating with engineering, product managers, designers, other software development teams, and business partners
* You will be a role model and professional coach for engineers with a strong bias for action and focus on craftsmanship.
* You will resolve conflicts between teams within the organization to get alignment and build team culture.
* You will create a collaborative work environment that fosters autonomy, transparency, innovation, and learning.
**Qualifications**
 Basic Qualifications:
* BA/BS Degree in Computer Science or related technical discipline, or equivalent practical experience\-
* 5\+ years of experience in software design, development, and algorithm related solutions
* 5\+ years of experience with large\-scale distributed systems and client\-server architectures
* 5\+ years of experience in programming languages such as Python, Java, Rust, C\#, C/C\+\+
* 3\+ years of experience in an architect or technical leadership position
 Preferred Qualifications:
* 10\+ years of experience in software design, development, and algorithm related solutions
* Experience building large\-scale consumer products
* Experience in leading cross\-organization, cross\-functional efforts and successfully delivering transformational technology for hard problems
* Active involvement in the creation and execution of technical strategies and roadmaps
* Experience in Machine Learning implementing and productionalizing deep reinforcement learning models
* Experience with Subscription Models, SaaS, or Commerce domain.
 Suggested Skills
* Technical Leadership
* Distributed Systems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
      <c r="A14" t="inlineStr">
        <is>
          <t>li-4294496627</t>
        </is>
      </c>
      <c r="B14" t="inlineStr">
        <is>
          <t>Software Engineer II, New Product</t>
        </is>
      </c>
      <c r="C14" t="inlineStr">
        <is>
          <t>Samsara</t>
        </is>
      </c>
      <c r="D14" t="inlineStr">
        <is>
          <t>linkedin</t>
        </is>
      </c>
      <c r="E14" t="inlineStr"/>
      <c r="F14" t="inlineStr"/>
      <c r="G14" t="inlineStr"/>
      <c r="H14" t="inlineStr"/>
      <c r="I1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organisational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Full\-Stack Software Engineer in the Platform team, you’ll own the systems you build, shape products that prevent crashes and emissions, and create world\-class systems at scale. You’ll take full technical ownership of features used by thousands of fleets worldwide, solving real\-world problems that cut CO₂ and keep people safe. Work with product managers, designers, firmware and infrastructure engineers to design, build, test, and deliver end\-to\-end products. You’ll develop skills across multiple technologies and own the production systems in your domain.
**This is a remote position open to candidates residing in the United States.**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product managers, designers, firmware, and infra engineers to architect, build, test, and deliver full\-stack features across front\-end, back\-end, and mobile. GoLang, GraphQL, Typescript, React, and ReactNative are some of the components of our technology stack. Direct experience with these technologies is not required.
* Be responsible for maintaining the production systems that your team owns and provide operational support.
* Help build the culture of the team and make it an enjoyable place to work.
* Solve problems that enable our product for our global customers.
* Partner with other teams to take in requirements for prioritization and evangelize the platform we’re building.
* Champion, role model, and embed Samsara’s cultural principles (Focus on Customer Success, Build for the Long Term, Adopt a Growth Mindset, Be Inclusive, Win as a Team) as we scale globally and across new offices.
**Minimum requirements for the role:**
* 2\+ years of professional experience building customer\-facing applications
* Strong programming/coding fundamentals in a language such as Java, Python, Golang, or TypeScript
* Experience designing and architecting large, high\-scale systems
* An ability to estimate, communicate, and deliver upon project milestones with your team
**An ideal candidate also has:**
* Experience with a public cloud such as AWS
* Familiarity with multiple tiers, like React Frontends and Microservices
* Contributed heavily to driving significant value to their customers
* Curious about our customers, and is eager to improve their day\-to\-day experience
* Loves shipping features that are immediately used by our customers
* Seeks to iterate on new products based on customer feedback
* A Bachelor's or higher in Computer Science or a related discipline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$105,910—$178,000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5">
      <c r="A15" t="inlineStr">
        <is>
          <t>li-4354861117</t>
        </is>
      </c>
      <c r="B15" t="inlineStr">
        <is>
          <t>Software Engineer</t>
        </is>
      </c>
      <c r="C15" t="inlineStr">
        <is>
          <t>VetRec</t>
        </is>
      </c>
      <c r="D15" t="inlineStr">
        <is>
          <t>linkedin</t>
        </is>
      </c>
      <c r="E15" t="inlineStr"/>
      <c r="F15" t="inlineStr"/>
      <c r="G15" t="inlineStr">
        <is>
          <t>Seattle, WA</t>
        </is>
      </c>
      <c r="H15" t="inlineStr"/>
      <c r="I15" t="inlineStr">
        <is>
          <t>**We are looking for a 10x Software Engineer** 
 who can help scale, innovate, and advance VetRec’s suite of products.
 This is a remote position. Our Engineering team is predominantly in our HQ in Seattle.
 For all questions please email us at hiring@
 ***This is the only mailbox we are monitoring for job postings.***
**Our values**
* Get s\* done: We are a fast pace team, shipping features daily and onboarding clinics and hospitals of all types and sizes daily.
* Transparency: We believe in brutal honesty amongst our team and customers.
* Grit: Competing in an evolving market means going above and beyond for our customers and fighting on behalf of them every day.
* Customers, customers, customers: Did we already mention customers? They are the lifeblood of our business, without them we don’t exist.
* Over\-communication \&gt; under\-communication: As a small, fast paced team, communication is vital. We look for team members that will keep things moving and constantly update the team as needed.
**What Will You Be Doing**
* Develop robust and scalable backend systems
* Design and develop high\-quality frontend systems
* Scale our multi\-region infrastructure
* Instill and maintain high coding standards and best practices. Fixing issues as you find them.
* Ship high\-quality features fast and not be afraid of breaking things.. “Unless you are breaking stuff, you aren’t moving fast enough”
**Who Do We Want**
 Someone who shares the values that we share. Someone who constantly raises the bar, is proactive, has grit and determination, and can get s\* done. We are a fast\-growing startup and as such, we work very hard (also celebrate every win!). Our team puts 10 hours a day on average into building this company. While there is not a specific time commitment as project\-based outcomes \&gt; time\-based ones, there is a sense of urgency to iterate and deliver constantly.
**Specifically For This Role**
* Strong proficiency in Python and experience with FastAPI or similar web frameworks.
* Strong proficiency in React and React Native.
* Proven track record of building and maintaining large\-scale backend systems.
* Excellent problem\-solving skills, attention to detail, and a strong understanding of software engineering principles.
* Effective communication skills and the ability to work collaboratively in a team environment.
* Practical experience with cloud services, particularly AWS or Azure. Including Storage Buckets/Blobs, EC2/Azure VMs, Lambda/Functions, and Redis/Message Brokers.
* Solid understanding of database management, design, and optimization, with hands\-on experience in SQL and NoSQL databases.
* A passion for AI and technology, eager to work in a startup environment where agility and innovation are highly valued.
*VetRec is an equal\-opportunity employer and does not discriminate on the basis of race, creed, color, ethnicity, national origin, religion, sex, sexual orientation, gender expression, age, height, weight, veteran status, military obligations, or marital status.*</t>
        </is>
      </c>
    </row>
    <row r="16">
      <c r="A16" t="inlineStr">
        <is>
          <t>li-4328753752</t>
        </is>
      </c>
      <c r="B16" t="inlineStr">
        <is>
          <t>Software Engineer</t>
        </is>
      </c>
      <c r="C16" t="inlineStr">
        <is>
          <t>Carrot</t>
        </is>
      </c>
      <c r="D16" t="inlineStr">
        <is>
          <t>linkedin</t>
        </is>
      </c>
      <c r="E16" t="inlineStr"/>
      <c r="F16" t="inlineStr"/>
      <c r="G16" t="inlineStr"/>
      <c r="H16" t="inlineStr"/>
      <c r="I16"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Software Engineer at Carrot builds scalable, adaptable, and high\-quality systems and features that serve our end users. You will be expected to build and maintain across member facing products, internal tools to help drive efficiency, and other surfaces that deliver value.
 Engineers at Carrot own technical outcomes and collaborate across teams to deliver solutions that meet evolving needs. You thrive in fast\-paced environments, take initiative in the face of ambiguity, and balance quick wins with long\-term maintainability. You will often partner with cross\-functional stakeholders to deliver solutions that meet the ever\-growing needs of our business.
 In this role, you will be expected to:
* Collaborate with other engineering teams: you may be a dependency or have a dependency. You will be expected to communicate effectively and keep the necessary teammates up to date on your work.
* Improve systems: you will work in systems that need some love, as well in others that may be closer to greenfield. You will need to use your best judgement and pair with others to thread the needle between investment and return.
* Keep a sharp eye on user metrics: you will need to work with Product and other functions in understanding user behaviors so we can help users get the care and support they need.
* Keep the user in mind: you will work on many member\-facing features and you should build these experiences in such a way that they are resilient, adhere to our design standards, and reduce friction where possible.
* Write documentation: maintain and author clear and discoverable documentation, ensuring other engineers can get up to speed in areas where you have augmented the code or system.
* Innovate and explore: you will explore alternative solutions to problems, following the paved path when it makes sense, but thinking outside the box when it doesn’t.
* Take ownership: you are responsible for running the systems you build and will participate in on\-call rotations, where we aim for sustainable schedules. You will also help improve observability and runbooks.
**The Team:** 
 Reporting to an Engineering Manager, you will frequently collaborate with Product, Design, and other internal teams to understand how your work can have the most impact. Engineering teams at Carrot are expected to take action quickly and approach with a lean mindset \- we ship frequently and iterate. 
**Minimum Qualifications:** 
* You have at least 2 years of experience as a software engineer or equivalent experience.
* You are naturally curious and internally motivated to learn new skills
* You understand the balancing game of weighing new feature development with technical debt.
* A product 1\-pager doesn’t scare you. You are excited to collaborate and experiment to figure out the rest.
* Experience building with C\#, .NET Core, Typescript, React
* You’ve been experimenting and using AI\-assisted development tools and have opinions about how to use them.
* Experience with cloud platforms such as Azure and AWS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$120,000\.00 \- $150,000\.00\.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7">
      <c r="A17" t="inlineStr">
        <is>
          <t>li-4361551455</t>
        </is>
      </c>
      <c r="B17" t="inlineStr">
        <is>
          <t>Sr. Staff Software Engineer, AI Infra</t>
        </is>
      </c>
      <c r="C17" t="inlineStr">
        <is>
          <t>LinkedIn</t>
        </is>
      </c>
      <c r="D17" t="inlineStr">
        <is>
          <t>linkedin</t>
        </is>
      </c>
      <c r="E17" t="inlineStr"/>
      <c r="F17" t="inlineStr"/>
      <c r="G17" t="inlineStr">
        <is>
          <t>Mountain View, CA</t>
        </is>
      </c>
      <c r="H17" t="inlineStr"/>
      <c r="I1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As a Sr.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Python, C\+\+, Java, Go, Rust, Scala
* 2\+ years of experience as an architect, or technical leadership position
* 5\+ years of experience in the industry with leading / building deep learning systems
* Hands\-on experience developing distributed systems or other large\-scale systems
 Preferred Qualifications:
* MS or PhD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Python, C\+\+, Java, Go, Rust, Scala
* 5\+ years of experience with large\-scale distributed systems and client\-server architectures
* Experience building ML applications, LLM serving, GPU serving.
* Co\-author or maintainer of any open\-source projects
* Expertise in machine learning infrastructure, including technologies like MLFlow, Kubeflow and large scale distributed systems
* Expertise in deep learning frameworks and tensor libraries like PyTorch, Tensorflow, JAX/FLAX
 Suggested Skills:
* ML Algorithm Development
* Machine Learning and Deep Learning
* Information retrieval / recommendation systems
* Technical leadership
 LinkedIn is committed to fair and equitable compensation practices. The pay range for this role is $180,000 to $300,000\.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8">
      <c r="A18" t="inlineStr">
        <is>
          <t>li-4286968047</t>
        </is>
      </c>
      <c r="B18" t="inlineStr">
        <is>
          <t>Software Engineer - All Levels</t>
        </is>
      </c>
      <c r="C18" t="inlineStr">
        <is>
          <t>GlossGenius</t>
        </is>
      </c>
      <c r="D18" t="inlineStr">
        <is>
          <t>linkedin</t>
        </is>
      </c>
      <c r="E18" t="inlineStr"/>
      <c r="F18" t="inlineStr"/>
      <c r="G18" t="inlineStr">
        <is>
          <t>San Francisco, CA</t>
        </is>
      </c>
      <c r="H18" t="inlineStr"/>
      <c r="I18"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San Francisco office.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90,000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San Francisco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9">
      <c r="A19" t="inlineStr">
        <is>
          <t>li-4296475414</t>
        </is>
      </c>
      <c r="B19" t="inlineStr">
        <is>
          <t>Backend Engineer</t>
        </is>
      </c>
      <c r="C19" t="inlineStr">
        <is>
          <t>Gong</t>
        </is>
      </c>
      <c r="D19" t="inlineStr">
        <is>
          <t>linkedin</t>
        </is>
      </c>
      <c r="E19" t="inlineStr"/>
      <c r="F19" t="inlineStr"/>
      <c r="G19" t="inlineStr">
        <is>
          <t>New York, NY</t>
        </is>
      </c>
      <c r="H19" t="inlineStr"/>
      <c r="I19"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$152,000 \- $185,000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20">
      <c r="A20" t="inlineStr">
        <is>
          <t>li-4361501499</t>
        </is>
      </c>
      <c r="B20" t="inlineStr">
        <is>
          <t>Sr. Staff Software Engineer, LinkedIn AI Hiring Assistant</t>
        </is>
      </c>
      <c r="C20" t="inlineStr">
        <is>
          <t>LinkedIn</t>
        </is>
      </c>
      <c r="D20" t="inlineStr">
        <is>
          <t>linkedin</t>
        </is>
      </c>
      <c r="E20" t="inlineStr"/>
      <c r="F20" t="inlineStr"/>
      <c r="G20" t="inlineStr">
        <is>
          <t>Mountain View, CA</t>
        </is>
      </c>
      <c r="H20" t="inlineStr"/>
      <c r="I2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are seeking a Senior Staff Software Engineer to define and lead the technical strategy for Search and Recommendation in LinkedIn's Talent Solutions. This team powers large\-scale search retrieval, ranking, and qualification\-based evaluation of LinkedIn members. Talent Solutions products enable millions of professionals and organizations to connect more effectively.
 In this role, you will serve as the technical lead, shaping long\-term architecture driving the application of the latest advancements in AI\- including semantic search, embeddings, and Generative AI/LLMs. You'll translate these innovations into scalable systems and impactful product capabilities that enhance customer adoption, deliver measurable value, and drive revenue growth across LinkedIn's hiring product.
 Responsibilities:
* You will deliver impact by driving innovation while building and shipping software at scale.
* You will work closely with and influence product and/or technology partners regularly to help define a long\-term technology roadmap.
* Owning the technical strategy for broad or complex requirements with insightful and forward\-looking approaches that go beyond the direct team and solve large open\-ended problems.
* Functioning as the tech\-lead for several concurrent key initiatives across Search and AI Infrastructure, AI modeling and defining the future of AI\-enabled products.
* You will execute on product and technical workstreams by collaborating with engineering, product managers, designers, other software development teams, and business partners
* You will be a role model and professional coach for engineers with a strong bias for action and focus on craftsmanship.
* You will resolve conflicts between teams within the organization to get alignment and build team culture.
* You will create a collaborative work environment that fosters autonomy, transparency, innovation, and learning.
**Qualifications**
 Basic Qualifications:
* BA/BS Degree in Computer Science or related technical discipline, or equivalent practical experience\-
* 5\+ years of experience in software design, development, and algorithm related solutions
* 5\+ years of experience with large\-scale distributed systems and client\-server architectures
* 5\+ years of experience in programming languages such as Python, Java, Rust, C\#, C/C\+\+
* 3\+ years of experience in an architect or technical leadership position
* Preferred Qualifications:\-
* 10\+ years of experience in software design, development, and algorithm related solutions
* 2\+ years' experience building ML applications, LLM serving, GPU serving.
* 2\+ years working on search retrieval and ranking.
* 1\+ years of working on GenAI applications (Prompt engineering optimizations, Fine tuning, etc.)
* Experience with machine learning or related technology
* Experience building large\-scale consumer products
* Experience in leading cross\-organization, cross\-functional efforts and successfully delivering transformational technology for hard problems
* Active involvement in the creation and execution of technical strategies and roadmaps
 Suggested Skills
* Technical Leadership
* Distributed Systems
* Information retrieval / recommendation systems
* Knowledge of systems with Machine Learning and Deep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1">
      <c r="A21" t="inlineStr">
        <is>
          <t>li-4361361575</t>
        </is>
      </c>
      <c r="B21" t="inlineStr">
        <is>
          <t>Distinguished Software Engineer - Search</t>
        </is>
      </c>
      <c r="C21" t="inlineStr">
        <is>
          <t>LinkedIn</t>
        </is>
      </c>
      <c r="D21" t="inlineStr">
        <is>
          <t>linkedin</t>
        </is>
      </c>
      <c r="E21" t="inlineStr"/>
      <c r="F21" t="inlineStr"/>
      <c r="G21" t="inlineStr">
        <is>
          <t>Bellevue, WA</t>
        </is>
      </c>
      <c r="H21" t="inlineStr"/>
      <c r="I2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**Location:**
 The work location of this role is hybrid, meaning it will be performed both from home and from a LinkedIn office on select days, as determined by the business needs of the team.
**Overview:**
 As a Distinguished Engineer\- at LinkedIn, you will architect and lead the next generation of AI solutions that power LinkedIn's search experiences by employing the latest techniques \- from LLMs to broader innovative AI methods \- at scale. You will design strategies for holistic optimization of LinkedIn's ecosystem across all consumer product surfaces to create a cohesive, highly personalized experience for our members. LinkedIn relies on innovative AI research and applications that you will help us build. As a key leader in the organization, you will lead research, design algorithms, build software, anticipate and influence the state of the art in the industry, and leverage and create open\-source software in the process.
**Responsibilities:**
* Set Technical Vision: Shape the future of LinkedIn Search by combining AI, LLMs, and systems innovation to deliver highly relevant and personalized member experiences.
* Architect for Scale: Build scalable, high\-availability infrastructure to handle billions of queries reliably and efficiently.
* Drive Product Strategy: Partner closely with product, design, and AI teams to align technical investments with member and business needs.
* Foster a High\-Performance Culture: Champion engineering best practices, quality, operational rigor, and innovation across the team.
* Cross\-Functional Leadership: Influence and collaborate across multiple teams and stakeholders to drive complex, high\-impact initiatives forward.
* Stay Ahead of Trends: Monitor emerging technologies and industry trends to ensure LinkedIn Search remains an industry leader.
**Qualifications**
**Basic Qualifications:**
* PhD in a relevant field or related discipline (machine learning, statistics, computer science etc.), or equivalent research experience
* 10\+ years of relevant work experience Experience leading technical projects with multiple stakeholders
**Preferred Qualifications:**
* 10\+ years experience in building engaging AI\-powered consumer products at scale, with at least 5 of those years in a technical\- leadership position
* Experience in designing and optimizing search and recommender systems that create highly personalized experiences for LinkedIn's members and scale to solve complex business problems
* Experience in leading large scale development projects from concept to multiple releases in production
* Experience of technical leadership guiding and mentoring engineering and operations talent
* Experience leading high\-impact, cross\-company initiatives
**Suggested Skills:**
* Mentoring
* Technical Leadership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2">
      <c r="A22" t="inlineStr">
        <is>
          <t>li-4313863031</t>
        </is>
      </c>
      <c r="B22" t="inlineStr">
        <is>
          <t>Software Engineer, Core Services</t>
        </is>
      </c>
      <c r="C22" t="inlineStr">
        <is>
          <t>OpenAI</t>
        </is>
      </c>
      <c r="D22" t="inlineStr">
        <is>
          <t>linkedin</t>
        </is>
      </c>
      <c r="E22" t="inlineStr"/>
      <c r="F22" t="inlineStr"/>
      <c r="G22" t="inlineStr">
        <is>
          <t>San Francisco, CA</t>
        </is>
      </c>
      <c r="H22" t="inlineStr"/>
      <c r="I22" t="inlineStr">
        <is>
          <t>**About The Team**
 The Core Services team is responsible for building and managing foundational services. It acts as the bridge between core infrastructure (e.g. compute, storage, networking) and product engineering teams, and enables product teams to move fast, build reliably, and scale efficiently.
**About The Role**
 As a software engineer in the core services team, you will design and operate critical backend platforms such as caching systems, workflow orchestration, metadata stores, and file services. You’ll focus on building highly reliable, scalable, and performant systems that serve as the backbone of our products.
 We’re looking for people who are passionate about building infrastructure that empowers product teams, love working on distributed systems challenges, and enjoy creating well\-designed APIs and abstractions that accelerate development.
 This role is based in San Francisco, CA. We use a hybrid work model of 3 days in the office per week and offer relocation assistance to new employees.
**In This Role, You Will**
* Design, build, and maintain shared infrastructure services such as caching layers, workflow orchestration (Temporal), metadata stores, and file storage services.
* Collaborate with product teams to provide scalable, reliable primitives that abstract the complexities of distributed systems.
* Improve performance, resilience, and scalability of core services that power customer\-facing applications.
**You Might Thrive In This Role If You**
* Have experience with distributed systems, caching infrastructure (e.g., Redis, Memcached), metadata storage (e.g., FoundationDB), or workflow orchestration (e.g., Temporal, Cadence).
* Have experience running containerized services in cloud environments and integrating them into automated build/test/release (CI/CD) workflows.
* Understand trade\-offs in consistency models, replication strategies, and performance optimization in multi\-region systems.
* Excel at communication and collaboration with cross\-functional teams, and are obsessed with delivering customer success.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23">
      <c r="A23" t="inlineStr">
        <is>
          <t>li-4361541494</t>
        </is>
      </c>
      <c r="B23" t="inlineStr">
        <is>
          <t>Sr. Staff Software Engineer - Systems Infrastructure</t>
        </is>
      </c>
      <c r="C23" t="inlineStr">
        <is>
          <t>LinkedIn</t>
        </is>
      </c>
      <c r="D23" t="inlineStr">
        <is>
          <t>linkedin</t>
        </is>
      </c>
      <c r="E23" t="inlineStr"/>
      <c r="F23" t="inlineStr"/>
      <c r="G23" t="inlineStr">
        <is>
          <t>Mountain View, CA</t>
        </is>
      </c>
      <c r="H23" t="inlineStr"/>
      <c r="I2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Mountain View,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take the lead in building the next\-generation infrastructure and platforms for LinkedIn, including but not limited to: service delivery platform, scalable data storage infrastructure, graph infrastructure, analytics platform, streams processing and data pipelines, cutting\-edge search platform, best\-in\-class AI/ML infrastructure, Kubernetes compute infrastructure, media infrastructure, etc. You will work and learn among the best, putting to use your passion for distributed technologies and algorithms, API design and systems design, and your passion for writing code that performs at massive scale. LinkedIn has pioneered many well\-known open\-source infrastructure projects including Apache Kafka, Pinot, Azkaban, Samza, Venice, Datahub, Feather, etc. We also work with industry standard open source infrastructure technologies like Kubernetes, GRPC and GraphQL \- come join our infrastructure teams and share the knowledge with a broader community while making a real impact within our company.
 As a Sr. Staff Software Engineer, you will be a key technical leader and role model within the organization. We are looking for a technical lead who designs and develops technology to serve business and technology objectives, aligns points of view across teams and makes trade offs to help achieve the goals of individual teams as well as LinkedIn's broader goals. You will foster LinkedIn's culture and values around transformation, collaboration and results. You will work closely with technical leadership and management within and outside our organization to contribute to building best\-in\-class core systems infrastructure for LinkedIn.
 Responsibilities:
* Deliver impact by driving innovation while building and shipping software at scale
* Provide architectural guidance and mentorship to up\-level the engineering organization
* Actively improve the level of craftsmanship at LinkedIn by developing best practices and defining best strategies
* Design products/services/tools and code that can be used by others while upholding operational impact of all decisions
* Functioning as the tech\-lead for multiple key initiatives, identify problems and opportunities and lead teams to architect, design, implement and operationalize systems
* Partner closely with teams within the org and customers to execute on the vision for long\-term success of our core infrastructure teams
* Working closely with the open\-source community to participate and influence cutting edge open\-source projects.
* Keep a platform first approach while designing products/service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C/C\+\+, Java, Go, Rust, Python, Scala
* 2\+ years of experience as an architect, or technical leadership position
* Hands\-on experience developing large\-scale, distributed systems, and databases
 Preferred Qualifications:
* MS or PhD degree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C/C\+\+, Java, Go, Rust, Python, Scala
* 5\+ years of experience with large\-scale distributed systems and client\-server architectures
* Experience in architecting and designing large\-scale distributed systems related to data infrastructure, IaaS, ML/AI infrastructure, storage, graph, Kubernetes, and platforms.
 Suggested Skills:
* Distributed Systems
* Technical Leadership
* Infrastructure as a Service (IaaS)
* Systems Infrastructure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4">
      <c r="A24" t="inlineStr">
        <is>
          <t>li-4361302210</t>
        </is>
      </c>
      <c r="B24" t="inlineStr">
        <is>
          <t>Senior Full Stack Software Engineer - HR Enterprise Platforms</t>
        </is>
      </c>
      <c r="C24" t="inlineStr">
        <is>
          <t>LinkedIn</t>
        </is>
      </c>
      <c r="D24" t="inlineStr">
        <is>
          <t>linkedin</t>
        </is>
      </c>
      <c r="E24" t="inlineStr"/>
      <c r="F24" t="inlineStr"/>
      <c r="G24" t="inlineStr">
        <is>
          <t>Sunnyvale, CA</t>
        </is>
      </c>
      <c r="H24" t="inlineStr"/>
      <c r="I2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LinkedIn's Sunnyvale office.
 We are seeking a talented and motivated Senior Full Stack Software Engineer to join our dynamic technology team. This role is responsible for designing, developing, and maintaining robust, scalable web applications and services that drive business value and innovation. The ideal candidate will have a strong background in both front\-end and back\-end development, as well as a proven track record of delivering high\-quality software solutions in a collaborative environment.
 Our Talent Productivity Engineering team is responsible for building, customizing, and integrating LinkedIn’s HR Enterprise Platforms and productivity tools that play a crucial part in managing human resources, payroll, performance, rewards, and financials. Come join our team to help improve the employee experience at LinkedIn.
 Key Responsibilities
* Design, develop, test, and deploy scalable full stack applications using modern programming languages and frameworks.
* Collaborate with cross\-functional teams, including product managers, designers, and other engineers, to define and implement technical solutions that meet business requirements.
* Lead technical initiatives, conduct code reviews, and mentor junior engineers to promote best practices and continuous improvement.
* Integrate with cloud platforms and third\-party APIs, ensuring seamless interoperability and optimal performance.
* Contribute to architectural decisions and help shape the technology roadmap of the organization.
* Troubleshoot, debug, and optimize application performance to ensure reliability and scalability.
* Maintain comprehensive documentation for code, processes, and system architecture.
* Stay current with emerging technologies and industry trends, proactively identifying opportunities for innovation.
* Manage projects end\-to\-end; build and execute detailed implementation plans, including design, build, QA/test, deploy, \&amp; support components.
* Design, develop, test, troubleshoot and deploy custom Workday Extend applications to meet complex business requirements.
* Collaborate with Workday Functional and Integrations Engineers, HR Technology Partners, Business stakeholders, and other technical and functional leads assessing requirements and translating them into technical solutions.
* Integrate Workday Extend applications with other enterprise systems using Workday APIs and web services.
* Maintain and enhance existing Workday Extend solutions, ensuring optimal performance and scalability.
* Document technical specifications, wireframe designs, and application workflows and architecture.
* Participate in code reviews, troubleshooting, and debugging to ensure solutions are well reasoned and delivered with high\-quality.
* Stay current with Workday and Workday Extend updates, best practices, and emerging technologies relevant to the platform.
* Provide technical support and guidance to other Workday Engineers, end\-users, and stakeholders.
**Qualifications**
 Basic Qualifications
* Bachelors or Masters degree in Computer Science, Engineering, Information Technology, or related field, or equivalent experience.
* 5\+ years of professional experience in software development.
* Experience with front\-end technologies (such as React, TypeScript, Python (Flask), MySQL, SQLAlchemy, Angular, Vue.js etc.) and back\-end frameworks (such as REST APIs, Node.js, Java, Python, or .NET).
* Experience with RESTful API design, microservices architecture, and cloud computing concepts.
* Experience with relational and NoSQL databases (e.g., PostgreSQL, MySQL, MongoDB).
**Preferred Qualifications**
* Master’s degree in Computer Science, Engineering, or Information Technology
* Excellent problem\-solving skills, attention to detail, and ability to work independently and as part of a team.
* Effective communication skills, with the ability to articulate complex technical concepts to non\-technical stakeholders.
* Hands\-on experience with Workday Extend, including building custom applications and integrations within the Workday ecosystem.
* Familiarity with Workday Studio, Workday REST APIs, and Workday business processes.
* Strong proficiency in JavaScript, REST APIs, SOAP APIs, JSON, XML, XSLT, HTML, and cloud application development.
* Solid understanding of and hands\-on experience with Workday Studio, Workday Integration Cloud, EIBs, BIRT and Workday Extend tools, including Workday Orchestration.
* Understanding of Workday HCM fundamentals including core concepts like configurable security, integration security, business process workflow, and design, calc fields, report writing, etc.
* Workday Extend Certification a plus.
* Experience designing and deploying complex integrations leveraging Workday Orchestration for Integration (O4I) to manage multi\-step workflows and business processes.
* Experience working in Agile development environments.
* Knowledge of DevOps practices, CI/CD pipelines, and automated testing frameworks.
* Prior experience in enterprise SaaS environments or HRIS/ERP systems.
 Suggested Skills
* HR Enterprise Applications and Platforms
* SaaS Applications
* API Development
* Advanced Programming Skills
* Performance Optimization and Scalability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5">
      <c r="A25" t="inlineStr">
        <is>
          <t>li-4325372268</t>
        </is>
      </c>
      <c r="B25" t="inlineStr">
        <is>
          <t>VP - Software Engineer</t>
        </is>
      </c>
      <c r="C25" t="inlineStr">
        <is>
          <t>Morgan Stanley</t>
        </is>
      </c>
      <c r="D25" t="inlineStr">
        <is>
          <t>linkedin</t>
        </is>
      </c>
      <c r="E25" t="inlineStr"/>
      <c r="F25" t="inlineStr"/>
      <c r="G25" t="inlineStr">
        <is>
          <t>New York, NY</t>
        </is>
      </c>
      <c r="H25" t="inlineStr"/>
      <c r="I25" t="inlineStr">
        <is>
          <t>In the Technology division, we leverage innovation to build the connections and capabilities that power our Firm, enabling our clients and colleagues to redefine markets and shape the future of our communities. This is a Software Engineering position at the Vice President level, which is part of the job family responsible for developing and maintaining software solutions that support business needs.
**About The Role**
 MARS Java VP dev \- We’re seeking someone to join our Matrix Analytics Squad as a Sr. Java Developer in Advisory Sales and Distribution to develop FX payments platform for TFX business unit.
**What You'll Do In The Role**
* Communicate regularly with product leads across the technology organization and discuss opportunities for improvement to existing and future technology solutions.
* Provide technical leadership and vision for software development projects.
* Lead the development of new ideas and/or policies in own area.
* Analyze multiple sets of information to create summaries for various stakeholders.
* Review ADRs and help the team formulate software design to solve complex business workflows.
* Foster a culture of innovation, collaboration, and continuous learning within the team.
* Help junior devs to experiment with New technologies that move the system to a modern and evergreen stack.
* Develop and maintain relationships with key stakeholders to ensure project success.
* Represent the software engineering team in cross\-functional discussions and planning sessions.
* Provide technology leadership by being active participant in the Chapter meetings, guilds, hackathon etc. to foster high\-performing yet innovative team.
**What You'll Bring To The Role**
* 7\+ of experience with: Java; Kafka; algorithms; SQL; system design; CI/CD; OOPs; scripting; distributed systems; distributed caching and Angular/React.
* Experience with: DB2; Podman; Python; Machine learning; AI; functional programming; and PandQ.
* Bachelor’s degree in computer science, Engineering, or a related field, or equivalent experience.
* Proven track record of leading high\-performance engineering teams.
* Advanced understanding of functional area and competent understanding of competitive environment.
* Strategic planning and execution of engineering projects.
* Ability to align technological initiatives with business objectives.
* Strong problem\-solving skills and a track record of using modern technologies to find innovative solutions.
* Collaboration with cross\-functional teams and senior leadership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$150,00 and $210,000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6">
      <c r="A26" t="inlineStr">
        <is>
          <t>li-4345619659</t>
        </is>
      </c>
      <c r="B26" t="inlineStr">
        <is>
          <t>Software Engineer</t>
        </is>
      </c>
      <c r="C26" t="inlineStr">
        <is>
          <t>FanDuel</t>
        </is>
      </c>
      <c r="D26" t="inlineStr">
        <is>
          <t>linkedin</t>
        </is>
      </c>
      <c r="E26" t="inlineStr"/>
      <c r="F26" t="inlineStr"/>
      <c r="G26" t="inlineStr">
        <is>
          <t>Jersey City, NJ</t>
        </is>
      </c>
      <c r="H26" t="inlineStr"/>
      <c r="I26" t="inlineStr">
        <is>
          <t>**THE POSITION**
 Our roster has an opening with your name on it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at FanDuel to improve the major US sports platforms. You will be a domain expert on price modeling implementation and how that fits into the larger Risk and Trading landscape. You will go beyond the software developer role and will be called upon to identify opportunities yourself in the quantitative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 Degree in Computer Science, Data Science, Engineering, Mathematics, Physics, or related discipline.
* 3 or more years of industry experience in an Engineering field, Machine Learning, Data Science, Finance Engineering, or Statistics.
* Proficient in building services with a modern OOP language (C\# experience is beneficial).
* Understanding of performance, hardware, and lower\-level memory management (C, C\+\+, or Rust experience is beneficial).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nice to have.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7">
      <c r="A27" t="inlineStr">
        <is>
          <t>li-4361510887</t>
        </is>
      </c>
      <c r="B27" t="inlineStr">
        <is>
          <t>Software Engineer</t>
        </is>
      </c>
      <c r="C27" t="inlineStr">
        <is>
          <t>Microsoft</t>
        </is>
      </c>
      <c r="D27" t="inlineStr">
        <is>
          <t>linkedin</t>
        </is>
      </c>
      <c r="E27" t="inlineStr"/>
      <c r="F27" t="inlineStr"/>
      <c r="G27" t="inlineStr"/>
      <c r="H27" t="inlineStr"/>
      <c r="I27" t="inlineStr">
        <is>
          <t>**Overview**
 Microsoft Azure storage is a highly distributed, massively scalable, and ubiquitously accessible cloud storage system designed to scale out and serve the entire world.
 We (Azure Storage Client team) are responsible for delivering the Storage Virtualization platform to Azure Virtual Machines (VMs). Our stack handles trillions of IOs every day from Azure VMs and runs in 100s of data centers and 1000\+ Clusters. The team is enabling storage offload using custom built hardware accelerators – utilizing the Field Programmable Gate Arrays (FPGAs), Remote Direct Memory Access (RDMA) for transport and Non Volatile Memory Express (NVMe) as the VM’s storage interface.
 As a Software Engineer you are responsible for designing, implementing and deploying software to enable hardware\-based storage offload technologies. If you have the interest and the passion to work on new hardware and software solutions to enable performance and scalability at the highest levels, then Azure may have a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and develops system software that manages storage services in Azure.
* Ensures that services and components are designed with appropriate telemetry and health signals to enable remote monitoring and debugging.
* Rapidly deploys cloud\-scale solutions and monitor health through telemetry.
* Drives for quality in everything and continuously improves the quality of the systems.
* Proactively seeks new knowledge and adapts to new trends, technical solutions, and patterns that will improve the availability, reliability, efficiency, observability, and performance of products while also driving consistency in monitoring and operations at scale.
* Embodies our culture and values.
**Qualifications**
**Required Qualifications:**
* Bachelor's Degree in Computer Science, or related technical discipline
+ OR equivalent experience.
* Proven experience with coding in languages including, but not limited to, C, C\+\+ or RUST.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knowledge of Virtualization technologies, with an understanding of Azure equivalent cloud services \- data explorer, portal, disks, storage \&amp; virtual machines.
* 1\+ year(s) experience in storage domain.
* 1\+ year(s) of dmonstrated problem solving and software troubleshooting skills.
* 1\+ year(s) understanding of system performance, incident response, and troubleshooting in production environments.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
      <c r="A28" t="inlineStr">
        <is>
          <t>li-4340708394</t>
        </is>
      </c>
      <c r="B28" t="inlineStr">
        <is>
          <t>Software Engineer, Web</t>
        </is>
      </c>
      <c r="C28" t="inlineStr">
        <is>
          <t>Pinterest</t>
        </is>
      </c>
      <c r="D28" t="inlineStr">
        <is>
          <t>linkedin</t>
        </is>
      </c>
      <c r="E28" t="inlineStr"/>
      <c r="F28" t="inlineStr"/>
      <c r="G28" t="inlineStr">
        <is>
          <t>San Francisco, CA</t>
        </is>
      </c>
      <c r="H28" t="inlineStr"/>
      <c r="I2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Software Engineer in the Web Platform Team you will drive initiatives that empower developers to build modern world\-class web experiences for our Pinners with high productivity, performance and quality. We’re looking for someone who is passionate about working up and down the stack, has a growth mindset and isn’t afraid to give their opinion on how we can improve.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robust frameworks and features that empower hundreds of developers and support millions of users.
* Enable developers to work more effectively by improving foundational web architecture, builds, CI/CD and testing capabilities.
* Drive changes that improve overall developer experience for all web engineers across Pinterest.
* Identify site\-wide challenges; propose, test, and ship solutions.
* Champion and drive large\-scale, cross\-functional initiatives that improve the Web platform.
* Increase web stability, scalability, performance and accessibility by implementing the best web development standards.
* Mentor team members and participate actively in design and code reviews, team processes and architectural decisions.
**What We’re Looking For**
* 3\+ years of experience in FullStack/Web development and a deep understanding of JavaScript, CSS, DOM, HTTP protocol and how the web works.
* Expertise with technologies such as React, Redux (or other state management solutions), Relay, GraphQL, TypeScript, Jest and React Testing Library.
* Good knowledge of build tools such as Webpack, Turbopack, or Vite.
* Familiarity with Node.js, server\-side rendering techniques, and frameworks such as Next.js.
* Experience in Python, Java, C\+\+, or Go or another language and a willingness to learn.
* Track record of delivering large, cross\-functional projects across multiple organizations and being a champion of developer experience, performance and quality.
* Strong written and verbal communication skills and the ability to collaborate across teams to make platform improvements, test functionality, and evangelize adoption of platform features.
* Love for Web and drive to keep up\-to\-date with new technologies, trends and best practices in client architecture.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times/week and therefore can commute to our San Francisco or Palo Alto office.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$145,524—$254,667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9">
      <c r="A29" t="inlineStr">
        <is>
          <t>li-4361276941</t>
        </is>
      </c>
      <c r="B29" t="inlineStr">
        <is>
          <t>Senior Software Engineer - Fullstack (Continuous Compliance Monitoring)</t>
        </is>
      </c>
      <c r="C29" t="inlineStr">
        <is>
          <t>LinkedIn</t>
        </is>
      </c>
      <c r="D29" t="inlineStr">
        <is>
          <t>linkedin</t>
        </is>
      </c>
      <c r="E29" t="inlineStr"/>
      <c r="F29" t="inlineStr"/>
      <c r="G29" t="inlineStr">
        <is>
          <t>Mountain View, CA</t>
        </is>
      </c>
      <c r="H29" t="inlineStr"/>
      <c r="I2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seeking a Sr. Software Engineer to build its latest continuous compliance platform. In this role, you will help create an end\-to\-end solution that enables LinkedIn to meet its compliance and risk management obligations, at scale, through the use of real time data and generative AI services.
 We are looking for motivated professionals who have a proven track record of working with both engineering and non\-engineering teams to build easy\-to\-use and resilient web applications in the areas of compliance or risk management. Successful team members typically have some experience developing compliance management solutions or similar software that manages process workflows and integrates with multiple data sources.
 If you are passionate about being part of the engineering organization that develops one of the world's
 most\-used internet applications, and you have the skills and experience to help us take our security and
 compliance management capabilities to the next level, we want to hear from you. Apply now to join our
 team and help shape the future of LinkedIn.
 Responsibilities:
* Work with internal customer to design, implement, and optimize application user interfaces and workflows used for continuous compliance and risk management
* Design and build supporting applications and data services necessary to create a comprehensive compliance management platform
* Support the deployment and runtime operation of the compliance platform including participation in on\-call rotations
* Participate in design and code reviews to maintain our high development standards
* Mentor other engineers and will help build a growing team
**Qualifications**
 Basic Qualifications:
* BA/BS in Computer Science or related technical field or equivalent practical experience
* 2\+ years of industry experience in web application design, development, and algorithm related solutions.
* Experience writing clean JavaScript including experience with modern frameworks (React/Remix) and debugging tools (Chrome Dev Tools, etc. )
* 2\+ years programming experience in languages such as Javascript, HTML, CSS, Python, Java, Rust, Ruby, etc.
* Prior experience building public REST and gRPC API's
 Preferred Qualifications:
* BS and 5\+ years of relevant work experience, MS and 4\+ years of relevant work experience, or PhD and 2\+ years of relevant work experience.
* Knowledge of (and a passion for) current trends and best practices in front\-end architecture, including performance, accessibility, security, and usability.
* Experience building, deploying, and running applications in Kubernetes infrastructure
* Experience developing security, compliance, or risk management platforms
 Suggested Skills:
* Javascript
* HTML/CSS
* Java, Python, Rust
* Jest, Playwright, or relevant front end testing framework
* Web Application Development
* Data science/analytics
* Advanced Programming Skills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0">
      <c r="A30" t="inlineStr">
        <is>
          <t>li-4361391460</t>
        </is>
      </c>
      <c r="B30" t="inlineStr">
        <is>
          <t>Staff Software Engineer, AI Platform</t>
        </is>
      </c>
      <c r="C30" t="inlineStr">
        <is>
          <t>LinkedIn</t>
        </is>
      </c>
      <c r="D30" t="inlineStr">
        <is>
          <t>linkedin</t>
        </is>
      </c>
      <c r="E30" t="inlineStr"/>
      <c r="F30" t="inlineStr"/>
      <c r="G30" t="inlineStr">
        <is>
          <t>Mountain View, CA</t>
        </is>
      </c>
      <c r="H30" t="inlineStr"/>
      <c r="I3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Bachelor's Degree in Computer Science or related technical discipline, or equivalent practical experience
* 4\+ years of experience in the industry with leading/ building deep learning systems.
* 4\+ years of experience with Java, C\+\+, Python, Go, Rust, C\# and/or Functional languages such as Scala or other relevant coding languages
* Hands\-on experience developing distributed systems or other large\-scale systems.
**Preferred Qualifications**
* BS and 8\+ years of relevant work experienceMS and 7\+ years of relevant work experience, or PhD and 4\+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search systems or similar large\-scale distributed systems
* Expertise in machine learning infrastructure, including technologies like MLFlow, Kubeflow and large scale distributed systems
* Experience with distributed data processing engines like Flink, Beam, Spark etc., feature engineering,
* Co\-author or maintainer of any open\-source projects
* Familiarity with containers and container orchestration systems
* Expertise in deep learning frameworks and tensor libraries like PyTorch, Tensorflow, JAX/FLAX
 Suggested Skills
* ML Algorithm Development
* Machine Learning and Deep Learning
* Information retrieval / recommendation systems / distributed serving / Big Data is a plus.
* Communication
* Stakeholder Management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1">
      <c r="A31" t="inlineStr">
        <is>
          <t>li-4361531500</t>
        </is>
      </c>
      <c r="B31" t="inlineStr">
        <is>
          <t>Sr. Software Engineer, Fullstack iOS</t>
        </is>
      </c>
      <c r="C31" t="inlineStr">
        <is>
          <t>LinkedIn</t>
        </is>
      </c>
      <c r="D31" t="inlineStr">
        <is>
          <t>linkedin</t>
        </is>
      </c>
      <c r="E31" t="inlineStr"/>
      <c r="F31" t="inlineStr"/>
      <c r="G31" t="inlineStr">
        <is>
          <t>San Francisco, CA</t>
        </is>
      </c>
      <c r="H31" t="inlineStr"/>
      <c r="I3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is based in San Francisco,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Talent Enterprise is LinkedIn’s organization dedicated to helping companies attract, develop, and retain top talent at scale. Within this group, LinkedIn Learning plays a pivotal role in enabling professionals and enterprises to build the skills they need to thrive in a rapidly evolving world of work. Our Role Play team is pioneering immersive learning experiences that empower learners to practice real‑world scenarios and gain confidence through feedback. By joining this team, you’ll contribute to solutions that transform enterprise learning and drive measurable impact for millions of members and thousands of organizations globally.
**Responsibilities**
* You will design, build, and ship member‑facing iOS features across LinkedIn Learning, LinkedIn, and Talent iOS (Recruiter) apps, ensuring performance, accessibility, and reliability at scale.
* You will own the full stack for your features: craft elegant native experiences in Swift (SwiftUI/UIKit) and integrate with backend services using GraphQL and gRPC.
* You will define and evolve data contracts, design service endpoints, and ensure secure, resilient client–server flows.
* You will collaborate cross‑functionally with Product, Design, and platform teams to deliver impactful learning and recruiting experiences quickly and safely.
* You will raise the bar on quality through thoughtful architecture, automated testing (XCTest/XCUITest), and continuous delivery practices.
* You will mentor engineers and lead technical initiatives, providing guidance on design decisions, code reviews, and best practices.
* You will champion accessibility and inclusive design, ensuring features meet or exceed WCAG standards and platform guidelines.
* You will contribute to platform health by improving modularity, reducing tech debt, and driving reliability metrics (crash‑free sessions, app performance).
* You will participate in incident response and post‑mortems, helping define preventative guardrails and operational playbooks.
**Qualifications**
 Basic Qualifications
* BA/BS in Computer Science or related technical field or equivalent practical experience
* 2\+ years of industry experience in software design, development, and algorithm related solutions.
* 2\+ years programming experience in languages such as Java, Python, Javascript, C/C\+\+, C\#, Objective\-C, Ruby, etc.
**Preferred Qualifications**
* BS and 5\+ years of relevant work experience, MS and 4\+ years of relevant work experience, or PhD and 2\+ years of relevant work experience.
 Suggest Skills
* Mobile (iOS): Swift, SwiftUI, Combine, UIKit, Objective‑C, async/await, GCD, Core Data, Networking, Instruments, Accessibility, XCTest, XCUITest
* Services \&amp; Data: GraphQL, REST, gRPC, JSON/Protobuf, Caching, Auth uthZ (OAuth/OIDC), Observability
* Product \&amp; Delivery: A/B testing, Feature flags, Analytics, CI/CD, Agile planning
* Security \&amp; Privacy: Secure coding, Data minimization, PII handling
* Leadership: Mentorship, Technical writing, Cross‑functional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to $206,000\.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2">
      <c r="A32" t="inlineStr">
        <is>
          <t>li-4361292739</t>
        </is>
      </c>
      <c r="B32" t="inlineStr">
        <is>
          <t>Sr. Staff Software Engineer, Developer Productivity Insights</t>
        </is>
      </c>
      <c r="C32" t="inlineStr">
        <is>
          <t>LinkedIn</t>
        </is>
      </c>
      <c r="D32" t="inlineStr">
        <is>
          <t>linkedin</t>
        </is>
      </c>
      <c r="E32" t="inlineStr"/>
      <c r="F32" t="inlineStr"/>
      <c r="G32" t="inlineStr">
        <is>
          <t>Mountain View, CA</t>
        </is>
      </c>
      <c r="H32" t="inlineStr"/>
      <c r="I3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The team is part of the Developer Platform Experience organization with the mission to empower LinkedIn engineers to ship high quality products, with confidence and high velocity. We provide infrastructure, tooling and experiences that enable and promote automatic validations, diagnostics and analytics across various stages of the development lifecycle and various technology stacks. We partner with organizations and engineering teams across the company to build the right strategy and investments that boost engineering productivity and product quality.
 As a Senior Staff Software Engineer, you will be responsible for shaping the company\-wide vision for accelerating developer productivity through data and insights, in partnership with engineering leaders across the company. You will be driving investments based on anything from industry best practices to innovative new AI technologies, need to address unique LinkedIn challenges and adapting to the rapidly\-evolving engineering landscape. The responsibilities include, but not limited to, building smart data collection, processing and actionable insights generation machinery with the goal of enabling your fellow engineers to maximize their productivity towards delivering on LinkedIn’s vision of creating economic opportunity for every member of the global workforce.
**Responsibilities:**
* Driving company level developer productivity uplift through data and insights.
* Shape and execute on the developer productivity analytics and insights strategy across the company.
* Provide effective data and actionable insights driven guidance to Developer Productivity strategy at the company level.
* Own and drive the technical roadmap and architecture for the developer productivity analytics and insights infrastructure and processes
* Continuously improve telemetry coverage/quality and tighten definitions to evolve metrics that drive better business decisions.
* Help maximize developer productivity gains by guiding proper application of AI tools and technologies to accelerate pace of engineering at the company level.
* Build innovative telemetry and analytics solutions by leveraging best of breed AI tools \&amp; technologies in the developer productivity domain.
* Quantify outcomes when randomized tests aren’t feasible, using sound alternatives and communicating assumptions and limits clearly.
* Own, manage and extend services and infrastructure, constantly improving and adding new features, while driving operational excellence.
* Promote and drive best practices and industry standards across the company.
* Partner with engineers and teams across the company to guide, influence and iterate on their dev productivity strategies and build best in class developer productivity solutions.
* Lead and mentor the next generation of engineering leaders by building a culture of craftsmanship and innovation.
**Qualifications**
**Basic Qualifications:**
* BA/BS Degree in Computer Science or related technical discipline, or related practical experience.
* 5\+ years of experience in software design, development, and algorithm related solutions
* 5\+ years of experience in programming languages such as Python, Java, C/C\+\+, C\#
* 2\+ years of experience in an architect or technical leadership position
**Preferred Qualifications:**
* BS and 10\+ years of relevant work experience, MS and 8\+ years of relevant work experience, or PhD and 6\+ years of relevant work experience.
* Strong hands\-on experience in the developer productivity domain in large engineering environments, including building, and operationalizing complex, reliable systems.
* Extremely passionate about data and insights as a key driver of organization engineering success.
* Development experience with AI tools like Cursor, Claude Code, Github co\-pilot
* Proven record of measurement strategy in developer productivity \- Crafting pragmatic plans, drive alignment across teams, and clearly present pros/cons to earn stakeholder buy\-in.
* Experience with CI/CD pipelines, common deployment models and infrastructure, and various techniques used to safely introduce change into production environments.
* Demonstrable experience with application of data and insights to improve organizational engineering practices.
* Experience designing and building data processing applications, pipelines and infrastructure at scale.
* Strong hands\-on experience with data processing pipeline technologies such as Spark, Flink, Trino, Airflow, Dagster, Openhouse, Lakehouse, Icerberg and Kafka.
* Experience with large\-scale distributed systems and client\-server architectures.
* Experience with strategic planning, executing on a long term roadmap, team development and scaling processes to support business growth.
* Experience leading by influence, formulating and driving technical strategies across various organizations.
**Suggested Skills:**
* Technical Leadership
* Backend development
* Developer Productivity
* Applications
* Large projects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3">
      <c r="A33" t="inlineStr">
        <is>
          <t>li-4361351622</t>
        </is>
      </c>
      <c r="B33" t="inlineStr">
        <is>
          <t>iOS Software Engineer - Platforms &amp; Experience</t>
        </is>
      </c>
      <c r="C33" t="inlineStr">
        <is>
          <t>LinkedIn</t>
        </is>
      </c>
      <c r="D33" t="inlineStr">
        <is>
          <t>linkedin</t>
        </is>
      </c>
      <c r="E33" t="inlineStr"/>
      <c r="F33" t="inlineStr"/>
      <c r="G33" t="inlineStr">
        <is>
          <t>Mountain View, CA</t>
        </is>
      </c>
      <c r="H33" t="inlineStr"/>
      <c r="I3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team, UX Engineering, is passionate about every pixel. At the heart of our work is our commitment to delivering a user experience that is accessible, consistent, high\-performing, and delightful. We are creating the framework for the next generation of consumer and enterprise applications at LinkedIn. As a Software Engineer on iOS, you will design and develop core user experience components, capabilities, and frameworks, establish the underlying infrastructure, collaborate with design systems and product engineering teams, and provide architectural guidance. Your role will enable these teams to experiment and build their features with high quality and velocity.
**Responsibilities**
* You will design and execute user\-facing features for the native LinkedIn app on iOS devices by leveraging mobile operating system frameworks for multi\-threading, persisting data, and managing user experience and graphics across multiple screen sizes.
* You will use the latest cutting edge technologies and libraries suggested by Apple for building responsive native apps for iOS.
* You will build scalable native mobile apps using LinkedIn’s internal libraries.
* You will produce high\-quality software that is unit tested, code reviewed and checked in regularly for continuous integration.
* You will provide technical leadership, driving best engineering practices to initiate, plan, and execute large\-scale, cross\-functional, and company\-wide critical programs.
**Qualifications**
**Basic Qualifications**
* BA/BS in Computer Science or related technical field or equivalent practical experience.
* 1\+ years of industry experience
* 1\+ years programming experience in languages such as Objective\-C, UIKit, Swift, Java, Kotlin.
**Preferred Qualifications**
* 2\+ years of relevant work experience.
* MS in Computer Science or related technical discipline.
**Suggest Skills**
* Objective\-C
* Swift
* iOS development toolchains such as Xcode
* Kotlin
* Java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$167,000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4">
      <c r="A34" t="inlineStr">
        <is>
          <t>li-4351733659</t>
        </is>
      </c>
      <c r="B34" t="inlineStr">
        <is>
          <t>Junior Software Engineer</t>
        </is>
      </c>
      <c r="C34" t="inlineStr">
        <is>
          <t>BeaconFire Inc.</t>
        </is>
      </c>
      <c r="D34" t="inlineStr">
        <is>
          <t>linkedin</t>
        </is>
      </c>
      <c r="E34" t="inlineStr"/>
      <c r="F34" t="inlineStr"/>
      <c r="G34" t="inlineStr">
        <is>
          <t>Washington, United States</t>
        </is>
      </c>
      <c r="H34" t="inlineStr"/>
      <c r="I3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5">
      <c r="A35" t="inlineStr">
        <is>
          <t>li-4361330418</t>
        </is>
      </c>
      <c r="B35" t="inlineStr">
        <is>
          <t>Software Engineer (Java, Js)</t>
        </is>
      </c>
      <c r="C35" t="inlineStr">
        <is>
          <t>Zippy</t>
        </is>
      </c>
      <c r="D35" t="inlineStr">
        <is>
          <t>linkedin</t>
        </is>
      </c>
      <c r="E35" t="inlineStr"/>
      <c r="F35" t="inlineStr"/>
      <c r="G35" t="inlineStr"/>
      <c r="H35" t="inlineStr"/>
      <c r="I35" t="inlineStr">
        <is>
          <t>**About The Company**
 Zippy was founded with a singular mission: to simplify, accelerate, and digitize the process of obtaining a loan for manufactured homes. Recognizing the affordability, eco\-friendliness, and stylish appeal of modern manufactured homes, Zippy aims to bridge the gap between consumers and lenders who understand this unique market. Headquartered in Dallas, Texas, with an additional office in Tempe, Arizona, Zippy serves manufactured home buyers across the United States through a fully online platform. Our remote\-first team is distributed across various cities including Dallas, Houston, Knoxville, Omaha, Philadelphia, Phoenix, and other states, allowing us to foster a flexible and collaborative work environment. Backed by reputable institutional investors, Zippy offers competitive compensation, stock options, and a comprehensive benefits package. Our core commitment is to finance happiness through innovative technology, striving to enhance consumers' financial outcomes and contribute to solving the affordable housing crisis. We are passionate about transforming the homeownership experience and making quality housing accessible for all.
**About The Role**
 We are seeking a visionary Principal Engineer to join our dynamic team. In this strategic leadership role, you will define Zippy’s technical vision and lead cross\-organizational initiatives with company\-wide impact. You will collaborate closely with executive leadership and cross\-functional teams to align technological strategies with business objectives, establish governance mechanisms, and drive technical excellence. Your expertise will be pivotal in architecting foundational platforms, setting reference architectures, and leading multi\-year initiatives that shape the future of our digital lending platform. As a key representative of Zippy’s technological thought leadership, you will influence industry standards and promote best practices internally and externally. This role offers an exciting opportunity to build the first fully digital, native loan origination platform for manufactured homes, impacting millions of Americans seeking affordable housing options.
**Qualifications**
* 12\+ years of professional software development experience
* Proven track record of leading company\-level technical initiatives
* Deep expertise in cloud architecture, scalability, and resilience
* Mastery across multiple domains and paradigms of systems architecture
* Exceptional communication and influencing skills at the executive level
* Experience in designing and implementing foundational platforms and reference architectures
* Strong understanding of security and reliability best practices
* Ability to lead multi\-year, cross\-functional projects with broad business impact
* Experience representing organizations as a technical thought leader
**Responsibilities**
* Define and communicate the company\-wide technical vision and strategic direction
* Architect and oversee the development of foundational platforms and reference architectures
* Lead complex, multi\-year initiatives that span multiple organizational units
* Establish and maintain governance processes such as technical councils and RFC standards
* Define and uphold the company’s reliability and security standards
* Partner with executive leadership to align technical investments with overall business strategy
* Represent Zippy externally as a thought leader in technology and innovation
* Mentor and guide engineering teams to foster technical excellence and best practices
* Stay abreast of industry trends and emerging technologies to inform strategic decisions
**Benefits**
* Competitive salary with potential for bonuses and variable pay
* Equity participation to share in company growth and success
* Remote work flexibility in a distributed team environment
* Comprehensive health insurance including medical, dental, and vision coverage
* Company\-subsidized short\-term and long\-term disability, life insurance
* Flexible Spending Accounts for medical and dependent care expenses
* Support for professional development through training and licensing resources
* Generous paid time off and encouragement to take leave
* Wellbeing programs including mental health and fitness resources
* Paid parental leave to support family growth
* No Meeting Wednesdays to promote focus and recharge
* Engagement in a vibrant Slack community fostering connection and fun
* Opportunities for career advancement within a growth\-oriented company
 Equal Opportunity
 Zippy is an equal opportunity employer committed to fostering a diverse and inclusive workplace. We do not discriminate based on race, color, national origin, religion, gender, gender identity, sexual orientation, age, veteran status, disability, or marital status. We welcome applicants from all backgrounds and encourage those who are passionate about our mission to apply, even if they do not meet 100% of the listed qualifications. Our goal is to create a welcoming environment where everyone can contribute and thrive.</t>
        </is>
      </c>
    </row>
    <row r="36">
      <c r="A36" t="inlineStr">
        <is>
          <t>li-4361331758</t>
        </is>
      </c>
      <c r="B36" t="inlineStr">
        <is>
          <t>Staff Software Engineer - Systems and Infrastructure</t>
        </is>
      </c>
      <c r="C36" t="inlineStr">
        <is>
          <t>LinkedIn</t>
        </is>
      </c>
      <c r="D36" t="inlineStr">
        <is>
          <t>linkedin</t>
        </is>
      </c>
      <c r="E36" t="inlineStr"/>
      <c r="F36" t="inlineStr"/>
      <c r="G36" t="inlineStr">
        <is>
          <t>Mountain View, CA</t>
        </is>
      </c>
      <c r="H36" t="inlineStr"/>
      <c r="I3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can be based in Mountain View, CA,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compute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own the technical strategy for broad or complex requirements with insightful and forward\-looking approaches that go beyond the direct team and solve large open\-ended problems.
* You will design, implement, and optimize the performance of large\-scale distributed systems with security and compliance in mind.
* You will Improve the observability and understandability of various systems with a focus on improving developer productivity and system sustenance.
* You will effectively communicate with the team, partners and stakeholders.
* You will mentor other engineers, define our challenging technical culture, and help to build a fast\-growing team.
* You will work closely with the open\-source community to participate and influence cutting edge open\-source projects (e.g., Apache Iceberg).
* You will deliver incremental impact by driving innovation while iteratively building and shipping software at scale.
* You will diagnose technical problems, debug in production environments, and automate routine tasks.
**Qualifications**
 Basic Qualifications
* BA/BS Degree in Computer Science or related technical discipline, or related practical experience.
* 4\+ years of industry experience in software design, development, and algorithm related solutions.
* 4\+ years experience programming in object\-oriented languages such as Java, C\+\+, Python, Go, Rust, C\# and/or Functional languages such as Scala or other relevant coding languages
* Hands on experience developing distributed systems, large\-scale systems, databases and/or Backend APIs
**Preferred Qualifications**
* BS and 8\+ years of relevant work experience, MS and 7\+ years of relevant work experience, or PhD and 4\+ years of relevant work experience.
* Experience in architecting, building, and running large\-scale distributed systems.
* Experience with industry, open source, and/or academic research in technologies such as Hadoop, Spark, Kubernetes, Feather, GraphQL, GRPC, Apache Kafka, Pinot, Samza or Venice.
* Experience with open\-source project management and governance.
 Suggested Skills:
* Distributed systems
* Backend Systems Infrastructure
* Java/Golang/Rust/Python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7">
      <c r="A37" t="inlineStr">
        <is>
          <t>li-4345871230</t>
        </is>
      </c>
      <c r="B37" t="inlineStr">
        <is>
          <t>Senior Software Engineer</t>
        </is>
      </c>
      <c r="C37" t="inlineStr">
        <is>
          <t>isolved</t>
        </is>
      </c>
      <c r="D37" t="inlineStr">
        <is>
          <t>linkedin</t>
        </is>
      </c>
      <c r="E37" t="inlineStr"/>
      <c r="F37" t="inlineStr"/>
      <c r="G37" t="inlineStr">
        <is>
          <t>Charlotte, NC</t>
        </is>
      </c>
      <c r="H37" t="inlineStr"/>
      <c r="I37" t="inlineStr">
        <is>
          <t>**Why Work Here**
* Headquarters is in Charlotte, NC
* Recently expanded to nearshore
* isolved ranked for SMB Payroll in 2023 Sapient Report
* Voted top places to work in USA 2023
**About The Role**
 We're looking for an experienced
 **Senior Software Engineer** 
 to join our agile team and help build innovative, enterprise\-level solutions. If you thrive in a collaborative environment and love solving complex problems, this is the role for you.
**Core Job Duties**
* Design, develop, and maintain user interface controls, business logic, and SQL Server stored procedures.
* Collaborate with an agile team to estimate backlog items, plan development activities, and continuously improve processes.
* Implement functionality following iSolved coding standards.
* Work closely with business analysts to clarify requirements and troubleshoot issues.
* Investigate and resolve third\-level support requests.
**What We´re Looking For**
* 5\-7\+ years of experience in web application/services development.
* Strong background in large enterprise or e\-business systems.
* Ability to design and implement complex functionality and mentor other developers.
* Proficiency in:
* Azure, Microservice Architecture, C\#, SQL, Unit Testing, .NET, JavaScript, HTML
* Frameworks: Knockout, Angular
* Databases: Azure CosmosDB or other NoSQL
* Pub/Sub and asynchronous messaging
* Docker, MVVM
* Experience with large systems (500\+ database tables) is a plus.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38">
      <c r="A38" t="inlineStr">
        <is>
          <t>li-4350689955</t>
        </is>
      </c>
      <c r="B38" t="inlineStr">
        <is>
          <t>Founding Senior Software Engineer ($200k-$325k + Equity) at VC-backed developer tools startup</t>
        </is>
      </c>
      <c r="C38" t="inlineStr">
        <is>
          <t>Jack &amp; Jill</t>
        </is>
      </c>
      <c r="D38" t="inlineStr">
        <is>
          <t>linkedin</t>
        </is>
      </c>
      <c r="E38" t="inlineStr"/>
      <c r="F38" t="inlineStr"/>
      <c r="G38" t="inlineStr">
        <is>
          <t>San Francisco, CA</t>
        </is>
      </c>
      <c r="H38" t="inlineStr"/>
      <c r="I38" t="inlineStr">
        <is>
          <t>This is a job that Jill, our AI Recruiter, is recruiting for on behalf of one of our customers.
 She will pick the best candidates from Jack's network.
 The next step is to speak to Jack.
 Founding Senior Software Engineer
**Salary:** 
 $200k\-$325k \+ Equity
**Company Description:** 
 VC\-backed developer tools startup
**Job Description:**
 Join as a founding engineer to build a world\-class firmware development platform from the ground up. Reporting directly to the CTO, you will own major product areas end\-to\-end, architecting complex technical systems for engineers building mission\-critical hardware. This is a high\-impact, hands\-on role defining the technical roadmap and building a team.
**Location:** 
 San Francisco, USA
**Why this role is remarkable:**
* Founding employee status with significant equity (1\.5\-3%) in a high\-potential seed\-stage venture.
* Direct influence on product strategy and technology stack, working side\-by\-side with the CEO and CTO.
* Opportunity to solve complex technical challenges involving computer vision and agentic flows for hardware engineering.
**What you will do:**
* Design and implement full\-stack features across desktop applications and cloud infrastructure.
* Build zero\-error computer vision systems and unified data ontologies for hardware documentation.
* Evolve the technical roadmap and establish development best practices across the entire product portfolio.
**The ideal candidate:**
* 4\+ years of experience shipping 0\-to\-1 products, specifically for highly technical users or developer audiences.
* Full\-stack expertise across React, Node.js, and Python with a focus on building scalable infrastructure.
* Strong interest or background in firmware, embedded systems, or hardware\-software integration workflows.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39">
      <c r="A39" t="inlineStr">
        <is>
          <t>li-4361371548</t>
        </is>
      </c>
      <c r="B39" t="inlineStr">
        <is>
          <t>Senior Software Engineer - Security Infrastructure</t>
        </is>
      </c>
      <c r="C39" t="inlineStr">
        <is>
          <t>LinkedIn</t>
        </is>
      </c>
      <c r="D39" t="inlineStr">
        <is>
          <t>linkedin</t>
        </is>
      </c>
      <c r="E39" t="inlineStr"/>
      <c r="F39" t="inlineStr"/>
      <c r="G39" t="inlineStr">
        <is>
          <t>Mountain View, CA</t>
        </is>
      </c>
      <c r="H39" t="inlineStr"/>
      <c r="I3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vision as the SecInfra team is to ensure that every resource at LinkedIn is provided a non\-repudiable identity that is used for secure inter service communication, every access to data at LinkedIn is safe and all secret material is cryptographically protected. Our mission is to make this security infrastructure intuitive, performant, and secure. We build highly reliable and scalable services and developer\-friendly infrastructure that enable engineering teams across the company to create and integrate secure features and proactively protect our members’ data. We are responsible for securing all microservices, nodes and large scale data systems in Linkedin’s ecosystem.
 We are looking for a motivated software engineer to join the PKI team to help us realize our vision to ensure that we provide infrastructure that is secured by default and applied everywhere across the Linkedin ecosystem. This team is responsible for ensuring the foundations of trust by establishing trust between nodes, managing identities and their lifecycle, managing CA and its infrastructure and securing the root of trust. This, combined with LinkedIn’s massive scale, is an exciting space to be a part of right now.
 The team is at an exciting juncture with a multi\-year roadmap focused on building secure and usable authentication and authorization solutions that directly impact the entirety of LinkedIn’s infrastructure. You will be empowered to play a key role in helping us execute on our roadmap and vision. We are looking for an engineer with sound technical acumen and the enthusiasm to learn, grow, and lead.
 Responsibilities:
* You will design and develop secure, performant, and user intuitive solutions for security infrastructure at LinkedIn’s massive scale that operate 24x7\.
* You will drive rapid product innovation and delivery while maintaining engineering excellence
* You will embrace and champion engineering best practices
* You will produce high quality software that is unit tested, code reviewed, and checked in regularly for continuous integration.
* You will drive continuous self\-development through curiosity, learning, and a desire to excel
* You will participate in design and code reviews to maintain our high development standards.
* You will partner with peers, leads and internal customers to define scope, prioritize and build cross organizational impactful features at a high velocity.
* You will mentor other engineers and will help build a fast\-growing team.
* You will work closely with the open\-source community to participate and influence cutting edge open\-source projects (e.g., SPIRE, HSM).
**Qualifications**
 Basic Qualifications:
* BA/BS Degree in Computer Science or related technical discipline, or related practical experience.
* 3\+ years of industry experience in software design, development, and algorithm related solutions.
* 3\+ years' experience programming in object\-oriented languages such as Java, C\+\+, Python, Go, Rust, C\# and/or other relevant coding languages
* Hands on experience developing distributed systems, large\-scale systems, databases and/or Backend APIs
* Experience in infrastructure, CI/CD pipeline
 Preferred Qualifications:
* BS and 5\+ years of relevant work experience, MS and 4\+ years of relevant work experience, or PhD and 2\+ years of relevant work experience
* Experience in architecting, building, and running large\-scale distributed systems
* Experience in infrastructure, CI/CD pipeline and Kubernetes
* Prior experience with Security and/or Cryptography strongly preferred, such as secure key management, PKI/CA lifecycle management, TLS/mutual TLS.
* Experience with industry, opensource, and/or academic research in technologies such as Kubernetes, SPIFFE, SPIRE, GRPC, cert\-manager.
* Experience with open\-source project management and governance
* Knowledge of, or strong interest in learning, Linux runtime security primitives such as secure/measured boot, SELinux, AppArmor, seccomp, and related kernel hardening mechanisms
* Knowledge of, or strong interest in learning, hardware security elements such as Hardware Security Modules (HSMs), Trusted Platform Modules (TPMs), and secure enclaves
 Suggested Skills:
* Distributed systems
* Backend Systems Infrastructure
* Java/Golang/Rust/Python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0">
      <c r="A40" t="inlineStr">
        <is>
          <t>li-4361311752</t>
        </is>
      </c>
      <c r="B40" t="inlineStr">
        <is>
          <t>Sr. Staff Software Engineer, Compute Infrastructure</t>
        </is>
      </c>
      <c r="C40" t="inlineStr">
        <is>
          <t>LinkedIn</t>
        </is>
      </c>
      <c r="D40" t="inlineStr">
        <is>
          <t>linkedin</t>
        </is>
      </c>
      <c r="E40" t="inlineStr"/>
      <c r="F40" t="inlineStr"/>
      <c r="G40" t="inlineStr">
        <is>
          <t>Mountain View, CA</t>
        </is>
      </c>
      <c r="H40" t="inlineStr"/>
      <c r="I4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 Sr. Staff Software Engineer of the Compute Infrastructure team at LinkedIn, you will play a crucial role in our ongoing efforts to re\-architect our compute infrastructure stack. This is a high\-profile, high\-impact project that will touch every aspect of our engineering organization. We are looking for experienced professionals who have a proven track record of designing large\-scale compute infrastructure and driving consensus.
 In this role, you will design and implement solutions that enable LinkedIn to scale its compute infrastructure to meet the demands of a rapidly growing user base. This will involve working closely with a team of experienced engineers, including distinguished engineers and technical fellows, to develop and operate solutions that are robust, scalable, and efficient. You will also need to work collaboratively with cross\-functional teams and be comfortable operating in a fast\-paced, dynamic environment.
 If you are passionate about building the underlying technology that powers one of the world's most\-used internet applications, and have the skills and experience to help us take our compute infrastructure to the next level, we want to hear from you. Apply now to join our team and help shape the future of LinkedIn.
**Responsibilities**
* You will directly contribute to LinkedIn’s Compute infrastructure strategy.
* You will build and operate a platform that allocates hardware resources with necessary physical/logical distribution for fault tolerance and easy maintenance.
* You will build and operate world class high performance scheduling/deployment solutions including some of the world's largest Kubernetes clusters to place stateless/stateful services, ML workloads and short running jobs efficiently.
* You will help up\-level and coach a large team of talented developers.
**Qualifications**
 Qualifications
**Basic Qualifications**
* 5\+ years of industry experience in software design, development, and algorithm related solutions
* 5\+ years of experience programming in object\-oriented languages such as Java, Go, C/C\+\+, Rust, Rust, Python
* Hands\-on experience developing large\-scale distributed systems
* 2\+ years of experience as an architect, or technical leadership position
* BS/BA in Computer Science or related technical field or equivalent technical experience
**Preferred Qualifications**
* 10\+ years of experience in software design, development, and algorithm related solutions with at least 5 years of experience in a technical leadership position
* 10\+ years of programming experience in an object\-oriented programming language such as Go, Java, C/C\+\+, Rust
* 5\+ years of experience building large\-scale compute infrastructure, and distributed systems
* Demonstrated understanding of operating system fundamentals, container technologies, and systems knowledge.
* Experienced in leading technical teams and mentoring other engineers
* Experience building and operating cluster management solutions such as Kubernetes.
* Experience with IaaS systems and capacity management.
* Experience with networking and security principles.
* Deep understanding of Kubernetes architecture and key components (API server, scheduler, kubelet, etc.), with a proven track record of deploying, managing, and troubleshooting Kubernetes clusters.
* Strong proficiency in Golang, as it is the primary language.
* Solid understanding of networking concepts relevant to Kubernetes, including CNI plugins and pod networking.
* Knowledge of Kubernetes security best practices such as RBAC, network policies, and Pod security policies.
* Proficiency with monitoring and logging tools such as Prometheus, Grafana, and Fluentd.
 Suggested Skills
* Distributed Systems
* Kubernetes
* Technical Leadership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1">
      <c r="A41" t="inlineStr">
        <is>
          <t>li-4102636765</t>
        </is>
      </c>
      <c r="B41" t="inlineStr">
        <is>
          <t>Senior Software Engineer (Remote)</t>
        </is>
      </c>
      <c r="C41" t="inlineStr">
        <is>
          <t>Covey</t>
        </is>
      </c>
      <c r="D41" t="inlineStr">
        <is>
          <t>linkedin</t>
        </is>
      </c>
      <c r="E41" t="inlineStr"/>
      <c r="F41" t="inlineStr"/>
      <c r="G41" t="inlineStr"/>
      <c r="H41" t="inlineStr"/>
      <c r="I41" t="inlineStr">
        <is>
          <t>**Who We Are**
 Covey is the world’s first generative AI recruiting co\-pilot deployed at scale in the enterprise. Covey’s smart AI co\-pilot, Scout, allows users to train custom bots that evaluate millions of candidate profiles with the same nuance as a human. Thanks to Scout, our users save time and focus on high\-quality interactions with qualified candidates
**About The Role**
 Covey is at an inflection point of growth. We’ve grown our revenue in the past year on the strength of AI adoption in the enterprise. This opportunity is perfect for someone who wants to join a growing company with strong traction, as well as iterate and build on best practices while executing them.
**What You'll Do**
 The technical challenges we are facing are complex. We’re looking for an experienced technical expert with a hands\-on, problem\-solving mindset—someone unafraid to tackle ambiguous challenges and who has a track record of building and scaling complex platforms. Your responsibilities will include:
* Identifying and advocating for projects of high complexity in order to meet business goals
* Taking ambiguous technical problem statements and turning them into an actionable plan, and then executing on it with the team
* Modeling and executing against requirements involving complex and interdependent systems
* Excellent written and verbal communication skills. You will be expected to dive in deep and emerge with a plan for execution
* Owning the overall quality, engineering excellence and technical competence of your work
**Qualifications**
* 10\+ years of professional experience as a software engineer
* Experience working in a fast\-paced, dynamic environment
* Must have experience in building and designing projects with good abstractions and architecture
* You strike a balance between delivering against business requirements and engineering excellence
* Has built software with Typescript
* Strong CS knowledge
* You care about product ownership and solving problems for our customers.
* You’re passionate about being in a product\-focused environment where everyone cares deeply about customer impact
**Bonus Points For**
* Have built and productionized products that use LLMs extensively involving any of prompt tuning, RAG, CoT or other LLM prompting strategies or fine\-tuning LLM models
* Extensive experience at early days at startup solving ambiguous problems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 2023\.
 Please see the independent bias audit report covering our use of Covey here.</t>
        </is>
      </c>
    </row>
    <row r="42">
      <c r="A42" t="inlineStr">
        <is>
          <t>li-4361284802</t>
        </is>
      </c>
      <c r="B42" t="inlineStr">
        <is>
          <t>Software Engineer - Full Stack</t>
        </is>
      </c>
      <c r="C42" t="inlineStr">
        <is>
          <t>TCI (Teachers' Curriculum Institute)</t>
        </is>
      </c>
      <c r="D42" t="inlineStr">
        <is>
          <t>linkedin</t>
        </is>
      </c>
      <c r="E42" t="inlineStr"/>
      <c r="F42" t="inlineStr"/>
      <c r="G42" t="inlineStr">
        <is>
          <t>Palo Alto, CA</t>
        </is>
      </c>
      <c r="H42" t="inlineStr"/>
      <c r="I42" t="inlineStr">
        <is>
          <t>**Description**
 Teachers’ Curriculum Institute (TCI) is a leading provider of K–12 curriculum solutions that combine engaging content, hands\-on learning, and powerful technology to bring education to life.
 TCI delivers innovative content to more than 50,000 K\-12 schools across the nation via our award\-winning products. As an established EdTech company, we make a difference in the lives of thousands of teachers and students every day through our programs, including the History Alive!, Social Studies Alive!, and Science Alive! series.
 We are seeking a mid\-level Full Stack Software Engineer to enhance TCI’s K–12 Teacher and Student platform. You’ll build end\-to\-end features across our Rails backend and React frontend, write well\-tested code, and collaborate with product and design to deliver iteratively. You will monitor and improve performance using APM/observability tools, contribute to AWS/Docker/GitLab CI infrastructure and pipelines, and take part in code reviews, pairing, and agile ceremonies to continuously improve quality and developer experience.
**Key Responsibilities**
* Build and maintain features across the stack: React/JavaScript on the frontend, Ruby on Rails on the backend.
* Write high\-quality, well\-tested code (RSpec, Jest), and participate in code reviews.
* Collaborate with product managers and designers to scope user stories and deliver value iteratively.
* Diagnose and resolve performance issues using APM and cloud metrics (e.g., Scout/Datadog/CloudWatch).
* Contribute to infrastructure and CI/CD improvements (AWS, Docker, GitLab CI).
* Participate in agile ceremonies and continuously improve our processes.
**Requirements**
* 3–5\+ years of professional software engineering experience.
* Experience with a modern MVC framework (Rails, Django, or similar) and a modern frontend framework (React, Vue, or similar).
* Strong SQL and relational database skills (PostgreSQL preferred).
* Familiarity with cloud infrastructure (AWS preferred) and containerization (Docker).
* Commitment to quality and maintainability with automated tests.
* Excellent written and verbal communication skills and experience collaborating in distributed teams.
**Nice To Have**
* Ruby on Rails, React, GitLab CI.
* Experience interpreting APM/cloud metrics to prevent and fix bottlenecks.
* EdTech experience or interest.
**Salary Range:** 
 $96,000 \- $145,000 annually
 This is a full\-time remote position. Base pay offered may vary depending on job\-related experience, skills, and location. TCI offers medical, dental, vision, 401k benefits, PTO and bonus eligibility.
**For this position, TCI is hiring in the following states only:** 
 CA, DC, FL, GA, HI, IL, KY, MI, MN, MT, NJ, OH, OR, PA, SC, TX, VA, WA
 Equal Opportunity Employer including Disability/Vets
 Be Aware of Recruitment Fraud. More information is available at https://www.teachtci.com/careers/recruitment\-fraud\-disclaimer/</t>
        </is>
      </c>
    </row>
    <row r="43">
      <c r="A43" t="inlineStr">
        <is>
          <t>li-4216451968</t>
        </is>
      </c>
      <c r="B43" t="inlineStr">
        <is>
          <t>Software Engineer, Batch Data</t>
        </is>
      </c>
      <c r="C43" t="inlineStr">
        <is>
          <t>Tecton</t>
        </is>
      </c>
      <c r="D43" t="inlineStr">
        <is>
          <t>linkedin</t>
        </is>
      </c>
      <c r="E43" t="inlineStr"/>
      <c r="F43" t="inlineStr"/>
      <c r="G43" t="inlineStr"/>
      <c r="H43" t="inlineStr"/>
      <c r="I43"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44">
      <c r="A44" t="inlineStr">
        <is>
          <t>li-4352291372</t>
        </is>
      </c>
      <c r="B44" t="inlineStr">
        <is>
          <t>Java Software Developer</t>
        </is>
      </c>
      <c r="C44" t="inlineStr">
        <is>
          <t>BeaconFire Inc.</t>
        </is>
      </c>
      <c r="D44" t="inlineStr">
        <is>
          <t>linkedin</t>
        </is>
      </c>
      <c r="E44" t="inlineStr"/>
      <c r="F44" t="inlineStr"/>
      <c r="G44" t="inlineStr">
        <is>
          <t>New Jersey, United States</t>
        </is>
      </c>
      <c r="H44" t="inlineStr"/>
      <c r="I44" t="inlineStr">
        <is>
          <t>💻
 **Job Title: Java Full Stack Developer** 
 📍
 **Location:** 
 Central New Jersey, USA (Hybrid/On\-site)
 🏢
 **Company:** 
 BeaconFire Inc.
 🕒
 **Job Type:** 
 Full\-Time \| Entry\-Level
 🌍
 **Visa Sponsorship:** 
 Available (E\-Verified Employer)
 🔹
 **About Us** 
**BeaconFire Inc.** 
 is a Central NJ\-based tech consulting firm specializing in
 **Software Development** 
 ,
 **Web Development** 
 , and
 **Business Intelligence** 
 . We’re looking for passionate and motivated individuals with a strong background in
 **Computer Science** 
 or
 **Software Engineering** 
 to join our team as
 **Java Full Stack Developers** 
 .
 🔹
 **Job Description** 
 As a
 **Java Full Stack Developer** 
 , you’ll be part of a collaborative team building secure, scalable, and high\-performance applications using
 **Java** 
 ,
 **Spring** 
 ,
 **Angular** 
 ,
 **React** 
 , and other modern technologies. You'll gain real\-world development experience while working on enterprise\-level projects.
 🔧
 **Key Responsibilities:** 
* Develop full\-stack applications using
 **Java 8\+/JEE** 
 ,
 **Spring** 
 ,
 **Angular 2\+** 
 ,
 **React.js** 
 ,
 **TypeScript** 
 ,
 **HTML5** 
 , and
 **CSS** 
 .
* Write clean, scalable, and maintainable code.
* Create, deploy, and maintain
 **automated system tests** 
 .
* Collaborate with QA teams to identify and resolve defects efficiently.
* Support continuous improvement through research and implementation of new technologies.
* Work within agile teams to meet sprint goals and deliver user stories.
 ✅
 **Requirements:** 
* Proficiency in
 **Java** 
 and
 **JavaScript** 
 .
* Solid understanding of
 **OOP** 
 principles and data structures (Collections, Maps, Lists, Sets, etc.).
* Familiarity with
 **software development life cycle (SDLC)** 
 .
* Knowledge of
 **SQL** 
 and relational databases like
 **SQL Server** 
 or
 **Oracle** 
 .
 ⭐
 **Preferred Qualifications:** 
* Master’s Degree in
 **Computer Science** 
 or a related field.
* 0–1 year of practical experience in Java development.
* Experience with
 **Spring** 
 ,
 **Maven** 
 ,
 **Angular** 
 ,
 **HTML/CSS** 
 .
* Familiarity with tools and servers like
 **Tomcat** 
 ,
 **RabbitMQ** 
 ,
 **WebLogic** 
 .
* Knowledge of
 **JSP** 
 ,
 **J2EE** 
 , and
 **JDBC** 
 is a plus.
**🎯 Why Join BeaconFire?** 
* 💼 Entry\-level opportunity with competitive pay.
* 🌍
 **Visa sponsorship available.**
* 🤝 Mentorship and hands\-on experience in full\-stack development.
* 🚀 Exposure to modern tools, frameworks, and enterprise projects.
* 🧠 Continuous learning in a collaborative, growth\-focused environment.</t>
        </is>
      </c>
    </row>
    <row r="45">
      <c r="A45" t="inlineStr">
        <is>
          <t>li-4348173130</t>
        </is>
      </c>
      <c r="B45" t="inlineStr">
        <is>
          <t>Software Engineer I (Fullstack, Hardware Accelerate)</t>
        </is>
      </c>
      <c r="C45" t="inlineStr">
        <is>
          <t>WHOOP</t>
        </is>
      </c>
      <c r="D45" t="inlineStr">
        <is>
          <t>linkedin</t>
        </is>
      </c>
      <c r="E45" t="inlineStr"/>
      <c r="F45" t="inlineStr"/>
      <c r="G45" t="inlineStr">
        <is>
          <t>Boston, MA</t>
        </is>
      </c>
      <c r="H45" t="inlineStr"/>
      <c r="I45" t="inlineStr">
        <is>
          <t>At WHOOP, we're on a mission to unlock human performance and healthspan. WHOOP empowers users to perform at a higher level through a deeper understanding of their bodies and daily lives. Our wearable device tracks key physiological metrics such as heart rate variability, resting heart rate, and sleep quality to provide personalized insights into users' fitness, health, and recovery.
 In this unique role, you'll work closely with talented Embedded, Signal Processing, Electrical, and Mechanical Engineers to assist in the production of world class technology at WHOOP in a dynamic, fun, multi\-disciplinary team.
 The Hardware Accelerate team within the Embedded Engineering organization develops technology that enables rapid innovation across WHOOP’s hardware teams. By creating cutting\-edge tools and systems, we streamline workflows and provide real\-time insights to engineers, ensuring efficient and high\-quality hardware development. As a Full stack Software Engineer, you will design and implement tools that integrate seamlessly with hardware processes, delivering impactful solutions to WHOOP’s engineering teams. This role is ideal for an engineer excited about building services that directly support testing, research, experimentation, and algorithm development across the organization.
**Responsibilities**
* Design and build solutions to support hardware development, combining user\-friendly front\-end interfaces with robust backend systems.
* Create tools that integrate with hardware equipment like environmental chambers, oscilloscopes, and other engineering devices.
* Develop APIs and services to enhance connectivity across hardware workflows.
* Automate and maintain high\-throughput data pipelines to provide real\-time insights to engineering teams.
* Collaborate with cross\-functional hardware teams to identify and address pain points in development workflows.
* Ensure systems are reliable, scalable, and aligned with WHOOP’s mission to deliver innovative hardware solutions.
**Qualifications**
* Proficiency in Python for backend development, with experience designing APIs and building distributed systems.
* Experience building front\-end applications using frameworks like React
* Familiarity with API and RESTful services.
* Experience with relational databases either Postgres, MySql, SQL. Optionally NoSQL databases.
* Comfortable using Git and collaborating in a version\-controlled environment.
* Experience with data pipelines, database systems, and interest in or exposure to tool integration for hardware workflows.
* Desire to learn and work outside of your discipline focus.
* Excellent teamwork/interpersonal skills and the ability to communicate effectively.
* Strong tendency to take initiative, to work autonomously and with minimal direction.
* A collaborative mindset and ability to work in a fast\-paced, feedback\-driven environment.
* Interest in or exposure to hardware development processes, with a willingness to learn.
* Strong commitment to embracing and leveraging AI tools in day\-to\-day tasks, ensuring AI\-assisted work aligns with the same high\-quality standards as personal contributions.
*This posting is for an immediate new hire to our team. For those graduating in the spring of 2026 seeking entry level roles, we kindly ask that you check out this* 
*New Grad Opportunities* 
*job posting instead to be considered for roles opening at that time. Thank you.*
*Learn more about our Software Org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$105,000 \- 135,000\.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46">
      <c r="A46" t="inlineStr">
        <is>
          <t>li-4328814383</t>
        </is>
      </c>
      <c r="B46" t="inlineStr">
        <is>
          <t>Software Engineer</t>
        </is>
      </c>
      <c r="C46" t="inlineStr">
        <is>
          <t>Tenable</t>
        </is>
      </c>
      <c r="D46" t="inlineStr">
        <is>
          <t>linkedin</t>
        </is>
      </c>
      <c r="E46" t="inlineStr"/>
      <c r="F46" t="inlineStr"/>
      <c r="G46" t="inlineStr">
        <is>
          <t>Columbia, MD</t>
        </is>
      </c>
      <c r="H46" t="inlineStr"/>
      <c r="I46"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seeking a
 **Full Stack Software Engineer** 
 to join our core product engineering teams. You will help design, develop, and maintain
 **cloud\-native, large\-scale cybersecurity products** 
 that protect organizations worldwide. Our platforms operate in complex, ever\-changing environments and demand innovation in
 **scalability, reliability, and performance** 
 .
 As a Software Engineer, you will work across the stack , building microservices, APIs, and user interfaces , leveraging
 **modern frameworks and cloud technologies.** 
 Your contributions will directly enable customers to secure their applications, infrastructure, and digital assets at scale.
**Your Opportunity**
* Implement new features, fix bugs, and enhance the scalability and reliability of our systems.
* Develop expertise in distributed systems, cloud platforms, and modern UI frameworks while working on real\-world security products.
* Work closely with Product Managers, UX designers, and fellow engineers to iteratively improve our products.
* Contribute ideas to improve Tenable’s architecture, development processes, and technology stack.
* Write clean, maintainable code, participate in code reviews, and help drive engineering best practices.
**What You’ll Need**
* 2\+ years of experience as a Full Stack Software Engineer in SaaS or cloud\-based applications.
* Hands\-on development experience with Java or Kotlin.
* Proficiency with at least one modern UI framework (React, Angular, or Vue.js).
* Solid understanding of RESTful API development and microservices architectures.
* Familiarity with AWS or other cloud platforms.
* Experience with databases (SQL or NoSQL such as PostgreSQL, DynamoDB, Elasticsearch).
* Exposure to CI/CD pipelines, containerization (Docker/Kubernetes), and Git\-based workflows.
* Strong problem\-solving skills with a focus on building reliable, performant, and secure applications.
* Good communication skills and a collaborative mindset.
* Passion for continuous learning and keeping up with emerging technologies.
**And Ideally**
* Experience with event\-driven systems (Kafka, SQS, SNS, etc.).
* Familiarity with infrastructure\-as\-code and observability tools (Terraform, Prometheus, Datadog, ELK, Splunk, PagerDuty).
* Prior experience in cybersecurity, DevSecOps, or related domains.
* Exposure to multi\-tenant SaaS or hybrid cloud architectures.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$114,500—$152,500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47">
      <c r="A47" t="inlineStr">
        <is>
          <t>li-4361311739</t>
        </is>
      </c>
      <c r="B47" t="inlineStr">
        <is>
          <t>Principal Staff Software Engineer, Capacity Infrastructure</t>
        </is>
      </c>
      <c r="C47" t="inlineStr">
        <is>
          <t>LinkedIn</t>
        </is>
      </c>
      <c r="D47" t="inlineStr">
        <is>
          <t>linkedin</t>
        </is>
      </c>
      <c r="E47" t="inlineStr"/>
      <c r="F47" t="inlineStr"/>
      <c r="G47" t="inlineStr">
        <is>
          <t>Mountain View, CA</t>
        </is>
      </c>
      <c r="H47" t="inlineStr"/>
      <c r="I4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Capacity Efficiency engineering organization is responsible for matching the supply of hardware and software resources at LinkedIn to current and anticipated demand for those resources. We deliver impact by ensuring that we have the capacity to meet the needs of traffic from our billion\+ members. We do this while also optimizing the cost of these resources.
 We are seeking a Principal Staff Software Engineer to join LinkedIn's Capacity Infrastructure team to play a critical role in designing and implementing the foundational datasets and tools that power the visibility, cost attribution and planning of LinkedIn Infrastructure.
 As a Principal Engineer, they will mentor team members, uphold a high bar for technical excellence, and elevate the team's overall capabilities. They will also embody and promote LinkedIn's Core Values \- transformation, collaboration, and results \- nurturing a culture that reflects these principles.
 In this role, you'll collaborate closely with cross\-functional partners, finance, bizops, product and capacity planning and customer stakeholders to strategize, design, and lead forward\-thinking solutions. A hands\-on approach to complex problem\-solving, coupled with strong leadership and a commitment to delivering high\-quality outcomes, is critical to your success.
**Responsibilities**
* We take an engineering\-first approach to elevate infrastructure. As a Principal Engineer, you'll be driving the strategy to reduce the total cost of ownership to run and operate our infrastructure.
* Build platforms to augment end\-to\-end reliability and scalability of LinkedIn's platforms, services, and products and bring actionable operational insights to enable continuous improvement.
* Scale: our data footprint continues to grow exponentially beyond 100s of thousands of servers, multiple exabytes of storage, 10s of trillions of events/messages \- arrive at a cohesive strategy and best practices to continue to scale our footprint 10x.
* Cloud\-based ecosystems are rapidly evolving. In this role, you will be expected to stay up to date with the latest cloud trends, including Kubernetes, serverless technologies, containers, and best practices for managing and optimizing large\-scale infrastructure performance and help define our strategy and roadmap to set us up to be competitive and get ahead of the trends.
* Provide architectural guidance and mentorship to elevate the engineering organization, actively enhancing craftsmanship at LinkedIn by establishing best practices and strategic approaches.
* Influence and lead architecture and design decisions with a strong focus on ensuring Effective Capacity Management and on Efficiencies
* Drive consensus across cross\-functional teams within a matrixed organization, fostering alignment and building a cohesive and collaborative team culture.
**Qualifications**
 Basic Qualifications
* BA/BS Degree or higher in Computer Science or related technical discipline, or related practical experience
* 10\+ years of experience in software design/development
* 7\+ years in a technical leadership role overseeing large, cross\-functional teams..
* 7\+ years' experience in/with programming skills in languages such as Python, Go, Java, Rust, Scala, or C\+\+
* Hands\-on experience developing distributed systems or other large\-scale systems
**Preferred Qualifications**
* MS Degree and/or PhD in Computer Science or related technical discipline, or equivalent practical experience
* 10\+ years programming experience in an object\-oriented programming language such as Java, C/C\+\+, Python
* Infrastructure capacity planning and forecasting experience in the tech industry
* Knowledge of AI/ML and data analytics
* Experience with large\-scale distributed systems and client\-server architectures
* Experience with Data Infrastructure tech stacks: Kafka/PubSub systems, Flink, Airflow, ETL framework and distributed storage (HDFS, S3/EBS, Object Storage, Couchbase, or similar)
* Experience architecting and launching complex AI and engineering projects
* Experience leading and influencing within large, matrixed organization
* Experience leading high\-impact, cross\-organization initiatives.
 Suggested Skills
* Technical Leadership
* Technical strategy
* Physical Infrastructure
* Capacity Management/Planning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$209,000 \- $343,000\.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48">
      <c r="A48" t="inlineStr">
        <is>
          <t>li-4352043075</t>
        </is>
      </c>
      <c r="B48" t="inlineStr">
        <is>
          <t>Associate Software Engineer</t>
        </is>
      </c>
      <c r="C48" t="inlineStr">
        <is>
          <t>BeaconFire Inc.</t>
        </is>
      </c>
      <c r="D48" t="inlineStr">
        <is>
          <t>linkedin</t>
        </is>
      </c>
      <c r="E48" t="inlineStr"/>
      <c r="F48" t="inlineStr"/>
      <c r="G48" t="inlineStr">
        <is>
          <t>Massachusetts, United States</t>
        </is>
      </c>
      <c r="H48" t="inlineStr"/>
      <c r="I48"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49">
      <c r="A49" t="inlineStr">
        <is>
          <t>li-4361590292</t>
        </is>
      </c>
      <c r="B49" t="inlineStr">
        <is>
          <t>Software Engineer: Data and Integrations (Remote)</t>
        </is>
      </c>
      <c r="C49" t="inlineStr">
        <is>
          <t>M3 USA</t>
        </is>
      </c>
      <c r="D49" t="inlineStr">
        <is>
          <t>linkedin</t>
        </is>
      </c>
      <c r="E49" t="inlineStr"/>
      <c r="F49" t="inlineStr"/>
      <c r="G49" t="inlineStr"/>
      <c r="H49" t="inlineStr"/>
      <c r="I49" t="inlineStr">
        <is>
          <t>**Company Description**
 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platforms that engage physician communities globally, facilitating impactful medical education, precise job placement, and insightful market research. M3 USA prides itself on a dynamic and innovative work environment where every team member contributes to global health advancements.
 Joining M3 USA means being part of a dedicated team striving to make a significant difference in healthcare. We provide a unique opportunity for you to be at the cutting edge of healthcare innovation, shaping the future in a meaningful career. Embrace the chance to drive change with M3 USA.
 Due to our continued growth, we are hiring for a
 **Software Engineer: Data and Integrations** 
 at
 **M3 USA.**
**Job Description**
 The
 **Data \&amp; Integrations Engineer** 
 is a Central Services role currently focused on M3 USA's clinical trials business, responsible for data pipelines, system integrations, and custom software solutions. This position requires a fast\-learning, adaptable generalist who can own the full technical stack, from infrastructure\-as\-code to Lambda functions to reporting, with limited technical guidance.
 The work spans ELT pipelines, Tableau reporting, AWS Lambda functions, infrastructure management with Pulumi, third\-party integrations, and AI\-powered process automation. The ideal candidate excels at translating business needs into pragmatic technical solutions and is comfortable working around imperfect vendor systems.
 As a Central Services position, responsibilities may evolve to support other M3 USA businesses over time, so it’s a great opportunity for a versatile engineer who values variety and growth.
**Essential Duties And Responsibilities**
**Development \&amp; Integration:**
* Develop AWS Lambda functions, APIs, and web applications to support business operations.
* Integrate third\-party SaaS platforms into business workflows, developing creative solutions to work around vendor limitations.
* Manage cloud infrastructure using Pulumi.
**Data Pipelines \&amp; Reporting**
* Build and maintain ELT pipelines to integrate and transform data across platforms.
* Support Tableau dashboards and ensure data quality for business\-critical reporting.
**AI \&amp; Automation**
* Design and implement AI\-powered automation to improve operational efficiency.
* Evaluate and integrate LLM APIs into business processes.
**Collaboration**
* Work with product managers and business stakeholders to understand requirements and deliver solutions.
* Participate in code review and maintain readable, well\-documented code.
**Qualifications**
**Required** 
 : SQL, Python, AWS (Lambda, S3\), infrastructure\-as\-code (Pulumi/Terraform), REST APIs, Tableau, generative AI coding tools (e.g., Claude Code, GitHub Copilot).
**Preferred** 
 : Snowflake, dbt, Fivetran, TypeScript, Google Analytics/GTM, LLM APIs (Claude, OpenAI), healthcare/clinical trials experience.
**Work Style \&amp; Experience**
* Startup or small\-team experience \- comfortable as the sole engineer with limited technical guidance.
* Pragmatic problem\-solver \- works around imperfect systems rather than waiting for ideal conditions.
* Strong written communication \- documents solutions clearly for non\-technical audiences.
* Breadth over depth \- comfortable across many technologies rather than specializing in one.
* Adaptable \- energized by evolving responsibilities and new challenges.
**Benefits**
**Additional Information**
 A career opportunity with M3 USA offers competitive wages, and benefits such as:
* Health and Dental
* Life, Accident and Disability Insurance
* Prescription Plan
* Flexible Spending Account
* 401k Plan and Match
* Paid Holidays and Vacation
* Sick Days and Personal Day
* M3 reserves the right to change this job description to meet the business needs of the organization
***M3 USA is an equal opportunity employer, committed to the principles of inclusion and diversity for all employees and to providing employees with a work environment free of discrimination and harassment.***
***All employment decisions at M3 USA are based on business needs, job requirements and individual qualifications, without regard to race, color, religion or belief, national, social or ethnic origin, sex (including pregnancy), age,***
*physical or mental disability,
 **medical history or genetic information, sexual orientation, gender identity and/or expression, marital status, past or present military service, family or parental status, or any other status protected by the federal, state or local laws or regulations in the locations where we operate.***</t>
        </is>
      </c>
    </row>
    <row r="50">
      <c r="A50" t="inlineStr">
        <is>
          <t>li-4361330416</t>
        </is>
      </c>
      <c r="B50" t="inlineStr">
        <is>
          <t>Full Stack Engineer</t>
        </is>
      </c>
      <c r="C50" t="inlineStr">
        <is>
          <t>Locus Robotics</t>
        </is>
      </c>
      <c r="D50" t="inlineStr">
        <is>
          <t>linkedin</t>
        </is>
      </c>
      <c r="E50" t="inlineStr"/>
      <c r="F50" t="inlineStr"/>
      <c r="G50" t="inlineStr"/>
      <c r="H50" t="inlineStr"/>
      <c r="I50" t="inlineStr">
        <is>
          <t>**About The Company**
 Locus Robotics is a pioneering leader in the rapidly expanding eCommerce order fulfillment optimization industry. Our innovative solutions are designed to significantly enhance warehouse operational efficiency by enabling collaborative work between human pickers and autonomous robots. Our technology seamlessly integrates with existing Warehouse Management Systems (WMS) and optimizes current infrastructure, resulting in substantial productivity gains—often achieving two to three times improvements over traditional cart\-picking methods. Serving major global brands, Locus Robotics is committed to deploying cutting\-edge robotics and software solutions that address the complex logistics challenges faced by modern warehouses. Our dynamic team fosters a culture of innovation, excellence, and continuous improvement, making us a trusted partner in the logistics and supply chain sectors.
**About The Role**
 We are seeking a highly experienced and motivated Principal Full Stack Engineer to join our team remotely within the United States. In this pivotal role, you will lead the design, development, and enhancement of our warehouse execution software, focusing on robotics integration and system scalability. You will have the opportunity to influence the technical direction of our products, working on both user interface and backend systems. Your expertise will help improve core functionalities, introduce new features, and ensure the robustness of our cloud\-based SaaS solutions. This role requires a strategic thinker with a strong background in modern software development practices, architecture, and leadership, capable of mentoring junior engineers and driving technical excellence across teams.
**Qualifications**
* Bachelor’s Degree in Computer Science, Software Engineering, or a related field
* 10\+ years of professional experience in software development
* Proficiency in SQL, C\#, and .NET framework with strong object\-oriented design skills
* Experience with API\-first development, particularly RESTful APIs
* Hands\-on UI development experience using frameworks like React.js or Angular.js
* Expertise in designing multi\-threaded, scalable applications supporting production environments
* Demonstrated ability to develop complex applications utilizing microservices architecture and message\-oriented systems
* Solid understanding of relational SQL and NoSQL databases, with Microsoft SQL experience preferred
* Strong analytical, problem\-solving, and attention to detail skills
* Deep knowledge of agile methodologies and Scrum practices
* Experience with Test Driven Development and automated testing frameworks
* Knowledge of warehouse automation systems and warehouse execution software is a plus
* Familiarity with additional programming languages such as Java, Go, Python, or Rust is advantageous
* Excellent written and verbal communication skills in English
**Responsibilities**
* Lead software architecture discussions, ensuring scalable and maintainable solutions through design reviews
* Provide technical leadership and mentorship to a team of talented engineers
* Develop high\-quality, reliable code for cloud\-based and self\-hosted SaaS products, including automated unit tests
* Contribute to system integration, performance testing, and the development of testing tools
* Own complex technical areas within the product, taking responsibility for troubleshooting and resolving issues promptly
* Write and maintain test cases within automated testing frameworks to ensure software quality
* Participate actively within Scrum teams to plan, execute, and deliver software increments in sprints
* Collaborate closely with UX designers, product managers, and fellow developers to deliver cohesive solutions
* Serve as a technical resource and mentor for junior team members, fostering knowledge sharing and best practices
* Contribute to the development of technical strategies and continuous improvement initiatives across teams
* Engage in other duties as required to support project and organizational goals
**Benefits**
* Competitive salary and comprehensive health benefits
* Flexible remote work arrangements or hybrid setup at our offices in Wilmington, MA, or Nashua, NH
* Opportunities for professional growth and career development
* Collaborative and innovative work environment
* Participation in cutting\-edge robotics and logistics projects
* Supportive company culture that values diversity, inclusion, and work\-life balance
 Equal Opportunity
 Locus Robotics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51">
      <c r="A51" t="inlineStr">
        <is>
          <t>li-4305308119</t>
        </is>
      </c>
      <c r="B51" t="inlineStr">
        <is>
          <t>Senior Software Engineer - Backend</t>
        </is>
      </c>
      <c r="C51" t="inlineStr">
        <is>
          <t>Dragos, Inc.</t>
        </is>
      </c>
      <c r="D51" t="inlineStr">
        <is>
          <t>linkedin</t>
        </is>
      </c>
      <c r="E51" t="inlineStr"/>
      <c r="F51" t="inlineStr"/>
      <c r="G51" t="inlineStr"/>
      <c r="H51" t="inlineStr"/>
      <c r="I51"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Senior Software Engineer to join our team in building the leading OT Security Platform. We work in a matrix style engineering organization which means in this role, you will be part of our Backend Community and the new Microsegmentation Product Team. To be successful at Dragos you will need to be passionate about your craft, work well across disciplines, and care deeply about the customers and problems we are solving. The Microsegmentation Product Team is building new capabilities into the market leading Dragos Platform, helping our customers configure their networks around specific applications, workloads, or even individual devices. At Dragos, we don’t hire software engineers whose only mission in life is to write code. We are looking for product engineers who yearn to contribute to more than just a code base and who are willing to stretch themselves to accomplish the mission. You are comfortable being uncomfortable. You don’t have an ego. You seek to continuously raise the bar, and you don’t allow artificial boundaries to impede you from solving difficult problems.
**Responsibilities**
* Design and implement robust, testable, high\-performance systems and tools in Rust.
* Optimize existing software architectures to enhance speed and efficiency.
* Actively participate in all phases of the development lifecycle, including debugging and optimization, ensuring and elevating software quality.
* Stay informed about the latest advancements in Rust programming, security, and software design principles, helping to foster an environment of continuous learning and improvement.
* Give and receive peer feedback on a normal cadence as part of our review cycle
**Qualifications**
* 5\+ years of experience developing backend systems in a fast paced, high performance team environment
* 3\+ years of experience in relational databases such as Postgres
* 3\+ years of experience with NoSQL databases such as Elasticsearch
* 3\+ years of experience working in a microservices architecture
* Solid understanding of Rust
* Familiarity with networking concepts like VLAN, SDN, and VXLAN
* Experience integrating with third party devices and data providers
* Experience incorporating AI tools, models, or services into development workflows
**Additional Qualifications That Will Help You Succeed**
* Strong understanding of networking security architecture and concepts like VLAN, SDN, and VXLAN
* Experience working with and integrating networking devices such as firewalls, switches, routers, and virtual appliances
* Experience building information security products
* Experience with micro\-segmentation network configurations
* Experience with cloud\-first development and deployment
* Experience with Kotlin, Go, and Python in production environments
**Compensation**
* Salary: $165,000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52">
      <c r="A52" t="inlineStr">
        <is>
          <t>li-4361571189</t>
        </is>
      </c>
      <c r="B52" t="inlineStr">
        <is>
          <t>Software Developer</t>
        </is>
      </c>
      <c r="C52" t="inlineStr">
        <is>
          <t>Best Job Tool</t>
        </is>
      </c>
      <c r="D52" t="inlineStr">
        <is>
          <t>linkedin</t>
        </is>
      </c>
      <c r="E52" t="inlineStr"/>
      <c r="F52" t="inlineStr"/>
      <c r="G52" t="inlineStr"/>
      <c r="H52" t="inlineStr"/>
      <c r="I52" t="inlineStr">
        <is>
          <t>**About The Company**
 Property Matrix is a leading provider of innovative property management software solutions designed for modern residential and commercial real estate operators. Our cloud\-based platform empowers mid\-size to enterprise clients by streamlining core operational processes, including online rent payments, tenant portals, maintenance workflows, document management, and integrated communication tools. With a focus on efficiency and user experience, Property Matrix is committed to transforming the way property management teams operate, enabling them to work faster, smarter, and more effectively. Our dedication to continuous innovation and customer satisfaction positions us as a trusted partner in the property management industry, supporting clients in achieving their business goals through technology.
**About The Role**
 We are seeking an enthusiastic Entry Level Software Developer to join our dynamic team at Property Matrix. This role is ideal for individuals eager to launch or accelerate their careers in software engineering. As part of our development team, you will have the opportunity to contribute directly to the development of our core products, working on features that are utilized by real customers daily. You will gain comprehensive exposure across the full software development lifecycle, including designing, coding, testing, debugging, and deploying new functionalities. This position offers a unique chance to build practical skills in a collaborative environment, learn best practices in software development, and make an immediate impact on our platform and its users. If you are passionate about technology, eager to learn, and motivated by creating solutions that enhance user experience and operational efficiency, this role provides a strong foundation for your professional growth.
**Qualifications**
 The ideal candidate should possess a foundational understanding of software development principles and a strong desire to grow their skills. A bachelor’s degree in Computer Science, Software Engineering, or a related field is preferred. Familiarity with programming languages such as Java, Python, JavaScript, or similar is advantageous. Basic knowledge of web development frameworks, databases, and version control systems like Git is desirable. Strong problem\-solving abilities, attention to detail, and a proactive attitude are essential. Excellent communication skills and the ability to work collaboratively within a team environment are also important. Prior internship or project experience in software development will be considered a plus, but motivated entry\-level candidates with a passion for learning are encouraged to apply.
**Responsibilities**
 As an Entry Level Software Developer at Property Matrix, your responsibilities will include:
* Assisting in the design, development, and implementation of new software features and enhancements.
* Writing clean, efficient, and well\-documented code aligned with project requirements.
* Participating in code reviews to ensure quality and adherence to best practices.
* Conducting testing and debugging of software modules to identify and resolve issues promptly.
* Collaborating with cross\-functional teams, including product managers, designers, and other developers, to deliver high\-quality solutions.
* Contributing to documentation and technical specifications to support ongoing development efforts.
* Continuously learning new technologies, tools, and methodologies to improve development practices and product quality.
**Benefits**
 At Property Matrix, we believe in supporting our employees’ growth and well\-being. We offer a comprehensive benefits package that includes competitive compensation, health insurance, and retirement plans. Employees have access to ongoing training and professional development opportunities to enhance their skills and career progression. We foster a collaborative and inclusive work environment that encourages innovation and creativity. Additionally, our flexible work arrangements and supportive team culture help maintain a healthy work\-life balance. Joining Property Matrix means becoming part of a forward\-thinking company that values your contributions and invests in your long\-term success.
 Equal Opportunity
 Property Matrix is an equal opportunity employer. We are committed to fostering an inclusive environment where all employees and applicants are treated with respect and fairness, regardless of race, color, religion, gender, gender identity or expression, sexual orientation, national origin, genetics, disability, age, or veteran status. We believe diversity enhances our innovation and success, and we welcome candidates from all backgrounds to apply and join our team.</t>
        </is>
      </c>
    </row>
    <row r="53">
      <c r="A53" t="inlineStr">
        <is>
          <t>li-4361571398</t>
        </is>
      </c>
      <c r="B53" t="inlineStr">
        <is>
          <t>Principal Staff Software Engineer, Infrastructure SRE</t>
        </is>
      </c>
      <c r="C53" t="inlineStr">
        <is>
          <t>LinkedIn</t>
        </is>
      </c>
      <c r="D53" t="inlineStr">
        <is>
          <t>linkedin</t>
        </is>
      </c>
      <c r="E53" t="inlineStr"/>
      <c r="F53" t="inlineStr"/>
      <c r="G53" t="inlineStr">
        <is>
          <t>Mountain View, CA</t>
        </is>
      </c>
      <c r="H53" t="inlineStr"/>
      <c r="I5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This role may be remote or hybrid. At LinkedIn, hybrid roles are performed both from home and from a LinkedIn office on select days, as determined by the business needs of the team. Remote roles are performed from the designated home work location upon time of hire, and any changes to this home work location requires a review of remote status and approval.
 We are seeking a Principal\-level Technical Lead to join LinkedIn's Infrastructure SRE organization. As the technical partner to the organizational leader, you will play a critical role in designing and implementing end\-to\-end solutions for the platform. The organization encompasses Site Health and Operations, Embedded Infrastructure SRE (supporting Data Infrastructure and Data/AI Platform partners), and Data Automation. The ideal candidate will have proven expertise in these domains, enabling them to design and lead comprehensive solutions that integrate seamlessly across the entire platform.
 As a Principal Staff Software Engineer, you will serve as a key technical leader and role model within the Infra SRE organization, driving the development of scalable and reliable infrastructure operations solutions powered by AI/ML. With the industry increasingly focused on AI, our efforts are aimed at enhancing productivity by building and deploying AI/ML solutions at scale in a sustainable manner, enabling the industrialization of AI.
 In this role, you will mentor team members, set a high standard for technical craftsmanship, and help elevate the team’s capabilities. You will also champion LinkedIn’s Core Values of transformation, collaboration, and results, fostering a culture that aligns with these principles. From time to time you may have to jump in to do hands\-on coding and often review PRs from other engineers and guide them towards clean, efficient, bug\-free code. You should inspire the team to maintain code hygiene, unit testing, test coverage and other better engineering practices.
 You will work closely with partners and customer stakeholders to strategize, design, and lead innovative solutions while taking a hands\-on approach to problem\-solving. Strong leadership skills and a focus on delivering high\-quality solutions are essential for success in this role.
**Responsibilities:**
* We take an engineering\-first approach to elevate infrastructure operations and reliability. As a Principal Engineer, you’ll be driving the strategy to bring down the total cost of ownership to run and operate our infrastructure.
* Build platforms to augment end\-to\-end reliability and scalability of LinkedIn’s platforms, services, and products and bring actionable operational insights to enable continuous improvement.
* You will be defining appropriate Service Level Objectives (SLOs) and managing error budgets to balance reliability with innovation and feature development for infrastructure.
* Scale: our data footprint continues to grow exponentially beyond 100s of thousands of servers, multiple exabytes of storage, 10s of trillions of events/messages \- arrive at a cohesive strategy and best practices to continue to scale our footprint 10x.
* Cloud\-based ecosystems are rapidly evolving. In this role, you will be expected to stay up to date with the latest cloud trends, including Kubernetes, serverless technologies, containers, and best practices for managing and optimizing large\-scale infrastructure performance and help define our strategy and roadmap to set us up to be competitive and get ahead of the trends.
* Provide architectural guidance and mentorship to elevate the engineering organization, actively enhancing craftsmanship at LinkedIn by establishing best practices and strategic approaches.
* Influence and lead architecture and design decisions with a strong focus on ensuring Site Up as the top priority
* Drive consensus across cross\-functional teams within a matrixed organization, fostering alignment and building a cohesive and collaborative team culture.
**Qualifications**
**Basic Qualifications:**
* 10\+ years of industry experience in software design, development, and algorithm related solutions
* 10\+ years of experience programming in object\-oriented languages such as Java, Go, C/C\+\+, Rust, Rust, Python
* Hands\-on experience developing large\-scale distributed systems
* 4\+ years of experience as an architect, or technical leadership position
* BS/BA in Computer Science or related technical field or equivalent technical experience
**Preferred Qualifications:**
* MS Degree in Computer Science or related technical discipline, or equivalent practical experience
* Experience working in the site reliability space
* Professional experience working in the technology industry
* Experience with Data Infrastructure tech stacks: Kafka/PubSub systems, Flink, Airflow, ETL framework and distributed storage (HDFS, S3/EBS, Object Storage, Couchbase, or similar)
* Experience architecting and launching complex AI and engineering projects
* Experience leading and influencing within large, matrixed organization
* Experience leading high\-impact, cross\-organization initiatives.
**Suggested Skills:**
* Large Distributed Systems
* Architecture
* Developing technology strategies at a company\-wide scale.
* Technical leadership
* Cross functional work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$226,000 \- $369,000\.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4">
      <c r="A54" t="inlineStr">
        <is>
          <t>li-4352765510</t>
        </is>
      </c>
      <c r="B54" t="inlineStr">
        <is>
          <t>Full Stack Engineer</t>
        </is>
      </c>
      <c r="C54" t="inlineStr">
        <is>
          <t>BeaconFire Inc.</t>
        </is>
      </c>
      <c r="D54" t="inlineStr">
        <is>
          <t>linkedin</t>
        </is>
      </c>
      <c r="E54" t="inlineStr"/>
      <c r="F54" t="inlineStr"/>
      <c r="G54" t="inlineStr">
        <is>
          <t>New Jersey, United States</t>
        </is>
      </c>
      <c r="H54" t="inlineStr"/>
      <c r="I54"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55">
      <c r="A55" t="inlineStr">
        <is>
          <t>li-4328771803</t>
        </is>
      </c>
      <c r="B55" t="inlineStr">
        <is>
          <t>Software Engineer, iOS</t>
        </is>
      </c>
      <c r="C55" t="inlineStr">
        <is>
          <t>Tinder</t>
        </is>
      </c>
      <c r="D55" t="inlineStr">
        <is>
          <t>linkedin</t>
        </is>
      </c>
      <c r="E55" t="inlineStr"/>
      <c r="F55" t="inlineStr"/>
      <c r="G55" t="inlineStr">
        <is>
          <t>San Francisco, CA</t>
        </is>
      </c>
      <c r="H55" t="inlineStr"/>
      <c r="I5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56">
      <c r="A56" t="inlineStr">
        <is>
          <t>li-4217741463</t>
        </is>
      </c>
      <c r="B56" t="inlineStr">
        <is>
          <t>Senior Software Engineer, Machine Learning, Calibration</t>
        </is>
      </c>
      <c r="C56" t="inlineStr">
        <is>
          <t>Nuro</t>
        </is>
      </c>
      <c r="D56" t="inlineStr">
        <is>
          <t>linkedin</t>
        </is>
      </c>
      <c r="E56" t="inlineStr"/>
      <c r="F56" t="inlineStr"/>
      <c r="G56" t="inlineStr">
        <is>
          <t>Mountain View, CA</t>
        </is>
      </c>
      <c r="H56" t="inlineStr"/>
      <c r="I56"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team is growing and we are looking for a Software Engineer to join our Sensor Data and Calibration team. We are searching for an engineer with robotics and machine learning expertise to develop online and offline unstructured (targetless) sensor calibration algorithms. The ideal candidate has hands\-on experience in the research, development, and implementation of machine learning methods with sensor data (IMU, camera, lidar, radar, etc.). Experience with classical state estimation techniques (non\-linear least\-squares optimization, lie algebra) is a bonus.
**About The Work**
* Research and develop state\-of\-the\-art state estimation and calibration algorithms combining classic robotics and modern ML techniques.
* Analyze and characterize the accuracy and performance of state estimation and calibration algorithms.
* Integrate state estimation and calibration pipelines into the autonomy system and analyze onboard performance and resource utilization.
* Work cross\-functionally with other autonomy teams to accelerate the training of ML models and end\-to\-end performance evaluation.
* Answer critical questions about sensor data and autonomy performance.
**About You** 
* One of:
+ PhD in machine learning, computer science, electrical engineering, robotics, or related field, and 3\+ years of industry experience.
+ Masters and 4\+ years of industry experience.
+ 5\+ years of industry experience.
* Deep understanding of ML fundamentals with hands\-on experience in training and evaluating modern ML models.
* Strong Python skills with experience in deep learning frameworks, e.g., PyTorch, TensorFlow, or Jax.
**Bonus Points** 
* 
+ Deep understanding of 3D geometry and state estimation fundamentals.
+ Proficiency in systems coding.
+ Experience in building offline/online state estimation and/or calibration algorithms with camera, lidar, radar, IMU, etc.
+ Experience in simulating/modeling real sensors (camera, lidar, radar, IMU, etc...), including noise modeling.
+ Experience in building ML pipelines and optimizing/productizing ML models.
+ Demonstrated research publications in top conferences (e.g. NeurIPS, ICLR, ICML, CVPR, RSS, CoRL, ICRA).
 At Nuro, your base pay is one part of your total compensation package. For this position, the reasonably expected base pay range is between $193,930 and $291,150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57">
      <c r="A57" t="inlineStr">
        <is>
          <t>li-4361520554</t>
        </is>
      </c>
      <c r="B57" t="inlineStr">
        <is>
          <t>Principal Software Engineer</t>
        </is>
      </c>
      <c r="C57" t="inlineStr">
        <is>
          <t>Disney Experiences</t>
        </is>
      </c>
      <c r="D57" t="inlineStr">
        <is>
          <t>linkedin</t>
        </is>
      </c>
      <c r="E57" t="inlineStr"/>
      <c r="F57" t="inlineStr"/>
      <c r="G57" t="inlineStr">
        <is>
          <t>Orlando, FL</t>
        </is>
      </c>
      <c r="H57" t="inlineStr"/>
      <c r="I57" t="inlineStr">
        <is>
          <t>The Principal, Software Engineer will drive strategic vision and innovation across the Guest and Cast Experience domain by defining and evolving application development processes, standards, and best practices. This role involves architecting scalable, high\-performance solutions aligned with industry\-leading architectural principles to address complex challenges in high velocity, high performance, horizontally scalable, multi\-cloud and multi\-region resilient systems that power personalized guest experiences.
 Key responsibilities include providing architectural leadership and guidance to delivery teams while collaborating across cross\-functional stakeholders to ensure solutions are technically robust and aligned with business objectives. Approximately 80% of the role focuses on architectural solutioning, with the remaining 20% dedicated to hands\-on activities such as code reviews, technical validation, exploring new patterns, tools, skills, AI enhancements, and knowledge sharing.
 Success in this role requires deep expertise in high performance, highly scalable systems, a strong grasp of agile development methodologies, and a track record of implementing enterprise\-grade, server\-driven solutions. The ideal candidate is a visionary leader with a practical mindset, committed to enhancing development efficiency, scalability, and the delivery of exceptional digital experiences.
**Key Responsibilities:**
* Architect Sustainable Solutions: Partner with teams to design and implement cost\-effective, scalable solutions adhering to Guest and Cast Experience strategic vision.
* Technical Design and Integration: Translate business requirements into detailed technical designs, including blueprints, schemas, and integration with large scale backend systems across multiple delivery teams.
* Maintain Technical Currency: Provide leadership to ensure systems are up to date with the latest approved technologies and releases.
* Advance Technical Knowledge: Stay current with the latest development techniques, methodologies, and tools; apply innovative findings to projects. AI tools and skills abilities a must to define and adopt new development and testing paradigm
* Enhance Platform Capabilities: Mature capabilities like observability, self\-recover, sensors to detect issues before they cripple the experience, and workflow automation.
* Optimize Performance: Define best practices for maintaining performance, scalability, and reliability of digital experience solutions.
* Enable Continuous Delivery: Architect solutions that support continuous integration, delivery, and full system availability.
* Efficient Estimation: Provide high\-level estimates for project planning and impact analysis, even in ambiguous scenarios.
* Collaborative Leadership: Guide diverse technical teams, challenge the status quo, and propose innovative solutions to enhance efficiency and effectiveness.
**Required Qualification:**
* Proven Expertise: 10\+ years of experience in software architecture and development, with 5\+ years influencing highly technical professionals across diverse portfolios.
* Leadership Excellence: Confidently lead multiple projects across teams and organizations, fostering creativity and innovation in an inclusive culture that values diverse perspectives and promotes belonging.
* Strategic Decision\-Making: Agile and adept at making quick decisions to address complex technical and operational challenges, ensuring efficient and effective solutions.
* Technical Presentation Skills: Eloquent and professional communicator with demonstrated ability to present to groups, C\-suite executives, and leadership in both in\-person and virtual environments.
* Technical Mastery: Extensive experience in Java, integrated cloud solutions (AWS and GCP), as well as CI/CD platforms like Jenkins, Harness, and GIT source control.
* AI and Modern Solutions: Architect scalable solutions leveraging AI technologies, large language models (LLMs), MCP servers, Agentic AI Architecture, both client and server\-side AI technologies.
* Advanced Platform Expertise: Proficient in NoSQL and semi\-structured databases (MongoDB, Snowflake, Couchbase), combination of Claude Code, Claude CLI, Cursor, Amazon Q including Developer Q and Quick Insight.
* Operational Efficiency: Document and visualize solutions using advanced tools and diagrams while enabling continuous delivery and deployment via containerization (Docker) and monitoring tools (Splunk, Grafana, AppDynamics).
* Cutting\-Edge Insights: Agentic Architecture, building and integration with other MCP Servers, Agent Development
* Technical Curiosity and Initiative: Highly curious and proactive in exploring emerging technologies, continuously learning, and driving innovation in areas like Python development, cloud\-native tools, and DevOps practices.
**Preferred Qualification:**
* Domain Expertise in Guest and Cast Experience: Understanding of theme park industry especially with focus on digital Guest Experience, ability to work with both domestic and international stakeholders, building platforms that span and support multiple installations with as much configuration as possible.
* Technical Proficiency Across Modern Frameworks: Skilled in developing cloud\-native solutions with platforms such as AWS, Azure, or GCP, and experience with cutting\-edge frameworks and languages, including Node.js, and Typescript. Proficient in server side technologies including Lambda, Snowflake, DynamoDB.
* Industry Experience and Strategic Insight: Deep understanding of the hospitality or travel industries, leveraging insights to design scalable, guest\-centric digital solutions. Proven ability to set and execute strategic architectural directions that align with organizational goals and evolving technology landscapes.
* Leadership and Collaboration Excellence: Demonstrated ability to lead, mentor, and coach technical teams, fostering innovation and growth while building strong cross\-functional partnerships to drive enterprise\-level initiatives.
* Scalable Solutions and Operational Expertise: A track record of implementing efficient and scalable architectures, integrating advanced technologies for recommendation building, handling very large data sets with minimal latency, and push architecture.
**Required Education**
* Bachelor's or foreign equivalent Degree in Computer Science, Information Systems, Software Engineering or comparable field of study, and/or equivalent work experience
**Preferred Education**
* Master's degree in computer science, Information Technology, or related field</t>
        </is>
      </c>
    </row>
    <row r="58">
      <c r="A58" t="inlineStr">
        <is>
          <t>li-4352679117</t>
        </is>
      </c>
      <c r="B58" t="inlineStr">
        <is>
          <t>Full Stack Engineer (C# / .NET + Python) – Execution Platform - Algo Trading - Up to $500k TC - Multiple Headcount - Greenfield build - High-performance distributed systems</t>
        </is>
      </c>
      <c r="C58" t="inlineStr">
        <is>
          <t>Mondrian Alpha</t>
        </is>
      </c>
      <c r="D58" t="inlineStr">
        <is>
          <t>linkedin</t>
        </is>
      </c>
      <c r="E58" t="inlineStr"/>
      <c r="F58" t="inlineStr"/>
      <c r="G58" t="inlineStr"/>
      <c r="H58" t="inlineStr"/>
      <c r="I58" t="inlineStr">
        <is>
          <t>**Full Stack Engineer (C\# / .NET \+ Python) – Execution Platform \-Algo Trading \- Up to $500k TC \- Multiple Headcount \- Greenfield build \- High\-performance distributed systems** 
*Join a globally respected quantitative investment firm where engineering sits at the core of a high\-performing systematic equities platform. The firm is recognised for its scientific approach, deep computing infrastructure, and the opportunity for engineers to work directly alongside trading and investment stakeholders.* 
 The firm is building a new Trading Technology Desk team and is hiring
 **Full Stack Engineers** 
 to design and build a
 **greenfield execution monitoring and control platform** 
 , supporting core desk workflows and real\-time decision\-making at scale.
**The Role** 
 This role is ideal for engineers who enjoy owning full systems end\-to\-end — from UI to backend services, from system design to production reliability. You’ll develop performance\-critical services primarily in
 **C\# / .NET** 
 (with some Python), while building desk\-facing UI components that support execution and operational workflows.
 You’ll work closely with trading stakeholders, helping translate real\-world desk processes into robust, scalable systems that can operate in a live trading environment.
**Key Responsibilities** 
* Design and build scalable backend services in
 **C\# / .NET** 
 (primary language)
* Contribute to Python tooling and data processing where needed
* Build desk\-facing UI components with modern frontend frameworks (React preferred)
* Lead or contribute to system design: distributed services, API design, performance strategy
* Improve reliability and observability across production systems (monitoring, logging, alerting)
* Partner with traders and desk stakeholders to deliver high\-impact solutions quickly
* Own delivery across the full lifecycle: design → implementation → deployment → production support
**Ideal Candidate** 
**Required** 
* Strong engineering experience building production\-grade systems
* Hands\-on experience in
 **C\# / .NET** 
 (or Java/C\+\+ with willingness to move into C\#)
* Solid system design skills and an understanding of distributed systems
* Performance\-aware mindset and strong engineering fundamentals
* Able to contribute across UI and backend components
* Strong communication and ability to work directly with desk stakeholders
**Preferred** 
* Python experience (or willingness to learn quickly)
* Experience in financial markets, trading, or systematic environments
* Understanding of real\-time systems, monitoring platforms, or high\-throughput services
* Strong UI appreciation — they value engineers who care about usability and polish
**Why Join** 
* Architect and build a
 **brand\-new platform** 
 close to execution
* Work directly with traders in a high\-impact, high\-visibility environment
* Strong engineering culture with ownership and technical depth
* Market\-leading compensation and long\-term growth opportunities</t>
        </is>
      </c>
    </row>
    <row r="59">
      <c r="A59" t="inlineStr">
        <is>
          <t>li-4342099555</t>
        </is>
      </c>
      <c r="B59" t="inlineStr">
        <is>
          <t>Senior Software Engineer</t>
        </is>
      </c>
      <c r="C59" t="inlineStr">
        <is>
          <t>Albert Bow</t>
        </is>
      </c>
      <c r="D59" t="inlineStr">
        <is>
          <t>linkedin</t>
        </is>
      </c>
      <c r="E59" t="inlineStr"/>
      <c r="F59" t="inlineStr"/>
      <c r="G59" t="inlineStr">
        <is>
          <t>San Francisco, CA</t>
        </is>
      </c>
      <c r="H59" t="inlineStr"/>
      <c r="I59" t="inlineStr">
        <is>
          <t>**Senior Software Engineer \| San Francisco \| AI/Customer Experience \| Up to $230K \+ equity**
 We are working with a YC backed start\-up who are in the AI space, they help customer experience teams level up performance through automated coaching.
 They You'll take ownership of key tech decisions, shape the product, mentor others, and grow in unexpected ways. Expect hands\-on impact across the stack – from AI integrations to core architecture – with plenty of “wow, we built that” moments along the way.
**Day\-to\-Day**
* Design and scale systems that analyse large volumes of customer interactions from various platforms, surfacing insights and performance signals in real time
* Build adaptive training tools across chat, voice, and video that respond naturally to user input, creating lifelike roleplay experiences
* Craft responsive, high\-speed interfaces capable of managing complex AI workflows without compromising user experience
* Support teammates through hands\-on mentoring while helping shape key technical choices and long\-term engineering direction
**Skills/Experience**
* Proven experience thriving in fast\-paced, constantly evolving start\-up environments
* Skilled at building and shipping complex, user\-facing products from the ground up
* Deep expertise in modern web technologies, especially TypeScript and Next.js
* Comfortable owning key technical decisions, leading parts of the product, mentoring teammates, and continuously learning new tools and frameworks
 If you this sounds interesting to you apply with a CV!!
 Thanks,
 Chloe
 ﻿</t>
        </is>
      </c>
    </row>
    <row r="60">
      <c r="A60" t="inlineStr">
        <is>
          <t>li-4352930623</t>
        </is>
      </c>
      <c r="B60" t="inlineStr">
        <is>
          <t>Full Stack Engineer</t>
        </is>
      </c>
      <c r="C60" t="inlineStr">
        <is>
          <t>BeaconFire Inc.</t>
        </is>
      </c>
      <c r="D60" t="inlineStr">
        <is>
          <t>linkedin</t>
        </is>
      </c>
      <c r="E60" t="inlineStr"/>
      <c r="F60" t="inlineStr"/>
      <c r="G60" t="inlineStr">
        <is>
          <t>Illinois, United States</t>
        </is>
      </c>
      <c r="H60" t="inlineStr"/>
      <c r="I6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61">
      <c r="A61" t="inlineStr">
        <is>
          <t>li-4345860175</t>
        </is>
      </c>
      <c r="B61" t="inlineStr">
        <is>
          <t>Software Engineer III, Performance, AI Platforms</t>
        </is>
      </c>
      <c r="C61" t="inlineStr">
        <is>
          <t>Google</t>
        </is>
      </c>
      <c r="D61" t="inlineStr">
        <is>
          <t>linkedin</t>
        </is>
      </c>
      <c r="E61" t="inlineStr"/>
      <c r="F61" t="inlineStr"/>
      <c r="G61" t="inlineStr">
        <is>
          <t>Sunnyvale, CA</t>
        </is>
      </c>
      <c r="H61" t="inlineStr"/>
      <c r="I61" t="inlineStr">
        <is>
          <t>**Minimum qualifications:**
* Bachelor’s degree or equivalent practical experience.
* 2 years of experience with software development in one or more programming languages.
* 2 years of experience with performance, large\-scale systems data analysis, visualization tools, or debugging.
* 2 years of experience with computer architecture, performance analysis, and performance modeling.
* Experience in performance analysis and optimization for compute platforms such as CPUs, TPUs, and GPUs.
**Preferred qualifications:**
* Master's degree or PhD in Computer Science or a related technical field.
* Experience in microarchitectures, reliability and performance programming, and multi\-thread/multi\-core programming.
* Experience in architecture analysis and optimization (including system architecture and performance modeling), machine learning system theory, TensorFlow, and compiler optimizations.
* Understanding of low\-level performance, memory/storage systems, and concurrent programming techniques for addressing performance and reliability issues.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AI\-augmented Compute Efficiency (ACE) team is dedicated to addressing the affordability gap through focused efforts on scaling, adapting, and simplifying software\-hardware interfaces amidst the swift evolution of customer demands. Our mission is to collaboratively enhance the efficiency, performance, reliability, and resilience of new compute platforms—including Central Processing Units (CPUs), Tensor Processing Units (TPUs), and Graphics Processing Units (GPUs) ensuring these innovations are effectively aligned with the urgent needs of our Cloud and Machine Learning fleets.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Enhance the efficiency, performance, reliability, and corruption resilience of new compute platforms such as CPUs, TPUs, and GPUs, ensuring these innovations are effectively aligned with the urgent needs of our Cloud and Machine Learning fleets.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2">
      <c r="A62" t="inlineStr">
        <is>
          <t>li-4354745443</t>
        </is>
      </c>
      <c r="B62" t="inlineStr">
        <is>
          <t>Junior Software Engineer</t>
        </is>
      </c>
      <c r="C62" t="inlineStr">
        <is>
          <t>Tech Consulting</t>
        </is>
      </c>
      <c r="D62" t="inlineStr">
        <is>
          <t>linkedin</t>
        </is>
      </c>
      <c r="E62" t="inlineStr"/>
      <c r="F62" t="inlineStr"/>
      <c r="G62" t="inlineStr">
        <is>
          <t>North Carolina, United States</t>
        </is>
      </c>
      <c r="H62" t="inlineStr"/>
      <c r="I62" t="inlineStr">
        <is>
          <t>Are you excited about taking your technical career to new heights with a full\-time, W\-2 role as a consultant in a dynamic and rapidly growing company? If you are, let's get in touch –
 *your interest is the first step to starting the conversation.* 
**What This Role Requires:** 
 • 2\-5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63">
      <c r="A63" t="inlineStr">
        <is>
          <t>li-4332067992</t>
        </is>
      </c>
      <c r="B63" t="inlineStr">
        <is>
          <t>Full Stack Engineer</t>
        </is>
      </c>
      <c r="C63" t="inlineStr">
        <is>
          <t>SPECTRAFORCE</t>
        </is>
      </c>
      <c r="D63" t="inlineStr">
        <is>
          <t>linkedin</t>
        </is>
      </c>
      <c r="E63" t="inlineStr"/>
      <c r="F63" t="inlineStr"/>
      <c r="G63" t="inlineStr">
        <is>
          <t>Reston, VA</t>
        </is>
      </c>
      <c r="H63" t="inlineStr"/>
      <c r="I63" t="inlineStr">
        <is>
          <t>**Job Title: Full\-Stack Developer** 
**Location: Reston, VA, 20190** 
**Duration: 12 months** 
**Description:**
 We are seeking a motivated and talented React Native Software Developer to join our dynamic team. This role offers an excellent opportunity to work on exciting projects and grow your skills in a collaborative environment.
**JOB RESPONSIBILITIES INCLUDE:** 
* Works as part of the software development team to develop and debug web and mobile applications
* Assists in analyzing, maintaining, and implementing software applications.
* Learns the Corporate Software Development Methodology Framework and adheres to development standards
* Develop and maintain web applications using React Native \&amp; React.js, GraphQL, HTML, CSS, and JavaScript/TypeScript.
* Consumes RESTful \&amp; GraphQL APIs on Node.js, and is open to learning and implementing the same too.
* Collaborate with cross\-functional teams to define, design, and ship new features.
* Participate in code reviews and contribute to the continuous improvement of our development processes.
* Utilize version control systems like GitHub for code management and collaboration.
* Work with application Subject Matter Experts on identifying and resolving issues
* Understand and apply software design patterns.
* Collaborate with team members to find better, more efficient ways of doing things.
* Participate in peer\-led engineering and code reviews.
* Develop an understanding of the benefits of quality assurance within enterprise software applications
* Assist in the development and execution of test cases and system test plans.
**Education and Experience Requirements:**
* Requires bachelor's degree (or international equivalent) in Computer Science or Information Systems with 2\-5 years of relevant work experience; or 6\-9 years of relevant work experience without a bachelor’s degree.
* Knowledge, understanding and practical experience of web \&amp; mobile development technologies such as HTML, CSS, React \&amp; React Native, JavaScript/TypeScript.
* Good understanding of latest front\-end frameworks and backend technologies
* Practical knowledge and work experience with React Native \&amp; React.js.
* Familiarity with version control systems, particularly GitHub.
* Good understanding of relational databases and querying using SQL.
* Strong problem\-solving and researching skills and eagerness to learn.
* Good communication and teamwork abilities.
**Other Preferred Qualifications**
 :
* Practical knowledge of building backend systems with Node.js and GraphQL.
* Understanding of agile development methodologies.
* Experience with additional frameworks or libraries.
* Familiarity with DevOps practices and tools.
* Familiarity of cloud platforms like Azure</t>
        </is>
      </c>
    </row>
    <row r="64">
      <c r="A64" t="inlineStr">
        <is>
          <t>li-4352791325</t>
        </is>
      </c>
      <c r="B64" t="inlineStr">
        <is>
          <t>Java Software Developer</t>
        </is>
      </c>
      <c r="C64" t="inlineStr">
        <is>
          <t>ITC Federal</t>
        </is>
      </c>
      <c r="D64" t="inlineStr">
        <is>
          <t>linkedin</t>
        </is>
      </c>
      <c r="E64" t="inlineStr"/>
      <c r="F64" t="inlineStr"/>
      <c r="G64" t="inlineStr">
        <is>
          <t>Richmond, VA</t>
        </is>
      </c>
      <c r="H64" t="inlineStr"/>
      <c r="I64" t="inlineStr">
        <is>
          <t>**Overview**
**JOB TITLE:** 
 Java Software Developer
**GOVERNMENT AGENCY** 
 : USCIS DMOS
**POSITION INFORMATION** 
 : Full\-time
**LOCATION:** 
 Remote/Telework
**POSITION TIMING:** 
 Candidate will obtain a USCIS Public Trust clearance which must be complete prior to starting work. The clearance typically takes 4\-6 weeks to process.
**CLEARANCE REQUIREMENTS:** 
 Ability to obtain a USCIS Public Trust
**BENEFITS:** 
 Health, Dental and Vision, 401(k), Tuition Reimbursement, Flexible Spending Account (FSA), 11 Paid Federal Holidays, 3 weeks' Paid Time Off
 ITC Federal is an information technology and consulting company focused on servicing the needs of the Federal Government. Our mission is to apply earned expertise in information technology and information assurance/security to assist this client in achieving its mission. ITC is located in Fairfax, VA and offers outstanding compensation and benefits plan and a challenging and rewarding professional work environment.
**Responsibilities**
**Responsibilities**
**Responsibilities**
 The Java Developer will support the USCIS DMOS program by delivering high\-quality software solutions to enhance operational efficiency and modernization efforts. Responsibilities include:
* Designing, developing, and maintaining Java\-based applications.
* Supporting chatbot development and maintenance to improve customer service and mission support.
* Developing applications and integrations within ServiceNow (preferred).
* Building and maintaining solutions in Amazon Web Services (AWS) cloud environments.
* Analyzing user requirements and developing software solutions to address needs.
* Participating in the full Software Development Lifecycle (SDLC), including design, coding, testing, deployment, and support.
* Triaging incidents, determining root causes, and resolving software issues.
* Testing, debugging, and documenting code; tracking issues and fixes using Jira.
* Supporting IT modernization initiatives and ensuring alignment with agency objectives.
* Designing and customizing software and databases to optimize operational efficiency.
* Deploying code changes in demo environments, working with JMS listeners and REST endpoints for system\-to\-system communication.
* Working with XML payload ingestion and Web Services for data processing.
* Collaborating with cross\-functional teams and stakeholders while also operating independently when needed.
* Supervising and coordinating multi\-vendor software development projects and diverse programming teams.
* Experience supervising multi\-vendor software development projects and a diverse group of computer programmers.
**Qualifications**
**REQUIRED EXPERIENCE:**
* 3\+ years of professional Java development experience.
* Experience in developing, creating, and modifying software applications for large user groups.
* Strong background in software testing, debugging, and issue resolution (Jira experience required).
* Proven ability to quickly learn and support complex workflows and codebases.
* Experience analyzing user needs and creating scalable software solutions.
* Background in IT modernization and SDLC projects.
* Experience with incident triage and root cause analysis.
* S. Citizenship and ability to obtain and maintain a USCIS Public Trust clearance.
* Ability to work independently with limited direction, as well as in cross\-functional team environments.
**Preferred Experience**
* Experience developing and maintaining chatbots for government agency use.
* ServiceNow development experience.
* AWS development experience.
* Previous USCIS project or ELIS tool experience.
* Experience supervising multi\-vendor projects.
* Familiarity with the following tools/technologies:
+ Atlassian Suite (Jira, Confluence)
+ ServiceNow
+ GitHub
+ Jenkins
+ RESTful Web Services
+ JMS listeners
+ XML payload ingestion
 ITC Federal is an equal opportunity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is>
      </c>
    </row>
    <row r="65">
      <c r="A65" t="inlineStr">
        <is>
          <t>li-4361530916</t>
        </is>
      </c>
      <c r="B65" t="inlineStr">
        <is>
          <t>Software Engineer II</t>
        </is>
      </c>
      <c r="C65" t="inlineStr">
        <is>
          <t>Microsoft</t>
        </is>
      </c>
      <c r="D65" t="inlineStr">
        <is>
          <t>linkedin</t>
        </is>
      </c>
      <c r="E65" t="inlineStr"/>
      <c r="F65" t="inlineStr"/>
      <c r="G65" t="inlineStr">
        <is>
          <t>Redmond, WA</t>
        </is>
      </c>
      <c r="H65" t="inlineStr"/>
      <c r="I65" t="inlineStr">
        <is>
          <t>**Overview**
 Join the Windows Cloud Experiences team and help shape the future of remote desktop technology. As part of the Windows \+ Devices organization, our mission is to build innovative, cloud\-powered solutions that redefine how users connect and collaborate from anywhere.
 We are seeking a
 **Software Engineer II** 
 passionate about new technologies, high\-quality code, and engineering excellence. In this dual\-role position, you will drive both software and data engineering initiatives—delivering rapid, iterative product releases while generating data\-driven insights to improve the quality of our remote desktop stack, protocol, and graphics scenarios. Our team values motivated engineers who bring growth mindset a positive attitude, and ability to transform ambiguity into impact.
**Learn More**
* Azure Virtual Desktop: https://learn.microsoft.com/en\-us/azure/virtual\-desktop/
* Windows 365: https://learn.microsoft.com/en\-us/windows\-365/
 At Microsoft, our mission is to empower every person and every organization on the planet to achieve more. We foster a culture of respect, integrity, and accountability, where inclusion and collaboration fuel innovation, and where your work can have real, global impact.
**Responsibilities**
* Collaborating with engineers, Product Managers, and designers to deliver seamless, secure, and high\-performance remote desktop experiences for the Windows platform.
* Contributing to the identification of dependencies, and the development of design documents for a product area with little oversight.
* Creating and implementing code for a product, service, or feature, reusing code as applicable.
* Designing and implementing robust and scalable data systems that enable data\-driven decision\-making.
* Identifying, modeling, and delivering actionable metrics that directly contribute to measurable improvements.
* Visualizing and articulating complex concepts and insights effectively to stakeholders and team members.
* Ensuring software quality, data accuracy and integrity through comprehensive testing and quality assurance
**Qualifications**
**Required Qualifications:**
* Bachelor's Degree in Computer Science or related technical field AND 2\+ years technical engineering experience with coding in languages including, but not limited to, C, C\+\+, C\#, Java, JavaScript, or Python
+ OR equivalent experience.
* 2\+ years experience with databases, data warehousing, and data languages such as Synapse and SQL.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4\+ years experience with modern C\+\+ and/or C\# .NET development. Windows Windows application development, including COM, WinRT, and NT Services.
* Experience with live site engineering, telemetry, and cross\-team collaboration. Experience with Azure services and Kusto (KQL).
* Experience in SaaS and desktop virtualization.
* Familiarity with machine learning, distributed storage, and computation platforms such as Spark or PySpark, Hadoop, Scala, or Cosmos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6">
      <c r="A66" t="inlineStr">
        <is>
          <t>li-4328880034</t>
        </is>
      </c>
      <c r="B66" t="inlineStr">
        <is>
          <t>Senior Software Engineer, API Enablement</t>
        </is>
      </c>
      <c r="C66" t="inlineStr">
        <is>
          <t>Upstart</t>
        </is>
      </c>
      <c r="D66" t="inlineStr">
        <is>
          <t>linkedin</t>
        </is>
      </c>
      <c r="E66" t="inlineStr"/>
      <c r="F66" t="inlineStr"/>
      <c r="G66" t="inlineStr"/>
      <c r="H66" t="inlineStr"/>
      <c r="I66"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Event Bus, Experimentation, and gRPC team is responsible for building frameworks and tooling to support Event Driven Architectures, safe and measurable roll out of new features, and efficient service to service communication. We do this by owning the build process and libraries for the four primarily supported languages at Upstart (Ruby, Kotlin, Python, and TypeScript). These platform products allow Upstart engineers to use them in a simple and secure way. Ease of use, performance, data quality, observability, and security are our guiding principles.
 As a
 **Senior Software Engineer** 
 on Upstart’s Event Bus, Experimentation, and gRPC team, you are empowered to design and implement high impact, cross cutting solutions that touch nearly every service within Upstart. We are a small and high impacting team contributing to Upstart’s North Star Architecture and need a product\-oriented engineer who is excited to contribute across Event Bus, Experimentation, and gRPC internal tooling.
***Position Location \-***
 This role is available in the following locations: Remote, San Mateo, Columbus, Austin
***Time Zone Requirements \-***
 This team operates on the East/West Coast time zones.
***Travel Requirements \-***
 As a digital first company, the majority of your work can be accomplished remotely. This team also has regular onsite collaboration sessions. These occur roughly once per quarter (\~3 days at a time) in one of our main offices (Columbus, OH, Austin, TX or San Mateo, CA). If you need to travel to make these meetups, Upstart will cover all travel related expenses.
**How you’ll make an impact:**
* Lead the design and development of new features and improvements to existing features.
* Collaborate with cross\-functional teams to understand requirements and bring those insights into building an impactful roadmap for the team
* Establish best practices for achieving an Event Driven Architecture, safe feature rollout, and service to service, API design.
* Mentor junior engineers and promote a culture of technical excellence
* Contribute to quality improvements within our team and the engineering organization in a meaningful way
**What we’re looking for:**
**Minimum Qualifications**
* Bachelor’s or Master’s degree in Computer Science or related field
* 5\+ years of professional experience
* Strong communication skills and ability to collaborate effectively with cross\-functional teams.
* Strong proficiency in one or more of Kotlin, Java, Python, Ruby, or Typescript programming languages
* Proficiency in automated testing patterns
* Experience in building highly observable systems
**Preferred Qualifications**
* Experience with Kotlin, Python, Ruby, or Typescript
* Experience with Kafka
* Experience with gRPC
* Experience with A/B testing and/or Feature Flagging
* Strong sense of ownership and accountability for the quality and timely delivery of work
* Ability to thrive both in self\-directed work environments and in collaborative settings, contributing positively to team dynamic.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67">
      <c r="A67" t="inlineStr">
        <is>
          <t>li-4340765763</t>
        </is>
      </c>
      <c r="B67" t="inlineStr">
        <is>
          <t>Software Engineer Full Stack &amp; Application Development I (Full Time) – United States</t>
        </is>
      </c>
      <c r="C67" t="inlineStr">
        <is>
          <t>Cisco</t>
        </is>
      </c>
      <c r="D67" t="inlineStr">
        <is>
          <t>linkedin</t>
        </is>
      </c>
      <c r="E67" t="inlineStr"/>
      <c r="F67" t="inlineStr"/>
      <c r="G67" t="inlineStr">
        <is>
          <t>Fulton, MD</t>
        </is>
      </c>
      <c r="H67" t="inlineStr"/>
      <c r="I6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68">
      <c r="A68" t="inlineStr">
        <is>
          <t>li-4328736102</t>
        </is>
      </c>
      <c r="B68" t="inlineStr">
        <is>
          <t>Senior Backend Engineer - Device Platform</t>
        </is>
      </c>
      <c r="C68" t="inlineStr">
        <is>
          <t>Verkada</t>
        </is>
      </c>
      <c r="D68" t="inlineStr">
        <is>
          <t>linkedin</t>
        </is>
      </c>
      <c r="E68" t="inlineStr"/>
      <c r="F68" t="inlineStr"/>
      <c r="G68" t="inlineStr">
        <is>
          <t>San Mateo, CA</t>
        </is>
      </c>
      <c r="H68" t="inlineStr"/>
      <c r="I68"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**What You'll Do**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**What You Bring**
* Degree in Computer Science or similar technical field of study
* 6\+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$160,000—$260,000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69">
      <c r="A69" t="inlineStr">
        <is>
          <t>li-4361521551</t>
        </is>
      </c>
      <c r="B69" t="inlineStr">
        <is>
          <t>Principal Staff Software Engineer, Online Analytics Infrastructure</t>
        </is>
      </c>
      <c r="C69" t="inlineStr">
        <is>
          <t>LinkedIn</t>
        </is>
      </c>
      <c r="D69" t="inlineStr">
        <is>
          <t>linkedin</t>
        </is>
      </c>
      <c r="E69" t="inlineStr"/>
      <c r="F69" t="inlineStr"/>
      <c r="G69" t="inlineStr">
        <is>
          <t>Mountain View, CA</t>
        </is>
      </c>
      <c r="H69" t="inlineStr"/>
      <c r="I6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Team Description
 At LinkedIn, our Online Infrastructure organization powers systems and technologies that enable rich, online access to LinkedIn's economic graph data and insights for all of LinkedIn's online features and capabilities. We do this by building cutting edge and innovative planet\-scale HA systems, and by relentlessly pursuing operational excellence and customer obsession to support LinkedIn's product teams.
 The Graph and Online Analytics Infrastructure group in the Online Infra organization is at the cutting edge of building online distributed databases and services that power real\-time insights and graph traversals for our members directly and as critical real\-time computations for our member\-facing features like recommender systems, targeting and personalization use cases.
 As part of the Graph and Online Analytics Infrastructure group, you will have the opportunity to devise and own our multi\-year, multi\-systems Online Analytics strategy to support LinkedIn's growth at this critical juncture of our AI transformation for our members, customers and for ourselves.
 You will be driving LinkedIn’s Online Analytics strategy and its implementation with the rigor and pragmatism demonstrated by your world\-class expertise in the domain and prior successes in generating critical business outcomes. You will play a pivotal role in building systems and services in the domain, developing talent, augmenting culture of rigor and customer obsession and partner across Product Platforms, Online Infra and across the company to realize the benefits of online and real\-time analytics at scale. As the primary domain expert, you are expected to provide technical leadership, drive architectural decisions and implementation across the group. You will research, develop, build and ship cutting edge technologies in partnership with the group to achieve Linkedin' business goals. You will inculcate and reinforce rigor, operational excellence and customer obsession in our group and our organization.
**Responsibilities**
* Architect Real\-Time Analytics Platforms: Design and implement distributed query engines and APIs for sub\-second latency across heterogeneous systems.
* Own and Evolve Core Systems: Drive the roadmap, scalability, and operational excellence of our existing web\-scale analytics systems; ensure these systems meet future analytics demands.
* Drive Service and Operational Excellence: Define and drive service and operational excellence for online analytics services at consumer\-internet scale.
* Culture Builder: Establish and nurture a culture of customer obsession and business impact, combined with high rigor, technical craft, and innovation.
* Cross\-System Optimization: Lead architectural decisions for query planning, caching, and optimizations across multiple engines.
* Technical Leadership: Mentor senior engineers, set technical standards, and foster a culture of excellence.
* Industry Engagement: Represent the organization in real\-time analytics forums
**Qualifications**
 Basic Qualifications
* BS in Computer Science or equivalent.
* 10\+ years in distributed systems and real\-time analytics platforms.
* 5\+ years in technical leadership roles for OLAP or real\-time query engines.
* Experience in developing and scaling large scale databases or analytics systems
* Experience with building columnar storage, vectorized execution, and cost\-based optimizers.
* Experience with coding in Java, C\+\+, or Rust; knowledge of query execution, indexing, and concurrency.
**Preferred Qualifications**
* MS/PhD in Computer Science or related field.
* Experience with distributed online analytics systems and databases.
* Expertise in query federation, semantic modeling, and BI integration.
* Expertise with columnar storage, vectorized execution, and rule\-based as well as cost\-based optimizers.
* Experience building interactive services or analytics APIs for large\-scale systems.
* Experience with communication and ability to influence cross\-functional teams.
* Background in industry thought leadership.
* Demonstrated ability to align technical decisions with business outcomes and drive customer\-centric innovation.
 Suggested Skills:
* Distributed Systems design
* Real\-time analytics platforms
* Cloud\-native architecture
* Deep understanding of concurrency, distributed algorithms, and data structures.
* Familiarity with columnar storage, vectorized execution, and query optimizers.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$218,000 to $357,000\.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0">
      <c r="A70" t="inlineStr">
        <is>
          <t>li-4328782150</t>
        </is>
      </c>
      <c r="B70" t="inlineStr">
        <is>
          <t>Senior Software Engineer, Atlas Search Systems</t>
        </is>
      </c>
      <c r="C70" t="inlineStr">
        <is>
          <t>MongoDB</t>
        </is>
      </c>
      <c r="D70" t="inlineStr">
        <is>
          <t>linkedin</t>
        </is>
      </c>
      <c r="E70" t="inlineStr"/>
      <c r="F70" t="inlineStr"/>
      <c r="G70" t="inlineStr">
        <is>
          <t>New York, NY</t>
        </is>
      </c>
      <c r="H70" t="inlineStr"/>
      <c r="I70" t="inlineStr">
        <is>
          <t>Our team is building the cloud\-based distributed systems software responsible for the lifecycle of search indexes including: data ingestion, index building, partitioning, performance, availability, and backup management. Our product is quickly gaining traction with customers and we are making core architectural improvements that you will contribute to.
 We are looking to speak to candidates who are based in NYC for our hybrid working model.
 What you’ll do
* Contribute to the design, implementation, and support of projects that improve the scalability of Atlas Search to make using it a seamless experience for even the largest workloads
* Work with a collaborative team that prioritizes sound technical decision\-making and building systems that our customers love and that we are proud of as engineers
* Lead projects and own subsystems
* Help determine the team’s roadmap and the architecture of our system
 We’re looking for someone with
* 5\+ years of hands\-on experience designing, building, testing, and maintaining industrial\-strength backend software in a complex codebase
* Experience developing distributed systems and cloud services
* Experience with at least one modern statically typed programming language, and interest in working with Java. Java experience is strongly preferred
* Excellent verbal and written technical communication skills; enthusiasm for collaborating closely with colleagues and mentoring other engineers
* A growth mindset and the desire to learn quickly through taking on challenges, reflecting on outcomes, and incorporating feedback
* A strong sense of ownership over their work, from initial design all the way through maintaining code in production
 Success measures
* In 3 months you’ll have a solid understanding of what our team does and how we operate. You’ll have contributed to the development of an existing project and completed several small improvements or bug fixes
* In 6 months you’ll be reviewing code and project designs, and be an active participant in team meetings
* In 12 months you’ll have a thorough understanding of the systems our team owns and have led a project. You’ll have had a positive impact on our code, product, and team processes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4263322278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71">
      <c r="A71" t="inlineStr">
        <is>
          <t>li-4216454915</t>
        </is>
      </c>
      <c r="B71" t="inlineStr">
        <is>
          <t>Staff Software Engineer, Realtime Data</t>
        </is>
      </c>
      <c r="C71" t="inlineStr">
        <is>
          <t>Tecton</t>
        </is>
      </c>
      <c r="D71" t="inlineStr">
        <is>
          <t>linkedin</t>
        </is>
      </c>
      <c r="E71" t="inlineStr"/>
      <c r="F71" t="inlineStr"/>
      <c r="G71" t="inlineStr"/>
      <c r="H71" t="inlineStr"/>
      <c r="I71"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72">
      <c r="A72" t="inlineStr">
        <is>
          <t>li-4328813960</t>
        </is>
      </c>
      <c r="B72" t="inlineStr">
        <is>
          <t>Software Engineer</t>
        </is>
      </c>
      <c r="C72" t="inlineStr">
        <is>
          <t>Koch Ag &amp; Energy Solutions, LLC</t>
        </is>
      </c>
      <c r="D72" t="inlineStr">
        <is>
          <t>linkedin</t>
        </is>
      </c>
      <c r="E72" t="inlineStr"/>
      <c r="F72" t="inlineStr"/>
      <c r="G72" t="inlineStr">
        <is>
          <t>Wichita, KS</t>
        </is>
      </c>
      <c r="H72" t="inlineStr"/>
      <c r="I72" t="inlineStr">
        <is>
          <t>**Your Job**
 Koch Ag \&amp; Energy Solutions (KAES) is seeking qualified professionals to consider for a Software Engineer to join our team in Wichita, KS. As a Software Engineer within KAES, you will be responsible for delivering high\-quality software solutions that meet business goals and adhere to technical standards. You will collaborate cross\-functionally, leverage your domain expertise, and actively contribute to the continuous enhancement of our development processes. Our culture is defined by the Principle Based Management™ philosophy which guides everyday decision making and provides employees with opportunities to contribute and personally benefit from the value they create.
**Our Team**
 Koch Ag \&amp; Energy Solutions (KAES) is a leading innovator in value\-added solutions for the agriculture, energy, and chemical markets. We excel in supplying nitrogen fertilizer to meet global demand through state\-of\-the\-art terminals, with the capability to market. Our commitment to delivering cutting\-edge solutions has driven business success and established us as leaders in the market. We are seeking a Software Engineer to join our team in developing and maintaining software solutions that drive value and help our company stay ahead in a competitive market.
 This role is not eligible for Visa Sponsorship
**What You Will Do**
* Build, test, and deploy software solutions while ensuring quality, security, and maintainability
* Design solutions that adhere to best practices and minimize complexity
* Identify and propose innovative ideas to drive continuous improvement
* Collaborate with analysts and technical leads to refine requirements and develop effective solutions
* Apply business knowledge to enhance and inform technical design decisions
* Support teams by documenting knowledge and providing technical guidance when needed
* Utilize Java to build efficient loading and storage solutions.
* Collaborate with developers within the Operations tower and across all KAES capability towers
* Challenge existing processes and technologies; experiment with new tools and contribute to capability\-wide initiatives
**Who You Are (Basic Qualifications)**
* Two (2\+) or more years of professional software engineering experience in any object\-oriented programming language
* Hands\-on experience with Amazon Web Services (AWS) products and tools in a professional environment, building enterprise\-grade, scalable microservices such as Lambda, SNS, SQS, API Gateway, EventBridge, DynamoDB, and S3
* Experience designing and implementing cloud\-native applications and/or custom\-developed solutions
* Experience with automated testing (unit, integration, or e2e)
**What Will Put You Ahead**
* Experience working with JavaScript frameworks, including Node.js, React.js, or AngularJS, using TypeScript
* Experience with event\-driven architecture utilizing cloud and serverless microservices
* Experience working with Agile and DevOps methodologies, processes, and tools
* Experience programming in Java and MVC frameworks.
* Experience learning and applying new technologies and concepts to stay competitive in the industry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Ag \&amp; Energy Solutions (KAES) is a global provider of value\-added solutions for the agriculture, turf and ornamental, energy and chemical markets. From agriculture to energy, KAES makes things grow better with plant nutrient and biological technologies. Our team of innovators unleash their potential while developing the technologies that feed and power the world.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73">
      <c r="A73" t="inlineStr">
        <is>
          <t>li-4361311746</t>
        </is>
      </c>
      <c r="B73" t="inlineStr">
        <is>
          <t>Senior Staff Software Engineer, Risk and Compliance Infrastructure &amp; Data Science</t>
        </is>
      </c>
      <c r="C73" t="inlineStr">
        <is>
          <t>LinkedIn</t>
        </is>
      </c>
      <c r="D73" t="inlineStr">
        <is>
          <t>linkedin</t>
        </is>
      </c>
      <c r="E73" t="inlineStr"/>
      <c r="F73" t="inlineStr"/>
      <c r="G73" t="inlineStr">
        <is>
          <t>Mountain View, CA</t>
        </is>
      </c>
      <c r="H73" t="inlineStr"/>
      <c r="I7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Trust is our foundation. At LinkedIn, we build secure, compliant infrastructure with integrity woven into every layer. By embedding security, governance, and regulatory alignment into our development lifecycle and business, we don’t just protect our members, customers, and employees—we set the standard for trusted technology and operations at scale. GRACE is a team leading entity\-wide compliance and risk management programs. GRACE stands for Governance, Risk, Automation, Compliance and Engineering.
 Our commitment to our customers and members is engineered into our culture of security and compliance through these foundational pillars:
* Proactive Governance \&amp; Engineering Alignment
* Scaled Lifecycle \&amp; Integrated Controls
* Assured Ecosystem \&amp; Quantified Risk Management
 LinkedIn is looking for a technical lead to provide architectural and technical leadership across GRACE infrastructure platforms, including engineering repositories, datalakes and analytics platforms, and the GRACE system of record. This role emphasizes data science, quantitative risk analysis, and automation at scale to deliver audit\-ready systems, predictive insights, and risk quantification. The role requires deep expertise in data modeling, machine learning, and advanced analytics to ensure secure, scalable, and integrated compliance platforms.
**Responsibilities**
 ᐧ Define and drive architecture and roadmap for enterprise GRC and security platforms, ensuring alignment with organizational security, audit, and compliance objectives.
 ᐧ Author technical specifications for self\-service compliance reporting, transformation of security metadata into audit\-ready artifacts, and CI/CD integration for engineering controls.
 ᐧ Design and oversee real\-time, near–real\-time, and batch data pipelines that support live dashboarding, anomaly detection, predictive modeling, and executive reporting.
 ᐧ Mentor engineering and data science teams by conducting pipeline/code reviews, promoting scalable patterns, and enabling maintainable deployment of quantitative models.
 ᐧ Govern development of certifiable reporting and audit systems, policy\-as\-code and docs\-as\-code engines, and analytics platforms supporting predictive and anomaly\-based risk intelligence.
 ᐧ Ensure secure, efficient integration and data flow across systems of record, systems of transformation, and systems of insight.
 ᐧ Implement tooling and automation that streamline compliance workflows, enable self\-service analytics, and improve quantitative risk measurement.
 ᐧ Design and enforce data models, metadata standards, lineage tracking, lifecycle management processes, and data integrity controls for structured and unstructured security\-relevant data.
 ᐧ Lead the implementation of advanced analytics capabilities leveraging statistical and ML techniques to quantify control effectiveness and risk posture.
 ᐧ Architect secure, performant integration strategies using APIs, ETL/ELT mechanisms, and workflow orchestrators; develop and manage data contracts and integration security protocols.
 ᐧ Champion platform performance, scalability, and security—ensuring confidentiality, integrity, and availability for computationally intensive risk workloads.
 ᐧ Partner with engineering teams to onboard new compliance and risk programs; enable other risk domains to leverage shared infrastructure and platform capabilities.
 ᐧ Collaborate with internal data platform teams to influence in\-house tooling that supports insight generation, workflow automation, and data\-driven risk decisions.
 ᐧ Establish and socialize engineering and data ecosystem best practices across technical and non\-technical teams, promoting standardization and design consistency.
 ᐧ Serve as an escalation point for complex technical, data quality, and model deployment issues; provide guidance on resolution paths.
 ᐧ Contribute to engineering innovations that strengthen security posture and advance the organization’s mission.
 ᐧ Contribute to engineering innovations that fuel LinkedIn’s vision and mission.
**Qualifications**
**Basic Qualifications**
 ᐧ Bachelor’s Degree in a quantitative discipline: Computer Science, Statistics, Operations Research, Informatics, Engineering, Applied Mathematics, Economics, etc.
 ᐧ 7\+ years of relevant industry experience.
 ᐧ Experience with SQL/Relational databases.
 ᐧ Background in at least one programming language (e.g., R, Python, Java, Scala, PHP, JavaScript, Python, Java and Scala).
**Preferred Qualifications**
 ᐧ BS and 11\+ years of relevant work experience, MS and 9\+ years of relevant work experience, or Ph.D. and 7\+ years of relevant work/academia experience working with large amounts of data.
 ᐧ 7\+ years in technical leadership roles for large\-scale platforms.
 ᐧ Deep experience mapping technical systems to compliance/risk frameworks.
 ᐧ Proven success launching and scaling analytics/compliance systems.
 ᐧ Experience designing and governing data models, schemas, metadata standards, and data quality controls for structured and unstructured security/compliance data.
 ᐧ Knowledge of data lineage, lifecycle management, and privacy/regulatory frameworks (e.g., GDPR, CCPA, HIPAA, SOX).
 ᐧ Experience developing analytics and ML pipelines using tools such as Spark, Databricks, Snowflake, or equivalent distributed compute frameworks.
 ᐧ Experience authoring and orchestrating data pipelines with workflow tools such as Airflow, Prefect, Flyte, or dbt.
 ᐧ Familiarity with anomaly detection, control drift analysis, predictive modeling, and quantitative risk techniques (e.g., Monte Carlo simulation, Bayesian inference, VaR).
 ᐧ Experience using BI and reporting platforms (e.g., Tableau, Power BI, Looker) to produce executive\-ready dashboards and audit artifacts.
 ᐧ Knowledge of programming languages such as Python, Scala, R, or TypeScript, and experience with ML libraries (e.g., scikit\-learn, TensorFlow, PyTorch).
 ᐧ Familiarity with integration patterns across systems of record, transformation, and insight, including data contracts, encryption, authentication, and secrets management.
 ᐧ Experience with cloud\-native compute and storage platforms (e.g., AWS, Azure, GCP), data lakes (e.g., S3, ADLS), and Git\-based source control workflows.
 ᐧ Knowledge of CI/CD, MLOps, and infrastructure\-as\-code concepts for secure, reliable model and platform deployment.
 ᐧ Experience with GRC, compliance, or security automation platforms (e.g., ServiceNow, Archer, OneTrust) and shift\-left security practices within the SDLC.
 ᐧ Familiarity with designing high\-volume, high\-reliability data foundations in large, distributed software environments.
 ᐧ Experience creating data visualizations and communicating technical concepts clearly to engineering, InfoSec, audit, and business stakeholders.
 ᐧ Demonstrated ability to mentor engineers and collaborate cross\-functionally with legal, security, and platform teams.
 ᐧ Background working in regulated or highly audited environments (e.g., finance, healthcare, government, SaaS).
**Suggested Skills**
 ᐧExperience building data science or machine learning platforms.
 ᐧExperience writing RESTful / GRPC APIs with modern frameworks.
 ᐧWeb App Development
 ᐧTechnical Leadership
 ᐧHands\-on experience in building data pipelines to transform unstructured data into structured formats, with emerging knowledge of leveraging Large Language Models (LLMs) to enhance data processing and transformation workflows.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 annual performance bonus, stock, and benefits. For additional information, visit: LinkedIn 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74">
      <c r="A74" t="inlineStr">
        <is>
          <t>li-4328707017</t>
        </is>
      </c>
      <c r="B74" t="inlineStr">
        <is>
          <t>Senior .NET Backend Engineer - Billing Platform *Hybrid*</t>
        </is>
      </c>
      <c r="C74" t="inlineStr">
        <is>
          <t>GEICO</t>
        </is>
      </c>
      <c r="D74" t="inlineStr">
        <is>
          <t>linkedin</t>
        </is>
      </c>
      <c r="E74" t="inlineStr"/>
      <c r="F74" t="inlineStr"/>
      <c r="G74" t="inlineStr">
        <is>
          <t>San Francisco, CA</t>
        </is>
      </c>
      <c r="H74" t="inlineStr"/>
      <c r="I7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75">
      <c r="A75" t="inlineStr">
        <is>
          <t>li-4328687727</t>
        </is>
      </c>
      <c r="B75" t="inlineStr">
        <is>
          <t>Software Engineer, Data Migration</t>
        </is>
      </c>
      <c r="C75" t="inlineStr">
        <is>
          <t>MongoDB</t>
        </is>
      </c>
      <c r="D75" t="inlineStr">
        <is>
          <t>linkedin</t>
        </is>
      </c>
      <c r="E75" t="inlineStr"/>
      <c r="F75" t="inlineStr"/>
      <c r="G75" t="inlineStr">
        <is>
          <t>Montana, United States</t>
        </is>
      </c>
      <c r="H75" t="inlineStr"/>
      <c r="I75" t="inlineStr">
        <is>
          <t>MongoDB is expanding a development team in North America working on tooling that helps customers migrate data from relational databases to MongoDB. Tools developed by the Data Migration team help application developers with schema modeling, type conversions, data sync, change data capture and so on.
 MongoDB is looking for a software engineer with experience in the Java ecosystem and streaming systems to join the team. Our main technology stack includes Java, Spring Boot, Apache Kafka, and React. A successful candidate will collaborate closely with product management and engineers on the team to help drive the design and implementation of a cutting edge product.
 This role will be based out of North America in the PST and MST zones only.
 The ideal candidate for this role will have
* 2\-3 years of commercial software development experience with at least one JVM language such as Java, preferably using the Spring ecosystem
* Experience with relational data modeling and at least one SQL database (Postgres, MySQL, etc)
* Basic familiarity with streaming systems such as Apache Kafka, AWS SQS, etc
* Basic familiarity with client\-side technologies such as React
* Good understanding of algorithms, data structures and their time and space complexity
* Curiosity, a positive attitude, and a drive to continue learning
* Excellent verbal and written communication skills
 Position Expectations
* Collaborate with product management, product designers and other engineers
* Contribute high quality and well\-tested backend code to the data migration engine its surrounding services
* Participate in code reviews and team technical discussions
* Give and solicit feedback on technical design documents and pull requests
* Perform tasks related to process such as CI/CD, quality, testing, etc
 Success Measures
 Within the first three months, you will have:
* Familiarised yourself with the MongoDB database and aggregation language
* Familiarised yourself with the backend tech stack including Java, Spring Boot, and Kafka
* Set up software development infrastructure (tech stack, build tools, etc) to enable development using the relevant tech stacks
* Started collaborating with your peers and contributed to code reviews
 Within six months, you will have:
* Familiarised yourself with the rest of our codebase including the frontend stack, Confluent plugins, GitHub workflows, etc
* Worked on and delivered a medium scale feature in the product
* Contributed to and helped deliver a few releases of the product
* Reviewed and contributed to scope and technical design documents
 Within 12 months, you will have:
* Familiarised yourself with the work of other teams within the department
* Delivered at least one large scale feature that spans the entire tech stack
* Helped recruit and interview new members of the team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425547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$135,000—$202,500 USD</t>
        </is>
      </c>
    </row>
    <row r="76">
      <c r="A76" t="inlineStr">
        <is>
          <t>li-4328020571</t>
        </is>
      </c>
      <c r="B76" t="inlineStr">
        <is>
          <t>Full Stack Engineer</t>
        </is>
      </c>
      <c r="C76" t="inlineStr">
        <is>
          <t>Mentor Talent Acquisition</t>
        </is>
      </c>
      <c r="D76" t="inlineStr">
        <is>
          <t>linkedin</t>
        </is>
      </c>
      <c r="E76" t="inlineStr"/>
      <c r="F76" t="inlineStr"/>
      <c r="G76" t="inlineStr">
        <is>
          <t>New York, United States</t>
        </is>
      </c>
      <c r="H76" t="inlineStr"/>
      <c r="I76"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77">
      <c r="A77" t="inlineStr">
        <is>
          <t>li-3980088205</t>
        </is>
      </c>
      <c r="B77" t="inlineStr">
        <is>
          <t>Software Engineer, Query Engine &amp; Distributed Systems</t>
        </is>
      </c>
      <c r="C77" t="inlineStr">
        <is>
          <t>Conviva</t>
        </is>
      </c>
      <c r="D77" t="inlineStr">
        <is>
          <t>linkedin</t>
        </is>
      </c>
      <c r="E77" t="inlineStr"/>
      <c r="F77" t="inlineStr"/>
      <c r="G77" t="inlineStr">
        <is>
          <t>Foster City, CA</t>
        </is>
      </c>
      <c r="H77" t="inlineStr"/>
      <c r="I77" t="inlineStr">
        <is>
          <t>**Conviva is the intelligence layer for digital businesses, turning every consumer interaction into outcome\-based intelligence—linking engagement patterns across AI agents, apps, websites, and streaming video to real results such as purchases, bookings, and resolved support requests. Powered by its patented Time\-State Technology®, the Conviva® Operational Data Platform delivers real\-time insights and automation that help leading enterprises grow, improve satisfaction, and build lasting trust.**
 Conviva engineers build and operate distributed systems that handle five trillion events every day, achieving performance at a scale comparable to the world's largest analytics platforms.
 We are looking for a highly motivated and self\-driven backend engineer who is passionate about distributed systems, large\-scale data infrastructure, and performance optimization. In this role, you will design and build core components of Conviva's real\-time analytics platform, collaborating with a small, world\-class team where every technical decision matters. Our engineers combine academic depth with practical innovation, contributing to research publications and advancing the state of large\-scale distributed data systems.
**What Success Will Look Like**
* Design and develop our specialized, high\-performance query engine layer, to handle complex stateful patterns and real\-time analytics.
* Develop advanced query optimization strategies and performance modeling tools to ensure low\-latency responses across trillion\-event datasets.
* Architect and evolve distributed system components that prioritize scalability and fault tolerance for next\-generation OLAP workloads.
* Partner with cross\-functional teams to identify and unlock latent capabilities within our storage and query infrastructure.
* Refine the core data processing layer to maximize efficiency and reliability across massive, high\-cardinality datasets.
* Facilitate seamless data flow by integrating high\-performance analytical solutions into the broader distributed ecosystem.
* Stay up to date with advancements in distributed databases, stream processing frameworks, and cloud infrastructure, evaluating new technologies for their impact and scalability.
**Who You Are \&amp; What You've Done**
* BS, MS, or PhD in Computer Science or a related field.
* Strong foundation in computer science fundamentals, including algorithms, data structures, and networking.
* Proficiency in C\+\+, Rust, Scala, Java, or similar systems programming language.
* Proven experience designing or building large\-scale distributed systems, ideally in production environments.
* Hands\-on experience with big data platforms and query engines (e.g., ClickHouse, Apache Druid, Presto, BigQuery, and others).
* Familiarity with distributed stream processing frameworks such as Akka Streams, Apache Spark, or Apache Flink.
* Demonstrated expertise in performance analysis and tuning for distributed systems.
* Strong collaborator with experience mentoring others, driving initiatives, and contributing to a positive engineering culture.
* Adaptable and comfortable working in a fast\-paced, evolving environment.
**Preferred Qualifications**
* Experience building and scaling systems in SaaS or data infrastructure environments.
* Contributions to open\-source projects in distributed systems, databases, or analytics.
* Knowledge of OLAP architecture, columnar storage, and high\-performance query execution.
*The expected salary range for this full\-time position is $170,000 \- $230,000 \+ equity \+ benefits. Compensation and actual level will be determined by numerous factors such as your qualifications, experience, and relevant education or training.*
**To learn more about how Conviva can help improve the performance and outcomes of your digital services, visit www.conviva.com**</t>
        </is>
      </c>
    </row>
    <row r="78">
      <c r="A78" t="inlineStr">
        <is>
          <t>li-4286819843</t>
        </is>
      </c>
      <c r="B78" t="inlineStr">
        <is>
          <t>Senior Software Engineer, Infrastructure, Google Cloud AI</t>
        </is>
      </c>
      <c r="C78" t="inlineStr">
        <is>
          <t>Google</t>
        </is>
      </c>
      <c r="D78" t="inlineStr">
        <is>
          <t>linkedin</t>
        </is>
      </c>
      <c r="E78" t="inlineStr"/>
      <c r="F78" t="inlineStr"/>
      <c r="G78" t="inlineStr">
        <is>
          <t>Sunnyvale, CA</t>
        </is>
      </c>
      <c r="H78" t="inlineStr"/>
      <c r="I78" t="inlineStr">
        <is>
          <t>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9">
      <c r="A79" t="inlineStr">
        <is>
          <t>li-4334091235</t>
        </is>
      </c>
      <c r="B79" t="inlineStr">
        <is>
          <t>Sr. Software Engineer</t>
        </is>
      </c>
      <c r="C79" t="inlineStr">
        <is>
          <t>Gen</t>
        </is>
      </c>
      <c r="D79" t="inlineStr">
        <is>
          <t>linkedin</t>
        </is>
      </c>
      <c r="E79" t="inlineStr"/>
      <c r="F79" t="inlineStr"/>
      <c r="G79" t="inlineStr">
        <is>
          <t>Phoenix, AZ</t>
        </is>
      </c>
      <c r="H79" t="inlineStr"/>
      <c r="I79" t="inlineStr">
        <is>
          <t>**What You'll Do**
* Design, develop, and evolve a robust, scalable, and secure licensing platform supporting entitlement management, compliance, telemetry, and reporting.
* Take ownership of critical platform components, ensuring availability, resilience, and performance under high\-scale, production workloads.
* Collaborate with product managers, architects, and adjacent engineering teams to define, build, and ship new features and platform capabilities.
* Work hands\-on with AI/ML technologies to embed intelligence into platform workflows — including RAG pipelines, agents, and vector database integrations.
* Write high\-quality, testable code in Java and Groovy, following established engineering best practices.
* Develop and maintain API interfaces (REST and event\-driven) used across internal systems and external integrations.
* Leverage cloud\-native services (AWS or Azure) for platform scalability, observability, and deployment.
* Promote clean architecture, automation, and secure\-by\-default practices across the platform.
* Participate in and lead code reviews, design discussions, Agile ceremonies, and technical deep\-dives.
* Mentor junior engineers and contribute to a culture of technical excellence and continuous learning.
**Required Qualifications:**
* 5\+ years of experience in backend software engineering, with significant work on platform\-level systems.
* Strong proficiency in Java and Groovy, including production\-grade service development.
* Hands\-on experience with AI/ML technologies, including:
* Retrieval\-Augmented Generation (RAG) pipeline
* AI agents / orchestration frameworks
* Vector databases (e.g., FAISS, Weaviate, Pinecone)
* Integration of foundation models (OpenAI, HuggingFace, AWS Bedrock, etc.)
* Experience designing and operating cloud\-native platforms on AWS or Azure.
* Deep understanding of SQL and NoSQL databases (e.g., PostgreSQL, DynamoDB).
* Experience with automated testing frameworks (JUnit, Spock, TestNG) and CI/CD pipelines.
* Solid grasp of event\-driven architectures, pub/sub systems (e.g., Kafka, SQS), and API design.
* Familiarity with authentication and authorization standards (OAuth2, OpenID, SAML).
* eStrong problem\-solving and debugging skills in large\-scale production systems.
**Preferred Qualifications:**
* Background in licensing, entitlement, billing, or subscription platforms.
* Understanding of observability tooling, service instrumentation, and platform monitoring.
* Experience with DevOps principles and infrastructure\-as\-code workflows.
* Exposure to data streaming, audit logging, and compliance reporting in distributed systems.
**Why Join Us?**
* Contribute to a mission\-critical platform that directly enables product access, revenue, and compliance across global customers.
* Work at the intersection of AI, cloud, and cybersecurity, building the next generation of intelligent infrastructure.
* Be part of a high\-trust, high\-impact engineering culture focused on innovation, autonomy, and accountability.
* Solve complex backend and platform challenges at scale, with access to cutting\-edge tools and support.
 Gen is proud to be an equal\-opportunity employer, committed to diversity and inclusivity. We base employment decisions on merit, experience, and business needs, without considering race, color, national origin, age, religion, sex, pregnancy, genetic information, disability, medical condition, marital status, sexual orientation, gender identity or expression, military or veteran status, or other unlawful factors. Gen prohibits discrimination based on these protected characteristics and recruits talented candidates from diverse backgrounds.
 We consider individuals with arrest and conviction records and do not discriminate against employees for discussing their own pay or that of other employees or applicants. Learn more about pay transparency.
 To conform to U.S. export control regulations, applicant should be eligible for any required authorizations from the U.S. Government.</t>
        </is>
      </c>
    </row>
    <row r="80">
      <c r="A80" t="inlineStr">
        <is>
          <t>li-4305155896</t>
        </is>
      </c>
      <c r="B80" t="inlineStr">
        <is>
          <t>Staff Software Engineer</t>
        </is>
      </c>
      <c r="C80" t="inlineStr">
        <is>
          <t>Wonder</t>
        </is>
      </c>
      <c r="D80" t="inlineStr">
        <is>
          <t>linkedin</t>
        </is>
      </c>
      <c r="E80" t="inlineStr"/>
      <c r="F80" t="inlineStr"/>
      <c r="G80" t="inlineStr">
        <is>
          <t>New York, NY</t>
        </is>
      </c>
      <c r="H80" t="inlineStr"/>
      <c r="I80"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We're looking for a product\- minded Staff Backend Engineer to drive our restaurant platform forward. As an individual contributor on the Wonder Tech Team, you will be critical in developing our Kitchen Display System— the primary system that will power our restaurants as we expand from tens to hundreds of locations across the country. Specifically, you will be a key player in our kitchen sequencing initiative, building and optimizing the systems that determine how orders are prepared. You will design and implement features that optimize complex operational flows, enable operational analytics, and simplify the preparation of high quality food across dozens of restaurants and hundreds of menu items.
****The Impact You Will Make****
* Working closely with operations researchers, product managers, product designers, and other engineers to design and build transformative systems including our kitchen sequencing and kitchen display system
* Leading technical projects from planning through execution and delivery
* Collaborating with Operations Researchers and Product Managers to translate advanced optimization algorithms into robust, scalable, and production ready code
* Enhance our KDS simulator, transforming it into a standalone, modular tool for offline research and "what\-if" analysis
* Develop and maintain data infrastructure for real\-time and historical data inputs, including lab or data, appliance capacity, and line build times, to feed our sequencing algorithms
* Design and implement robust monitoring, alerting, and telemetry systems to ensure the operational excellence of our sequencing services
* Designing and maintaining distributed systems comprised of both synchronous and asynchronous services, as well as data infrastructure with varied consistency guarantees and performance characteristics
* Working with public cloud infrastructure such as Azure, AWS, or GCP
* Working with modern orchestration and containerization products such as Kubernetes, Docker, etc.
**What You Bring To The Table**
* Bachelor's or Master's degree in Computer Science or equivalent experience
* 5\-8\+ years of experience in software engineering
* Proven experience in implementing high\-quality systems
* Deep proficiency with one or more modern programming languages: Java, Scala, Kotlin, C\#, C\+\+, etc.
* Deep proficiency with both relational and document databases: MySQL, Postgres, CosmosDB, MongoDB, etc.
* Strong problem\-solving skills and the ability to troubleshoot complex technical challenges.
* Excellent communication and interpersonal skills
**What You're Passionate About**
* Creating clean, well\-documented, and easily maintainable code
* Achieving operational excellence in the development lifecycle
* Robust integration and unit tests that support confident deployment of complex feature and system changes
* Strong opinions on CI/CD and how application teams work within the platform
* Understanding every aspect of your systems, particularly through the collection of telemetry data
**Got these? Even Better!**
* Strong working knowledge of Java and the JVM
* Experience with microservice architectures
 Our hybrid model requires 3 days a week in the office. That said, many team members choose to come in more often to take advantage of in\-person collaboration and connection. You're welcome—and encouraged—to be in the office up to 5 days a week if it works for you.
**Base Salary:** 
 $208,500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81">
      <c r="A81" t="inlineStr">
        <is>
          <t>li-4354445723</t>
        </is>
      </c>
      <c r="B81" t="inlineStr">
        <is>
          <t>Senior Software Engineer, Cameras and Imaging for Mapping</t>
        </is>
      </c>
      <c r="C81" t="inlineStr">
        <is>
          <t>Google</t>
        </is>
      </c>
      <c r="D81" t="inlineStr">
        <is>
          <t>linkedin</t>
        </is>
      </c>
      <c r="E81" t="inlineStr"/>
      <c r="F81" t="inlineStr"/>
      <c r="G81" t="inlineStr">
        <is>
          <t>Mountain View, CA</t>
        </is>
      </c>
      <c r="H81" t="inlineStr"/>
      <c r="I81" t="inlineStr">
        <is>
          <t>**Minimum qualifications:**
* Bachelor’s degree or equivalent practical experience.
* 5 years of experience developing software using C\+\+.
* 3 years of experience testing, maintaining, or launching software products, and 1 year of experience with software design and architecture.
* Experience in image processing, image quality evaluation, or camera tuning.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computer science problems, designing beautiful and intuitive product experiences, and improving our understanding of the real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2">
      <c r="A82" t="inlineStr">
        <is>
          <t>li-4354446814</t>
        </is>
      </c>
      <c r="B82" t="inlineStr">
        <is>
          <t>Software Engineer</t>
        </is>
      </c>
      <c r="C82" t="inlineStr">
        <is>
          <t>Centraprise</t>
        </is>
      </c>
      <c r="D82" t="inlineStr">
        <is>
          <t>linkedin</t>
        </is>
      </c>
      <c r="E82" t="inlineStr"/>
      <c r="F82" t="inlineStr"/>
      <c r="G82" t="inlineStr">
        <is>
          <t>Chicago, IL</t>
        </is>
      </c>
      <c r="H82" t="inlineStr"/>
      <c r="I82" t="inlineStr">
        <is>
          <t>Position:
 **EPM Developer** 
 Location:
 **Chicago, IL (Onsite)** 
 Job Type:
 **Fulltime** 
**Job Responsibilities** 
* Ability to work on enhancement/development while working on support items simultaneously.
* Responsible to handle P1/P2/P3 incidents.
* Responsible for Month\-end Forecast jobs completion and troubleshooting.
* Responsible for response/restoration SLAs for all incidents (P1/P2/P3/P4/P5\) that comes during CST business hours.
* Should be willing to provide extended hours support if required for critical incident support (P1/P2 and escalated P3\)
* Should be able to collaborate and communicate with FP\&amp;A of different stakeholder departments regarding problems/incidents/enhancements.
* Ability to think and implement creative solutions for complex user requirements.</t>
        </is>
      </c>
    </row>
    <row r="83">
      <c r="A83" t="inlineStr">
        <is>
          <t>li-4338560082</t>
        </is>
      </c>
      <c r="B83" t="inlineStr">
        <is>
          <t>Software Engineer II</t>
        </is>
      </c>
      <c r="C83" t="inlineStr">
        <is>
          <t>Warner Bros. Discovery</t>
        </is>
      </c>
      <c r="D83" t="inlineStr">
        <is>
          <t>linkedin</t>
        </is>
      </c>
      <c r="E83" t="inlineStr"/>
      <c r="F83" t="inlineStr"/>
      <c r="G83" t="inlineStr">
        <is>
          <t>Bellevue, WA</t>
        </is>
      </c>
      <c r="H83" t="inlineStr"/>
      <c r="I83"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Are you an enthusiastic
 Backend Developer looking for exciting opportunities to work on large\-scale software projects? We are seeking a talented individual who is customer\-obsessed, data\-driven, and committed to operational excellence. If you appreciate the holistic nature of software development, enjoy collaborating with multiple teams, and are excited about AI and innovation, we want to hear from you!
 Meet Our Team:
 DTC’s software engineering teams develop applications for the web, mobile, tablets, connected TVs, consoles, and other streaming devices. Customers begin their experience with WBD through DTC’s Global Consumer Identity and Authentication team, which manages authentication and authorization processes across all WBD brands. This is a global engineering group that supports WBD’s ongoing development.
 We are hiring a
**Software Engineer II**
 in Bellevue, WA. Seeking a customer\-focused, data\-driven engineer who thrives in cross\-functional teams to help build services used by millions.
 Roles \&amp; Responsibilities:
* Build and support scalable backend systems with multiple languages and frameworks.
* Adhere to and champion the highest standards of code quality, performance, security, and reliability
 .
* Champion customer\-first mindset, prioritizing user needs and feedback.
* Learn from
 operational
 data to continuously improve and optimize software solutions.
* Collaborate with cross\-functional teams to enhance application performance and user experience.
* Embrace
 latest advancements in AI and explore opportunities to integrate AI\-driven solutions.
* Engage in code reviews, offer constructive feedback, and provide mentorship to junior developers.
 Qualifications:
* At least
**3 years**
 of professional experience in software engineering, including building secure and scalable services for platforms supporting millions of users.
* Experience in service design;
**coding experience with Java
 Vertx
 and Spring Boot**
 ,
 including writing code that is clean, efficient, and maintainable.
 Experience with AWS Kubernetes and Kafka are a bonus.
* Proven focus on operational excellence for large\-scale cloud services, including CI/CD, high availability, scalability, and proactive issue detection with monitoring tools.
* Strong analytical skills and data\-driven problem solving.
* Excellent communication and teamwork, with a focus on knowledge sharing.
* Curious about
 AI\-based methods for increasing productivity and improving user experience with our products.
* We work with technologies such as Postgres, DynamoDB, Redis, Terraform, Telegraph, Grafana, Prometheus, and GitHub, where familiarity is beneficial.
* Strong grasp of computer science fundamentals and knowledge in full system flows (client\-server, server\-to\-server), with proven independent testing and troubleshooting skills across the stack.
 Why Join Us?
* Work on
 innovative
 projects that impact millions of users.
* Collaborate with a diverse and talented team of professionals.
* Opportunities for continuous learning and career growth.
* A supportive and inclusive work environment that values innovation and creativity.
* Competitive compensation and benefits package.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
 Although you will be hired by Warner Bros. Discovery, upon the planned separation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84">
      <c r="A84" t="inlineStr">
        <is>
          <t>li-4345844372</t>
        </is>
      </c>
      <c r="B84" t="inlineStr">
        <is>
          <t>Sr Software Engineer</t>
        </is>
      </c>
      <c r="C84" t="inlineStr">
        <is>
          <t>Mobilisights</t>
        </is>
      </c>
      <c r="D84" t="inlineStr">
        <is>
          <t>linkedin</t>
        </is>
      </c>
      <c r="E84" t="inlineStr"/>
      <c r="F84" t="inlineStr"/>
      <c r="G84" t="inlineStr">
        <is>
          <t>Auburn Hills, MI</t>
        </is>
      </c>
      <c r="H84" t="inlineStr"/>
      <c r="I84" t="inlineStr">
        <is>
          <t>**About Mobilisights**
 Mobilisights, part of the Stellantis Group, is a global data business unit on a mission to unlock the power of connected car data. With access to one of the largest fleets of connected vehicles worldwide, we create innovative data\-driven services that empower smarter mobility, improve safety, and accelerate sustainable solutions.
 We process large\-scale, real\-time data flows from millions of connected vehicles. This is a unique chance to work at the intersection of IoT, automotive, and cloud technologies, where challenges in scalability, performance, and innovation are part of the everyday fun.
 If you’re passionate about Node.js, cloud\-native systems, serverless, and the future of connected cars, you’ll feel right at home with us.
**Job Description**
* Design, develop, and maintain backend services using Node.js and TypeScript
* Build APIs and backend systems with Express and NestJS
* Architect and scale cloud\-native systems on AWS (EKS, Lambda, SQS, Kinesis, API Gateway, etc.)
* Implement serverless, microservices, maintain and segment monolithic architectures, choosing the right approach for each project
* Design and optimize real\-time event\-driven data pipelines handling millions of connected car events daily
* Build and optimize data access layers with Mongoose, DocumentDB, and PostgreSQL
* Develop and maintain containerized applications with Docker and Kubernetes (EKS)
* Contribute to architectural discussions and ensure services are scalable, secure, and resilient
* Design and implement foundations of operational excellence, ensuring best practices in monitoring, alerting, and reliability
* Provide on\-call support for the platform and troubleshoot production issues to maintain high availability
* Mentor junior engineers and foster a positive, knowledge\-sharing culture
 This position is hybrid. The expectation is 3 days a week on\-site in Auburn Hills, MI.
**Basic Qualifications**
* Bachelor’s degree in Computer Engineering, Electrical Engineering, Computer Science, or a related field
* A minimum of 8 years of professional experience in backend/software engineering, including a minimum of 6 years hands\-on with Node.js (JavaScript/TypeScript)
* Solid experience with Express and/or NestJS
* Proven ability to design and operate large\-scale distributed systems
* Strong knowledge of AWS cloud services, including serverless architectures (Lambda, API Gateway)
* Experience with SQL \&amp; NoSQL databases (PostgreSQL, MongoDB/DocumentDB)
* Practical knowledge of event\-driven architectures and real\-time data flows
* Curiosity and enthusiasm for IoT and connected vehicle technologies
* Excellent problem\-solving skills and a collaborative mindset
* Strong communication skills in English
**Preferred Qualifications**
* CI/CD pipeline experience (GitLab, Jenkins, etc.)
* Familiarity with monitoring and logging tools (CloudWatch, ELK, Prometheus, etc.)
* Awareness of data privacy and compliance (e.g. GDPR)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85">
      <c r="A85" t="inlineStr">
        <is>
          <t>li-4327966247</t>
        </is>
      </c>
      <c r="B85" t="inlineStr">
        <is>
          <t>Software Engineer (NonStop)</t>
        </is>
      </c>
      <c r="C85" t="inlineStr">
        <is>
          <t>comforte AG</t>
        </is>
      </c>
      <c r="D85" t="inlineStr">
        <is>
          <t>linkedin</t>
        </is>
      </c>
      <c r="E85" t="inlineStr"/>
      <c r="F85" t="inlineStr"/>
      <c r="G85" t="inlineStr"/>
      <c r="H85" t="inlineStr"/>
      <c r="I85" t="inlineStr">
        <is>
          <t>**We are dedicated to our People** 
 We care. We put people first and we promote individual freedom. It is why we strive to secure personal data with integrity and passion to make our customer’s everyday life more comfortable and secure.
 We empower our people to grow and to learn from their experience, and in return we are rewarded with team spirit and great results.
**Purpose of the role** 
 In your role as a Software Engineer you will join a small globally\-dispersed team in maintaining, developing and supporting a range of comforte products used both internally and by our customers on their mission\-critical NonStop servers.
 This role is a great opportunity for a developer who has a personal interest in, or professional experience with Cryptography, and Windows/Linux or NonStop development.
**Key responsibilities and tasks** 
* Analysis of new feature requests and implementation into products
* Analysis of software defects, design, implementation and testing of defect fixes
* Providing product expertise to the rest of the company for products maintained by the team
* Providing 2nd and 3rd level support to customers for a variety of comforte products
* Specification of tests for QA team to build
**Professional skills and knowledge** 
 Required
* Development skills on Linux, Windows or NonStop platform in C or C\+\+
* Desire to learn new tools, new OS environments, skills and products
 Desirable
 The skills and knowledge listed below are used within the team. Knowledge that you don’t already have in these areas may be acquired as you need it for a specific product.
* Development skills in one or more of C, TAL (NonStop related), Java, C\#, VB.NET and COBOL
* Experience with any of the following technologies in a development situation would be advantageous: TCP/IP sockets programming, TLS, REST, SOAP
* A strong plus is knowledge in Cryptography, particularly in OpenSSL libraries.
* git
* Scripting (Python, Bash, PowerShell)
* make
* Docker
* NonStop experience with knowledge on the following topics is valuable but not required: Inter\-process messaging, Debugging tools, General development knowledge on the platform, Pathway, Socket programming
* Fluency in languages other than English may be valuable but not required. Comforte has a global customer base so this can be useful in your regular role and across teams where this helps.
**Personal skills** 
* Willing to continuously learn and improve skills to keep up with technology changes
* Happy to take on a leadership role as and when circumstances require this
* Comfortable discussing technical topics directly with customers
* Open to dealing with new and old technologies
* Self\-learner with an ability to work independently under minimal supervision
**Value driven professional** 
 Humble
* Ready to listen and to share expertise and best practice across own team
* Open for feedback and flexibility to adapt
 Ambitious
* Taking accountability to drive results
* Going the extra mile for great customer experience
 Smart
* Ability to prioritize multiple tasks and to set focus
* Passionate to find pragmatic solutions and to innovate
 Humane
* Caring for other’s well\-being in a remote working environment
* Advocates diversity and fairness
**Qualification** 
* 5\+ years of experience in development roles on the Linux/Windows or NonStop platform.
* Degree in computer science, mathematics, engineering or a pure science
**Why join us** 
* Individual freedom – tell us what’s important for YOU!
* Culture of trust, appreciation, innovation and opportunities
* The opportunity to make a difference in an agile and fun environment
* Work with clients in various industries around the world
* The opportunity to grow continuously as our technology field is so dynamic
* Competitive compensation and benefits package including profit sharing</t>
        </is>
      </c>
    </row>
    <row r="86">
      <c r="A86" t="inlineStr">
        <is>
          <t>li-4345823731</t>
        </is>
      </c>
      <c r="B86" t="inlineStr">
        <is>
          <t>Software Engineer III, Linux Kernel Networking</t>
        </is>
      </c>
      <c r="C86" t="inlineStr">
        <is>
          <t>Google</t>
        </is>
      </c>
      <c r="D86" t="inlineStr">
        <is>
          <t>linkedin</t>
        </is>
      </c>
      <c r="E86" t="inlineStr"/>
      <c r="F86" t="inlineStr"/>
      <c r="G86" t="inlineStr">
        <is>
          <t>Sunnyvale, CA</t>
        </is>
      </c>
      <c r="H86" t="inlineStr"/>
      <c r="I86" t="inlineStr">
        <is>
          <t>**Minimum qualifications:**
* Bachelor's degree or equivalent practical experience.
* 2 years of experience in Linux Kernel development using the programming languages C/C\+\+.
* 2 years of experience with developing large\-scale infrastructure, distributed systems or networks, or experience with compute technologies, storage or hardware architecture.
* 2 years of experience with Networking Protocols and Troubleshooting.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li-4361560843</t>
        </is>
      </c>
      <c r="B87" t="inlineStr">
        <is>
          <t>Software Engineer - CTJ - Top Secret</t>
        </is>
      </c>
      <c r="C87" t="inlineStr">
        <is>
          <t>Microsoft</t>
        </is>
      </c>
      <c r="D87" t="inlineStr">
        <is>
          <t>linkedin</t>
        </is>
      </c>
      <c r="E87" t="inlineStr"/>
      <c r="F87" t="inlineStr"/>
      <c r="G87" t="inlineStr">
        <is>
          <t>Redmond, WA</t>
        </is>
      </c>
      <c r="H87" t="inlineStr"/>
      <c r="I87" t="inlineStr">
        <is>
          <t>**Overview**
 Come build community, explore your passions and do your best work at Microsoft. This opportunity will allow you to bring your aspirations, talent, potential and excitement for the journey ahead.
 As a Software Engineer, you will help plan, design, develop and test software systems or applications for software enhancements and new products which may be used in local, networked, cloud\-based, or Internet\-related computer programs. This opportunity will allow you to develop software, tools and code to be used in support of design, infrastructure and technology platforms as well as commercial or end\-user applications. You will use current programming language and technologies to write code, perform testing and debug any issues with robust documentation, procedures for deployment and processes for maintenance.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contribute in partnership with appropriate stakeholder to determine user requirements for a feature and consider a variety of feedback channels to incorporate insights into future designs or solution fixes.
* You will learn and contribute to processes for the architecture of a product/solution feature and learns to create proposals by testing design hypotheses and helping to refine code plans under the technical leadership of others as well as help produce code to test hypotheses for technical solutions and assists with technical validation efforts.
* With guidance, you will learn to create and implement code that is extensible and maintainable and apply diagnosability, reliability and maintainabilit, and understand when the code is ready to be shared and delivered for a product, service, or feature reusing code as applicable
* You will learn to review work items to gain knowledge of product features in partnership with appropriate stakeholders and assist and learn about breaking down work items into tasks and provides estimation as well as escalate any issues that would cause a delay.
* You will learn about and contribute to operations of live service as issues arise on a rotational, on\-call basis and identify solutions and mitigations to simple issues impacting performance or functionality of Live Site services and escalates as necessary.
* You will help develop and contribute to automation within production and deployment of a product feature and run code in simulated or other non\-production environments to confirm functionality and error\-free runtime for products with oversight.
* You will embody our culture and values.
**Qualifications**
**Required Qualifications:**
* Bachelor's Degree in Computer Science, or related technical discipline with proven experience coding in languages including, but not limited to, C, C\+\+, C\#, Java, JavaScript, or Python
+ OR equivalent experience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Security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Bachelor's Degree (or currently pursuing) in Computer Science or related technical field AND 1\+ year(s) technical engineering experience with coding in languages including, but not limited to, C, C\+\+, C\#, Java, JavaScript, or Python
+ OR Master's Degree (or currently pursuing) in Computer Science or related technical field with proven experience coding in languages including, but not limited to, C, C\+\+, C\#, Java, JavaScript, or Python
+ OR equivalent experience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88">
      <c r="A88" t="inlineStr">
        <is>
          <t>li-4316395667</t>
        </is>
      </c>
      <c r="B88" t="inlineStr">
        <is>
          <t>Software Engineer III (.Net)</t>
        </is>
      </c>
      <c r="C88" t="inlineStr">
        <is>
          <t>Safety National</t>
        </is>
      </c>
      <c r="D88" t="inlineStr">
        <is>
          <t>linkedin</t>
        </is>
      </c>
      <c r="E88" t="inlineStr"/>
      <c r="F88" t="inlineStr"/>
      <c r="G88" t="inlineStr">
        <is>
          <t>St Louis, MO</t>
        </is>
      </c>
      <c r="H88" t="inlineStr"/>
      <c r="I88" t="inlineStr">
        <is>
          <t>At Safety National, we don’t just offer jobs – we build careers with purpose! Since 1942, we’ve been an industry leader, valuing integrity, teamwork, and stability while providing competitive rewards, top\-tier benefits, career growth opportunities, and flexible work options that promote balance. With tuition reimbursement, wellness perks, and a strong community impact, we invest in your success—both personally and professionally. Ready to grow with us? Apply today!
 Follow this link to view all of our available careers and apply: https://www.safetynational.com/careers\-page/
**This opportunity is in the Information Technology department**
 As the company’s largest department, I.T. is responsible for supporting both ongoing operations and our next innovative project. Information technology is prioritized, allowing us to partner with colleagues to securely enable and support new capabilities every day. Utilizing a diverse set of technologies, like Guidewire, Salesforce, Java, C\#/.NET, Mule, and Azure, the available career opportunities continue to grow rapidly. Our department consists of agile teams where individual contributions are recognized, and career advancement is nurtured.
**Role Description:**
 Are you a skilled cloud\-native developer with a passion for innovation and enterprise impact? As a Cloud Software Engineer III, you’ll play a hands\-on role in building and modernizing scalable enterprise applications that drive Safety National’s digital transformation. You’ll collaborate with product owners, architects, and fellow engineers to develop solutions using .NET Core, React, and Microsoft Azure. From designing APIs to deploying microservices using cloud\-native principles, you’ll be a key contributor to delivering secure, modern applications. If you're ready to join a forward\-thinking team that values excellence, collaboration, and cutting\-edge technology, this role is for you.
**Qualifications:**
**Education:**
 A bachelor’s degree in Computer Science, Engineering, or a related field is required.
**Required Qualifications:**
* Must be presently authorized to work in the U.S. without a requirement for work authorization sponsorship by our company for this position now or in the future
* This position allows for a hybrid work schedule which includes a minimum of 3 days per week in our St. Louis Corporate Office, located at 1832 Schuetz Rd. Saint Louis, MO. All employees are required to submit work from home requests and follow our Work From Home policy, which will be provided to all candidates selected to interview.
* 4 or more years of professional software development experience
* Strong experience with .NET Core / C\# and React
* Deep understanding of Microsoft Azure services (e.g., Azure Container Apps, Azure Functions, Cosmos DB, Azure SQL)
* Familiarity with RESTful API design and development
* Experience with CI/CD tools (Azure DevOps, GitHub, etc.) and version control systems
* Proficiency in relational and NoSQL databases
* Ability to collaborate effectively in agile and cross\-functional environments
**Preferred Qualifications:**
* Experience with containerization technologies such as Docker or Kubernetes
* Exposure to Domain\-Driven Design (DDD) and microservices architecture
* Familiarity with secure coding practices in regulated industries
* Experience with Agile methodologies and DevOps practices
* Interest or experience in mentoring junior engineers and leading technical discussions
 Protect the confidentiality, integrity and availability of information and technology assets against unauthorized disclosure, destruction and/or alteration, in accordance with Safety National policies, standards, and procedures.
 Safety National is a leading specialty insurance and reinsurance provider. Our culture is built upon relationships, which allow us to demonstrate our expertise gained through our rich 80\-year history. As a wholly\-owned subsidiary of Tokio Marine, Inc., we appreciate the benefits and support provided by our affiliation with one of the top 10 insurance companies in the world.
**Total Rewards That Put Employees First**
 In our vision to be First with Co\-Workers, compensation that includes base salary, holiday bonus, and incentive awards is only a small portion of the comprehensive total rewards package we offer. Our total rewards approach recognizes and rewards the time, talents, efforts, and results of our valued employees. Highlights of our exceptional benefits include generous health, dental, and vision coverage, health savings accounts, a 401(k)\-retirement savings match and an annual profit sharing contribution. We proudly offer family forming benefits for adoption, fertility, and surrogacy, generous paid time off and paid holidays, paid parental and caregiver leave, a hybrid work environment, and company\-paid life insurance and disability. To support employees in their career journeys, we provide professional growth and development opportunities in addition to employee recognition and well\-being programs. Apply today to learn more.
 Safety National is committed to fair, transparent pay and we strive to provide competitive, market\-based compensation. In our vision to be First with Co\-Workers, compensation is only one piece of the comprehensive total rewards package we offer. The target base salary range for this position is $86,000 to $112,000\. Compensation for the successful candidate will consider the candidate’s particular combination of knowledge, skills, competencies, experience and geographic location.</t>
        </is>
      </c>
    </row>
    <row r="89">
      <c r="A89" t="inlineStr">
        <is>
          <t>li-4361219867</t>
        </is>
      </c>
      <c r="B89" t="inlineStr">
        <is>
          <t>Software Engineer 3</t>
        </is>
      </c>
      <c r="C89" t="inlineStr">
        <is>
          <t>Ramsey Solutions</t>
        </is>
      </c>
      <c r="D89" t="inlineStr">
        <is>
          <t>linkedin</t>
        </is>
      </c>
      <c r="E89" t="inlineStr"/>
      <c r="F89" t="inlineStr"/>
      <c r="G89" t="inlineStr">
        <is>
          <t>Nashville, TN</t>
        </is>
      </c>
      <c r="H89" t="inlineStr"/>
      <c r="I89" t="inlineStr">
        <is>
          <t>**Description**
**Team:** 
 B2C Global
 Please note that applicants must be authorized to work in the U.S. We are unable to sponsor or take over sponsorship of an employment Visa at this time.
 Location: Franklin, TN—on\-site, relocation assistance available, flexible schedules available
 Salary: $80,000\- $120,000/year\*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**We’re looking for a Software Engineer III** 
 to join our B2C Global team and help build cloud\-native applications that reach millions of people every day. You’ll use Java, Kotlin, Spring Boot, and AWS to create scalable, high\-impact digital products that change lives, and you’ll do it alongside a team that’s passionate about using technology to give hope and freedom to others. This on\-site role at our Franklin, TN campus offers collaboration, growth, and the opportunity to do meaningful work that truly matters.
 You’ll work in a collaborative, Kanban environment where your ideas matter.
 You’ll partner with product managers, designers, and fellow engineers to design, build, and ship solutions that bring hope and empowerment to users around the world.
**You’re Probably a Match If**
* You have 6\+ years of professional software engineering experience (Java or Kotlin preferred)
* You are passionate about crafting high\-quality software that impacts real people
* You thrive in fast\-paced, collaborative environments and enjoy solving complex technical problems
* You love learning and exploring new technologies to stay ahead of industry trends
* You are self\-motivated, adaptable, and confident leading projects from start to finish
* You believe in using your technical gifts to make a positive difference in the world
**What Winning Looks Like**
* Designing, developing, and maintaining Java\- and Kotlin\-based applications using Spring Boot and RESTful APIs
* Building and deploying cloud\-native systems on AWS with CI/CD pipelines
* Writing clean, testable, and maintainable code that scales to support high\-traffic environments
* Contributing to architectural decisions, technical roadmaps, and best practices for continuous improvement
* Leading development efforts on new digital products—from greenfield prototypes to full\-scale production launches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90">
      <c r="A90" t="inlineStr">
        <is>
          <t>li-4352659078</t>
        </is>
      </c>
      <c r="B90" t="inlineStr">
        <is>
          <t>Frontend Engineer (React / JavaScript) – Execution Platform (Desk-Facing, Systematic Equities) - - 2 Headcount - High visibility - Greenfield - Up to $450k TC</t>
        </is>
      </c>
      <c r="C90" t="inlineStr">
        <is>
          <t>Mondrian Alpha</t>
        </is>
      </c>
      <c r="D90" t="inlineStr">
        <is>
          <t>linkedin</t>
        </is>
      </c>
      <c r="E90" t="inlineStr"/>
      <c r="F90" t="inlineStr"/>
      <c r="G90" t="inlineStr"/>
      <c r="H90" t="inlineStr"/>
      <c r="I90" t="inlineStr">
        <is>
          <t>**Frontend Engineer (React / JavaScript) – Execution Platform (Desk\-Facing, Systematic Equities) \- \- 2 Headcount \- High visibility \- Greenfield \- Up to $450k TC** 
*Join one of the world’s leading quantitative investment firms, a global leader in systematic trading and execution. The firm operates at the intersection of technology, research and financial markets, with an engineering\-first culture and highly scalable infrastructure powering a large systematic equities trading platform.* 
 The firm is building a new Trading Technology Desk team and is hiring
 **two Frontend Engineers** 
 to develop a
 **greenfield execution monitoring and control platform** 
 used directly by traders. This is a desk\-facing role where UI quality, responsiveness, and clarity of workflow are mission\-critical.
**The Role** 
 As a Frontend Engineer, you will build high\-performance, desk\-facing interfaces that enable traders and execution teams to monitor and adjust live trading systems. You’ll own key UI components in a real\-time trading environment and work directly with traders to iterate quickly on usability and speed.
 While this is a frontend\-focused hire, the team values engineers who can collaborate across the stack — including a willingness to get hands\-on with backend integration in
 **C\# / .NET** 
 when needed.
**Key Responsibilities** 
* Build and maintain modern web applications using
 **JavaScript/TypeScript and React**
* Design intuitive, high\-performance UI workflows used directly by trading stakeholders
* Partner closely with traders and desk users to gather requirements and deliver real\-time improvements
* Collaborate with backend engineers to integrate UI with
 **C\# services and APIs**
* Contribute to engineering standards: code quality, performance, testing and reliability
* Help shape UI architecture for scalability, maintainability and long\-term evolution
**Ideal Candidate** 
**Required** 
* Strong experience in
 **JavaScript fundamentals** 
 and modern frontend development
* Proven React experience (or similar modern frameworks)
* Comfortable working in fast\-moving, high\-stakes environments where performance matters
* Strong communication skills and ability to work directly with traders
* A genuine interest in financial markets and front\-office systems
**Preferred** 
* Willingness to learn backend and contribute to API integration (C\# / .NET exposure is a plus)
* Experience building UI for real\-time systems (trading, monitoring, analytics, etc.)
* Familiarity with performance optimisation, state management, and frontend architecture
**Why Join** 
* Build a
 **greenfield execution platform** 
 from scratch
* Work directly with traders in a live trading environment
* High visibility, strong ownership, and a culture of engineering excellence
* Market\-leading compensation and a world\-class systematic trading platform</t>
        </is>
      </c>
    </row>
    <row r="91">
      <c r="A91" t="inlineStr">
        <is>
          <t>li-4328725199</t>
        </is>
      </c>
      <c r="B91" t="inlineStr">
        <is>
          <t>Senior Systems Software Engineer, Base OS - NPI</t>
        </is>
      </c>
      <c r="C91" t="inlineStr">
        <is>
          <t>NVIDIA</t>
        </is>
      </c>
      <c r="D91" t="inlineStr">
        <is>
          <t>linkedin</t>
        </is>
      </c>
      <c r="E91" t="inlineStr"/>
      <c r="F91" t="inlineStr"/>
      <c r="G91" t="inlineStr">
        <is>
          <t>California, United States</t>
        </is>
      </c>
      <c r="H91" t="inlineStr"/>
      <c r="I91"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build our teams with the most resourceful people in the world. Join us at the forefront of technological advancement.
**What You'll Be Doing**
* NVIDIA BaseOS is the Linux distribution of the NVIDIA GPU based platforms deployed in AI, Data\-Analytics, Autonomous vehicle industries. Your role as a Base OS Engineer is to develop the Ubuntu and RHEL based OS image flavors across platforms.
* Your role as a Base OS Engineer will also include sustaining the existing NVIDIA DGX and HGX systems.
* Work closely with System/Software development teams to build the common infrastructure for automation and use the latest industry standard tools!
* Work closely with Hardware and Firmware development teams to bring up new NVIDIA platforms, from power on to OS boot.
**What We Need To See**
* BS or Masters in computer science, or related field or equivalent experience.
* 5\+ years of experience.
* Excellent C and Python programming skills. Your expertise in coding is essential to your success in this role.
* Familiarity with at least one major Linux distro (Ubuntu, RedHat, SLES) is required.
* Experience creating your own Debian or RPM package and repository is highly desirable.
* Knowledge of OS concepts such as filesystems, job scheduling, device drivers, and storage, is required.
* Experience with complex system\-level debugging is invaluable, from X/Wayland to systemd to analyzing crash dumps to install issues.
* Excellent communication and planning skills.
**Ways To Stand Out From The Crowd**
* Knowledge of virtualization concepts such as device passthrough and SR\-IOV.
* Background in PCIe, USB, and similar low level protocols is recommended. Experience with UEFI and BMC firmware is strongly favored.
* Basic knowledge of tools deploying Containers or Kubernetes technologies is preferred. Having written software in GitHub with exposure to opensource development life cycle is desired.
 NVIDIA is widely considered to be one of the technology world’s most desirable employers. We have some of the most forward\-thinking and hardworking people on the planet working for us. If you're creative and autonomous,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JR2010491</t>
        </is>
      </c>
    </row>
    <row r="92">
      <c r="A92" t="inlineStr">
        <is>
          <t>li-4328060137</t>
        </is>
      </c>
      <c r="B92" t="inlineStr">
        <is>
          <t>Senior Software Engineer</t>
        </is>
      </c>
      <c r="C92" t="inlineStr">
        <is>
          <t>Mentor Talent Acquisition</t>
        </is>
      </c>
      <c r="D92" t="inlineStr">
        <is>
          <t>linkedin</t>
        </is>
      </c>
      <c r="E92" t="inlineStr"/>
      <c r="F92" t="inlineStr"/>
      <c r="G92" t="inlineStr"/>
      <c r="H92" t="inlineStr"/>
      <c r="I92" t="inlineStr">
        <is>
          <t>This is an opportunity to join a profitable, early\-stage company building LLM\-powered tools that transform how private market investors conduct research. The platform is used by top\-tier private equity and consulting firms responsible for investing billions of dollars annually.
 The team is small (17 people), distributed between NYC and London, and focused on shipping high\-impact products quickly.
**Role Description** 
 As one of the first engineering hires, the Senior Full\-Stack Engineer will have significant ownership and influence across both product and engineering.
 Key responsibilities include:
* Shipping quickly and iterating based on real user feedback
* Designing and building new ways for users to interact with computers
* Working on production\-grade LLM\-powered systems
* Collaborating closely with external partners and end users
* Contributing to product decisions, prioritization, and technical direction
* Helping shape engineering culture and best practices
 Sample Projects
* Building new products to ingest and process diverse research inputs
* Developing a low\-latency voice\-to\-voice survey system capable of autonomous, high\-volume research
* Building a mobile application from scratch in a short timeframe
* Creating segmented knowledge graphs from unstructured → structured data
* Developing an AI\-native CRM system integrated with internal knowledge systems
**About the Ideal Candidate** 
 The ideal candidate is a product\-minded Senior Full\-Stack Engineer who:
* Is based in NYC and open to working onsite 5 days/week
* Has experience leading projects end\-to\-end
* Enjoys contributing to product decisions and user experience
* Communicates clearly and is comfortable in client\-facing contexts
* Is proficient with Next.js, TypeScript, and PostgreSQL
* Moves fast and thrives in a high\-ownership environment
 Bonus experience:
* Building or designing AI\-powered products
* Working in early\-stage or high\-growth startup environments</t>
        </is>
      </c>
    </row>
    <row r="93">
      <c r="A93" t="inlineStr">
        <is>
          <t>li-4100086584</t>
        </is>
      </c>
      <c r="B93" t="inlineStr">
        <is>
          <t>Lead Software Engineer</t>
        </is>
      </c>
      <c r="C93" t="inlineStr">
        <is>
          <t>Las Vegas Sands Corp.</t>
        </is>
      </c>
      <c r="D93" t="inlineStr">
        <is>
          <t>linkedin</t>
        </is>
      </c>
      <c r="E93" t="inlineStr"/>
      <c r="F93" t="inlineStr"/>
      <c r="G93" t="inlineStr">
        <is>
          <t>Dallas, TX</t>
        </is>
      </c>
      <c r="H93" t="inlineStr"/>
      <c r="I93" t="inlineStr">
        <is>
          <t>Job Description:
**Position Overview**
 The primary responsibility of the Lead Software Engineer is to drive the development of innovative applications using the latest technologies. The Lead Software Engineer will take on a leadership position, guiding a team of engineers to understand user needs, design solutions, and deliver high\-quality software that meets market demands. The Lead Software Engineer thrives in a collaborative environment and has a strong technical background.
 All duties are to be performed in accordance with departmental and Las Vegas Sands Corp.’s policies, practices, and procedures. All Las Vegas Sands Corp. Team Members are expected to conduct and carry themselves in a professional manner at all times. Team Members are required to observe the Company’s standards, work requirements and rules of conduct.
**Essential Duties \&amp; Responsibilities**
* Lead the design, development, and implementation of high\-quality, maintainable, and scalable full\-stack features using Node.js, React, JavaScript/TypeScript.
* Translate designs and wireframes into clean, efficient, and reusable React components using JavaScript/TypeScript, HTML \&amp; CSS.
* Design and develop RESTful APIs using Node.js, JavaScript/Typescript.
* Provide technical guidance and architectural direction to the team, ensuring adherence to best practices and coding standards.
* Work closely with cross\-functional teams (design, product, QA) to gather requirements, design solutions, and ensure timely delivery of software.
* Foster a collaborative environment where team members can share ideas and work together effectively.
* Write clean, efficient, well\-documented, and testable code; actively participate in and facilitate code reviews to maintain high coding standards.
* Implement and advocate for best practices in testing, code quality, and documentation.
* Mentor and support junior and mid\-level engineers, providing guidance and helping them navigate technical challenges.
* Conduct regular one\-on\-one meetings to foster individual growth and performance improvement within the team.
* Take ownership of technical projects, ensuring they are delivered on time and meet quality standards.
* Define project timelines and milestones, and effectively communicate progress to stakeholders.
* Perform job duties in a safe manner.
* Attend work as scheduled on a consistent and regular basis.
* Perform other related duties as assigned.
**Minimum Qualifications**
* At least 21 years of age.
* Proof of authorization to work in the United States.
* Bachelor’s or Master’s degree in Computer Science, Software Engineering, or a related field.
* Must be able to obtain and maintain any certification or license, as required by law or policy.
* 7\+ years of relevant work experience.
* 2\+ years of experience with MongoDB/Redis and messaging systems like Kafka or MQ.
* Strong knowledge of modern JavaScript features, development methodologies, and best practices.
* Proficiency in React, Node.js, JavaScript, HTML/CSS, and Bash.
* Experience working closely with UI/UX designers to ensure collaborative refinement and implementation of designs to meet specifications, including cross\-browser compatibility.
* Demonstrated experience with Microservices architecture, RESTful APIs, GraphQL, and JSON.
* In\-depth knowledge of relational and NoSQL databases, including database design and data modeling with SQL and MongoDB/Redis.
* Strong analytical skills for researching technical issues and providing clear, actionable resolutions.
* Experienced in Agile and Scrum development processes, with a strong understanding of iterative development.
* Excellent written and verbal communication skills, with the ability to effectively convey technical concepts to non\-technical stakeholders.
* Working knowledge of cloud platforms (AWS, Azure, GCP) and DevOps practices.
* Experience with containerization tools like Docker and orchestration with Kubernetes.
* Working knowledge of unit testing and end\-to\-end testing frameworks.
* Strong interpersonal skills with the ability to communicate effectively and interact appropriately with management, other Team Members and outside contacts of different backgrounds and levels of experience.
**Physical Requirements**
 Must be able to:
* Physically access assigned workspace areas with or without reasonable accommodation.
* Work indoors and be exposed to various environmental factors such as, but not limited to, CRT, noise, and dust.
* Utilize laptop and standard keyboard to perform essential functions of the job.</t>
        </is>
      </c>
    </row>
    <row r="94">
      <c r="A94" t="inlineStr">
        <is>
          <t>li-4286539896</t>
        </is>
      </c>
      <c r="B94" t="inlineStr">
        <is>
          <t>Senior Software Engineer</t>
        </is>
      </c>
      <c r="C94" t="inlineStr">
        <is>
          <t>Epsilon</t>
        </is>
      </c>
      <c r="D94" t="inlineStr">
        <is>
          <t>linkedin</t>
        </is>
      </c>
      <c r="E94" t="inlineStr"/>
      <c r="F94" t="inlineStr"/>
      <c r="G94" t="inlineStr">
        <is>
          <t>Chicago, IL</t>
        </is>
      </c>
      <c r="H94" t="inlineStr"/>
      <c r="I94" t="inlineStr">
        <is>
          <t>**Overview**
**How You’ll Make an Impact**
 Epsilon is building the next generation Retail Media Network (RMN) platform to power onsite advertising at scale, using services from our industry\-leading platform that already serves billions of offsite ads across the open web. Our vision is a unified platform for both onsite and offsite ads, delivering low\-latency, high\-throughput performance across the board. We’re looking for a Senior Software Engineer to join our Core Platform Engineering team, someone with a self\-starter mindset who thrives with minimal direction, can quickly grasp business and technical goals, and takes ownership from concept through delivery. This is a high\-impact role where you’ll shape the architecture, optimize performance, and ensure our systems are built for scale, reliability, and innovation.You’ll be at the forefront of building a next\-generation advertising platform that combines the speed and sophistication of programmatic ad serving with the personalization and commerce power of retail media. Your work will directly shape how millions of users experience advertising across top retailers and brands.
**What You’ll Achieve**
* Design, implement, and maintain high\-performance, low\-latency services for advertising.
* Collaborate with product, platform, and operations teams to integrate new capabilities into the platform.
* Optimize system performance, fix production issues, and eliminate bottlenecks across the stack.
* Contribute to frontend integrations (SPAs, dashboards, tools) when needed, ensuring seamless workflows for internal and external users.
* Partner with data engineering teams to design and integrate event tracking, analytics, and reporting pipelines.
* Champion code quality, testing standard processes, and CI/CD automation.
* Deliver critically important enhancements enabling fast, accurate, and scalable ad delivery.
* Build robust, future\-proof services and interfaces that empower rapid feature development.
* Improve system observability, monitoring, and fault tolerance.
**Who You Are**
* What You’ll Bring with you :
+ Bachelor’s degree in Computer Science or related field (or equivalent experience).
+ 6\+ years of experience in backend and/or full stack software development.
+ Strong backend expertise in Java, with experience in high\-performance, distributed systems.
+ Experience with streaming platforms (e.g., Kafka, Kinesis, Pulsar).
+ Proficiency with relational databases (SQL) and NoSQL data stores.
+ Understanding of low\-latency, high\-throughput architectures and clean software design principles.
+ Experience building SPAs with TypeScript and modern frameworks (Angular, React, or similar).
* Why you might stand out from other talent :
+ Master’s degree or 10\+ years software engineering experience.
+ Experience in ad tech, especially ad serving, RTB, or programmatic platforms.
+ Familiarity with cloud\-native environments (AWS, Kubernetes, Docker).
+ Experience with large\-scale event tracking, data pipelines.
 Click here to view how Epsilon transforms marketing with 1 View, 1 Vision, 1 Voice.
 Base Salary: $88,900 \- $165,100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95">
      <c r="A95" t="inlineStr">
        <is>
          <t>li-4351754357</t>
        </is>
      </c>
      <c r="B95" t="inlineStr">
        <is>
          <t>Embedded Software Engineer - Firmware</t>
        </is>
      </c>
      <c r="C95" t="inlineStr">
        <is>
          <t>LER TechForce</t>
        </is>
      </c>
      <c r="D95" t="inlineStr">
        <is>
          <t>linkedin</t>
        </is>
      </c>
      <c r="E95" t="inlineStr"/>
      <c r="F95" t="inlineStr"/>
      <c r="G95" t="inlineStr">
        <is>
          <t>Columbus, IN</t>
        </is>
      </c>
      <c r="H95" t="inlineStr"/>
      <c r="I95" t="inlineStr">
        <is>
          <t>**Senior Embedded Software Engineer**
**LER TechForce**
  is seeking a skilled 
 **Senior Embedded Software Engineer** 
  experience in Linux\-based embedded platforms. Must be skilled in creating custom Linux images (Yocto, Buildroot, OpenWRT), managing CI/CD pipelines, and integrating open\-source software. Proficiency in C\+\+ and Python, firmware troubleshooting, and release management required. Strong organizational skills and ability to thrive in a fast\-paced environment are essential.
 This role would face complex problems and analysis requirements such as troubleshooting, designing, and developing of embedded software. This is a product\-focused position ideal for a self\-motivated problem solver who thrives in cross\-functional teams and enjoys tackling complex technical challenges.
**WHO WE ARE**
 :
 LER TechForce is an industry leader in embedded controls, software, functional safety, and engineering. For over 20 years LER has been working with customers across North America to meet their engineering challenges.  Learn more about us
 LER TechForce: Life \| LinkedIn
**JOB LOCATION:**
 Remote, must be in the US with availability to be on\-site at Columbus, Indiana for 1 full week every month OR 2 full weeks every other month.
**WHAT YOU WILL BE DOING:**
* Design FW solutions and provide time estimations for development efforts.
* Create and maintain customized Linux Image for embedded platform.
* Integrate, manage, and maintain OSS (Open Source Software).
* Repository branches and integration work to ensure smooth and efficient code integration.
* Maintain and manage CI/CD build/release pipelines.
* Conduct hands\-on troubleshooting and testing of firmware on the bench and in the field to ensure functionality and performance.
* Develop and maintain firmware on Linux embedded platforms, ensuring high performance and reliability.
* Develop and maintain core functionalities of the system, such as:
	+ Non\-volatile databases and data storage.
	+ Inter\-process communication mechanisms.
	+ System Startup.
	+ Log system.
* Integrate and maintain static analysis tools.
**WHAT YOU'LL NEED TO BE SUCCESSFUL:**
 Essential
 * College, university, or equivalent BA or BS degree in Computer Science, Computer Engineering, Electrical Engineering, Software Engineering, or related field.
* 7\+ years of experience as Firmware Development Engineer.
* Experience creating and managing Embedded Linux Platform (Yocto, Buildroot, OpenWRT).
* Solid experience as Firmware Developer on Linux Embedded Platform.
* Hands\-on experience on troubleshooting FW for embedded systems.
* Experience with CI/CD Build/Release Pipelines (Azure Devops, Jenkins, etc).
* Experience managing repositories branches and integration work.
* Experience integrating and managing OSS (Open Source Software).
* Experience with C\+\+ programming language.
* Experience on Firmware Release management.
* Experience with Python programming language.
* Experience with non\-volatile databases/data storage for embedded systems.
* Exposure to FW projects that follow Cybersecurity requirements.
* Highly organized professional, able to deal with different subjects in a fast paced environment.
**WHAT YOU'LL GET:**
* Full benefits: medical, dental, vision, HSA and FSA, etc.
* Employee Assistance Program
* Employee Discounts
* Ongoing professional development opportunities including Technical Training and Leadership Development
* The opportunity to work on industry leading projects
 If you are passionate about embedded software development in Linux environments, we encourage you to apply.</t>
        </is>
      </c>
    </row>
    <row r="96">
      <c r="A96" t="inlineStr">
        <is>
          <t>li-4354436097</t>
        </is>
      </c>
      <c r="B96" t="inlineStr">
        <is>
          <t>Full Stack Engineer - Dallas, TX</t>
        </is>
      </c>
      <c r="C96" t="inlineStr">
        <is>
          <t>VetJobs</t>
        </is>
      </c>
      <c r="D96" t="inlineStr">
        <is>
          <t>linkedin</t>
        </is>
      </c>
      <c r="E96" t="inlineStr"/>
      <c r="F96" t="inlineStr"/>
      <c r="G96" t="inlineStr">
        <is>
          <t>Dallas, TX</t>
        </is>
      </c>
      <c r="H96" t="inlineStr"/>
      <c r="I96"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 If you have the required skill set, education requirements, and experience, please click the submit button and follow the next steps. Unless specifically stated otherwise, this role is "On\-Site" at the location detailed in the job post.
 Who are we?
 Equinix is the world’s digital infrastructure company®, shortening the path to connectivity to enable the innovations that enrich our work, life and planet.
 A place where tech thinkers and future builders turn bold ideas into breakthrough experiences, we welcome your unique perspective.
 Help us challenge assumptions, uncover bias, and remove barriers—because progress starts with fresh ideas. You’ll find belonging, purpose, and a team that welcomes you—because when you feel valued, you’re empowered to do your best work.
**Job Summary**
 Equinix is seeking a highly motivated Senior Software Engineer with a strong focus on Digital Experience to join our Dallas office. In this role, you will design, build, and launch scalable software solutions that meet customer requirements using a state\-of\-the\-art technology stack and best engineering practices. You will be responsible for building critical applications and features at a global scale, delivering a world\-class experience for the Equinix procurement function.
 As a Staff Software Engineer, you will own the technical roadmap, serve as the primary technical SME, and collaborate across IT, security, and business teams to deliver secure, compliant, and scalable AI\-driven applications.
 This role is ideal for a highly skilled engineer passionate about leveraging cutting\-edge technologies across the full stack—modern front\-end frameworks such as React.js, Angular, Vue.js, and HTML5, combined with robust back\-end platforms like Node.js, Express.js, Django, and Spring Boot—to solve complex, real\-world problems. We’re looking for someone with exceptional engineering fundamentals, a deep understanding of scalable architecture, and strong product intuition to deliver high\-impact solutions with precision.
**Responsibilities**
 Back\-End \&amp; Microservices
 Build and maintain secure, scalable microservices using Java (Spring Boot/Quarkus/Micronaut) and Node.js (NestJS/Express).
 Define API contracts (REST/GraphQL/gRPC), govern schemas (Avro/Protobuf), and ensure
 Front\-End Development
 Understand the bigger picture and all user personas to design and build secure, scalable applications that deliver a seamless experience and create a true WOW factor for customers.
 Ensure strong state management, performance optimization, and intuitive user experiences for large\-scale audiences.
 Design and deliver responsive, scalable, and accessible (WCAG 2\.2 AA) world\-class UI/UX solutions using React and TypeScript
 consistency, idempotency, and observability.
 DevOps \&amp; CI/CD
 Establish CI/CD pipelines using GitHub Actions/GitLab CI/Azure DevOps.
 Implement progressive delivery strategies (canary/blue\-green) and feature flagging (LaunchDarkly).
 Security \&amp; Compliance
 Enforce security by design: OAuth2/OIDC/SAML, JWT, RBAC; manage secrets (Vault); ensure supply\-chain security (image scanning).
 Architecture \&amp; System Design
 Develop end\-to\-end product flows and robust system architectures.
 Architect secure, multi\-cloud applications across AWS/GCP/Azure; design portable, resilient solutions; manage containerization and Kubernetes deployments (Helm/Kustomize, GitOps).
 Apply domain\-driven design (DDD) principles for modeling and modular architecture.
 Collaboration \&amp; Leadership
 Work closely with Product Managers, SRE/Platform, and SecOps teams to deliver integrated, compliant solutions.
 Mentor junior engineers, conduct code reviews, and foster an inclusive, collaborative environment.
 Observability \&amp; Operational Excellence
 Instrument services with OpenTelemetry; implement logging, metrics, and tracing (Prometheus, Grafana, ELK/EFK, Jaeger).
 Define SLOs/SLIs and create incident response/runbooks.
 Innovation \&amp; Continuous Improvement
 Evaluate emerging technologies (especially AI/ML), run proof\-of\-concepts, and recommend adoption strategies with clear ROI and risk trade\-offs
**Auto req ID**
 463040BR
**Minimum Education Required**
 High School/GED
**Job\_Category**
 Engineering
**Qualifications**
**Additional Qualifications/Responsibilities**
 5\+ years of experience designing, building, and scaling enterprise\-grade applications that deliver measurable business impact and exceptional user experiences.
 Bachelor’s or Master’s degree in Computer Science, Engineering, or equivalent experience.
 Proven track record in developing end\-to\-end customer\-focused solutions, including buying/procurement experiences or similar applications.
 Full\-stack development proficiency: relational data modeling, DB optimization, REST API design, JavaScript, CSS, and delivering APIs as a service.
 Strong experience in React \&amp; TypeScript, modern CSS frameworks (Tailwind, Styled Components, CSS Modules), accessibility (WCAG 2\.2 AA), and performance optimization (SSR/ISR).
 Backend expertise: Java (Spring Boot) and Node.js (NestJS/Express); relational databases (PostgreSQL/MySQL) and ORM tools (JOOQ/JPA/Hibernate).
 API design and lifecycle management: REST, GraphQL, gRPC; versioning, pagination, rate limiting, and security best practices.
 Deep knowledge of AWS, GCP, and Azure; containerization with Docker and Kubernetes (workloads, networking, storage, autoscaling, PodDisruptionBudgets).
 Hands\-on experience with CI/CD pipelines (GitHub Actions, GitLab CI, Azure DevOps) and GitOps tools (Argo CD, Flux).
 Infrastructure as Code (Terraform, CloudFormation) and automated deployment strategies.
 End\-to\-end testing expertise: unit, integration, e2e, contract testing (Pact), TestContainers, frontend tests (Jest, React Testing Library, Cypress/Playwright), and performance/load testing (k6/JMeter).
 Familiarity with caching (Redis, Memcached) and messaging systems (Kafka, RabbitMQ).
 Familiarity with Observability tools: Prometheus, Grafana, ELK stack; logging, monitoring, and alerting.
 Strong understanding of domain\-driven design (DDD) and API lifecycle management.
 Solid grasp of software engineering best practices: version control, CI/CD, automated testing.
 Ability to work asynchronously across teams and time zones with excellent communication and influence skills.
 Experience with enterprise application integration (ERP, Procurement systems) and Source\-to\-Pay processes is a plus.
 Familiarity with Agile methodologies (Scrum, Kanban) and experience working in Agile teams.
**How You Will Find Success**
 Cultivate a strong sense of curiosity and a product\-focused mindset.
 Collaborate effectively with managers, cross\-functional teams, and teammates to achieve shared goals.
 Demonstrate persistence, creativity, and an unwavering drive to deliver results.
 Take pride in ownership and consistently strive for excellence in every initiative.
 Apply an analytical approach to tackle complex problems, identify root causes, and develop data\-driven, impactful solutions
 The targeted pay range for this position in the following location is / locations are:
 United States \- Dallas Infomart Office DAI : 118,000 \- 176,000 USD / Annual
 Our pay ranges reflect the minimum and maximum target for new hire pay for the full\-time position determined by role, level, and location.The pay range shown is based on our compensation structure in place at the time of posting and may be updated periodically based on business needs. Individual pay is based on additional factors including job\-related skills, experience, and relevant education and/or training.
 The targeted pay range listed reflects the base pay only and does not include bonus, equity, or benefits. Employees are eligible for bonus, and equity may be offered depending on the position.
**City\***
 Dallas
**State\***
 Texas
**Job Code**
 IT Information Technology
**Affiliate Sponsor**
 Equinix
**Salary Range**
 \&gt;$100,000</t>
        </is>
      </c>
    </row>
    <row r="97">
      <c r="A97" t="inlineStr">
        <is>
          <t>li-4185021297</t>
        </is>
      </c>
      <c r="B97" t="inlineStr">
        <is>
          <t>Software Engineer, Vehicle Software, V&amp;V</t>
        </is>
      </c>
      <c r="C97" t="inlineStr">
        <is>
          <t>Anduril Industries</t>
        </is>
      </c>
      <c r="D97" t="inlineStr">
        <is>
          <t>linkedin</t>
        </is>
      </c>
      <c r="E97" t="inlineStr"/>
      <c r="F97" t="inlineStr"/>
      <c r="G97" t="inlineStr">
        <is>
          <t>Costa Mesa, CA</t>
        </is>
      </c>
      <c r="H97" t="inlineStr"/>
      <c r="I9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**What You’ll Do**
* Lead the definition, design, and execution of product verification and validation activities throughout the product development life cycle
* Implement and automate software verification tests by defining and delivering test cases written against software requirements
* Analyze and simulate requirements per customer specifications or developed internal product requirements
* Review use cases, requirements, and specifications for products to ensure that requirements and specifications can be verified and validated
* The review also includes risk mitigations, usability, and regulatory requirements
* Execute complex testing, perform in\-depth statistical analysis, and interpret results independently
* Ensure that testing and results are traced to requirements; activities are completed with objective evidence
* Summarize results in reports with conclusions or recommendations
* As a hands\-on subject matter expert, lead ad hoc testing and potential failure mode analysis to characterize product designs and performance
* Conduct V\&amp;V Design Reviews as specified in project plans, and in accordance with company procedure
* Maintain knowledge of current regulatory requirements and standards as they pertain to the development and testing of products
* Provide technical leadership to a growing team
* Gain a working understanding of Anduril’s business lines and collaborate with leaders to build cohesive, end\-to\-end experiences for our users
* Be an advocate for excellent engineering culture across the team
**Required Qualifications**
* Eligible to obtain and maintain an active U.S. Top Secret security clearance
* Bachelor's degree in Computer Science, Computer Engineering, Robotics, Electrical Engineering, or related field, or equivalent experience
* 4\+ years of experience in Software testing or related technical experience
* Experience with requirements based verification and implementation of verification strategies with a strong emphasis on automated tests
* Have extensive knowledge of software development, processes, and verification tools, such as C/C\+\+, Python
* Track record of architecting software test plans in the Aerospace and Defense space
* In\-depth knowledge of requirements management, risk based testing approaches, defect tracking, and configuration control
* Strong Knowledge of Software Testing Principles And Methodologies
* Experience in Software Development Life Cycle And Software Verification Techniques
* Knowledge of Software Quality Assurance Tools And Techniques
* Must be eligible to obtain and maintain a U.S. TS clearance
**Preferred Qualifications**
* Experience standing up automated hardware\-in\-the\-loop testing infrastructure
* Functional knowledge of software development, verification, and validation requirements for DO\-178 and MIL\-HDBK\-516C
* Experience developing testable requirements and understanding of DO\-178 and MIL\-HDBK\-516C verification objectives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8">
      <c r="A98" t="inlineStr">
        <is>
          <t>li-4354775624</t>
        </is>
      </c>
      <c r="B98" t="inlineStr">
        <is>
          <t>Frontend Engineer</t>
        </is>
      </c>
      <c r="C98" t="inlineStr">
        <is>
          <t>RemoteHunter</t>
        </is>
      </c>
      <c r="D98" t="inlineStr">
        <is>
          <t>linkedin</t>
        </is>
      </c>
      <c r="E98" t="inlineStr"/>
      <c r="F98" t="inlineStr"/>
      <c r="G98" t="inlineStr"/>
      <c r="H98" t="inlineStr"/>
      <c r="I98"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9">
      <c r="A99" t="inlineStr">
        <is>
          <t>li-4345921431</t>
        </is>
      </c>
      <c r="B99" t="inlineStr">
        <is>
          <t>Software Developer III</t>
        </is>
      </c>
      <c r="C99" t="inlineStr">
        <is>
          <t>Noblis</t>
        </is>
      </c>
      <c r="D99" t="inlineStr">
        <is>
          <t>linkedin</t>
        </is>
      </c>
      <c r="E99" t="inlineStr"/>
      <c r="F99" t="inlineStr"/>
      <c r="G99" t="inlineStr">
        <is>
          <t>Chantilly, VA</t>
        </is>
      </c>
      <c r="H99" t="inlineStr"/>
      <c r="I99" t="inlineStr">
        <is>
          <t>**Responsibilities**
 As a
 **Python Software Developer III,** 
 you will be responsible for developing code, tests, and debugging new software or enhancements to existing software. You will have a good understanding of business applications as well as user, performance, quality, interface, and security requirements to support a forensic and investigative ecosystem across multiple enterprise applications in a multi\-enclave environment.
**Job Responsibilities**
* Develop, test, and debug new software solutions and enhancements to existing applications
* Work with technical staff to understand problems with software and resolve them
* Resolve customer complaints with software and respond to suggestions for improvements and enhancements
* Implement desktop design, testing, security lockdown, and integration with standard software packages
* Integrate with automated patching and deployment technologies
* Assist in development of software user manuals
* Document applications, services, and environments for future maintenance
* Participate in Program Increments (PIs) and Agile Release Train (ART) activities
* Support the multi\-enclave environment (Unclassified, Secret, and Top Secret)
* Collaborate with cross\-functional teams to ensure seamless integration
**Required Qualifications**
* Must have an active Top Secret (TS) clearance with eligibility for Sensitive Compartmented Information (SCI) and ability to obtain a Counterintelligence (CI) Polygraph.
* US Citizenship is required.
* Bachelor's degree or master's degree with 8 years of experience of experience OR Associate degree with 11 years of experience OR High School/Diploma with 14 years of experience.
* Demonstrated experience designing and implementing software solutions in secure government environments
* Proficiency level:
+ Python
+ API design, versioning, and integration best practices
+ DevSecOps practices and tools
 \#FundedPosition
**Desired Qualifications**
* Active TS/SCI with CI Polygraph
* Understanding of forensic and investigative data requirements
* Experience with:
+ Data processing, automation and ETL workflow orchestration
+ Lucene\-based search/indexing platforms: Elasticsearch and Opensearch
+ Data streaming and integration technologies such as Apache Nifi is preferred
+ Containerization and orchestration technologies (Docker, Kubernetes)
+ Cloud platforms (AWS GovCloud, SC2S, C2S)
+ GraphQL
+ Message brokers such as RabbitMQ, Kafka, and Redis
+ Server\-side technologies (Apache Tomcat)
+ Log analytics and observability platforms, particularly Splunk
+ Infrastructure as Code (Terraform)
+ SAFe Agile methodologies
+ Working in classified environments
 \#HiringNow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$120,700\.00 \- USD $188,725\.00 /Yr.</t>
        </is>
      </c>
    </row>
    <row r="100">
      <c r="A100" t="inlineStr">
        <is>
          <t>li-4328776013</t>
        </is>
      </c>
      <c r="B100" t="inlineStr">
        <is>
          <t>Staff Backend Engineer - Device Platform</t>
        </is>
      </c>
      <c r="C100" t="inlineStr">
        <is>
          <t>Verkada</t>
        </is>
      </c>
      <c r="D100" t="inlineStr">
        <is>
          <t>linkedin</t>
        </is>
      </c>
      <c r="E100" t="inlineStr"/>
      <c r="F100" t="inlineStr"/>
      <c r="G100" t="inlineStr">
        <is>
          <t>San Mateo, CA</t>
        </is>
      </c>
      <c r="H100" t="inlineStr"/>
      <c r="I100"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**What You'll Do**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**What You Bring**
* Degree in Computer Science or similar technical field of study
* 6\+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$190,000—$275,000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01">
      <c r="A101" t="inlineStr">
        <is>
          <t>li-4252120314</t>
        </is>
      </c>
      <c r="B101" t="inlineStr">
        <is>
          <t>Senior Frontend Software Engineer</t>
        </is>
      </c>
      <c r="C101" t="inlineStr">
        <is>
          <t>AWeber</t>
        </is>
      </c>
      <c r="D101" t="inlineStr">
        <is>
          <t>linkedin</t>
        </is>
      </c>
      <c r="E101" t="inlineStr"/>
      <c r="F101" t="inlineStr"/>
      <c r="G101" t="inlineStr">
        <is>
          <t>Philadelphia, PA</t>
        </is>
      </c>
      <c r="H101" t="inlineStr"/>
      <c r="I101" t="inlineStr">
        <is>
          <t>**We're currently hiring for remote team members in the following states: DC, DE, GA, MA, MD, NC, NH, NJ, OH, PA, SC, UT, and VA.**
 TL;DR We're looking for a curious and driven React engineer who takes pride in their code and wants to work for a 100% remote employer whose been recognized as one of Quartz's Best Companies for Remote Workers in 2023 and one of the Best Places to Work in PA for 14 years.
 We're AWeber \- a remote\-first company that helps small businesses around the world form meaningful connections with their customers and grow their businesses using our marketing communication software. We are fanatical about small businesses and we hope you are too!
 As a Senior Frontend Software Engineer, you will develop, maintain, and support client applications built with React as well as support legacy clients built using pure Javascript, PHP, and other technologies. We know that our customers need to complete their tasks quickly and continue operating their business and this is where you come in, creating remarkable experiences by guaranteeing a simple and robust platform.
 Every day you'll work with a team, writing new clients using React as well as supporting our legacy clients. You will collaborate closely with other engineers as well as Product and UI/UX Designers to craft remarkable experiences for our customers such as exposing Email Campaigns, developing editors for emails, sign\-up forms, and landing pages, and other tools that allow our customers to connect with their subscribers. You will propose creative solutions for challenging problems, develop unit and acceptance tests, and stay invested in new ways of tackling problems as we evolve our technical stack. Additionally, you will bring your passion for engineering to stay up\-to\-date on emerging trends, explore technologies across a variety of stacks, and use this passion to mentor other engineers.
 To thrive as a Senior Frontend Software Engineer, you are a motivated, quick learner who enjoys variety in their work and coming up with innovative solutions for building new React clients for new features and evolving our legacy clients to match current standards and best practices. You relish independently diving deep into tricky technical challenges as much as you love collaborating with other skilled engineers. You understand API design and know how to work with Backend Engineers to meet the needs of the features being developed. You take pride in producing high quality and secure code, making unit and acceptance testing a priority throughout the development cycle. You are proficient at mentoring others by sharing your knowledge and results as well as providing transparency throughout the project. Learning quickly is one of your super\-powers and you enjoy technologies and problems that are new to you, eager to share what you've learned. You use AI to improve your development process and have used it previously in features released to end users. You assume intense ownership over your areas of responsibility, always advocating for improvement and pushing to keep systems updated to current standards.
**Required Skills And Qualifications**
* Extensive experience working with Javascript, HTML, CSS/SASS, React, and Jest
* Extensive experience implementing and/or utilizing React component libraries
* Extensive experience implementing against RestFul APIs and understanding of core RestFul API concepts
* Understanding of browser resource caching
* Daily usage of AI technologies
**Preferred Qualifications**
* Experience with tailwindcss
* Experience with react\-query
* Experience with react\-testing\-library
* Experience with Federated Applications / Module Federation
* Experience with React Virtual Table/List Libraries (react\-virtuoso / react\-virtual)
* Experience developing with PHP
* Understanding of CDN caching
**About AWeber:**
 At AWeber we create marketing/ communication software that empowers small businesses around the world to form strong connections with their customers and grow their businesses. Who are our customers you might ask? They are creators, bloggers, entrepreneurs \- people just like you that are passionate about an idea or product they want to share with the world. At AWeber, YOU make an impact on these small businesses each and every day!
 As a team, we work remotely across the US, and although we're in separate locations, nothing can keep us apart! We collaborate everyday using a variety of tools such as slack, google meet, and confluence/ JIRA to ensure we're making decisions with our customers' best interests in mind \- something that's not possible when you work in a siloe. At AWeber, YOUR voice and YOUR opinion matters, regardless of your role. We expect all AWeber team members will ask tough questions, provide/ receive feedback regularly, and explore their passions on a daily basis. Sound exciting? Take the next step and apply.
**AWeber Benefits:**
* 100% Remote \- we're not going back to the office and here's why.
* Strong culture that supports flexibility, entrepreneurialism, and collaboration. Think we should be doing something different? Share your feedback! We're looking for you to add your AWesomeness to our culture.
* We have some other pretty cool benefits to make your life easier:
+ 100% Company Paid PPO medical, dental, vision insurance (spousal and domestic partner benefits available).
+ 4\-7 weeks of paid time off and holidays (based on tenure).
+ 4 week paid sabbatical (based on tenure).
+ 401K retirement plan with 4% company match.
+ Company Profit Share.
+ Home office equipment and internet stipend.
+ Tuition reimbursement, conferences, and learning opportunities.
+ Gym Memberships Reimbursement.
+ Company Paid Short Term Disability Insurance.
+ Company Paid Life Insurance.
+ Additional Supplemental Benefits (Long Term Disability, Critical Illness, and Additional Life Insurance).</t>
        </is>
      </c>
    </row>
    <row r="102">
      <c r="A102" t="inlineStr">
        <is>
          <t>li-4340196497</t>
        </is>
      </c>
      <c r="B102" t="inlineStr">
        <is>
          <t>Staff Software Engineer, Agent Orchestration</t>
        </is>
      </c>
      <c r="C102" t="inlineStr">
        <is>
          <t>Decagon</t>
        </is>
      </c>
      <c r="D102" t="inlineStr">
        <is>
          <t>linkedin</t>
        </is>
      </c>
      <c r="E102" t="inlineStr"/>
      <c r="F102" t="inlineStr"/>
      <c r="G102" t="inlineStr">
        <is>
          <t>San Francisco, CA</t>
        </is>
      </c>
      <c r="H102" t="inlineStr"/>
      <c r="I102"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The Agent Orchestration team builds the core execution layer that powers every agent interaction. This includes the systems responsible for coordinating model reasoning, evaluating agent behavior, and ensuring that agents behave reliably in real customer environments.
 We focus on correctness, reliability, and speed. Our work shapes how Decagon agents plan, decide, and take actions across millions of interactions.
**About The Role**
 As a Staff Software Engineer on the Agent Orchestration team, you will own the long term architecture of Decagon’s agent platform. You will lead large, multi quarter initiatives that shape how our orchestration engine works, how it scales, and how engineers across the company build on top of it.
 This role is for someone who thrives on technical depth, can influence across teams, and enjoys creating strong, principled systems that last. You will work closely with Research, Infra, Product Engineering, and Agent SWE to define the standards and frameworks that keep Decagon agents reliable and intelligent.
**In this role, you will**
* Own the architecture and evolution of the core execution engine behind Decagon agents
* Lead design for systems that coordinate complex reasoning and action flows at scale
* Drive reliability, testing, and observability standards across the orchestration stack
* Create frameworks that enable safe, fast iteration on agent behavior
* Mentor senior engineers and help grow the technical culture of Agent Orchestration
**Your background looks something like this**
* 8\+ years of engineering experience with a strong record of technical leadership
* Proficiency in Python or Typescript and comfort with asynchronous programming
* Expertise in distributed systems, concurrency, or large\-scale real\-time platforms
* Ability to define long\-term architecture and lead complex cross\-functional projects
* Strong instincts around system correctness, reliability, and debuggability
* Experience mentoring other engineers and raising the technical bar
**Even better**
* Experience designing runtimes, execution engines, or agent frameworks
* Experience with model driven applications or complex orchestration logic
* Experience with evaluation or experimentation systems
* Experience influencing engineering standards across multiple teams
**Benefits**
* Medical, dental, and vision benefits
* Take what you need vacation policy
* Daily lunches, dinners and snacks in the office to keep you at your best
**Compensation**
 $300K – $375K \+ Offers Equity</t>
        </is>
      </c>
    </row>
    <row r="103">
      <c r="A103" t="inlineStr">
        <is>
          <t>li-4328854469</t>
        </is>
      </c>
      <c r="B103" t="inlineStr">
        <is>
          <t>Backend Staff Software Engineer - Billing Platform *Hybrid*</t>
        </is>
      </c>
      <c r="C103" t="inlineStr">
        <is>
          <t>GEICO</t>
        </is>
      </c>
      <c r="D103" t="inlineStr">
        <is>
          <t>linkedin</t>
        </is>
      </c>
      <c r="E103" t="inlineStr"/>
      <c r="F103" t="inlineStr"/>
      <c r="G103" t="inlineStr">
        <is>
          <t>Palo Alto, CA</t>
        </is>
      </c>
      <c r="H103" t="inlineStr"/>
      <c r="I10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**Staff Backend Software Engineer** 
 with extensive experience in designing, building, and maintaining large\-scale applications and distributed systems. You will become an integral part of a team dedicated to managing GEICO's core billing platform.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**Responsibilities**
* Oversee high\-level and low\-level designs of one or more sub\-systems of the billing platform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developing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8\+ years of professional, hands\-on software development experience
* Strong experience in architecting and designing large\-scale, complex systems
* Proficient coding skills in Java, Golang, or similar languages,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**Preferred Qualifications**
* Experience in the financial technology sector, with a focus on billing, payments, subscription management, and financial reporting
* Proven track record in designing and implementing workflow engines
**Education**
* Bachelor’s and/or Master’s degree, preferably in CS, or equivalent experience
**Be Part of Our Journey**
 If you are a passionate technologist looking to make a difference, GEICO Tech is the place for you. Join us and be part of a team that is shaping the future of insurance technology. Together, we will create innovative solutions that improve lives and transform the industry.
**Annual Salary**
 $110,000\.00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4">
      <c r="A104" t="inlineStr">
        <is>
          <t>li-4361530666</t>
        </is>
      </c>
      <c r="B104" t="inlineStr">
        <is>
          <t>Sr. Software Engineer</t>
        </is>
      </c>
      <c r="C104" t="inlineStr">
        <is>
          <t>TEKsystems</t>
        </is>
      </c>
      <c r="D104" t="inlineStr">
        <is>
          <t>linkedin</t>
        </is>
      </c>
      <c r="E104" t="inlineStr"/>
      <c r="F104" t="inlineStr"/>
      <c r="G104" t="inlineStr">
        <is>
          <t>McLean, VA</t>
        </is>
      </c>
      <c r="H104" t="inlineStr"/>
      <c r="I104" t="inlineStr">
        <is>
          <t>Description
 As Sr. Software Engineer III, you’ll bring creative architect solutions to end customers, with the goal to make an impact across the federal government.
 We know that you can’t have great technology services without amazing people.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You'll work with AI team members to operationalize data pipelines and ML tasks
* You'll provide day\-to\-day support of deploying Python\-native ML pipelines
* You'll support architectural leadership, technical support, and advisement services to ensure identity management system technologies are integrated and meeting the appropriate security requirements
* You’ll support leadership who engage with high level executives at a public facing Federal agency and provide subject matter expertise in security architecture and other key domain areas
 What You’ll Need To Succeed
* A minimum of 10 years of experience in the Information Technology field, focusing on development projects using DevSecOps and AWS cloud environments
* A bachelor’s degree in Computer Science, Information Technology Management or Engineering, or other comparable degree; or equivalent experience in leu of degree
* Active TS/SCI CI Poly clearance
* At least 8 years of specific experience with full stack engineering (defined as proficient in database development/integration as well as server and client application development/integration), including at least 8 years of experience deploying production enterprise applications in AWS
* Expert\-level experience designing, developing, and deploying applications leveraging AWS cloud services in IL6\+ classified environments
* Expert experience in large\-scale, high\-performance enterprise big data application deployment and solution architecture on complex heterogeneous environments in AWS
* Expert experience leading automation, engineering, testing, and implementation tasks in cloud environments, including work across data, AI/ML, infrastructure/operations, and security.
* You have 8\+ years of experience with multiple of the following: Go, Python, Java, JavaScript, React, AngularJS, TypeScript, NextJS
 Skills
 java, aws, devsecops, git, python, full stack, microservices, pipeline, pipeline design, javascript, angular, react, ML pipeline
 Top Skills Details
 java,aws,devsecops,git,python,full stack,microservices,pipeline,pipeline design,javascript,angular,react,ML pipeline
 Job Type \&amp; Location
 This is a Contract position based out of Tysons, VA.
 Pay And Benefits
 The pay range for this position is $75\.00 \- $105\.00/hr.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onsite position in Tysons,VA. Application Deadline This position is anticipated to close on Jan 14,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105">
      <c r="A105" t="inlineStr">
        <is>
          <t>li-4361380942</t>
        </is>
      </c>
      <c r="B105" t="inlineStr">
        <is>
          <t>Senior Software Engineer - CoreAI</t>
        </is>
      </c>
      <c r="C105" t="inlineStr">
        <is>
          <t>Microsoft</t>
        </is>
      </c>
      <c r="D105" t="inlineStr">
        <is>
          <t>linkedin</t>
        </is>
      </c>
      <c r="E105" t="inlineStr"/>
      <c r="F105" t="inlineStr"/>
      <c r="G105" t="inlineStr">
        <is>
          <t>Redmond, WA</t>
        </is>
      </c>
      <c r="H105" t="inlineStr"/>
      <c r="I105" t="inlineStr">
        <is>
          <t>**Overview**
 The Azure AI Knowledge team is leading the way to deliver the next chapter in retrieval augmented generation by combining knowledge with Agents at scale. We are expanding Azure AI Search, to meet the demands of complex queries that require refinement, reasoning and reflection to deliver high quality results for both people and LLMs. Our customers span different industries, corpus sizes and have many key scenarios. Our work includes:
* Designing, building, and maintaining backend services with external and internal language model dependencies.
* Partnering with Applied Science to support and drive product evolution at scale.
* Working directly with GPUs to support production ML workloads at scale.
* Evaluation of production integrations to ensure end\-to\-end AI quality of Applied Science deliverables.
 You can follow our progression from better search, to RAG, to agentic retrieval:
* Azure AI Search: Outperforming vector search with hybrid retrieval and ranking capabilities – Microsoft Community Hub
* Raising the bar for RAG excellence: introducing generative query rewriting and new ranking model
* Up to 40% better relevance for complex queries with new agentic retrieval engine
 As a team, we leverage the diverse backgrounds and experiences of passionate engineers, scientists, and program managers to help us realize our mission to empower every person and every organization on the planet to achieve more. We believe great products are built by inclusive teams of customer\-obsessed individuals who trust each other and work closely together.  We collaborate regularly across the company with teams like Bing and Microsoft Research.
 A major aspect of this role is to push our development of knowledge retrieval to the frontier. Someone who can work closely with an Applied Sciences team to solve the hardest customer challenges. Someone who understand where the latest reasoning models are best suited and can support the integration of low latency options in places where speed is critical.
 If you are passionate about working on the latest and hottest areas in Artificial Intelligence, Machine Learning , all the while making search better for customers across the world and being part of one of the biggest cloud providers, then this is the team you’re looking for!
**Responsibilities**
* Design, build, and maintain Azure backend services and associated APIs.
* Leverage AI Tooling to accelerate the delivery of production services.
* Partner with Applied Science to bring high quality prompts, ML models and pre and post processing components into production in a secure, reliable, and scalable way.
* Providing evaluation tooling and support of production integrations to ensure end\-to\-end AI quality of Applied Science deliverables.
* Focus on high quality goods which includes evaluation support
* Understanding of state and state management for a production service at scale
* Contribute to team plans, documents, and communication in a clear and efficient way.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Development of Azure Services with full understanding of service release and live\-site responsibilities.
 Coding in C\# and Python in a production system.
 Ability to move fast while ensuring quality at scale in a collaborative team setting leveraging AI Tooling
 Development experience with large language models.
* 2\+ years’ experience developing and deploying live production systems as part of a product team.
* Coding in C\+\+ or Java in a production system.
* Excellent hybrid work skills – clear synchronous and asynchronous communication, strong teamwork, and collaboration skills
* Customer focused, strategic, drives for results, is self\-motivated, and has a propensity for action.
* Problem solver: ability to solve problems that the world has not solved before.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li-4328774144</t>
        </is>
      </c>
      <c r="B106" t="inlineStr">
        <is>
          <t>Software Engineer</t>
        </is>
      </c>
      <c r="C106" t="inlineStr">
        <is>
          <t>Parsons Corporation</t>
        </is>
      </c>
      <c r="D106" t="inlineStr">
        <is>
          <t>linkedin</t>
        </is>
      </c>
      <c r="E106" t="inlineStr"/>
      <c r="F106" t="inlineStr"/>
      <c r="G106" t="inlineStr">
        <is>
          <t>Centreville, VA</t>
        </is>
      </c>
      <c r="H106" t="inlineStr"/>
      <c r="I106"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looking for an amazingly talented
 **Software Engineers** 
 to join our team!
 In this role you will get to
 **design, develop, and support mission\-critical Point\-of\-Entry systems around the world** 
 .
**What You'll Be Doing**
* Design and architect system enhancements and expansions using model\-based design principles
* Consider and incorporate reliability, availability, and maintainability concepts into system designs
* Plan and support execution of global system upgrades while maximizing uptime
* Collaborate with program leadership to prioritize work, form a development schedule, and ensure on\-time delivery of features
* Work within a team to develop software that supports Point of Entry sites worldwide
* Develop and optimize software development processes to maximize customer mission success
* Rapidly troubleshoot and correct software discrepancies to maximize system availability
**What Required Skills You'll Bring All Levels**
* Bachelors degree and 10\+ years of experience in Software Engineering and/or Development.
* Active Top Secret/SCI clearance
* Demonstrated recent experience with Java, Python, node.js, JavaScript, HTML
* Experience designing and developing client/server architectures
* Understanding of data transport concepts
* Experience analyzing system capabilities to resolve problems on program intent, output requirements, input data acquisition, programming techniques and controls
* Domestic and/or international project travel may be required.
**What Desired Skills You'll Bring All Levels**
* Experience developing applications using a Continuous Integration / Continuous Delivery (CI/CD) pipeline
* Experience performing integration with third\-party APIs
* Experience integrating with peripheral devices
* Previous work with Atlassian Jira and Confluence products
* Experience conducting multidisciplinary research and collaborates with equipment designers and/or hardware engineers in the planning, design, development, and utilization of electronic data processing systems.
**Security Clearance Requirement**
 An active Top Secret SCI security clearance is required for this position.
 This position is part of our Federal Solutions team.
 The Federal Solutions segment delivers resources to our US government customers that ensure the success of missions around the globe. Our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$120,800\.00 \- $217,400\.00
 We value our employees and want our employees to take care of their overall wellbeing, which is why we offer best\-in\-class benefits such as medical, dental, vision, paid time off, Employee Stock Ownership Plan (ESOP), 401(k), life insurance, flexible work schedules, and holidays to fit your busy lifestyle!
 Parsons is an equal opportunity employer, and all qualified applicants will receive consideration for employment without regard to race, color, religion, sex, national origin, disability, veteran status or any other protected status.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row>
    <row r="107">
      <c r="A107" t="inlineStr">
        <is>
          <t>li-4328757074</t>
        </is>
      </c>
      <c r="B107" t="inlineStr">
        <is>
          <t>Senior Principal Software Engineer (Relocation Assistance),</t>
        </is>
      </c>
      <c r="C107" t="inlineStr">
        <is>
          <t>Baxter International Inc.</t>
        </is>
      </c>
      <c r="D107" t="inlineStr">
        <is>
          <t>linkedin</t>
        </is>
      </c>
      <c r="E107" t="inlineStr"/>
      <c r="F107" t="inlineStr"/>
      <c r="G107" t="inlineStr">
        <is>
          <t>Raleigh, NC</t>
        </is>
      </c>
      <c r="H107" t="inlineStr"/>
      <c r="I107"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**This is where your work saves lives**
 Baxter is seeking a visionary and highly skilled Senior Principal Embedded Software Engineer to join our Novum Infusion Pump team in the Medical Products and Therapies group. As a key member of our team, you will play a pivotal role in driving the development of cutting\-edge, embedded software solutions that enhance our infusion portfolio. If you're passionate about developing high\-quality software that meets the needs of our clients, we want to hear from you.
**What You'll Be Doing**
 As a Senior Principal Embedded Software Engineer, you'll:
* Design and Develop Embedded Software Applications: Create high\-performance and responsive embedded software applications using the Qt framework, ensuring seamless integration with hardware components.
* Lead Architectural Design: Drive the architectural design of front\-end software, focusing on modularity, scalability, and maintainability, and ensuring that software and hardware components work in harmony.
* Collaborate Across Functions: Work closely with hardware engineers, product managers, and other stakeholders to define system requirements and ensure seamless integration of software and hardware components.
* Mentor and Guide: Provide technical leadership and mentorship to junior and mid\-level engineers, fostering a culture of continuous learning and improvement.
* Ensure Code Quality: Conduct thorough code reviews, ensuring adherence to coding standards and best practices, and implement testing strategies to validate software functionality and performance.
* Stay Ahead of the Curve: Stay abreast of emerging technologies and industry trends, particularly in embedded systems development and verification, to drive innovation within the team.
* Document and Share Knowledge: Create and maintain comprehensive documentation for software designs, processes, and testing procedures, and share knowledge with the team to ensure continuous improvement.
**What You'll Bring**
* Expertise in Embedded Software Development: Bachelor's or Master's degree in Computer Science, Electrical Engineering, or a related field, with 8\+ years of experience in embedded software development, and 3 \+ years of experience using a UI framework.
* Technical Skills: Proficient in C\+\+ , UI or Qt/QML, with a strong understanding of object\-oriented programming principles, and experience with embedded Linux.
* UI/UX Design Principles: Knowledge of UI/UX design principles as they relate to embedded systems, and demonstrated experience in writing, debugging, and optimizing C/C\+\+ code for embedded systems.
* Soft Skills: Excellent problem\-solving skills and attention to detail, strong communication and interpersonal skills, and proven leadership abilities, with experience managing technical projects and mentoring team members.
**Preferred Qualifications**
* Additional Programming Languages: Experience with additional programming languages such as Python, and familiarity with version control systems (e.g., Git) and continuous integration/continuous deployment (e.g., Jenkins) tools.
* Automated Testing: Experience with automated testing using Squish library for Qt.
**Relocation assistance will be considered.**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$128,000 to $176,000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108">
      <c r="A108" t="inlineStr">
        <is>
          <t>li-4296000977</t>
        </is>
      </c>
      <c r="B108" t="inlineStr">
        <is>
          <t>Senior Software Engineer (Electronic Warfare)</t>
        </is>
      </c>
      <c r="C108" t="inlineStr">
        <is>
          <t>Applied Intuition</t>
        </is>
      </c>
      <c r="D108" t="inlineStr">
        <is>
          <t>linkedin</t>
        </is>
      </c>
      <c r="E108" t="inlineStr"/>
      <c r="F108" t="inlineStr"/>
      <c r="G108" t="inlineStr">
        <is>
          <t>San Diego, CA</t>
        </is>
      </c>
      <c r="H108" t="inlineStr"/>
      <c r="I108"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seeking an experienced Electronic Warfare (EW) engineer to join our cognitive sensing and radio frequency (CSRF) engineering team. The ideal candidate will play a significant role in designing, developing, and implementing cutting\-edge EW software solutions that align with our mission to deliver advanced technologies in signal and electronic intelligence (SIGINT and ELINT). This position requires extensive expertise in radar signal processing, modeling radars, software development, and applications of interest in the defense space.
 At Applied Intuition, you will:
* Design and develop signal processing algorithms for radar receivers and transmitters
* Implement radar models, waveforms, and algorithms in a complex simulation environment
* Stay up\-to\-date with the latest advancements in electronic warfare techniques, algorithms and models, and implement best practicesExecute and support the engineering aspects of contracts in radar signal processing
 We're looking for someone who has:
* Bachelor’s or Master’s degree in Computer Science, Electrical Engineering, Computer Engineering, or a related field
* Experience modeling complex radar systems
* Strong programming skills in scripting (e.g., Python), and compiled languages (e.g., C and C\+\+)
* Ability to translate radar specification documents into working software suites
* Experience designing, developing, and evaluating radar modeling and simulations for applications in electronic warfare
* Ability to transition software simulation applications that are deployed on hardware
* Passion for solving complex problems with little supervision in a fast\-moving team
* Ability to work in a fast\-paced, highly collaborative, and rapidly changing environment
 Travel Requirements:
* Must be willing to travel as projects require. Estimated average travel is once every month for between 2 days up to 1 week. (\~25%)
* This role can be based in one of the following locations: Tucson, AZ; Washington, DC; Mountain View, CA; San Diego, CA; Ann Arbor, MI; or Fort Walton Beach, FL. While preference will be given to candidates local to these areas, applicants from other U.S. locations will also be considered, provided they are willing to travel or potentially relocate for the position.
 Security Requirements:
* Must be a U.S. Citizen
* Must have an active U.S. security clearance
 For more information about U.S. security clearances: click here.
 Nice to have:
* 5\+ yrs experience with software implementation of radar signal processing algorithms
* Well versed in cognitive electronic warfare techniques.
* Software integration and understanding of electronic warfare systems.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$155,000 to $210,000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109">
      <c r="A109" t="inlineStr">
        <is>
          <t>li-4218975233</t>
        </is>
      </c>
      <c r="B109" t="inlineStr">
        <is>
          <t>Senior Software Engineer, Backend (Experimentation Platform)</t>
        </is>
      </c>
      <c r="C109" t="inlineStr">
        <is>
          <t>Affirm</t>
        </is>
      </c>
      <c r="D109" t="inlineStr">
        <is>
          <t>linkedin</t>
        </is>
      </c>
      <c r="E109" t="inlineStr"/>
      <c r="F109" t="inlineStr"/>
      <c r="G109" t="inlineStr">
        <is>
          <t>Denver, CO</t>
        </is>
      </c>
      <c r="H109" t="inlineStr"/>
      <c r="I109"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0">
      <c r="A110" t="inlineStr">
        <is>
          <t>li-4352771077</t>
        </is>
      </c>
      <c r="B110" t="inlineStr">
        <is>
          <t>Lead Full-Stack Software Engineer</t>
        </is>
      </c>
      <c r="C110" t="inlineStr">
        <is>
          <t>Signature Aviation</t>
        </is>
      </c>
      <c r="D110" t="inlineStr">
        <is>
          <t>linkedin</t>
        </is>
      </c>
      <c r="E110" t="inlineStr"/>
      <c r="F110" t="inlineStr"/>
      <c r="G110" t="inlineStr">
        <is>
          <t>Orlando, FL</t>
        </is>
      </c>
      <c r="H110" t="inlineStr"/>
      <c r="I110" t="inlineStr">
        <is>
          <t>**Job Description**
 We’re seeking a Lead Software Engineer to serve as a technical authority and hands\-on engineering leader across our enterprise application and digital platforms. As a senior\-most individual contributor, you will architect, design, and guide the development of scalable, secure, and high\-performing systems that power Signature Aviation’s digital ecosystem. This role blends deep technical expertise in .NET, Node.js, React/Next.js, TypeScript, and Azure with architectural vision and mentorship.
 You’ll partner closely with product owners, architects, and cross\-functional teams to define engineering standards, modernize our technology stack, and deliver enterprise\-grade solutions that advance Signature’s mission to connect people, data, and experiences across the global network.
**Responsibilities**
 Technical Strategy \&amp; Architecture
* Define and maintain technical architecture blueprints for distributed, cloud\-native systems using Azure and modern development frameworks.
* Lead solution design and code implementation for end\-to\-end enterprise systems, including API\-first architectures, microservices, and event\-driven workflows.
* Collaborate with enterprise and solution architects to ensure consistency, scalability, and security across the digital ecosystem.
* Evaluate emerging technologies and tools to inform long\-term platform strategies.
 Full\-Stack Engineering Leadership
* Design and manage Azure\-based architectures, including App Services, Functions, Logic Apps, Cosmos DB, Storage, and Azure DevOps.
* Build and optimize CI/CD pipelines (GitHub Actions or Azure DevOps) for automated testing, deployment, and observability.
* Implement IaC using Terraform and monitor system performance through Application Insights, Pino Logger, and Azure Monitor.
 Cloud \&amp; DevOps Enablement
* Architect and maintain scalable deployments using Azure App Services, Functions, Logic Apps, Service Bus, Cosmos DB, and Azure DevOps.
* Build automated CI/CD pipelines using GitHub Actions or Azure DevOps, ensuring consistent code quality and rapid delivery.
* Define infrastructure\-as\-code (IaC) standards with Terraform and manage observability using Application Insights, Azure Monitor, and Sentry.
 Technical Mentorship \&amp; Collaboration
* Act as a technical mentor and multiplier, guiding engineers through complex design, debugging, and architectural decisions.
* Foster a culture of excellence, collaboration, and innovation across engineering squads.
* Partner with product management and design to align technical feasibility with business priorities and user experience.
* Serve as the final technical escalation point for troubleshooting critical production issues.
 Innovation \&amp; Transformation
* Lead modernization and re\-platforming initiatives for legacy applications into modern, cloud\-native solutions.
* Drive automation, performance tuning, and security hardening efforts across applications.
* Advocate for DevSecOps, continuous learning, and open collaboration across disciplines.
**Qualifications**
 Minimum Education and/or Experience:
* Bachelor’s degree in Computer Science, Software Engineering, or a related field (Master’s preferred).
* 8\+ years of progressive experience in software engineering with proven success in full\-stack development and cloud\-based architecture.
* 2\+ years leading or architecting enterprise\-scale applications or digital platforms.
**Additional Knowledge And Skills**
* Languages \&amp; Frameworks: C\#, .NET Core, ASP.NET Core, Node.js, React/Next.js 14\+, TypeScript
* Cloud \&amp; DevOps: Azure (App Services, Functions, Logic Apps, Service Bus, Cosmos DB, Key Vault, APIM), Terraform, GitHub Actions, Azure DevOps
* Databases: PostgreSQL, SQL Server, Entity Framework Core, Drizzle ORM
* Frontend Tools: Tailwind CSS, shadcn/ui, Radix UI
* Integrations: Dynamics 365 CRM, Strapi CMS, Auth0 (OAuth2/JWT), REST, GraphQL
* Testing \&amp; Quality: Jest, Playwright, React Testing Library, MSW
* Observability: Application Insights, Sentry, Azure Monitor, Pino Logger
* Preferred: Docker/Kubernetes, AI/ML integrations, Adobe Experience Manager (AEM), event\-driven architecturesObservability: Application Insights, Sentry, Pino, Azure Monitor
* Preferred: Experience with containerization (Docker/Kubernetes) and AI/ML\-powered solutions
* Strategic technical thinking with hands\-on coding proficiency.
* Strong understanding of cloud\-native patterns, scalability, and security best practices.
* Exceptional collaboration and communication across technical and non\-technical audiences.
* Proven ability to influence architectural direction and deliver through others without formal authority.
* Commitment to continuous learning, innovation, and operational excellence.</t>
        </is>
      </c>
    </row>
    <row r="111">
      <c r="A111" t="inlineStr">
        <is>
          <t>li-4328694776</t>
        </is>
      </c>
      <c r="B111" t="inlineStr">
        <is>
          <t>Senior Front End Software Engineer- Agentforce for Supply Chain</t>
        </is>
      </c>
      <c r="C111" t="inlineStr">
        <is>
          <t>Salesforce</t>
        </is>
      </c>
      <c r="D111" t="inlineStr">
        <is>
          <t>linkedin</t>
        </is>
      </c>
      <c r="E111" t="inlineStr"/>
      <c r="F111" t="inlineStr"/>
      <c r="G111" t="inlineStr">
        <is>
          <t>New York, NY</t>
        </is>
      </c>
      <c r="H111" t="inlineStr"/>
      <c r="I111"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Join our dynamic team at Salesforce and make a real impact with your code! We’re looking for passionate individuals who want to shape the future of our products and deliver exceptional experiences to our customers. Come be a part of our innovative and collaborative environment, where your skills will thrive and your ideas will be valued. Apply now and let’s build something extraordinary together!
 We embrace the hybrid model and celebrate the individual strengths of each team member while encouraging everyone on the team to grow into the best version of themselves. We believe that autonomous teams with the freedom to make decisions will empower individuals, products, companies, and customers to thrive.
**Responsibilities**
*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**Required Skills**
* A related technical degree required
* 5\+ years of proven experience in front end engineering
* Solid knowledge of UI / web technologies, such as TypeScript, JavaScript, CSS, HTML5, XML, JavaScript, JSON, or Ajax
* Thorough understanding of accessibility standards and guidelines
* Experience using ReactJS, Flux, Redux, Relay/GraphQL, ReactNative, Ember.js, Node.js for Front End focused positions
* Understanding of object oriented programming language (Java, Javascript, C\+\+, C\#, Ruby, Python)
* Experience in automated testing including unit and functional testing using Java, JUnit, JSUnit, Selenium, Mocha and QUnit
* Excellent interpersonal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$143,300 \- $216,700 annually. In select cities within the San Francisco and New York City metropolitan area, the base salary range for this role is $172,000 \- $236,500 annually. The range represents base salary only, and does not include company bonus, incentive for sales roles, equity or benefits, as applicable.</t>
        </is>
      </c>
    </row>
    <row r="112">
      <c r="A112" t="inlineStr">
        <is>
          <t>li-4328804646</t>
        </is>
      </c>
      <c r="B112" t="inlineStr">
        <is>
          <t>Principal Software Engineer (Firmware Developer Experience)</t>
        </is>
      </c>
      <c r="C112" t="inlineStr">
        <is>
          <t>Tandem Diabetes Care</t>
        </is>
      </c>
      <c r="D112" t="inlineStr">
        <is>
          <t>linkedin</t>
        </is>
      </c>
      <c r="E112" t="inlineStr"/>
      <c r="F112" t="inlineStr"/>
      <c r="G112" t="inlineStr">
        <is>
          <t>San Diego, CA</t>
        </is>
      </c>
      <c r="H112" t="inlineStr"/>
      <c r="I112"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A highly skilled team leader responsible for the design and architecture of the build infrastructure, CI/CD automation, embedded toolchain, and overall developer experience that enables reliable, efficient delivery of firmware for Tandem's t:slim, Mobi, and next\-generation insulin pump products.
 The principal engineer is among the team’s most senior individual contributors and takes on some of the most challenging problems. This leadership role elevates the technical capabilities of everyone through mentorship, technical guidance, and by modeling Tandem values.
* Architects, implements, and maintains the embedded firmware build infrastructure, including build orchestration, tool chains, configuration systems, and artifact generation.
* Designs and builds CI/CD workflows that integrate automated build, test, and release processes.
* Drives adoption of industry\-standard technology and best practices in build automation, configuration management, and developer tooling.
* Ensures the reliability and availability of CI and server infrastructure and leads the rapid diagnosis and resolution of outages that impact engineering teams.
* Collaborates across the organization and with external vendors to procure, deploy, and maintain development tools and licenses.
* Drives a culture of continuous improvement in developer experience, engineering efficiency, and quality.
* Plays an active leadership role in the development, modification, and testing of software units per corporate software process documents.
* Establishes and enforces strong software engineering practices, concepts, and techniques across multiple software teams.
* Proactively identifies opportunities in software process, discusses with peers, and implements proposals to address gaps.
* Provides technical guidance to major programs and software engineering teams.
* Responsible for the training, mentoring, and development of junior team members.
* Guides the team through strategic design and architecture decisions.
* Creates, maintains, and reviews software design specifications, interface descriptions, and other software documentation.
* Creates, maintains, and reviews software requirements specifications.
* Influences software test strategy and supports validation and verification activities.
* Evaluates and recommends tools, technologies, and processes.
**When \&amp; Where You’ll Work** 
 Remote: This position is fully remote and open to candidates within the United States. Equipment for the role will be provided and training will occur virtually.
**What You’ll Need** 
* Skilled in utilizing modern AI tools in software development.
* Deep knowledge and experience with formal software.
* Skilled at fostering an environment that supports an effective exchange of information between diverse groups.
* Ability to scope, estimate time needed and track large scale development projects.
* Skilled at defining and translating high\-level requirements into software design and implementation.
* Able to lead cooperative work efforts within and between teams.
* Adept at leading change initiatives and ensuring the redeployment of resources within and between groups to meet new objectives.
* Able to assert own ideas and persuade others through effectively consolidating, evaluating, and presenting relevant information.
**Extra Awesome** 
* Bachelor’s degree in computer engineering, Electrical Engineering, Computer Science, Biomedical Engineering or related field or equivalent combination of education and years of applicable work experience.
* 10\+ years’ experience in the field of embedded software for medical devices, aerospace, automotive, or other safety/regulation critical products.
* Extensive experience with embedded build systems and toolchains (e.g., GCC, CMake, Kconfig, Nix) for multi\-target embedded platforms.
* Hands\-on experience building CI/CD pipelines and build/test/release automation (e.g. GitHub, GitHub Actions, Azure)
* Strong proficiency in Python and scripting languages for automation and developer tooling.
* Experienced with regulated software life cycle development, preferably medical device software.
**Compensation \&amp; Benefits** 
 The starting base pay range for this position is
 **$192,000 to $230,000**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t>
        </is>
      </c>
    </row>
    <row r="113">
      <c r="A113" t="inlineStr">
        <is>
          <t>li-4328712354</t>
        </is>
      </c>
      <c r="B113" t="inlineStr">
        <is>
          <t>Sr. Software Engineer, DevOps (Starlink)</t>
        </is>
      </c>
      <c r="C113" t="inlineStr">
        <is>
          <t>SpaceX</t>
        </is>
      </c>
      <c r="D113" t="inlineStr">
        <is>
          <t>linkedin</t>
        </is>
      </c>
      <c r="E113" t="inlineStr"/>
      <c r="F113" t="inlineStr"/>
      <c r="G113" t="inlineStr">
        <is>
          <t>Redmond, WA</t>
        </is>
      </c>
      <c r="H113" t="inlineStr"/>
      <c r="I113"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DEVOPS (STARLINK)**
 Want to build the next era of the Internet? Want to develop the infrastructure necessary to bring high speed broadband to every corner of the world?
 Join the team responsible for enabling the rapid development velocity that is critical to the success of Starlink. As a software engineer specializing in developer operations, you will engage with other Starlink engineers to learn about their systems, workflows, and challenges. You will take this knowledge and your passion for building great software to develop systems that allow our teams to innovate rapidly and reliably. You will be responsible for the complete life\-cycle of the software you create, including development, testing, and support.
 Your creativity and relentless commitment to quality will be critical to the reliability of our service and the success of our business. You are the engineer that other engineers can count on; you are technically excellent, you attack every problem with enthusiasm, you care deeply about what it takes to build high quality software.
 Aerospace experience is not required to be successful here \- rather we look for smart, motivated, collaborative engineers who love solving problems and want to make an impact on an inspiring mission.
**Responsibilities**
* Invent tools and processes that enable fast, accurate, and easy\-to\-use development and deployment systems
* Provide fast and comprehensive software validation, including virtualized, hardware\-in\-the\-loop, and on\-orbit test platforms
* Monitoring and data analysis in support of a continuous integration and release system
* Hands\-on integration and troubleshooting across the entire Starlink stack
* Create and manage core infrastructure such as databases and software libraries
* Identify areas for improvement and create innovative solutions that enable high developer velocity
**Basic Qualifications**
* Bachelor's degree in computer science, engineering, math, or scientific discipline and 5\+ years of systems engineering experience; OR 7\+ years of professional experience building software in lieu of a degree
* Development experience in Python, Go, or C\+\+
**Preferred Skills And Experience**
* DevOps, site reliability engineering, or systems administration experience
* Deep understanding of testing, continuous integration, build, deployment and continuous monitoring
* Strong understanding of relevant technologies, such as:
+ Bazel or other build systems
+ Linux, Docker, Kubernetes, or similar technologies
+ GitOps, ArgoCD, or other relevant experience
* Fluency in Python
* Strong skills in debugging, performance optimization, and unit testing
* Experience managing large scale systems
* Developed and deployed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**Additional Requirements**
* Must be able to work extended hours and weekends as needed
**Compensation And Benefits**
 Pay range:
 Software Engineer/Senior: $160,000 \- $220,000/per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14">
      <c r="A114" t="inlineStr">
        <is>
          <t>li-4286637323</t>
        </is>
      </c>
      <c r="B114" t="inlineStr">
        <is>
          <t>Senior Software Engineer - React</t>
        </is>
      </c>
      <c r="C114" t="inlineStr">
        <is>
          <t>NinjaOne</t>
        </is>
      </c>
      <c r="D114" t="inlineStr">
        <is>
          <t>linkedin</t>
        </is>
      </c>
      <c r="E114" t="inlineStr"/>
      <c r="F114" t="inlineStr"/>
      <c r="G114" t="inlineStr">
        <is>
          <t>Georgia, United States</t>
        </is>
      </c>
      <c r="H114" t="inlineStr"/>
      <c r="I114" t="inlineStr">
        <is>
          <t>**Description**
**About the Role**
 We are looking for a Senior Software Engineer to join one of our Product Development teams. Someone who has a strong emphasis on React and modern front\-end development. In this role, you'll work closely with product designers, product owners, and fellow engineers to create dynamic, high\-performance user interfaces. Collaborating across teams, you'll play a key role in building seamless and impactful experiences to deliver a unified customer experience that inspires and brings value to our diverse customer base.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****What You’ll Be Doing****
* Partner with designers and engineers to develop and implement design system components and patterns via React and Storybook.
* Partner with designers and product teams to develop robust, extensible, and accessible UI components.
* Write secure, maintainable code that powers, participate in code reviews and lead cross\-team initiatives, and document processes thoroughly.
* Other duties as needed.
****About You****
* 7\+ years of recent working experience with JavaScript \&amp; CSS.
* 5\+ years of recent working experience with REACT.
* Ability to perform basic management of instances in AWS.
* Experience working with Design System software such as Figma, Storybook, etc.
* Familiarity with React Query
* Experience with accessibility, internationalization, adaptive UI, responsive design, and other core UX considerations.
* Familiarity with front\-end testing frameworks, the value they provide, and how to write effective tests.
* Fostered habit of constant code and system improvement by refactoring and thinking critically about the system.
* Provide constructive feedback on team’s design choices and code.
* Bachelor’s degree or equivalent work experience in Computer Science or Engineering.
* Strong written and verbal communication skills.
* Component\-based user interface development experience, including how to construct and deconstruct components, with a focus on creating composable and reusable UI elements.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****About Us****
 NinjaOne, the automated endpoint management platform, delivers visibility, security, and control over all endpoints for more than 24,000 customers in 130\+ countries. The cloud\-native NinjaOne platform simplifies endpoint management, patching, and visibility for environments at any scale. It is proven to increase productivity, reduce security risk, and lower costs. NinjaOne is obsessed with customer success and provides free and unlimited onboarding, training, and support.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$130,000 to $200,000 per year.
 For roles based in New York, the base salary hiring range for this position is $130,000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\#BI\-Hybrid</t>
        </is>
      </c>
    </row>
    <row r="115">
      <c r="A115" t="inlineStr">
        <is>
          <t>li-4345864241</t>
        </is>
      </c>
      <c r="B115" t="inlineStr">
        <is>
          <t>Principal Software Developer</t>
        </is>
      </c>
      <c r="C115" t="inlineStr">
        <is>
          <t>Oracle</t>
        </is>
      </c>
      <c r="D115" t="inlineStr">
        <is>
          <t>linkedin</t>
        </is>
      </c>
      <c r="E115" t="inlineStr"/>
      <c r="F115" t="inlineStr"/>
      <c r="G115" t="inlineStr">
        <is>
          <t>Austin, TX</t>
        </is>
      </c>
      <c r="H115" t="inlineStr"/>
      <c r="I115" t="inlineStr">
        <is>
          <t>**Job Description**
 At Multicloud Services organization, our mission is to support customer choice, transparency, and value when it comes to cloud infrastructure. We make it easy for our customers to maximize the value of their Oracle investment as well as other clouds or on\-premise infrastructure and build highly distributed, scalable, and resilient Multicloud solutions to support their business.
 We are looking for hands\-on engineers with expertise and passion in solving difficult problems in all areas of cloud service software engineering: high scale distributed systems, virtualized infrastructure, identity, security, observability, and user experience.
 This is a greenfield opportunity to design and build new cloud services from the ground up. We are growing fast, still at an early stage, and working on ambitious new initiatives. An engineer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We are looking for engineers with experience in building control plane components for public cloud services including Google Cloud, AWS, Azure.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**Qualifications:**
* 6 to 10 years distributed service engineering experience in a software development environment
* Development experience in a modern programming language, such as Java, GoLang, C\+\+, C\#
* Hands\-on experience designing, developing, and operating public cloud service control planes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or desire to learn
* Demonstrable technical leadership and mentorship skills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Experience and understanding of multi\-AD/AZ and regional data centers
* Building continuous integration/deployment pipelines with robust testing and deployment schedules
* FedRAMP, PCI DSS, or similar compliance and auditing experience
* Expertise in applying threat modeling or other risk identification techniques to develop security solutions
**Responsibilities**
 As a Principal Member of Technical Staff, you will build entire services and act as a leader on your team. You will be writing exceptional code and tests, mentor others on your team and establish high quality standards, drive design and architecture of your service, and play a key role in planning, execution and operational readiness. As an engineering leader, we expect you to raise the bar for the entire engineering organization – whether through best engineering practices, operational excellence, development process or shared code contributions.
**Key Responsibilities:**
* Own the engineering delivery of a service component or product.
* Work closely with architects, product and program managers to deliver product features on time and with high quality.
* Drive engineering efforts and provide direction other members of the team.
* Collaborate with other product teams.
* Proactively identify and resolve risks and issues that may dent team’s ability to execute.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6">
      <c r="A116" t="inlineStr">
        <is>
          <t>li-4345991282</t>
        </is>
      </c>
      <c r="B116" t="inlineStr">
        <is>
          <t>Lead Software Engineer</t>
        </is>
      </c>
      <c r="C116" t="inlineStr">
        <is>
          <t>STR</t>
        </is>
      </c>
      <c r="D116" t="inlineStr">
        <is>
          <t>linkedin</t>
        </is>
      </c>
      <c r="E116" t="inlineStr"/>
      <c r="F116" t="inlineStr"/>
      <c r="G116" t="inlineStr">
        <is>
          <t>Woburn, MA</t>
        </is>
      </c>
      <c r="H116" t="inlineStr"/>
      <c r="I116" t="inlineStr">
        <is>
          <t>A mission\-focused Lead Software Engineer develops and deploys software essential for a specific, real\-world objective or "mission" in partnership with our customers. This approach differs from standard software engineering by adding a strong emphasis on the end\-user's operational needs and the success of the overall mission, rather than just technical performance. Ensuring alignment to the mission and customer through an agile response to dynamic priorities can significantly improve the impact of STR software.
 Our Systems Development Division (SDD) executes the entire lifecycle of the solution, from conceptualization and architecture refinement through implementation and deployment, while leveraging novel technologies to deliver first\-of\-a\-kind systems. Current efforts include programs for airborne and space sensors and advanced operations enabled by multi\-function, multi\-modal capabilities. In this role you will be exposed to key operations, users, and technology that have strategic impact on AF operations.
**The Role**
 As a Lead Software Engineer in STR’s Systems Development Division (SDD), you will design and develop systems and deploy advanced technology solutions for our customers. You will work as part of tightly knit Agile software teams to develop, integrate, and maintain software systems deployed to meet unique mission needs in customer directed environments. You ensure that our software solutions meet the highest standards of quality, reliability, and performance as well as user needs.
 This position requires an active Top Secret (TS) clearance. The role can be based at any of these three STR sites: Dayton, OH, Arlington, VA, and Woburn, MA. Applicants should expect to travel and work on site at customer facilities at 1 week per month on average.
**What you will do:**
* Develop new software components for a key operational capability
* Conduct software integration and test activities in supporting a small integrated development team
* Perform integration testing to ensure seamless interaction between different system components
* Deployment and Field Testing: Traveling to integration sites to build, test, and deploy software in real\-world, operational environments (CONUS)
* Triage and Debugging: Identifying and resolving software and system failures during integration
* Participate in test planning \&amp; test events, requirements reviews, code reviews, and architecture/software implementation reviews to improve code quality and maintainability
* Develop and maintain automated test scripts and test frameworks for Java applications
**Who You Are:** 
- This position requires an Active Top Secret Security clearance, for which U.S citizenship is needed by U.S. Government
- Motivated collaborator looking to work with a team of high\-end researchers and engineers to develop and deploy software capabilities with mission impact
- BS in Computer Science or related technical field with at least 7 years of work experience (MS \+ 5 years, PhD \+ 2 years, or equivalent experience will be considered)
- Experience designing, building, testing, debugging, and maintaining a large codebase
- Experience with the following:
* Object\-oriented programming principles
* Service oriented architectures or micro\-service architectures
* Containerization/orchestration tools such as Docker and Kubernetes
* Agile software lifecycle methodologies and tools, such as JIRA and SonarQube
* DevOps or CI/CD tools such as Gitlab
* Test\-driven development methodologies
* A demonstrated ability to adopt new languages, libraries, and technologies
* Organized, detail\-oriented, and with an ability to work both independently and collaboratively
* Integration and Test Experience, with a focus on Java applications
* Experience in leading and directing development initiatives from inception to functional prototypes to production\-level systems
**Even Better:**
* SCI Eligible
* Experience with automated testing tools and frameworks (e.g., JUnit, TestNG, Selenium).
* Experience with message queuing systems like Active MQ, as well as access control and auditing
**Pay Information**
 Full\-Time Salary Range: $157,000 \- $224,000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117">
      <c r="A117" t="inlineStr">
        <is>
          <t>li-4354775506</t>
        </is>
      </c>
      <c r="B117" t="inlineStr">
        <is>
          <t>Research Software Engineer, ML Network Optimization, Google Beam</t>
        </is>
      </c>
      <c r="C117" t="inlineStr">
        <is>
          <t>Google</t>
        </is>
      </c>
      <c r="D117" t="inlineStr">
        <is>
          <t>linkedin</t>
        </is>
      </c>
      <c r="E117" t="inlineStr"/>
      <c r="F117" t="inlineStr"/>
      <c r="G117" t="inlineStr">
        <is>
          <t>Seattle, WA</t>
        </is>
      </c>
      <c r="H117" t="inlineStr"/>
      <c r="I117"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Seattle, WA, USA; San Francisco, CA, USA** 
 .
 **Minimum qualifications:**
* Bachelor’s degree in Computer Science, a related technical field, or equivalent practical experience.
* 5 years of experience with software development in one or more programming languages, including C\+\+ and Python.
* 3 years of experience testing, maintaining, or launching software products, and 1 year of experience with software design and architecture.
* 3 years of experience with one or more of the following: Machine Learning Optimization (e.g., quantization, distillation), GPU/TPU hardware architecture, Kernel programming, or specialization in another ML field.
* 3 years of experience with ML infrastructure (e.g., model deployment, model evaluation, optimization, data processing, debugging).
**Preferred qualifications:**
* Master's degree or PhD in Computer Science, Computer Engineering, or a related technical field.
* 5 years of experience with data structures and algorithms, and hardware\-software co\-design.
* 1 year of experience in a technical leadership role or driving architectural transitions.
* Experience with kernel programming (e.g., CUDA, OpenCL, Vulkan, Triton), compiler technologies (e.g., XLA), and optimizing real\-time media pipelines.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researchers and engineers are turning science fiction into reality. Google Beam is developing advanced software and hardware technology to enable people who are separated by distance to experience a conversation as if they were together in the same room.
 As a Research Software Engineer, you will join a creative, fast\-moving team at the intersection of computer vision, machine learning, and graphics. While we push the boundaries of what is possible with novel research, your focus will be on making that research viable for production. You will bridge the gap between high\-level algorithms and low\-level hardware performance, architecting the transition to next\-generation GPU platforms. You will work alongside researchers and engineers to invent the future of communication.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 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Research and implement emerging best practices in network design (e.g., quantization, distillation) to accelerate network performance without loss of quality.
* Lead low\-level performance optimization efforts and write fast custom kernels to reduce per\-call GPU resource requirements and latency.
* Analyze and profile complex ML models and graphics pipelines to identify and resolve performance bottlenecks.
* Collaborate with hardware and compiler teams to influence next\-generation architecture and software stack requirements.
* Navigate hardware\-software co\-design to facilitate long\-term gains in the performance of our ML software and hardware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8">
      <c r="A118" t="inlineStr">
        <is>
          <t>li-4328689658</t>
        </is>
      </c>
      <c r="B118" t="inlineStr">
        <is>
          <t>Cloud Software Engineer</t>
        </is>
      </c>
      <c r="C118" t="inlineStr">
        <is>
          <t>Peraton</t>
        </is>
      </c>
      <c r="D118" t="inlineStr">
        <is>
          <t>linkedin</t>
        </is>
      </c>
      <c r="E118" t="inlineStr"/>
      <c r="F118" t="inlineStr"/>
      <c r="G118" t="inlineStr">
        <is>
          <t>Annapolis Junction, MD</t>
        </is>
      </c>
      <c r="H118" t="inlineStr"/>
      <c r="I11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 Bachelor's degree in Computer Science or a related technical field (degree may substitute for 2 years of experience); Master's degree may substitute for 4 years of experience
* 5\+ years of relevant software engineering experience
* 4\+ years of experience developing software in high\-level languages such as Java, C, or C\+\+
* Hands\-on experience with open\-source, distributed NoSQL technologies (e.g., HBase, Accumulo, Bigtable)
* 3\+ years of experience developing software on UNIX/Linux (Red Hat) platforms
* 3\+ years of experience with software integration and testing, including creating and executing test plans and scripts
* Strong technical writing skills, with experience producing software documentation
* Active TS/SCI clearance with current polygraph (required)
****Preferred Certifications (Nice to Have)****
* AWS Certified Developer \- Associate
* AWS DevOps Engineer \- Professional
* Certified Kubernetes Application Developer (CKAD)
* Elastic Certified Engineer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19">
      <c r="A119" t="inlineStr">
        <is>
          <t>li-4340746335</t>
        </is>
      </c>
      <c r="B119" t="inlineStr">
        <is>
          <t>Senior Software Engineer, Dart</t>
        </is>
      </c>
      <c r="C119" t="inlineStr">
        <is>
          <t>Anduril Industries</t>
        </is>
      </c>
      <c r="D119" t="inlineStr">
        <is>
          <t>linkedin</t>
        </is>
      </c>
      <c r="E119" t="inlineStr"/>
      <c r="F119" t="inlineStr"/>
      <c r="G119" t="inlineStr">
        <is>
          <t>Costa Mesa, CA</t>
        </is>
      </c>
      <c r="H119" t="inlineStr"/>
      <c r="I11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 This position will be located at our headquarters in Costa Mesa, CA (relocation benefits provided.)***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an end\-to\-end target tracking pipeline for Dart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Participate in the full software development lifecycle, from concept and design through testing and deployment
* Stay current with emerging technologies and industry trends, recommending and implementing innovations to improve our products and processes
**Required Qualifications**
* Bachelor's degree in Robotics, Computer Science, or related field
* 5\+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Costa Mesa, CA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20">
      <c r="A120" t="inlineStr">
        <is>
          <t>li-4361311831</t>
        </is>
      </c>
      <c r="B120" t="inlineStr">
        <is>
          <t>Lead Software Engineer - Athena Cloud Engineer</t>
        </is>
      </c>
      <c r="C120" t="inlineStr">
        <is>
          <t>JPMorganChase</t>
        </is>
      </c>
      <c r="D120" t="inlineStr">
        <is>
          <t>linkedin</t>
        </is>
      </c>
      <c r="E120" t="inlineStr"/>
      <c r="F120" t="inlineStr"/>
      <c r="G120" t="inlineStr">
        <is>
          <t>Houston, TX</t>
        </is>
      </c>
      <c r="H120" t="inlineStr"/>
      <c r="I120" t="inlineStr">
        <is>
          <t>**Job Description**
 We have an opportunity to impact your career and provide an adventure where you can push the limits of what's possible.
 As a Lead Software Engineer at JPMorganChase within the Commercial and Investment Bank, Merkets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Aligning technical strategy with other partner teams across the bank to deliver a complete and coherent experience for Athena Developers
* Execute creative software solutions, design, development, and technical troubleshooting with ability to think beyond routine or conventional approaches to build solutions or break down technical problems
* Partner with a global team of engineers through a transformation of the Athena Core Platform to a resilient and scalable cloud based architecture
* Identify opportunities to eliminate or automate remediation of recurring issues to improve overall operational stability of software applications and systems
* Lead communities of practice across Software Engineering to drive awareness and use of new and leading\-edge technologies
**Required Qualifications, Capabilities, And Skills**
* Formal training or certification on software engineering concepts and 5\+ years applied experience
* Working knowledge of load balancing and service orchestration, both on\-prem and in public cloud environments
* Proficient in one or more general\-purpose programming languages such as Python, Java
* Advanced understanding of agile methodologies such as CI/CD, Application Resiliency, and Security
* Practical Cloud\-native and Kubernetes experience
* In\-depth knowledge of Infrastructure as Code such as Terraform
* Add to team culture of diversity, opportunity, inclusion, and respect
**Preferred Qualifications, Capabilities, And Skills**
* Experience running Kubernetes (AWS EKS) at large scale for financial organizations where scaling, resiliency, security, monitoring and audit trail etc. will be prioritized
* Hands\-on experience with Infrastructure as Code products, preferably Terraform
* Experience in one or more public cloud platforms (ideally AWS)
* Experience in DevOps will be considered an advantage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1">
      <c r="A121" t="inlineStr">
        <is>
          <t>li-4218971907</t>
        </is>
      </c>
      <c r="B121" t="inlineStr">
        <is>
          <t>Senior Software Engineer, Backend (Experimentation Platform)</t>
        </is>
      </c>
      <c r="C121" t="inlineStr">
        <is>
          <t>Affirm</t>
        </is>
      </c>
      <c r="D121" t="inlineStr">
        <is>
          <t>linkedin</t>
        </is>
      </c>
      <c r="E121" t="inlineStr"/>
      <c r="F121" t="inlineStr"/>
      <c r="G121" t="inlineStr">
        <is>
          <t>Minneapolis, MN</t>
        </is>
      </c>
      <c r="H121" t="inlineStr"/>
      <c r="I121"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22">
      <c r="A122" t="inlineStr">
        <is>
          <t>li-4297299230</t>
        </is>
      </c>
      <c r="B122" t="inlineStr">
        <is>
          <t>Principal AI Software Engineer (Hybrid in Oak Brook, IL)</t>
        </is>
      </c>
      <c r="C122" t="inlineStr">
        <is>
          <t>Chamberlain Group</t>
        </is>
      </c>
      <c r="D122" t="inlineStr">
        <is>
          <t>linkedin</t>
        </is>
      </c>
      <c r="E122" t="inlineStr"/>
      <c r="F122" t="inlineStr"/>
      <c r="G122" t="inlineStr">
        <is>
          <t>Oak Brook, IL</t>
        </is>
      </c>
      <c r="H122" t="inlineStr"/>
      <c r="I122"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50\+ million homes, and 13 million\+ people rely on the myQ® app daily.
 Chamberlain Group is a global leader in access solutions with top brands, such as LiftMaster and Chamberlain, found in millions of homes, businesses, and communities worldwide. We are seeking a hands\-on, experienced Principal Software Engineer – to lead the design and development of next\-generation Agentic AI systems that power multi\-dimensional virtual assistants across our product ecosystem. This role is a cornerstone in our shift toward AI\-native experiences — moving beyond traditional ML and into systems that reason, act, and collaborate autonomously using foundation models.
 You’ll be responsible for architecting and building LLM\-based agents that integrate with real\-world tools and APIs, orchestrate tasks across roles, and scale intelligently in production environments. If you’re passionate about building software that thinks, adapts, and interacts, this is the role for you.
 Job Responsibilities:
* Oversee the design, development, and deployment of AI features within Chamberlain products such as: Video\-based search using LLMs, Chatbot interfaces for search and AI\-generated insight, backend pipelines and APIs for AI feature delivery.
* Architect and build agentic AI systems using LLMs, RAG, tool integration, and orchestration frameworks.
* Design role\-based architectures where agents collaborate through coordination protocols and memory management.
* Build, test, and optimize pipelines using tools such as LangChain, LangGraph, and CAMEL.
* Develop systems for agent reasoning, planning, and long\-term memory retrieval to enable contextual conversations and task execution.
* Work across product, engineering, and AI research teams to ensure scalable and performant deployment of assistants.
* Drive decision\-making around tooling, infrastructure, observability, and production\-readiness.
* Mentor engineers across the org in AI\-native engineering patterns, architecture, and LLM ecosystem evolution
* Ensure end\-to\-end delivery across frontend, backend, and ML components, and drive code quality, scalability, and maintainability best practices.
* Act as the technical voice in roadmap discussions and sprint planning.
* Define engineering workflows, coding standards, and agile practices.
* Track and improve delivery velocity, quality metrics, and GenAI tool adoption.
* Comply with health and safety guidelines and rules; managers should also ensure compliance across their teams.
* Protect Chamberlain Group’s reputation by keeping information confidential.
* Maintain professional and technical knowledge by attending educational workshops, reading professional publications, establishing personal networks, and participating in professional societies.
* Contribute to the team effort by accomplishing related results and participating on projects as needed.
 Job Requirements:
* Bachelor’s or Master’s degree in Computer Science, Electrical Engineering, or a related field
* 8\+ years of experience in software engineering, with at least 2\+ years working with LLMs or agentic AI systems.
* Proven experience building LLM\-powered agents that interact with external tools and APIs.
* Demonstrated work with agent orchestration frameworks (e.g., LangGraph, CAMEL, AutoGen).
* Experience leading cross\-functional initiatives in AI productization, intelligent automation, or AI\-native user interfaces.
* Experience in AI infrastructure, prompt engineering, or fine\-tuning LLMs is a strong plus.
* Prior experience working in autonomous systems, virtual assistants, or cognitive agents is highly desirable.
* Video intelligence systems, Computer Vision is a strong plus.
* Ability to travel up to 10% of the time domestically and internationally
 Knowledge, Skills, and Abilities:
* Deep understanding of agentic system design and modern AI system architecture.
* Strong programming skills in Python and experience with production software development.
* Proficiency in LLM\-based development and orchestration tools: LangChain, LangGraph, CAMEL, LlamaIndex, AutoGen, or similar.
* Expertise in agent reasoning, multi\-agent coordination, and role\-based task decomposition.
* Working knowledge of retrieval\-augmented generation (RAG), memory systems, and API\-driven tool use.
* Familiarity with vector databases (e.g., FAISS, Weaviate, Pinecone) and embedding techniques.
* Strong grasp of software architecture, distributed systems, and system integration principles.
* Ability to balance rapid prototyping with scalable production deployment.
* Chatbot frameworks (e.g., LangChain, Rasa, custom pipelines)
* Proficiency with modern backend technologies (Python, Node.js, REST/gRPC APIs).
* Cloud\-native development experience (GCP, AWS, or Azure).
* Experience working with MLOps and model deployment pipelines.
* Excellent communication and people leadership skills.
* Comfortable operating in a fast\-paced, startup\-like environment within an established company
 Preferred Job Descriptions:
* Master’s degree in Computer Science, Computer Engineering, or related field
* Experience in IoT, software services, video, and AI
* Experience with consumer electronics, smart home companies will be beneficial
 The pay range for this position is $123,600\.00 \- $216,150\.00;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123">
      <c r="A123" t="inlineStr">
        <is>
          <t>li-4335322919</t>
        </is>
      </c>
      <c r="B123" t="inlineStr">
        <is>
          <t>REMOTE Senior Fullstack Engineer - React, Typescript, Figma</t>
        </is>
      </c>
      <c r="C123" t="inlineStr">
        <is>
          <t>CyberCoders</t>
        </is>
      </c>
      <c r="D123" t="inlineStr">
        <is>
          <t>linkedin</t>
        </is>
      </c>
      <c r="E123" t="inlineStr"/>
      <c r="F123" t="inlineStr"/>
      <c r="G123" t="inlineStr">
        <is>
          <t>Los Angeles, CA</t>
        </is>
      </c>
      <c r="H123" t="inlineStr"/>
      <c r="I123" t="inlineStr">
        <is>
          <t>Congested cities will soon be a thing of the past. We are a fully funded, Series A startup on a mission to beautify city streets and transform them into more livable, usable spaces, while also cutting back emissions and improving safety at the same time. Our team has spent years developing a cutting\-edge AI platform to tackle one of the largest problems for cities \- Curb Management. We are running daily, real\-time analysis and utilizing computer vision to make this happen. Our team is actively growing, and we are looking for a motivated Senior Engineer who shares our passion!
**What You Will Be Doing**
* Work closely on our UI and drive new product innovation with latest programming and technology trends
* Collab with our product, engineering, and sales teams to build apps that drive growth and retention
* Write clean, testable code with scalability in mind
* Work with Google Analytics or similar tools for tracking and event triggers
* Mentor other engineers
**What You Need**
* 5\+ years as a Software Engineer
* Strong background in Full stack Development: React, Typescript
* Proven experience working on large scale applications
* Very comfortable with AWS and its services
* Exposure to design technologies \- Figma
* Known how to debug, problem solve, and jump into situations quickly
* BIG plus if you have worked with payment systems and integration of those systems
* Bonus: have worked in startups and fast paced environments
**What We Offer**
* Competitive Base Salary: $140,000 \- $180,000
* Grow with an exciting, rapidly growing startup
* Full Health Package
* Flexible work \- remote
* Drive real change with passionate
**Email Your Resume In Word To**
 Looking forward to receiving your resume through our website and going over the position with you. Clicking apply is the best way to apply, but you may also:
 sydney.miller@cybercoders.com
* Please do NOT change the email subject line in any way. You must keep the JobID: linkedin : SF2\-1883178 \-\- in the email subject line for your application to be considered.\*\*\*
 Sydney Miller \- Recruiting Manager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11/09/2025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24">
      <c r="A124" t="inlineStr">
        <is>
          <t>li-4286631759</t>
        </is>
      </c>
      <c r="B124" t="inlineStr">
        <is>
          <t>Senior Software Engineer, Kotlin</t>
        </is>
      </c>
      <c r="C124" t="inlineStr">
        <is>
          <t>NinjaOne</t>
        </is>
      </c>
      <c r="D124" t="inlineStr">
        <is>
          <t>linkedin</t>
        </is>
      </c>
      <c r="E124" t="inlineStr"/>
      <c r="F124" t="inlineStr"/>
      <c r="G124" t="inlineStr">
        <is>
          <t>Maine, United States</t>
        </is>
      </c>
      <c r="H124" t="inlineStr"/>
      <c r="I124" t="inlineStr">
        <is>
          <t>**Description**
**About the Role**
 As a
 **Senior Software Engineer** 
 on the NinjaOne team, you will contribute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We hire the best software engineers, but experience in our stack can’t hurt:  NinjaOne is built on
 **Java** 
 ,
 **Kotlin** 
 ,
 **C\+\+** 
 , and
 **Postgres** 
 , supporting millions of user endpoints and running as a scalable cloud service in AWS.  Knowing large\-scale datastore bottlenecks, asynchronous application design and client\-server architecture will help you.
**What You’ll Be Doing**
* Kotlin Software Development – use your expertise to contribute to the development of large\-scale software applications. Make quality an invariant part of your work and help your fellow engineers continue to meet our quality\-first standards.
*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 Other duties as needed.
**About You**
* Bachelor's degree in computer science, Computer Engineering, Information Technology, or equivalent work experience.
* 7\+ year's experience in Kotlin software development for product applications or equivalent.
* Experience with Golang will make you a standout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125">
      <c r="A125" t="inlineStr">
        <is>
          <t>li-4354806534</t>
        </is>
      </c>
      <c r="B125" t="inlineStr">
        <is>
          <t>Software Developer in Test (SDET) - II</t>
        </is>
      </c>
      <c r="C125" t="inlineStr">
        <is>
          <t>Syms Strategic Group, LLC (SSG)</t>
        </is>
      </c>
      <c r="D125" t="inlineStr">
        <is>
          <t>linkedin</t>
        </is>
      </c>
      <c r="E125" t="inlineStr"/>
      <c r="F125" t="inlineStr"/>
      <c r="G125" t="inlineStr">
        <is>
          <t>Fredericksburg, VA</t>
        </is>
      </c>
      <c r="H125" t="inlineStr"/>
      <c r="I125"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row r="126">
      <c r="A126" t="inlineStr">
        <is>
          <t>li-4328876621</t>
        </is>
      </c>
      <c r="B126" t="inlineStr">
        <is>
          <t>Cyber Software Engineer, Senior Advisor</t>
        </is>
      </c>
      <c r="C126" t="inlineStr">
        <is>
          <t>Peraton</t>
        </is>
      </c>
      <c r="D126" t="inlineStr">
        <is>
          <t>linkedin</t>
        </is>
      </c>
      <c r="E126" t="inlineStr"/>
      <c r="F126" t="inlineStr"/>
      <c r="G126" t="inlineStr">
        <is>
          <t>Annapolis Junction, MD</t>
        </is>
      </c>
      <c r="H126" t="inlineStr"/>
      <c r="I12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**Senior Cyber Software Engineer \- Cyber Missions**
**Location:** 
 Annapolis Junction, MD
 Peraton is looking for a senior\-level
 **Cyber Software Engineer** 
 to join our cutting\-edge
 **Cyber Missions team** 
 in Annapolis Junction, MD. This is a unique opportunity to work on challenging, high\-impact software projects that shape the future of cybersecurity.
 In this role, you will:
* Design, develop, and maintain Java\-based applications and services, leveraging modern Java frameworks and best practices to build scalable, high\-performance, and maintainable software solutions.
* Design, develop, and enhance complex software systems, including high\-performance analytics, real\-time systems, innovative algorithms, and large\-scale data processing solutions.
* Recommend new technologies and processes to optimize complex software projects and drive innovation.
* Serve as the technical lead for multiple software development teams, guiding their work and ensuring alignment with project goals.
* Select appropriate software development processes in coordination with the customer and system engineering teams.
* Ensure quality control across all developed and modified software, maintaining the highest standards for reliability and performance.
* Delegate programming and testing responsibilities to teams and actively monitor their performance to ensure successful delivery.
* Collaborate individually and within teams to review, test, and refine software components, ensuring they meet rigorous design and performance standards.
* Troubleshoot and resolve software issues, delivering reliable, mission\-critical solutions.
* Apply advanced software development methodologies and best practices tailored to each project's needs.
* Contribute to system\-level design decisions, including hardware/software trade\-offs, software reuse strategies, and leveraging COTS/GOTS solutions to maximize efficiency.
* Transform system requirements into actionable software components, ensuring seamless integration and optimal performance.
**What we offer:**
* Work on projects that directly impact national cybersecurity initiatives.
* A collaborative and innovative team environment.
* Opportunities to tackle some of the most challenging software engineering problems in the industry.
 If you are passionate about solving complex problems, developing state\-of\-the\-art software, and making a difference in cybersecurity, we want to hear from you.
**Qualifications**
**Basic Qualifications:**
* Education: Bachelor's degree in Computer Science or a related field is required. Alternatively, 4 additional years of relevant software engineering experience may substitute for a degree.
* Extensive Software Engineering Experience: 20\+ years in complex software programs and contracts, working on projects of similar scope and complexity.
+ Proficiency with Java development is required.
* Security Clearance: Active TS/SCI clearance with polygraph is required.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27">
      <c r="A127" t="inlineStr">
        <is>
          <t>li-4335173898</t>
        </is>
      </c>
      <c r="B127" t="inlineStr">
        <is>
          <t>REMOTE Senior Fullstack Engineer - React, Typescript, Figma</t>
        </is>
      </c>
      <c r="C127" t="inlineStr">
        <is>
          <t>CyberCoders</t>
        </is>
      </c>
      <c r="D127" t="inlineStr">
        <is>
          <t>linkedin</t>
        </is>
      </c>
      <c r="E127" t="inlineStr"/>
      <c r="F127" t="inlineStr"/>
      <c r="G127" t="inlineStr">
        <is>
          <t>Irvine, CA</t>
        </is>
      </c>
      <c r="H127" t="inlineStr"/>
      <c r="I127" t="inlineStr">
        <is>
          <t>Congested cities will soon be a thing of the past. We are a fully funded, Series A startup on a mission to beautify city streets and transform them into more livable, usable spaces, while also cutting back emissions and improving safety at the same time. Our team has spent years developing a cutting\-edge AI platform to tackle one of the largest problems for cities \- Curb Management. We are running daily, real\-time analysis and utilizing computer vision to make this happen. Our team is actively growing, and we are looking for a motivated Senior Engineer who shares our passion!
**What You Will Be Doing**
* Work closely on our UI and drive new product innovation with latest programming and technology trends
* Collab with our product, engineering, and sales teams to build apps that drive growth and retention
* Write clean, testable code with scalability in mind
* Work with Google Analytics or similar tools for tracking and event triggers
* Mentor other engineers
**What You Need**
* 5\+ years as a Software Engineer
* Strong background in Full stack Development: React, Typescript
* Proven experience working on large scale applications
* Very comfortable with AWS and its services
* Exposure to design technologies \- Figma
* Known how to debug, problem solve, and jump into situations quickly
* BIG plus if you have worked with payment systems and integration of those systems
* Bonus: have worked in startups and fast paced environments
**What We Offer**
* Competitive Base Salary: $140,000 \- $180,000
* Grow with an exciting, rapidly growing startup
* Full Health Package
* Flexible work \- remote
* Drive real change with passionate
**Email Your Resume In Word To**
 Looking forward to receiving your resume through our website and going over the position with you. Clicking apply is the best way to apply, but you may also:
 sydney.miller@cybercoders.com
* Please do NOT change the email subject line in any way. You must keep the JobID: linkedin : SF2\-1883178L577 \-\- in the email subject line for your application to be considered.\*\*\*
 Sydney Miller \- Recruiting Manager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11/09/2025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28">
      <c r="A128" t="inlineStr">
        <is>
          <t>li-4354436676</t>
        </is>
      </c>
      <c r="B128" t="inlineStr">
        <is>
          <t>Software Developer in Test (SDET) - II</t>
        </is>
      </c>
      <c r="C128" t="inlineStr">
        <is>
          <t>Syms Strategic Group, LLC (SSG)</t>
        </is>
      </c>
      <c r="D128" t="inlineStr">
        <is>
          <t>linkedin</t>
        </is>
      </c>
      <c r="E128" t="inlineStr"/>
      <c r="F128" t="inlineStr"/>
      <c r="G128" t="inlineStr">
        <is>
          <t>Newport News, VA</t>
        </is>
      </c>
      <c r="H128" t="inlineStr"/>
      <c r="I128"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row r="129">
      <c r="A129" t="inlineStr">
        <is>
          <t>li-4307113190</t>
        </is>
      </c>
      <c r="B129" t="inlineStr">
        <is>
          <t>Lead Software Engineer - Data Engineer</t>
        </is>
      </c>
      <c r="C129" t="inlineStr">
        <is>
          <t>JPMorganChase</t>
        </is>
      </c>
      <c r="D129" t="inlineStr">
        <is>
          <t>linkedin</t>
        </is>
      </c>
      <c r="E129">
        <f>HYPERLINK("https://www.linkedin.com/jobs/view/4307113190", "https://www.linkedin.com/jobs/view/4307113190")</f>
        <v/>
      </c>
      <c r="F129">
        <f>HYPERLINK("https://JPMorganChase.contacthr.com/149227160&amp;urlHash=ZNtS", "https://JPMorganChase.contacthr.com/149227160&amp;urlHash=ZNtS")</f>
        <v/>
      </c>
      <c r="G129" t="inlineStr">
        <is>
          <t>Jersey City, NJ</t>
        </is>
      </c>
      <c r="H129" t="inlineStr"/>
      <c r="I129" t="inlineStr">
        <is>
          <t>**Job Description**
 We have an opportunity to impact your career and provide an adventure where you can push the limits of what's possible.
 As a Lead Software Engineer at JPMorgan Chase within the Corporate Sector's Finance Technology team ,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Join us as a Lead Software Engineer and play a pivotal role in building the next\-generation platform designed specifically for our Financial Planning and Analysis teams. You’ll empower finance professionals across the bank—from strategic planners to forecasting experts and business analysts—to model, consult, forecast, and plan with unprecedented agility and insight.
 This is your opportunity to transform how our FP\&amp;A teams operate, enabling smarter decision\-making, deeper analysis, and more effective financial strategies at one of the world’s most innovative financial institutions.
**Job Responsibilities**
* Architect and Build: Design and develop robust, scalable, and high\-performance platforms for finance users, enabling advanced analysis, modeling, forecasting, and planning capabilities.
* Lead and Inspire: Guide a talented team of engineers, fostering a culture of innovation, collaboration, and technical excellence.
* Drive Transformation: Work closely with product managers, finance experts, and stakeholders to deliver solutions that redefine how financial data is leveraged across the organization.
* Innovate: Leverage the latest technologies in cloud, data engineering, and AI/ML to create tools that set new standards in the industry.
* Mentor: Share your expertise and help grow the next generation of engineering talent within JPMorgan Chase.
**Required Qualifications, Capabilities, And Skills**
* Formal training or certification on software engineering concepts and 5\+ years applied experience
* Experience as a software engineer, with a track record of leading complex projects and engineering teams to successful delivery.
* Experience in building large\-scale platforms, with deep knowledge of data quality, observability, and entitlement management to ensure robust, secure, and reliable solutions.
* Expertise in modern programming languages such as Java, Python, or Scala.
* Experience with the AWS platform, including its core services, architecture best practices, and security features.
* Experience with big data technologies, including Apache Spark, for large\-scale data processing and analytics.
* Expertise in building data\-driven applications, ideally within finance, banking, or related domains, with an understanding of financial planning and analysis workflows.
* Experience collaborating with other platform teams to design and build common, reusable frameworks that drive standardization and enable wider adoption across the organization.
* Passion for solving complex problems and delivering impactful, scalable solutions that drive business value.
* Excellent communication and leadership skills, with the ability to collaborate effectively with cross\-functional teams, mentor junior engineers, and engage with stakeholders across the organization.
**Preferred Qualifications, Capabilities, And Skills**
* Exposure to Databricks
* Experience with data visualization and business intelligence platforms.
* Bachelor's degree in Finance, Technology, Data Science, or a related field;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30">
      <c r="A130" t="inlineStr">
        <is>
          <t>li-4361540927</t>
        </is>
      </c>
      <c r="B130" t="inlineStr">
        <is>
          <t>Senior AI/ML Software Engineer</t>
        </is>
      </c>
      <c r="C130" t="inlineStr">
        <is>
          <t>Maximus</t>
        </is>
      </c>
      <c r="D130" t="inlineStr">
        <is>
          <t>linkedin</t>
        </is>
      </c>
      <c r="E130">
        <f>HYPERLINK("https://www.linkedin.com/jobs/view/4361540927", "https://www.linkedin.com/jobs/view/4361540927")</f>
        <v/>
      </c>
      <c r="F130">
        <f>HYPERLINK("https://maximus.avature.net/careers/Job-Description?folderId=35016&amp;source=LinkedIn&amp;urlHash=VDmf", "https://maximus.avature.net/careers/Job-Description?folderId=35016&amp;source=LinkedIn&amp;urlHash=VDmf")</f>
        <v/>
      </c>
      <c r="G130" t="inlineStr"/>
      <c r="H130" t="inlineStr"/>
      <c r="I130" t="inlineStr">
        <is>
          <t>**General information**
**Date**
 Tuesday, December 30, 2025
**City**
 Remote
**Country**
 United States
**Working time**
 Full\-time
**Description \&amp; Requirements**
 The Senior AI Software Engineer will design, develop, and implement machine learning solutions, support AI initiatives for our federal agency client, and contribute to innovative projects.
 Position is fully remote. Candidates in the Washington DC area are preferred.
 The selected candidate must be able to obtain and wait for the completion of an interim federal background investigation prior to starting employment. Maximus will provide guidance and facilitate the necessary administrative steps required for this process, which typically takes approximately 3\-4 months.
 Essential Duties and Responsibilities:
* Lead, develop, collaborate, and advance the applied and responsible use of AI, ML, mathematical, and data science solutions throughout the enterprise by finding the right fit of tools, technologies, methodologies, processes, and automation to enable effective and efficient solutions for each unique situation. Lead the use of applied mathematical analyses to provide solutions.
* Lead efforts across the enterprise to support the creation of solutions and real mission outcomes, emphasizing and teaching the ability to flex and demonstrate initiative when dealing with ambiguous and fast\-paced situations.
* Act as technical translator and role model for effectively articulating and translating technical needs, solutions, outputs, and impacts to all levels, regardless of technical proficiency, in a respectful, collaborative, and situationally appropriate manner.
* Maintain deep, current knowledge of the AI technology landscape and emerging developments, evaluating their applicability for use in production/operational environments.
* Lead the creation, curation, and promotion of playbooks, best practices, lessons learned, and firm intellectual capital.
**Job\-Specific Essential Duties and Responsibilities:**
* Design, develop, and deploy (AI) Machine Learning, Deep Learning models that support business objectives and enhance product functionality.
* Demonstrated knowledge in designing, building, testing, and deploying machine models.
* Collaborate with software engineers and data scientists to integrate trained models into production environments and ensure scalable performance.
* Proficient in using Python, have good working knowledge of R, and other programming languages to develop data pipelines, preprocessing routines to clean up data, and model automation workflows as needed.
* Apply knowledge of data structures, algorithms, and statistics to ensure model accuracy, efficiency, and reliability.
* Work with large language models (LLMs) such as ChatGPT, Gemini, or Meta LLMs, including OpenAI API integration and prompt optimization.
* Preferably to have worked with LangChain family of products, MCP, and other integration technologies with databases and other knowledge artifacts
* Implement and maintain MLOps practices for continuous training, deployment, and monitoring of AI models.
* Evaluate and adopt emerging AI tools, frameworks, and methodologies to
 improve system performance and development efficiency.
* Collaborate cross\-functionally to identify opportunities for AI applications and translate business requirements into technical solutions.
* Document system design, model performance, and process workflows to support transparency, reproducibility, and future improvements.
**Minimum Requirements**
* Bachelor's degree in relevant field of study and 7\+ years of relevant professional experience required, or equivalent combination of education and experience.
**Job\-Specific Minimum Requirements:**
* A bachelor’s degree in computer science is strongly preferred; however, additional years of directly related professional experience may be considered in lieu of a degree. Degrees in Mathematics, Artificial Intelligence, Data Science, or related fields are also acceptable.
* 10\+ years of professional software engineering experience, with proficiency in one or more programming languages such as Java, Python, or R.
* 2\+ years of current hands\-on experience in areas such as data mining, machine learning, deep learning (neural networks), data structures, algorithms, statistics, and AI model training.
* Practical experience working with Python, PyTorch, TensorFlow, and related frameworks and libraries.
* Experience with at least one large language model (LLM) platform such as ChatGPT, Gemini, or Meta LLMs, with a solid understanding of OpenAI APIs and their integration.
* Strong verbal and written communication skills
* Demonstrated success in client support
* Ability to interface with all levels of management
* Ability to perform complex tasks with minimal supervision and guidance
* Excellent time management, scheduling and organizational skills
* Ability to work well independently or in a team setting
* Candidates must meet requirements to obtain and maintain a federal background investigation clearance
* To be eligible for the federal background clearance, candidates must be a US Citizen or a Legal Permanent Resident (Green Card status) for at least three (3\) years
**Preferred Skills and Qualifications:**
* Preferred certifications include AWS Certified Machine Learning – Specialty, Google Cloud Professional Machine Learning Engineer, Microsoft Certified: Azure AI Engineer Associate, TensorFlow Developer Certificate, or IBM Machine Learning Professional Certificate
 \#techjobs \#clearance \#veteranspage
**EEO Statement**
 Maximus is an equal opportunity employer. We evaluate qualified applicants without regard to race, color, religion, sex, age, national origin, disability, veteran status, genetic information and other legally protected characteristics.
**Pay Transparency**
 Maximus compensation is based on various factors including but not limited to job location, a candidate's education, training, experience, expected quality and quantity of work, required travel (if any), external market and internal value analysis including seniority and merit systems, as well as internal pay alignment. Annual salary is just one component of Maximus's total compensation package. Other rewards may include short\- and long\-term incentives as well as program\-specific awards. Additionally, Maximus provides a variety of benefits to employees, including health insurance coverage, life and disability insurance, a retirement savings plan, paid holidays and paid time off. Compensation ranges may differ based on contract value but will be commensurate with job duties and relevant work experience. An applicant's salary history will not be used in determining compensation. Maximus will comply with regulatory minimum wage rates and exempt salary thresholds in all instances.
**Accommodations**
 Maximus provides reasonable accommodations to individuals requiring assistance during any phase of the employment process due to a disability, medical condition, or physical or mental impairment. If you require assistance at any stage of the employment process—including accessing job postings, completing assessments, or participating in interviews,—please contact People Operations at
 **applicantaccom@maximus.com** 
 .
**Minimum Salary**
 $ 160,000\.00
**Maximum Salary**
 $ 170,000\.00</t>
        </is>
      </c>
    </row>
    <row r="131">
      <c r="A131" t="inlineStr">
        <is>
          <t>li-4361551460</t>
        </is>
      </c>
      <c r="B131" t="inlineStr">
        <is>
          <t>Software Engineer, AI Platform</t>
        </is>
      </c>
      <c r="C131" t="inlineStr">
        <is>
          <t>LinkedIn</t>
        </is>
      </c>
      <c r="D131" t="inlineStr">
        <is>
          <t>linkedin</t>
        </is>
      </c>
      <c r="E131">
        <f>HYPERLINK("https://www.linkedin.com/jobs/view/4361551460", "https://www.linkedin.com/jobs/view/4361551460")</f>
        <v/>
      </c>
      <c r="F131" t="inlineStr"/>
      <c r="G131" t="inlineStr">
        <is>
          <t>Mountain View, CA</t>
        </is>
      </c>
      <c r="H131" t="inlineStr"/>
      <c r="I13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**Team Name:** 
 Feature Serving
 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Designing, implementing, and optimizing the performance of large\-scale distributed serving or training for personalized recommendation as well as large language models.
 Improving the observability and understandability of various systems with a focus on improving developer productivity and system sustenance.
 Partner with peers, leads and partners to define, scope, prioritize, and build impactful features at a high velocity.
****Qualifications****
 Basic Qualifications
* Bachelor's Degree in Computer Science or related technical discipline, or equivalent practical experience
* 1\+ years of experience in the industry with leading/ building deep learning systems.
* Experience with Java, C\+\+, Python, Go, Rust, C\# and/or Functional languages such as Scala or other relevant coding languages
* Experience, qualifications in Machine Learning, AI
**Preferred Qualifications**
* 2\+ years of relevant work experience
* MS or PhD in Computer Science or related technical discipline
* Experience building ML applications, LLM serving, GPU serving.
* Experience with search systems or similar large\-scale distributed systems
* Experience with distributed data processing engines like Flink, Beam, Spark etc., feature engineering,
* Experience in distributed machine learning training infrastructure, including technologies like Horovod, PyTorch FSDP, DeepSpeed, Hugginface, PyTorch Lightning, LLMs, GNNs, MLFlow, Kubeflow and large scale distributed systems
* Familiarity with containers and container orchestration systems like Kubernetes
* Experience in deep learning frameworks and tensor libraries like PyTorch, Tensorflow, JAX/FLAX
 Suggested Skills
* ML Algorithm Development
* Experience in Machine Learning and Deep Learning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$114,000 \- $189,000\.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2">
      <c r="A132" t="inlineStr">
        <is>
          <t>li-4361511497</t>
        </is>
      </c>
      <c r="B132" t="inlineStr">
        <is>
          <t>Senior Software Engineer, AI Platform</t>
        </is>
      </c>
      <c r="C132" t="inlineStr">
        <is>
          <t>LinkedIn</t>
        </is>
      </c>
      <c r="D132" t="inlineStr">
        <is>
          <t>linkedin</t>
        </is>
      </c>
      <c r="E132">
        <f>HYPERLINK("https://www.linkedin.com/jobs/view/4361511497", "https://www.linkedin.com/jobs/view/4361511497")</f>
        <v/>
      </c>
      <c r="F132" t="inlineStr"/>
      <c r="G132" t="inlineStr">
        <is>
          <t>Mountain View, CA</t>
        </is>
      </c>
      <c r="H132" t="inlineStr"/>
      <c r="I13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Senior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**Qualifications**
 Basic Qualifications
* Bachelor's Degree in Computer Science or related technical discipline, or equivalent practical experience
* 2\+ years of experience in the industry with leading/ building deep learning systems.
* 2\+ years of experience with Java, C\+\+, Python, Go, Rust, C\# and/or Functional languages such as Scala or other relevant coding languages
* Hands\-on experience developing distributed systems or other large\-scale systems.
**Preferred Qualifications**
* BS and 5\+ years of relevant work experience, MS and 4\+ years of relevant work experience, or PhD and 2\+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distributed data processing engines like Flink, Beam, Spark etc., feature engineering,
* Experience with search systems or similar large\-scale distributed systems
* Expertise in machine learning infrastructure, including technologies like MLFlow, Kubeflow and large scale distributed systems
* Co\-author or maintainer of any open\-source projects
* Familiarity with containers and container orchestration systems
* Expertise in deep learning frameworks and tensor libraries like PyTorch, Tensorflow, JAX/FLAX
 Suggested Skills
* ML Algorithm Development
* Experience in Machine Learning and Deep Learning
* Experience in Information retrieval / recommendation systems / distributed serving / Big Data is a plus.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3">
      <c r="A133" t="inlineStr">
        <is>
          <t>li-4361590519</t>
        </is>
      </c>
      <c r="B133" t="inlineStr">
        <is>
          <t>Sr. Software Engineer - Studio Engineering</t>
        </is>
      </c>
      <c r="C133" t="inlineStr">
        <is>
          <t>LinkedIn</t>
        </is>
      </c>
      <c r="D133" t="inlineStr">
        <is>
          <t>linkedin</t>
        </is>
      </c>
      <c r="E133">
        <f>HYPERLINK("https://www.linkedin.com/jobs/view/4361590519", "https://www.linkedin.com/jobs/view/4361590519")</f>
        <v/>
      </c>
      <c r="F133" t="inlineStr"/>
      <c r="G133" t="inlineStr">
        <is>
          <t>New York, NY</t>
        </is>
      </c>
      <c r="H133" t="inlineStr"/>
      <c r="I133"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The Content Technology Engineering \- Studio Engineering team builds high\-quality applications, automation services, and integrations to power the productivity of Enterprise Creators at LinkedIn. As a Senior Software Engineer, you will be responsible for leading the design of content creation systems and integrating with industry leading technologies that empower LinkedIn to create world\-class content at scale. You will directly impact our Content Development products, including Editorial and News where you will act as the line of business lead, as well as the LinkedIn Learning product.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are expected to be the primary engineering contact for the Editorial team, learning their workflows and recommending optimizations in partnership with Engineering and Product management.
* You will evaluate and integrate cutting\-edge AI Content Creation services into LinkedIn’s enterprise ecosystem, focusing on delivering improvements to time\-to\-market and lowering our overall cost to create content.
* You are expected to produce high quality software that is unit tested, code reviewed, and checked in regularly for continuous integration.
* You will design, develop, and integrate cutting\-edge media technologies. Act as primary management interface and escalation for all product system related issues.
* You are expected to provide mentorship and invest in organizational activities such as hiring committees.
* You will participate in a 12x7 oncall rotation with other members of the US\-based team.
**Qualifications**
 Basic Qualifications
* BS (or higher, e.g., MS, or PhD) in Computer Science or related technical field involving coding (e.g., physics or mathematics), or equivalent technical experience.
* 2\+ years of industry experience.
**Preferred Qualifications**
* BS and 5\+ years of relevant work experience, MS and 4\+ years of relevant work experience, or PhD and 2\+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API Development
* Advanced Programming Skills
* Database Management
* Performance Optimization and Scalability
*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4">
      <c r="A134" t="inlineStr">
        <is>
          <t>li-4325252246</t>
        </is>
      </c>
      <c r="B134" t="inlineStr">
        <is>
          <t>Software Engineer I</t>
        </is>
      </c>
      <c r="C134" t="inlineStr">
        <is>
          <t>Twitch</t>
        </is>
      </c>
      <c r="D134" t="inlineStr">
        <is>
          <t>linkedin</t>
        </is>
      </c>
      <c r="E134">
        <f>HYPERLINK("https://www.linkedin.com/jobs/view/4325252246", "https://www.linkedin.com/jobs/view/4325252246")</f>
        <v/>
      </c>
      <c r="F134">
        <f>HYPERLINK("https://job-boards.greenhouse.io/twitch/jobs/8217817002?gh_src=0c4ebc182&amp;urlHash=124Y", "https://job-boards.greenhouse.io/twitch/jobs/8217817002?gh_src=0c4ebc182&amp;urlHash=124Y")</f>
        <v/>
      </c>
      <c r="G134" t="inlineStr">
        <is>
          <t>San Francisco, CA</t>
        </is>
      </c>
      <c r="H134" t="inlineStr"/>
      <c r="I134" t="inlineStr">
        <is>
          <t>**About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can work in San Francisco, CA or Irvine, CA.
**You Will:**
* Build and maintain the services that power Twitch’s video platform
* Collaborate effectively with product managers, program managers and other engineering teams at Twitch
* Contribute positively to Twitch’s engineering culture
**You Have:**
* 1\+ years of experience developing software in a professional environment
* Proficient coding skills in modern languages and frameworks
* Proven ability with algorithms, data structures, data modeling, and schema design
* Minimum of Bachelor’s degree in Computer Science or equivalent experience
**Bonus Points**
* Experience with languages/frameworks we use at Twitch: Golang, Typescript/React
* Familiarity with video delivery concepts and systems
* Familiarity with AWS’ Interactive Video Service
* Familiarity with Twitch, gaming, and/or streaming on Twitch
**Perks**
* Medical, Dental, Vision \&amp; Disability Insurance
* 401(k)
* Maternity \&amp; Parental Leave
* Flexible PTO
* Amazon Employee Discount
*Pursuant to the San Francisco Fair Chance Ordinance, we will consider for employment qualified applicants with arrest and conviction records.*
*Pursuant to the Los Angeles Fair Chance Ordinance, we will consider for employment qualified applicants with arrest and conviction records.*
 Job ID: TW8977
*Our compensation reflects the cost of labor across several US geographic markets. The base pay for this position ranges from our lowest geographic market up to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This position will remain open until filled. For more information, please visit https://www.twitch.tv/jobs/en/\#learn\-more. Applicants should apply via our internal or external career site.*
 US Pay Per Year
 $99,500—$200,000 USD
*Twitch is an equal opportunity employer and does not discriminate on the basis of protected veteran status, disability, or other legally protected status.*
*Twitch values your privacy. Please consult our Candidate Privacy Notice, for information about how we collect, use, and disclose personal information of our candidates.*</t>
        </is>
      </c>
    </row>
    <row r="135">
      <c r="A135" t="inlineStr">
        <is>
          <t>li-4296093604</t>
        </is>
      </c>
      <c r="B135" t="inlineStr">
        <is>
          <t>Backend Engineer</t>
        </is>
      </c>
      <c r="C135" t="inlineStr">
        <is>
          <t>Wealthfront</t>
        </is>
      </c>
      <c r="D135" t="inlineStr">
        <is>
          <t>linkedin</t>
        </is>
      </c>
      <c r="E135">
        <f>HYPERLINK("https://www.linkedin.com/jobs/view/4296093604", "https://www.linkedin.com/jobs/view/4296093604")</f>
        <v/>
      </c>
      <c r="F135" t="inlineStr"/>
      <c r="G135" t="inlineStr">
        <is>
          <t>Palo Alto, CA</t>
        </is>
      </c>
      <c r="H135" t="inlineStr"/>
      <c r="I135"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36">
      <c r="A136" t="inlineStr">
        <is>
          <t>li-4361523024</t>
        </is>
      </c>
      <c r="B136" t="inlineStr">
        <is>
          <t>Full-Stack Software Engineer (New graduates: United States)</t>
        </is>
      </c>
      <c r="C136" t="inlineStr">
        <is>
          <t>Wanderlog</t>
        </is>
      </c>
      <c r="D136" t="inlineStr">
        <is>
          <t>linkedin</t>
        </is>
      </c>
      <c r="E136">
        <f>HYPERLINK("https://www.linkedin.com/jobs/view/4361523024", "https://www.linkedin.com/jobs/view/4361523024")</f>
        <v/>
      </c>
      <c r="F136">
        <f>HYPERLINK("https://app.dover.com/apply/wanderlog/c6a34d75-377b-477d-afa4-03a93b5d44c2?rs=42706078&amp;urlHash=LY4E", "https://app.dover.com/apply/wanderlog/c6a34d75-377b-477d-afa4-03a93b5d44c2?rs=42706078&amp;urlHash=LY4E")</f>
        <v/>
      </c>
      <c r="G136" t="inlineStr"/>
      <c r="H136" t="inlineStr"/>
      <c r="I136" t="inlineStr">
        <is>
          <t>**Warning** 
 : if you’re outside of the Americas timezones, unfortunately, we’re only hiring for engineers with at least some timezone overlap.
 Wanderlog helps make leisure travel easier. We believe that travel makes the world better, and are building tools that lower the bar to it. Our core product, built starting 2019, is a travel planning app (we’re the top\-ranked trip planner on iOS and Android), but we’re also helping travelers book hotels (without hidden fees), providing them with information (through various pages on e.g., best attractions, restaurants, etc.), and more.
 Our founders are twin brothers. Peter worked as an engineer at Stripe and a consultant at McKinsey, and Harry as a product manager at Google. We’re an engineering and product\-driven team: the founders studied computer science at Yale, and have built successful, bootstrapped travel companies (BookWithMatrix and All the Flight Deals) with products people love before starting Wanderlog.
 We now serve millions of travelers a month, and are a team of 6, including 5 engineers hailing from Yale, University of Toronto, UCLA, and more; and 1 designer. We’re a self\-sustaining, default\-alive startup.
 We also love traveling. Whether it’s a short hop to Austin, Seattle, or New Orleans; or a longer jaunt to Australia, Hawaii, or Banff National Park (all places the team’s traveled to in the past year!), travel broadens our horizons, builds empathy, and challenges us to grow. We’re working to bring these experiences to more of the world.
**What You’ll Do**
 As an engineer, you’ll be responsible for owning portions of the product. You’ll be expected to:
* Build new features on our website and mobile app. (Our stack is Javascript (Typescript): modern React on the web, React Native on mobile, and Node.js/Express on the server.)
* Design and decide what to build based on what would help travelers and drive growth. You won’t be handed a spec; you’ll be coming up with it!
* Build data pipelines to crawl, process, and synthesize data from various sources around the web.
* Write tests and and build out engineering infrastructure. Our code is fully typed (Typescript) and tested.
* Debug and fix bugs and scale the infrastructure as it grows.
* Review code written by other engineers.
* Be fast and nimble: figure out the best way to build new features at lowest cost in time and future technical debt.
 This position is a full\-time role reporting to the cofounders at Wanderlog.
**What You Might Work On**
* New, user\-friendly hotel booking interfaces that make finding a place to stay easier.
* AI\-powered tools that read articles and watch videos for you and summarize the places they mention.
* Improvements to our React Native mobile app so that it runs faster on slower Android phones.
* A Chrome extension to let travelers quickly compare possible places to visit, airfares, and hotels.
* Better invite and collaboration tools to encourage people using Wanderlog to get more friends to join them.
* A better profile page that lets travelers on Wanderlog show off where they’ve been, see how many people they’ve helped, and follow other friends and their trips.
**You May Be a Good Fit If You**
* Are a Javascript developer comfortable with React and/or React Native.
* Are a product person: you’ve built products end\-to\-end before, and really care about the people who use them.
* Are comfortable with picking up various technologies for the task at hand. We quickly evaluate libraries and tools that could help our product, and variously use Redis, Elasticsearch, and Python as needed too.
* Are entrepreneurial: excited about joining a small, high\-growth team and talking to users, doing product and design, and wearing a variety of hats.
* Love travel and believe in it as a positive force personally and for the world.
 What’s it like to work here?
 We’re an engineering and product\-heavy team. Travel’s something everyone does, and we love using the tools we build. A typical week’s work involves talking to users, prioritizing tasks in Sheets, designing on Figma, and building and shipping them continuously.
 Our values include putting travelers first, owning the product end\-to\-end, treating teammates with respect, and moving fast by being smart about what we build and how we build it.
 We believe in work fitting in with your life. We love travel and believe it rejuvenates us and makes us better people, and have twice annual travel offsites where the goal is to enjoy visiting a new place and collaborate more closely with the team in person.
 Our hiring process
 We’ll first have you do 2 short rounds of asynchronous programming challenges, including one with a virtual interviewer. After that, we’ll have a coding interview where you work on a quick program on your laptop in your preferred language with one of the founders, followed by a half\-day final\-round virtual onsite via video call.
 Founders
 Peter Xu and Harry Yu are twin brothers. Peter shuttled between Los Angeles, Houston, New York, Tokyo, and Hong Kong as a consultant at McKinsey before settling down at Stripe as a full\-stack engineer, where he worked closely with support teams to build tools that made support agents’ work more productive.
 Harry worked at Google as a product manager on Hotel Search, Chrome, and finally Google Assistant for the past three, where he was one of the early PMs on the team.
 Before building Wanderlog, they had built Coursetable (featured in the New York Times) and travel sites All the Flight Deals (a flight deals aggregator) and BookWithMatrix (a power\-traveler flight search tool). The founders are now glad to have been working on Wanderlog for 6 years, and are excited to make travelers’ lives easier!</t>
        </is>
      </c>
    </row>
    <row r="137">
      <c r="A137" t="inlineStr">
        <is>
          <t>li-4313399648</t>
        </is>
      </c>
      <c r="B137" t="inlineStr">
        <is>
          <t>Software Engineer, Backend</t>
        </is>
      </c>
      <c r="C137" t="inlineStr">
        <is>
          <t>OpenAI</t>
        </is>
      </c>
      <c r="D137" t="inlineStr">
        <is>
          <t>linkedin</t>
        </is>
      </c>
      <c r="E137">
        <f>HYPERLINK("https://www.linkedin.com/jobs/view/4313399648", "https://www.linkedin.com/jobs/view/4313399648")</f>
        <v/>
      </c>
      <c r="F137" t="inlineStr"/>
      <c r="G137" t="inlineStr">
        <is>
          <t>San Francisco, CA</t>
        </is>
      </c>
      <c r="H137" t="inlineStr"/>
      <c r="I137" t="inlineStr">
        <is>
          <t>**About The Team**
 OpenAI’s Applications Engineering organization builds and operates the products that bring our cutting\-edge research to millions of users and developers worldwide. We power products such as ChatGPT, the OpenAI API, and emerging AI\-native applications. Our teams span product engineering, infrastructure, and safety, working together to ensure that OpenAI’s technology is delivered with reliability, security, and a world\-class user experience.
**About The Role**
 We’re looking for backend engineers to design and scale the systems that drive our customer\-facing products. In this role, you’ll architect and maintain the services and infrastructure that power OpenAI applications—from large\-scale distributed systems and databases to APIs and data pipelines. You’ll collaborate closely with product, research, and infrastructure teams to bring new AI capabilities to production while ensuring performance, safety, and compliance at global scale.
**In This Role, You Will**
* Design and build robust backend services and APIs that power products like ChatGPT and the OpenAI API.
* Develop scalable data pipelines and storage systems for high\-volume, low\-latency workloads.
* Improve system reliability, observability, and security across production environments.
* Collaborate with product and research teams to translate cutting\-edge AI into dependable, user\-ready features.
* Participate in an on\-call rotation to maintain uptime and respond to critical incidents.
**You Might Thrive In This Role If You**
* Have up to 6 years of professional software engineering experience.
* Are proficient in one or more backend languages (e.g., Python, Go, Rust, or similar) and distributed systems concepts.
* Enjoy building infrastructure that supports billions of requests and petabytes of data.
* Care deeply about reliability, safety, and performance in production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38">
      <c r="A138" t="inlineStr">
        <is>
          <t>li-4296091740</t>
        </is>
      </c>
      <c r="B138" t="inlineStr">
        <is>
          <t>Backend Engineer</t>
        </is>
      </c>
      <c r="C138" t="inlineStr">
        <is>
          <t>Wealthfront</t>
        </is>
      </c>
      <c r="D138" t="inlineStr">
        <is>
          <t>linkedin</t>
        </is>
      </c>
      <c r="E138">
        <f>HYPERLINK("https://www.linkedin.com/jobs/view/4296091740", "https://www.linkedin.com/jobs/view/4296091740")</f>
        <v/>
      </c>
      <c r="F138" t="inlineStr"/>
      <c r="G138" t="inlineStr">
        <is>
          <t>Seattle, WA</t>
        </is>
      </c>
      <c r="H138" t="inlineStr"/>
      <c r="I138"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139">
      <c r="A139" t="inlineStr">
        <is>
          <t>li-4361371558</t>
        </is>
      </c>
      <c r="B139" t="inlineStr">
        <is>
          <t>Staff Software Engineer - Applications</t>
        </is>
      </c>
      <c r="C139" t="inlineStr">
        <is>
          <t>LinkedIn</t>
        </is>
      </c>
      <c r="D139" t="inlineStr">
        <is>
          <t>linkedin</t>
        </is>
      </c>
      <c r="E139">
        <f>HYPERLINK("https://www.linkedin.com/jobs/view/4361371558", "https://www.linkedin.com/jobs/view/4361371558")</f>
        <v/>
      </c>
      <c r="F139" t="inlineStr"/>
      <c r="G139" t="inlineStr">
        <is>
          <t>New York, NY</t>
        </is>
      </c>
      <c r="H139" t="inlineStr"/>
      <c r="I13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will scale distributed applications, make architectural trade\-offs applying synchronous and asynchronous design patterns, write code, and deliver with speediness and quality.
* You will develop multi\-tier scalable, high\-volume performing, and reliable user\-centric applications that operate 24x7\.
* You will produce high quality software that is unit tested, code reviewed, and checked in regularly for continuous integration.
* You will provide technical leadership, driving and performing best engineering practices to initiate, plan, and execute large\-scale, cross functional, and company\-wide critical programs. Identify, leverage, and successfully evangelize opportunities to improve engineering productivity.
**Qualifications**
 Basic Qualifications
* BA/BS Degree in Computer Science or related technical discipline, or related practical experience.
* 4\+ years experience in software design, development, and algorithm related solutions.
* 4\+ years programming experience in object\-oriented programming languages such as Python, Java, Javascript, C/C\+\+, C\#, Objective\-C, or Ruby.
**Preferred Qualifications**
* BS and 8\+ years of relevant work experience, MS and 7\+ years of relevant work experience, or PhD and 4\+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Technical Leadership
* Architectural Mastery
* Code Review and Quality Assurance
* Advanced Security Practices
* Mentoring and Knowledge Sharing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$152,000 \- $248,000\.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0">
      <c r="A140" t="inlineStr">
        <is>
          <t>li-4361276944</t>
        </is>
      </c>
      <c r="B140" t="inlineStr">
        <is>
          <t>Sr Staff Software Engineer, LinkedIn Business Platform</t>
        </is>
      </c>
      <c r="C140" t="inlineStr">
        <is>
          <t>LinkedIn</t>
        </is>
      </c>
      <c r="D140" t="inlineStr">
        <is>
          <t>linkedin</t>
        </is>
      </c>
      <c r="E140">
        <f>HYPERLINK("https://www.linkedin.com/jobs/view/4361276944", "https://www.linkedin.com/jobs/view/4361276944")</f>
        <v/>
      </c>
      <c r="F140" t="inlineStr"/>
      <c r="G140" t="inlineStr">
        <is>
          <t>Mountain View, CA</t>
        </is>
      </c>
      <c r="H140" t="inlineStr"/>
      <c r="I14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is based in our Mountain View, CA office.
 We are seeking a Senior Staff Software Engineer to lead LinkedIn's Field Commercial team which is the core team that owns the platform and infrastructure responsible for enabling LinkedIn to process north of $15 billion in annual revenue. They will lead our configure\-price\-quote engine for LinkedIn’s Field and Online businesses, which sits at the intersection of large scale infrastructure, platform, and end user experiences. This technical leader will help us enable omnichannel sales motions for LinkedIn’s growing business lines, architecting new commercial models that evolve from per seat to a value based offering as we bring agentic products to life. They will be responsible for innovating how we price, package, and sell enterprise products with insights on utilization and renewals.
 Responsibilities:
* You will deliver impact by driving innovation while building and shipping software at scale.
* You will work closely with and influence product and/or technology partners regularly to help define a long\-term technology roadmap.
* Owning the technical strategy for broad or complex requirements with insightful and forward\-looking approaches that go beyond the direct team and solve large open\-ended problems.
* You will execute on product and technical workstreams by collaborating with engineering, product managers, designers, other software development teams, and business partners
* You will be a role model and professional coach for engineers with a strong bias for action and focus on craftsmanship.
* You will resolve conflicts between teams within the organization to get alignment and build team culture.
* You will create a collaborative work environment that fosters autonomy, transparency, innovation, and learning.
**Qualifications**
 Basic Qualifications:
* BA/BS Degree in Computer Science or related technical discipline, or equivalent practical experience\-
* 5\+ years of experience in software design, development, and algorithm related solutions
* 5\+ years of experience with large\-scale distributed systems and client\-server architectures
* 5\+ years of experience in programming languages such as Python, Java, Rust, C\#, C/C\+\+
* 3\+ years of experience in an architect or technical leadership position
 Preferred Qualifications:
* 10\+ years of experience in software design, development, and algorithm related solutions
* Experience building large\-scale consumer products
* Experience in leading cross\-organization, cross\-functional efforts and successfully delivering transformational technology for hard problems
* Active involvement in the creation and execution of technical strategies and roadmaps
* Experience in Machine Learning implementing and productionalizing deep reinforcement learning models
* Experience with Subscription Models, SaaS, or Commerce domain.
 Suggested Skills
* Technical Leadership
* Distributed Systems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1">
      <c r="A141" t="inlineStr">
        <is>
          <t>li-4294496627</t>
        </is>
      </c>
      <c r="B141" t="inlineStr">
        <is>
          <t>Software Engineer II, New Product</t>
        </is>
      </c>
      <c r="C141" t="inlineStr">
        <is>
          <t>Samsara</t>
        </is>
      </c>
      <c r="D141" t="inlineStr">
        <is>
          <t>linkedin</t>
        </is>
      </c>
      <c r="E141">
        <f>HYPERLINK("https://www.linkedin.com/jobs/view/4294496627", "https://www.linkedin.com/jobs/view/4294496627")</f>
        <v/>
      </c>
      <c r="F141" t="inlineStr"/>
      <c r="G141" t="inlineStr"/>
      <c r="H141" t="inlineStr"/>
      <c r="I14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Our Platform is the foundation of our Connected Operations solution. Think of it as a hub\-and\-spoke model. All our products — safety, route planning, maintenance, fuel efficiency, EV reporting etc — are the spokes that engage users. But they all connect back to the central hub.
 Most organisational platforms — and we're talking about those outside of Samsara — act as a software layer between infrastructure and product. They also tend to function behind the scenes.
 Our platform, however, is different. Not only do we work on core infrastructure and platform components, we also develop customer\-facing features. Customers log into Samsara through the platform, interacting with everything from the login screen to dashboards, reports, settings, and alerts. Regardless of the product, the platform is the central interface for insights and management.
 As a Full\-Stack Software Engineer in the Platform team, you’ll own the systems you build, shape products that prevent crashes and emissions, and create world\-class systems at scale. You’ll take full technical ownership of features used by thousands of fleets worldwide, solving real\-world problems that cut CO₂ and keep people safe. Work with product managers, designers, firmware and infrastructure engineers to design, build, test, and deliver end\-to\-end products. You’ll develop skills across multiple technologies and own the production systems in your domain.
**This is a remote position open to candidates residing in the United States.**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Work with product managers, designers, firmware, and infra engineers to architect, build, test, and deliver full\-stack features across front\-end, back\-end, and mobile. GoLang, GraphQL, Typescript, React, and ReactNative are some of the components of our technology stack. Direct experience with these technologies is not required.
* Be responsible for maintaining the production systems that your team owns and provide operational support.
* Help build the culture of the team and make it an enjoyable place to work.
* Solve problems that enable our product for our global customers.
* Partner with other teams to take in requirements for prioritization and evangelize the platform we’re building.
* Champion, role model, and embed Samsara’s cultural principles (Focus on Customer Success, Build for the Long Term, Adopt a Growth Mindset, Be Inclusive, Win as a Team) as we scale globally and across new offices.
**Minimum requirements for the role:**
* 2\+ years of professional experience building customer\-facing applications
* Strong programming/coding fundamentals in a language such as Java, Python, Golang, or TypeScript
* Experience designing and architecting large, high\-scale systems
* An ability to estimate, communicate, and deliver upon project milestones with your team
**An ideal candidate also has:**
* Experience with a public cloud such as AWS
* Familiarity with multiple tiers, like React Frontends and Microservices
* Contributed heavily to driving significant value to their customers
* Curious about our customers, and is eager to improve their day\-to\-day experience
* Loves shipping features that are immediately used by our customers
* Seeks to iterate on new products based on customer feedback
* A Bachelor's or higher in Computer Science or a related discipline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$105,910—$178,000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142">
      <c r="A142" t="inlineStr">
        <is>
          <t>li-4354861117</t>
        </is>
      </c>
      <c r="B142" t="inlineStr">
        <is>
          <t>Software Engineer</t>
        </is>
      </c>
      <c r="C142" t="inlineStr">
        <is>
          <t>VetRec</t>
        </is>
      </c>
      <c r="D142" t="inlineStr">
        <is>
          <t>linkedin</t>
        </is>
      </c>
      <c r="E142">
        <f>HYPERLINK("https://www.linkedin.com/jobs/view/4354861117", "https://www.linkedin.com/jobs/view/4354861117")</f>
        <v/>
      </c>
      <c r="F142" t="inlineStr"/>
      <c r="G142" t="inlineStr">
        <is>
          <t>Seattle, WA</t>
        </is>
      </c>
      <c r="H142" t="inlineStr"/>
      <c r="I142" t="inlineStr">
        <is>
          <t>**We are looking for a 10x Software Engineer** 
 who can help scale, innovate, and advance VetRec’s suite of products.
 This is a remote position. Our Engineering team is predominantly in our HQ in Seattle.
 For all questions please email us at hiring@
 ***This is the only mailbox we are monitoring for job postings.***
**Our values**
* Get s\* done: We are a fast pace team, shipping features daily and onboarding clinics and hospitals of all types and sizes daily.
* Transparency: We believe in brutal honesty amongst our team and customers.
* Grit: Competing in an evolving market means going above and beyond for our customers and fighting on behalf of them every day.
* Customers, customers, customers: Did we already mention customers? They are the lifeblood of our business, without them we don’t exist.
* Over\-communication \&gt; under\-communication: As a small, fast paced team, communication is vital. We look for team members that will keep things moving and constantly update the team as needed.
**What Will You Be Doing**
* Develop robust and scalable backend systems
* Design and develop high\-quality frontend systems
* Scale our multi\-region infrastructure
* Instill and maintain high coding standards and best practices. Fixing issues as you find them.
* Ship high\-quality features fast and not be afraid of breaking things.. “Unless you are breaking stuff, you aren’t moving fast enough”
**Who Do We Want**
 Someone who shares the values that we share. Someone who constantly raises the bar, is proactive, has grit and determination, and can get s\* done. We are a fast\-growing startup and as such, we work very hard (also celebrate every win!). Our team puts 10 hours a day on average into building this company. While there is not a specific time commitment as project\-based outcomes \&gt; time\-based ones, there is a sense of urgency to iterate and deliver constantly.
**Specifically For This Role**
* Strong proficiency in Python and experience with FastAPI or similar web frameworks.
* Strong proficiency in React and React Native.
* Proven track record of building and maintaining large\-scale backend systems.
* Excellent problem\-solving skills, attention to detail, and a strong understanding of software engineering principles.
* Effective communication skills and the ability to work collaboratively in a team environment.
* Practical experience with cloud services, particularly AWS or Azure. Including Storage Buckets/Blobs, EC2/Azure VMs, Lambda/Functions, and Redis/Message Brokers.
* Solid understanding of database management, design, and optimization, with hands\-on experience in SQL and NoSQL databases.
* A passion for AI and technology, eager to work in a startup environment where agility and innovation are highly valued.
*VetRec is an equal\-opportunity employer and does not discriminate on the basis of race, creed, color, ethnicity, national origin, religion, sex, sexual orientation, gender expression, age, height, weight, veteran status, military obligations, or marital status.*</t>
        </is>
      </c>
    </row>
    <row r="143">
      <c r="A143" t="inlineStr">
        <is>
          <t>li-4328753752</t>
        </is>
      </c>
      <c r="B143" t="inlineStr">
        <is>
          <t>Software Engineer</t>
        </is>
      </c>
      <c r="C143" t="inlineStr">
        <is>
          <t>Carrot</t>
        </is>
      </c>
      <c r="D143" t="inlineStr">
        <is>
          <t>linkedin</t>
        </is>
      </c>
      <c r="E143">
        <f>HYPERLINK("https://www.linkedin.com/jobs/view/4328753752", "https://www.linkedin.com/jobs/view/4328753752")</f>
        <v/>
      </c>
      <c r="F143" t="inlineStr"/>
      <c r="G143" t="inlineStr"/>
      <c r="H143" t="inlineStr"/>
      <c r="I143"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**Role overview:** 
 The Software Engineer at Carrot builds scalable, adaptable, and high\-quality systems and features that serve our end users. You will be expected to build and maintain across member facing products, internal tools to help drive efficiency, and other surfaces that deliver value.
 Engineers at Carrot own technical outcomes and collaborate across teams to deliver solutions that meet evolving needs. You thrive in fast\-paced environments, take initiative in the face of ambiguity, and balance quick wins with long\-term maintainability. You will often partner with cross\-functional stakeholders to deliver solutions that meet the ever\-growing needs of our business.
 In this role, you will be expected to:
* Collaborate with other engineering teams: you may be a dependency or have a dependency. You will be expected to communicate effectively and keep the necessary teammates up to date on your work.
* Improve systems: you will work in systems that need some love, as well in others that may be closer to greenfield. You will need to use your best judgement and pair with others to thread the needle between investment and return.
* Keep a sharp eye on user metrics: you will need to work with Product and other functions in understanding user behaviors so we can help users get the care and support they need.
* Keep the user in mind: you will work on many member\-facing features and you should build these experiences in such a way that they are resilient, adhere to our design standards, and reduce friction where possible.
* Write documentation: maintain and author clear and discoverable documentation, ensuring other engineers can get up to speed in areas where you have augmented the code or system.
* Innovate and explore: you will explore alternative solutions to problems, following the paved path when it makes sense, but thinking outside the box when it doesn’t.
* Take ownership: you are responsible for running the systems you build and will participate in on\-call rotations, where we aim for sustainable schedules. You will also help improve observability and runbooks.
**The Team:** 
 Reporting to an Engineering Manager, you will frequently collaborate with Product, Design, and other internal teams to understand how your work can have the most impact. Engineering teams at Carrot are expected to take action quickly and approach with a lean mindset \- we ship frequently and iterate. 
**Minimum Qualifications:** 
* You have at least 2 years of experience as a software engineer or equivalent experience.
* You are naturally curious and internally motivated to learn new skills
* You understand the balancing game of weighing new feature development with technical debt.
* A product 1\-pager doesn’t scare you. You are excited to collaborate and experiment to figure out the rest.
* Experience building with C\#, .NET Core, Typescript, React
* You’ve been experimenting and using AI\-assisted development tools and have opinions about how to use them.
* Experience with cloud platforms such as Azure and AWS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$120,000\.00 \- $150,000\.00\.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144">
      <c r="A144" t="inlineStr">
        <is>
          <t>li-4361551455</t>
        </is>
      </c>
      <c r="B144" t="inlineStr">
        <is>
          <t>Sr. Staff Software Engineer, AI Infra</t>
        </is>
      </c>
      <c r="C144" t="inlineStr">
        <is>
          <t>LinkedIn</t>
        </is>
      </c>
      <c r="D144" t="inlineStr">
        <is>
          <t>linkedin</t>
        </is>
      </c>
      <c r="E144">
        <f>HYPERLINK("https://www.linkedin.com/jobs/view/4361551455", "https://www.linkedin.com/jobs/view/4361551455")</f>
        <v/>
      </c>
      <c r="F144" t="inlineStr"/>
      <c r="G144" t="inlineStr">
        <is>
          <t>Mountain View, CA</t>
        </is>
      </c>
      <c r="H144" t="inlineStr"/>
      <c r="I14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and more.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As a Sr.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Python, C\+\+, Java, Go, Rust, Scala
* 2\+ years of experience as an architect, or technical leadership position
* 5\+ years of experience in the industry with leading / building deep learning systems
* Hands\-on experience developing distributed systems or other large\-scale systems
 Preferred Qualifications:
* MS or PhD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Python, C\+\+, Java, Go, Rust, Scala
* 5\+ years of experience with large\-scale distributed systems and client\-server architectures
* Experience building ML applications, LLM serving, GPU serving.
* Co\-author or maintainer of any open\-source projects
* Expertise in machine learning infrastructure, including technologies like MLFlow, Kubeflow and large scale distributed systems
* Expertise in deep learning frameworks and tensor libraries like PyTorch, Tensorflow, JAX/FLAX
 Suggested Skills:
* ML Algorithm Development
* Machine Learning and Deep Learning
* Information retrieval / recommendation systems
* Technical leadership
 LinkedIn is committed to fair and equitable compensation practices. The pay range for this role is $180,000 to $300,000\.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5">
      <c r="A145" t="inlineStr">
        <is>
          <t>li-4286968047</t>
        </is>
      </c>
      <c r="B145" t="inlineStr">
        <is>
          <t>Software Engineer - All Levels</t>
        </is>
      </c>
      <c r="C145" t="inlineStr">
        <is>
          <t>GlossGenius</t>
        </is>
      </c>
      <c r="D145" t="inlineStr">
        <is>
          <t>linkedin</t>
        </is>
      </c>
      <c r="E145">
        <f>HYPERLINK("https://www.linkedin.com/jobs/view/4286968047", "https://www.linkedin.com/jobs/view/4286968047")</f>
        <v/>
      </c>
      <c r="F145" t="inlineStr"/>
      <c r="G145" t="inlineStr">
        <is>
          <t>San Francisco, CA</t>
        </is>
      </c>
      <c r="H145" t="inlineStr"/>
      <c r="I145" t="inlineStr">
        <is>
          <t>**About GlossGenius** 
 GlossGenius is building an ecosystem enabling entrepreneurs to succeed. We empower small business owners to focus on being creators, not admins, by offering a range of business management tools including booking and scheduling, marketing, analytics, payment processing and much more.
 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
**About the Role** 
 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
 That’s why we are seeking strong
 **Software Engineers, All levels** 
 to join one of our Product or Platform\-based teams. Product\-focused engineers work at the intersection of business needs and technical solutions, solving key customer problems. Platform\-focused engineers build scalable, reliable, and extensible systems that empower product teams to move faster, deliver with quality, and focus on customer value.
 You must be commutable to our San Francisco office. We default to being in\-office 3\-4 days per week with required attendance on Tuesdays and Thursdays.
**What We Work With** 
 We are open to hearing from candidates who know different programming languages and are excited to learn more and grow their skills. Our current stack:
* Kotlin (micronaut, jooq), Ruby (Rails, Sidekiq), gRPC, protobuf
* Typescript / Javascript (React, Redux)
* React Native
* AWS, Kubernetes, Postgres and Terraform
**What You’ll Do** 
 As a Software Engineer at GlossGenius, you'll play a critical role in shaping a platform that powers over 90,000 small businesses and processes more than $3 billion in payments annually. Engineers work on high\-impact initiatives that support our rapid growth and evolving scale. Examples of your potential responsibilities include:
* Develop, release, and run large\-scale web applications that empower beauty and wellness businesses to operate and grow.
* Build new AI features for our customers.
* Develop and define our microservice\-based infrastructure.
* Build tools and solutions that enable internal teams to work faster, more effectively, with more confidence, and improve the value they can provide our users (Business Scalability team).
* Work on core experiences such as making payments friction\-free for clients and customers, building tools to help customers earn more per hour, or enabling businesses to effortlessly grow and manage their teams.
* Focus on front\-end development, crafting intuitive and engaging user experiences for our web and mobile applications.
* Improve performance, reliability, scalability, and security for our backend systems.
 What We’re Looking For
* 2\+ years of professional experience in software development.
* A Bachelor's degree in Computer Science, a related technical field, or equivalent practical experience.
* A strong desire to move fast and have a significant impact.
* An entrepreneurial mindset, eager to take ownership and contribute new ideas to solve challenging problems.
* Ability to analyze and improve efficiency, scalability, and stability of various system resources.
* Demonstrates strong collaboration skills and team spirit.
 Benefits \&amp; Perks 
* Flexible PTO
* Competitive health \&amp; dental insurance options, with premiums partially or fully covered by GG
* In\-person opportunities that are designed to help team members foster collaboration and build community (ie; working out of a co\-working space, team dinners, and other team building activities)
* Fertility and adoption benefits via Carrot
* Generous, fully\-paid parental leave policy
* 401k benefit \- employees are eligible to contribute starting day 1 of employment
* Professional Development \- employees receive a yearly stipend for approved learning and educational\-related expenses
* Pre\-tax commuter benefits
* Dependent Care FSA
* Home office support
*The starting base salary for this role in San Francisco is between $150,000\-$230,000\+ target equity \+ benefits. The base salary offered is dependent upon many factors including skills,
 **experience** 
 , location, and education. The base pay range is subject to change and may be modified in the future.  Additionally, this role is currently eligible to participate in GlossGenius’s equity plan as well as a range of health \&amp; wellbeing, retirement savings, and other benefits within our total rewards offering.* 
*At GlossGenius, we celebrate our differences and are committed to creating a workplace where all employees feel supported and empowered to do their best work. We believe this benefits not only our employees but our product, customers, and community as well. GlossGenius is proud to be an Equal Opportunity and Affirmative Action Employer.* 
*Personal Information: Notice at Collection for Employees and Applicants* 
*Agency Submissions*
*If a resume or applicant is submitted to GlossGenius by a third party without a signed search agreement in place, it will become the property of GlossGenius and no fee will be paid, irrespective of whether the candidate is hired.*</t>
        </is>
      </c>
    </row>
    <row r="146">
      <c r="A146" t="inlineStr">
        <is>
          <t>li-4296475414</t>
        </is>
      </c>
      <c r="B146" t="inlineStr">
        <is>
          <t>Backend Engineer</t>
        </is>
      </c>
      <c r="C146" t="inlineStr">
        <is>
          <t>Gong</t>
        </is>
      </c>
      <c r="D146" t="inlineStr">
        <is>
          <t>linkedin</t>
        </is>
      </c>
      <c r="E146">
        <f>HYPERLINK("https://www.linkedin.com/jobs/view/4296475414", "https://www.linkedin.com/jobs/view/4296475414")</f>
        <v/>
      </c>
      <c r="F146" t="inlineStr"/>
      <c r="G146" t="inlineStr">
        <is>
          <t>New York, NY</t>
        </is>
      </c>
      <c r="H146" t="inlineStr"/>
      <c r="I146" t="inlineStr">
        <is>
          <t>Gong harnesses the power of AI to transform how revenue teams win. The Gong Revenue AI Operating System unifies data, insights, and workflows into a single, trusted system that observes, guides, and acts alongside the world’s most successful revenue teams. Powered by the Gong Revenue Graph, AI\-powered intelligence, specialized agents, and trusted applications, Gong helps more than 5,000 companies around the world deeply understand their teams and customers, automate critical sales workflows, and close more deals with less effort. For more information, visit www.gong.io.
 At Gong, you will join a company built on innovative products, ambitious goals, and passionate people. We are shaping the future of revenue intelligence and we want people who are excited to build what comes next. You will work with a team that dreams big, moves fast, and cares deeply about the craft and about each other. Here, transparency and trust are core to how we operate, and every person has the opportunity to make a visible impact. If you want to grow, stretch, and do work that truly matters, Gong is the place to do the best work of your career.
 We’re scaling fast — and we’re just getting started. At Gong, we’re building a world\-class R\&amp;D hub in the U.S. to fuel our next wave of innovation. This is your chance to join a critical team from the ground up and help shape products that lead the future of revenue intelligence.
 We’re building the future of revenue intelligence — and our backend engineers are at the heart of it. As a Backend Engineer at Gong, you’ll tackle meaningful technical challenges, design systems at scale, and help shape products that transform how companies understand their customers.
 We’re looking for an experienced Java engineer who’s excited to build high\-performance systems, solve complex problems, and deliver features that make a real impact.
**Responsibilities**
* Design and build backend services and APIs using Java, with a focus on scalability, reliability, and performance
* Own technical projects from start to finish — architecture, development, deployment, and ongoing improvements
* Collaborate with Product Managers, UX Designers, and Frontend Engineers to deliver features that solve real customer problems
* Dive into technical challenges, identify root causes, and develop practical solutions
* Play an active role in shaping Gong’s backend architecture as we scale
**Qualifications**
* 5\+ years of backend development experience, with deep expertise in Java
* Proven ability to solve complex problems, debug efficiently, and build high\-quality systems
* Experience designing and running cloud\-based services (AWS, GCP, or Azure), including microservices architectures
* Bonus points for experience with infrastructure as code, CI/CD pipelines, or data\-driven APIs
* Strong communication skills and a collaborative approach — you enjoy working across teams
* A degree in Computer Science, Engineering, or related field (or equivalent practical experience)
**Perks \&amp; Benefits**
* We offer Gongsters a variety of medical, dental, and vision plans, designed to fit you and your family’s needs.
* Wellbeing Fund \- flexible wellness stipend to support a healthy lifestyle.
* Mental Health benefits with covered therapy and coaching.
* 401(k) program to help you invest in your future.
* Education \&amp; learning stipend for personal growth and development.
* Flexible vacation time to promote a healthy work\-life blend.
* Paid parental leave to support you and your family.
* Company\-wide recharge days each quarter.
* Work from home stipend to help you succeed in a remote environment.
**The annual salary hiring range for this position is $152,000 \- $185,000 USD.**
 Compensation is based on factors unique to each candidate, including, but not limited to, job\-related skills, qualification, education, experience, and location. At Gong, we have a location\-based compensation structure, which means there may be a different range for candidates in other locations. The total compensation package for this position, in addition to base compensation, may include incentive compensation, bonus, equity, and benefits. Some of our sales compensation programs also offer the potential to achieve above targeted earnings for those who exceed their sales targets.
 We are always looking for outstanding Gongsters! So if this sounds like something that interests you regardless of compensation, please reach out. We may have more roles for you to consider and would love to connect.
**We have noticed a rise in recruiting impersonations across the industry, where scammers attempt to access candidates' personal and financial information through fake interviews and offers. All Gong recruiting email communications will always come from the @gong.io domain. Any outreach claiming to be from Gong via other sources should be ignored.**
*Gong is an equal\-opportunity employer. We believe that diversity is integral to our success, and do not discriminate based on race, color, religion, age, sex, sexual orientation, gender identity, national origin, disability, military status, genetic information, or any other basis protected by applicable law.*
*To review Gong's privacy policy, visit https://www.gong.io/gong\-io\-job\-candidates\-privacy\-notice/ for more details.*</t>
        </is>
      </c>
    </row>
    <row r="147">
      <c r="A147" t="inlineStr">
        <is>
          <t>li-4361501499</t>
        </is>
      </c>
      <c r="B147" t="inlineStr">
        <is>
          <t>Sr. Staff Software Engineer, LinkedIn AI Hiring Assistant</t>
        </is>
      </c>
      <c r="C147" t="inlineStr">
        <is>
          <t>LinkedIn</t>
        </is>
      </c>
      <c r="D147" t="inlineStr">
        <is>
          <t>linkedin</t>
        </is>
      </c>
      <c r="E147">
        <f>HYPERLINK("https://www.linkedin.com/jobs/view/4361501499", "https://www.linkedin.com/jobs/view/4361501499")</f>
        <v/>
      </c>
      <c r="F147" t="inlineStr"/>
      <c r="G147" t="inlineStr">
        <is>
          <t>Mountain View, CA</t>
        </is>
      </c>
      <c r="H147" t="inlineStr"/>
      <c r="I14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We are seeking a Senior Staff Software Engineer to define and lead the technical strategy for Search and Recommendation in LinkedIn's Talent Solutions. This team powers large\-scale search retrieval, ranking, and qualification\-based evaluation of LinkedIn members. Talent Solutions products enable millions of professionals and organizations to connect more effectively.
 In this role, you will serve as the technical lead, shaping long\-term architecture driving the application of the latest advancements in AI\- including semantic search, embeddings, and Generative AI/LLMs. You'll translate these innovations into scalable systems and impactful product capabilities that enhance customer adoption, deliver measurable value, and drive revenue growth across LinkedIn's hiring product.
 Responsibilities:
* You will deliver impact by driving innovation while building and shipping software at scale.
* You will work closely with and influence product and/or technology partners regularly to help define a long\-term technology roadmap.
* Owning the technical strategy for broad or complex requirements with insightful and forward\-looking approaches that go beyond the direct team and solve large open\-ended problems.
* Functioning as the tech\-lead for several concurrent key initiatives across Search and AI Infrastructure, AI modeling and defining the future of AI\-enabled products.
* You will execute on product and technical workstreams by collaborating with engineering, product managers, designers, other software development teams, and business partners
* You will be a role model and professional coach for engineers with a strong bias for action and focus on craftsmanship.
* You will resolve conflicts between teams within the organization to get alignment and build team culture.
* You will create a collaborative work environment that fosters autonomy, transparency, innovation, and learning.
**Qualifications**
 Basic Qualifications:
* BA/BS Degree in Computer Science or related technical discipline, or equivalent practical experience\-
* 5\+ years of experience in software design, development, and algorithm related solutions
* 5\+ years of experience with large\-scale distributed systems and client\-server architectures
* 5\+ years of experience in programming languages such as Python, Java, Rust, C\#, C/C\+\+
* 3\+ years of experience in an architect or technical leadership position
* Preferred Qualifications:\-
* 10\+ years of experience in software design, development, and algorithm related solutions
* 2\+ years' experience building ML applications, LLM serving, GPU serving.
* 2\+ years working on search retrieval and ranking.
* 1\+ years of working on GenAI applications (Prompt engineering optimizations, Fine tuning, etc.)
* Experience with machine learning or related technology
* Experience building large\-scale consumer products
* Experience in leading cross\-organization, cross\-functional efforts and successfully delivering transformational technology for hard problems
* Active involvement in the creation and execution of technical strategies and roadmaps
 Suggested Skills
* Technical Leadership
* Distributed Systems
* Information retrieval / recommendation systems
* Knowledge of systems with Machine Learning and Deep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8">
      <c r="A148" t="inlineStr">
        <is>
          <t>li-4361361575</t>
        </is>
      </c>
      <c r="B148" t="inlineStr">
        <is>
          <t>Distinguished Software Engineer - Search</t>
        </is>
      </c>
      <c r="C148" t="inlineStr">
        <is>
          <t>LinkedIn</t>
        </is>
      </c>
      <c r="D148" t="inlineStr">
        <is>
          <t>linkedin</t>
        </is>
      </c>
      <c r="E148">
        <f>HYPERLINK("https://www.linkedin.com/jobs/view/4361361575", "https://www.linkedin.com/jobs/view/4361361575")</f>
        <v/>
      </c>
      <c r="F148" t="inlineStr"/>
      <c r="G148" t="inlineStr">
        <is>
          <t>Bellevue, WA</t>
        </is>
      </c>
      <c r="H148" t="inlineStr"/>
      <c r="I14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**Location:**
 The work location of this role is hybrid, meaning it will be performed both from home and from a LinkedIn office on select days, as determined by the business needs of the team.
**Overview:**
 As a Distinguished Engineer\- at LinkedIn, you will architect and lead the next generation of AI solutions that power LinkedIn's search experiences by employing the latest techniques \- from LLMs to broader innovative AI methods \- at scale. You will design strategies for holistic optimization of LinkedIn's ecosystem across all consumer product surfaces to create a cohesive, highly personalized experience for our members. LinkedIn relies on innovative AI research and applications that you will help us build. As a key leader in the organization, you will lead research, design algorithms, build software, anticipate and influence the state of the art in the industry, and leverage and create open\-source software in the process.
**Responsibilities:**
* Set Technical Vision: Shape the future of LinkedIn Search by combining AI, LLMs, and systems innovation to deliver highly relevant and personalized member experiences.
* Architect for Scale: Build scalable, high\-availability infrastructure to handle billions of queries reliably and efficiently.
* Drive Product Strategy: Partner closely with product, design, and AI teams to align technical investments with member and business needs.
* Foster a High\-Performance Culture: Champion engineering best practices, quality, operational rigor, and innovation across the team.
* Cross\-Functional Leadership: Influence and collaborate across multiple teams and stakeholders to drive complex, high\-impact initiatives forward.
* Stay Ahead of Trends: Monitor emerging technologies and industry trends to ensure LinkedIn Search remains an industry leader.
**Qualifications**
**Basic Qualifications:**
* PhD in a relevant field or related discipline (machine learning, statistics, computer science etc.), or equivalent research experience
* 10\+ years of relevant work experience Experience leading technical projects with multiple stakeholders
**Preferred Qualifications:**
* 10\+ years experience in building engaging AI\-powered consumer products at scale, with at least 5 of those years in a technical\- leadership position
* Experience in designing and optimizing search and recommender systems that create highly personalized experiences for LinkedIn's members and scale to solve complex business problems
* Experience in leading large scale development projects from concept to multiple releases in production
* Experience of technical leadership guiding and mentoring engineering and operations talent
* Experience leading high\-impact, cross\-company initiatives
**Suggested Skills:**
* Mentoring
* Technical Leadership
* Machine Learning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$248,000 to $406,000\.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49">
      <c r="A149" t="inlineStr">
        <is>
          <t>li-4313863031</t>
        </is>
      </c>
      <c r="B149" t="inlineStr">
        <is>
          <t>Software Engineer, Core Services</t>
        </is>
      </c>
      <c r="C149" t="inlineStr">
        <is>
          <t>OpenAI</t>
        </is>
      </c>
      <c r="D149" t="inlineStr">
        <is>
          <t>linkedin</t>
        </is>
      </c>
      <c r="E149">
        <f>HYPERLINK("https://www.linkedin.com/jobs/view/4313863031", "https://www.linkedin.com/jobs/view/4313863031")</f>
        <v/>
      </c>
      <c r="F149" t="inlineStr"/>
      <c r="G149" t="inlineStr">
        <is>
          <t>San Francisco, CA</t>
        </is>
      </c>
      <c r="H149" t="inlineStr"/>
      <c r="I149" t="inlineStr">
        <is>
          <t>**About The Team**
 The Core Services team is responsible for building and managing foundational services. It acts as the bridge between core infrastructure (e.g. compute, storage, networking) and product engineering teams, and enables product teams to move fast, build reliably, and scale efficiently.
**About The Role**
 As a software engineer in the core services team, you will design and operate critical backend platforms such as caching systems, workflow orchestration, metadata stores, and file services. You’ll focus on building highly reliable, scalable, and performant systems that serve as the backbone of our products.
 We’re looking for people who are passionate about building infrastructure that empowers product teams, love working on distributed systems challenges, and enjoy creating well\-designed APIs and abstractions that accelerate development.
 This role is based in San Francisco, CA. We use a hybrid work model of 3 days in the office per week and offer relocation assistance to new employees.
**In This Role, You Will**
* Design, build, and maintain shared infrastructure services such as caching layers, workflow orchestration (Temporal), metadata stores, and file storage services.
* Collaborate with product teams to provide scalable, reliable primitives that abstract the complexities of distributed systems.
* Improve performance, resilience, and scalability of core services that power customer\-facing applications.
**You Might Thrive In This Role If You**
* Have experience with distributed systems, caching infrastructure (e.g., Redis, Memcached), metadata storage (e.g., FoundationDB), or workflow orchestration (e.g., Temporal, Cadence).
* Have experience running containerized services in cloud environments and integrating them into automated build/test/release (CI/CD) workflows.
* Understand trade\-offs in consistency models, replication strategies, and performance optimization in multi\-region systems.
* Excel at communication and collaboration with cross\-functional teams, and are obsessed with delivering customer success.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150">
      <c r="A150" t="inlineStr">
        <is>
          <t>li-4361541494</t>
        </is>
      </c>
      <c r="B150" t="inlineStr">
        <is>
          <t>Sr. Staff Software Engineer - Systems Infrastructure</t>
        </is>
      </c>
      <c r="C150" t="inlineStr">
        <is>
          <t>LinkedIn</t>
        </is>
      </c>
      <c r="D150" t="inlineStr">
        <is>
          <t>linkedin</t>
        </is>
      </c>
      <c r="E150">
        <f>HYPERLINK("https://www.linkedin.com/jobs/view/4361541494", "https://www.linkedin.com/jobs/view/4361541494")</f>
        <v/>
      </c>
      <c r="F150" t="inlineStr"/>
      <c r="G150" t="inlineStr">
        <is>
          <t>Mountain View, CA</t>
        </is>
      </c>
      <c r="H150" t="inlineStr"/>
      <c r="I15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Mountain View,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take the lead in building the next\-generation infrastructure and platforms for LinkedIn, including but not limited to: service delivery platform, scalable data storage infrastructure, graph infrastructure, analytics platform, streams processing and data pipelines, cutting\-edge search platform, best\-in\-class AI/ML infrastructure, Kubernetes compute infrastructure, media infrastructure, etc. You will work and learn among the best, putting to use your passion for distributed technologies and algorithms, API design and systems design, and your passion for writing code that performs at massive scale. LinkedIn has pioneered many well\-known open\-source infrastructure projects including Apache Kafka, Pinot, Azkaban, Samza, Venice, Datahub, Feather, etc. We also work with industry standard open source infrastructure technologies like Kubernetes, GRPC and GraphQL \- come join our infrastructure teams and share the knowledge with a broader community while making a real impact within our company.
 As a Sr. Staff Software Engineer, you will be a key technical leader and role model within the organization. We are looking for a technical lead who designs and develops technology to serve business and technology objectives, aligns points of view across teams and makes trade offs to help achieve the goals of individual teams as well as LinkedIn's broader goals. You will foster LinkedIn's culture and values around transformation, collaboration and results. You will work closely with technical leadership and management within and outside our organization to contribute to building best\-in\-class core systems infrastructure for LinkedIn.
 Responsibilities:
* Deliver impact by driving innovation while building and shipping software at scale
* Provide architectural guidance and mentorship to up\-level the engineering organization
* Actively improve the level of craftsmanship at LinkedIn by developing best practices and defining best strategies
* Design products/services/tools and code that can be used by others while upholding operational impact of all decisions
* Functioning as the tech\-lead for multiple key initiatives, identify problems and opportunities and lead teams to architect, design, implement and operationalize systems
* Partner closely with teams within the org and customers to execute on the vision for long\-term success of our core infrastructure teams
* Working closely with the open\-source community to participate and influence cutting edge open\-source projects.
* Keep a platform first approach while designing products/service
**Qualifications**
 Basic Qualifications:
* BS/BA in Computer Science or related technical field or equivalent technical experience
* 5\+ years of industry experience in software design, development, and algorithm related solutions
* 5\+ years of experience programming in object\-oriented languages such as C/C\+\+, Java, Go, Rust, Python, Scala
* 2\+ years of experience as an architect, or technical leadership position
* Hands\-on experience developing large\-scale, distributed systems, and databases
 Preferred Qualifications:
* MS or PhD degree in Computer Science or related technical discipline
* 10\+ years of experience in software design, development, and algorithm related solutions with at least 5 years of experience in a technical leadership position
* 10\+ years of experience in an object\-oriented programming language such as C/C\+\+, Java, Go, Rust, Python, Scala
* 5\+ years of experience with large\-scale distributed systems and client\-server architectures
* Experience in architecting and designing large\-scale distributed systems related to data infrastructure, IaaS, ML/AI infrastructure, storage, graph, Kubernetes, and platforms.
 Suggested Skills:
* Distributed Systems
* Technical Leadership
* Infrastructure as a Service (IaaS)
* Systems Infrastructure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1">
      <c r="A151" t="inlineStr">
        <is>
          <t>li-4361302210</t>
        </is>
      </c>
      <c r="B151" t="inlineStr">
        <is>
          <t>Senior Full Stack Software Engineer - HR Enterprise Platforms</t>
        </is>
      </c>
      <c r="C151" t="inlineStr">
        <is>
          <t>LinkedIn</t>
        </is>
      </c>
      <c r="D151" t="inlineStr">
        <is>
          <t>linkedin</t>
        </is>
      </c>
      <c r="E151">
        <f>HYPERLINK("https://www.linkedin.com/jobs/view/4361302210", "https://www.linkedin.com/jobs/view/4361302210")</f>
        <v/>
      </c>
      <c r="F151" t="inlineStr"/>
      <c r="G151" t="inlineStr">
        <is>
          <t>Sunnyvale, CA</t>
        </is>
      </c>
      <c r="H151" t="inlineStr"/>
      <c r="I15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hybrid in LinkedIn's Sunnyvale office.
 We are seeking a talented and motivated Senior Full Stack Software Engineer to join our dynamic technology team. This role is responsible for designing, developing, and maintaining robust, scalable web applications and services that drive business value and innovation. The ideal candidate will have a strong background in both front\-end and back\-end development, as well as a proven track record of delivering high\-quality software solutions in a collaborative environment.
 Our Talent Productivity Engineering team is responsible for building, customizing, and integrating LinkedIn’s HR Enterprise Platforms and productivity tools that play a crucial part in managing human resources, payroll, performance, rewards, and financials. Come join our team to help improve the employee experience at LinkedIn.
 Key Responsibilities
* Design, develop, test, and deploy scalable full stack applications using modern programming languages and frameworks.
* Collaborate with cross\-functional teams, including product managers, designers, and other engineers, to define and implement technical solutions that meet business requirements.
* Lead technical initiatives, conduct code reviews, and mentor junior engineers to promote best practices and continuous improvement.
* Integrate with cloud platforms and third\-party APIs, ensuring seamless interoperability and optimal performance.
* Contribute to architectural decisions and help shape the technology roadmap of the organization.
* Troubleshoot, debug, and optimize application performance to ensure reliability and scalability.
* Maintain comprehensive documentation for code, processes, and system architecture.
* Stay current with emerging technologies and industry trends, proactively identifying opportunities for innovation.
* Manage projects end\-to\-end; build and execute detailed implementation plans, including design, build, QA/test, deploy, \&amp; support components.
* Design, develop, test, troubleshoot and deploy custom Workday Extend applications to meet complex business requirements.
* Collaborate with Workday Functional and Integrations Engineers, HR Technology Partners, Business stakeholders, and other technical and functional leads assessing requirements and translating them into technical solutions.
* Integrate Workday Extend applications with other enterprise systems using Workday APIs and web services.
* Maintain and enhance existing Workday Extend solutions, ensuring optimal performance and scalability.
* Document technical specifications, wireframe designs, and application workflows and architecture.
* Participate in code reviews, troubleshooting, and debugging to ensure solutions are well reasoned and delivered with high\-quality.
* Stay current with Workday and Workday Extend updates, best practices, and emerging technologies relevant to the platform.
* Provide technical support and guidance to other Workday Engineers, end\-users, and stakeholders.
**Qualifications**
 Basic Qualifications
* Bachelors or Masters degree in Computer Science, Engineering, Information Technology, or related field, or equivalent experience.
* 5\+ years of professional experience in software development.
* Experience with front\-end technologies (such as React, TypeScript, Python (Flask), MySQL, SQLAlchemy, Angular, Vue.js etc.) and back\-end frameworks (such as REST APIs, Node.js, Java, Python, or .NET).
* Experience with RESTful API design, microservices architecture, and cloud computing concepts.
* Experience with relational and NoSQL databases (e.g., PostgreSQL, MySQL, MongoDB).
**Preferred Qualifications**
* Master’s degree in Computer Science, Engineering, or Information Technology
* Excellent problem\-solving skills, attention to detail, and ability to work independently and as part of a team.
* Effective communication skills, with the ability to articulate complex technical concepts to non\-technical stakeholders.
* Hands\-on experience with Workday Extend, including building custom applications and integrations within the Workday ecosystem.
* Familiarity with Workday Studio, Workday REST APIs, and Workday business processes.
* Strong proficiency in JavaScript, REST APIs, SOAP APIs, JSON, XML, XSLT, HTML, and cloud application development.
* Solid understanding of and hands\-on experience with Workday Studio, Workday Integration Cloud, EIBs, BIRT and Workday Extend tools, including Workday Orchestration.
* Understanding of Workday HCM fundamentals including core concepts like configurable security, integration security, business process workflow, and design, calc fields, report writing, etc.
* Workday Extend Certification a plus.
* Experience designing and deploying complex integrations leveraging Workday Orchestration for Integration (O4I) to manage multi\-step workflows and business processes.
* Experience working in Agile development environments.
* Knowledge of DevOps practices, CI/CD pipelines, and automated testing frameworks.
* Prior experience in enterprise SaaS environments or HRIS/ERP systems.
 Suggested Skills
* HR Enterprise Applications and Platforms
* SaaS Applications
* API Development
* Advanced Programming Skills
* Performance Optimization and Scalability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2">
      <c r="A152" t="inlineStr">
        <is>
          <t>li-4345619659</t>
        </is>
      </c>
      <c r="B152" t="inlineStr">
        <is>
          <t>Software Engineer</t>
        </is>
      </c>
      <c r="C152" t="inlineStr">
        <is>
          <t>FanDuel</t>
        </is>
      </c>
      <c r="D152" t="inlineStr">
        <is>
          <t>linkedin</t>
        </is>
      </c>
      <c r="E152">
        <f>HYPERLINK("https://www.linkedin.com/jobs/view/4345619659", "https://www.linkedin.com/jobs/view/4345619659")</f>
        <v/>
      </c>
      <c r="F152" t="inlineStr"/>
      <c r="G152" t="inlineStr">
        <is>
          <t>Jersey City, NJ</t>
        </is>
      </c>
      <c r="H152" t="inlineStr"/>
      <c r="I152" t="inlineStr">
        <is>
          <t>**THE POSITION**
 Our roster has an opening with your name on it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at FanDuel to improve the major US sports platforms. You will be a domain expert on price modeling implementation and how that fits into the larger Risk and Trading landscape. You will go beyond the software developer role and will be called upon to identify opportunities yourself in the quantitative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 Degree in Computer Science, Data Science, Engineering, Mathematics, Physics, or related discipline.
* 3 or more years of industry experience in an Engineering field, Machine Learning, Data Science, Finance Engineering, or Statistics.
* Proficient in building services with a modern OOP language (C\# experience is beneficial).
* Understanding of performance, hardware, and lower\-level memory management (C, C\+\+, or Rust experience is beneficial).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nice to have.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53">
      <c r="A153" t="inlineStr">
        <is>
          <t>li-4325372268</t>
        </is>
      </c>
      <c r="B153" t="inlineStr">
        <is>
          <t>VP - Software Engineer</t>
        </is>
      </c>
      <c r="C153" t="inlineStr">
        <is>
          <t>Morgan Stanley</t>
        </is>
      </c>
      <c r="D153" t="inlineStr">
        <is>
          <t>linkedin</t>
        </is>
      </c>
      <c r="E153">
        <f>HYPERLINK("https://www.linkedin.com/jobs/view/4325372268", "https://www.linkedin.com/jobs/view/4325372268")</f>
        <v/>
      </c>
      <c r="F153" t="inlineStr"/>
      <c r="G153" t="inlineStr">
        <is>
          <t>New York, NY</t>
        </is>
      </c>
      <c r="H153" t="inlineStr"/>
      <c r="I153" t="inlineStr">
        <is>
          <t>In the Technology division, we leverage innovation to build the connections and capabilities that power our Firm, enabling our clients and colleagues to redefine markets and shape the future of our communities. This is a Software Engineering position at the Vice President level, which is part of the job family responsible for developing and maintaining software solutions that support business needs.
**About The Role**
 MARS Java VP dev \- We’re seeking someone to join our Matrix Analytics Squad as a Sr. Java Developer in Advisory Sales and Distribution to develop FX payments platform for TFX business unit.
**What You'll Do In The Role**
* Communicate regularly with product leads across the technology organization and discuss opportunities for improvement to existing and future technology solutions.
* Provide technical leadership and vision for software development projects.
* Lead the development of new ideas and/or policies in own area.
* Analyze multiple sets of information to create summaries for various stakeholders.
* Review ADRs and help the team formulate software design to solve complex business workflows.
* Foster a culture of innovation, collaboration, and continuous learning within the team.
* Help junior devs to experiment with New technologies that move the system to a modern and evergreen stack.
* Develop and maintain relationships with key stakeholders to ensure project success.
* Represent the software engineering team in cross\-functional discussions and planning sessions.
* Provide technology leadership by being active participant in the Chapter meetings, guilds, hackathon etc. to foster high\-performing yet innovative team.
**What You'll Bring To The Role**
* 7\+ of experience with: Java; Kafka; algorithms; SQL; system design; CI/CD; OOPs; scripting; distributed systems; distributed caching and Angular/React.
* Experience with: DB2; Podman; Python; Machine learning; AI; functional programming; and PandQ.
* Bachelor’s degree in computer science, Engineering, or a related field, or equivalent experience.
* Proven track record of leading high\-performance engineering teams.
* Advanced understanding of functional area and competent understanding of competitive environment.
* Strategic planning and execution of engineering projects.
* Ability to align technological initiatives with business objectives.
* Strong problem\-solving skills and a track record of using modern technologies to find innovative solutions.
* Collaboration with cross\-functional teams and senior leadership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$150,00 and $210,000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154">
      <c r="A154" t="inlineStr">
        <is>
          <t>li-4340708394</t>
        </is>
      </c>
      <c r="B154" t="inlineStr">
        <is>
          <t>Software Engineer, Web</t>
        </is>
      </c>
      <c r="C154" t="inlineStr">
        <is>
          <t>Pinterest</t>
        </is>
      </c>
      <c r="D154" t="inlineStr">
        <is>
          <t>linkedin</t>
        </is>
      </c>
      <c r="E154">
        <f>HYPERLINK("https://www.linkedin.com/jobs/view/4340708394", "https://www.linkedin.com/jobs/view/4340708394")</f>
        <v/>
      </c>
      <c r="F154">
        <f>HYPERLINK("https://www.pinterestcareers.com/jobs/5610055/software-engineer-web/?source=linkedin_limited_listing&amp;utm_source=linkedin_limited_listing&amp;urlHash=76bn", "https://www.pinterestcareers.com/jobs/5610055/software-engineer-web/?source=linkedin_limited_listing&amp;utm_source=linkedin_limited_listing&amp;urlHash=76bn")</f>
        <v/>
      </c>
      <c r="G154" t="inlineStr">
        <is>
          <t>San Francisco, CA</t>
        </is>
      </c>
      <c r="H154" t="inlineStr"/>
      <c r="I15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Software Engineer in the Web Platform Team you will drive initiatives that empower developers to build modern world\-class web experiences for our Pinners with high productivity, performance and quality. We’re looking for someone who is passionate about working up and down the stack, has a growth mindset and isn’t afraid to give their opinion on how we can improve.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robust frameworks and features that empower hundreds of developers and support millions of users.
* Enable developers to work more effectively by improving foundational web architecture, builds, CI/CD and testing capabilities.
* Drive changes that improve overall developer experience for all web engineers across Pinterest.
* Identify site\-wide challenges; propose, test, and ship solutions.
* Champion and drive large\-scale, cross\-functional initiatives that improve the Web platform.
* Increase web stability, scalability, performance and accessibility by implementing the best web development standards.
* Mentor team members and participate actively in design and code reviews, team processes and architectural decisions.
**What We’re Looking For**
* 3\+ years of experience in FullStack/Web development and a deep understanding of JavaScript, CSS, DOM, HTTP protocol and how the web works.
* Expertise with technologies such as React, Redux (or other state management solutions), Relay, GraphQL, TypeScript, Jest and React Testing Library.
* Good knowledge of build tools such as Webpack, Turbopack, or Vite.
* Familiarity with Node.js, server\-side rendering techniques, and frameworks such as Next.js.
* Experience in Python, Java, C\+\+, or Go or another language and a willingness to learn.
* Track record of delivering large, cross\-functional projects across multiple organizations and being a champion of developer experience, performance and quality.
* Strong written and verbal communication skills and the ability to collaborate across teams to make platform improvements, test functionality, and evangelize adoption of platform features.
* Love for Web and drive to keep up\-to\-date with new technologies, trends and best practices in client architecture.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times/week and therefore can commute to our San Francisco or Palo Alto office.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$145,524—$254,667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55">
      <c r="A155" t="inlineStr">
        <is>
          <t>li-4361510887</t>
        </is>
      </c>
      <c r="B155" t="inlineStr">
        <is>
          <t>Software Engineer</t>
        </is>
      </c>
      <c r="C155" t="inlineStr">
        <is>
          <t>Microsoft</t>
        </is>
      </c>
      <c r="D155" t="inlineStr">
        <is>
          <t>linkedin</t>
        </is>
      </c>
      <c r="E155">
        <f>HYPERLINK("https://www.linkedin.com/jobs/view/4361510887", "https://www.linkedin.com/jobs/view/4361510887")</f>
        <v/>
      </c>
      <c r="F155" t="inlineStr"/>
      <c r="G155" t="inlineStr"/>
      <c r="H155" t="inlineStr"/>
      <c r="I155" t="inlineStr">
        <is>
          <t>**Overview**
 Microsoft Azure storage is a highly distributed, massively scalable, and ubiquitously accessible cloud storage system designed to scale out and serve the entire world.
 We (Azure Storage Client team) are responsible for delivering the Storage Virtualization platform to Azure Virtual Machines (VMs). Our stack handles trillions of IOs every day from Azure VMs and runs in 100s of data centers and 1000\+ Clusters. The team is enabling storage offload using custom built hardware accelerators – utilizing the Field Programmable Gate Arrays (FPGAs), Remote Direct Memory Access (RDMA) for transport and Non Volatile Memory Express (NVMe) as the VM’s storage interface.
 As a Software Engineer you are responsible for designing, implementing and deploying software to enable hardware\-based storage offload technologies. If you have the interest and the passion to work on new hardware and software solutions to enable performance and scalability at the highest levels, then Azure may have a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Designs and develops system software that manages storage services in Azure.
* Ensures that services and components are designed with appropriate telemetry and health signals to enable remote monitoring and debugging.
* Rapidly deploys cloud\-scale solutions and monitor health through telemetry.
* Drives for quality in everything and continuously improves the quality of the systems.
* Proactively seeks new knowledge and adapts to new trends, technical solutions, and patterns that will improve the availability, reliability, efficiency, observability, and performance of products while also driving consistency in monitoring and operations at scale.
* Embodies our culture and values.
**Qualifications**
**Required Qualifications:**
* Bachelor's Degree in Computer Science, or related technical discipline
+ OR equivalent experience.
* Proven experience with coding in languages including, but not limited to, C, C\+\+ or RUST.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1\+ year(s) knowledge of Virtualization technologies, with an understanding of Azure equivalent cloud services \- data explorer, portal, disks, storage \&amp; virtual machines.
* 1\+ year(s) experience in storage domain.
* 1\+ year(s) of dmonstrated problem solving and software troubleshooting skills.
* 1\+ year(s) understanding of system performance, incident response, and troubleshooting in production environments.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6">
      <c r="A156" t="inlineStr">
        <is>
          <t>li-4361276941</t>
        </is>
      </c>
      <c r="B156" t="inlineStr">
        <is>
          <t>Senior Software Engineer - Fullstack (Continuous Compliance Monitoring)</t>
        </is>
      </c>
      <c r="C156" t="inlineStr">
        <is>
          <t>LinkedIn</t>
        </is>
      </c>
      <c r="D156" t="inlineStr">
        <is>
          <t>linkedin</t>
        </is>
      </c>
      <c r="E156">
        <f>HYPERLINK("https://www.linkedin.com/jobs/view/4361276941", "https://www.linkedin.com/jobs/view/4361276941")</f>
        <v/>
      </c>
      <c r="F156" t="inlineStr"/>
      <c r="G156" t="inlineStr">
        <is>
          <t>Mountain View, CA</t>
        </is>
      </c>
      <c r="H156" t="inlineStr"/>
      <c r="I15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 is seeking a Sr. Software Engineer to build its latest continuous compliance platform. In this role, you will help create an end\-to\-end solution that enables LinkedIn to meet its compliance and risk management obligations, at scale, through the use of real time data and generative AI services.
 We are looking for motivated professionals who have a proven track record of working with both engineering and non\-engineering teams to build easy\-to\-use and resilient web applications in the areas of compliance or risk management. Successful team members typically have some experience developing compliance management solutions or similar software that manages process workflows and integrates with multiple data sources.
 If you are passionate about being part of the engineering organization that develops one of the world's
 most\-used internet applications, and you have the skills and experience to help us take our security and
 compliance management capabilities to the next level, we want to hear from you. Apply now to join our
 team and help shape the future of LinkedIn.
 Responsibilities:
* Work with internal customer to design, implement, and optimize application user interfaces and workflows used for continuous compliance and risk management
* Design and build supporting applications and data services necessary to create a comprehensive compliance management platform
* Support the deployment and runtime operation of the compliance platform including participation in on\-call rotations
* Participate in design and code reviews to maintain our high development standards
* Mentor other engineers and will help build a growing team
**Qualifications**
 Basic Qualifications:
* BA/BS in Computer Science or related technical field or equivalent practical experience
* 2\+ years of industry experience in web application design, development, and algorithm related solutions.
* Experience writing clean JavaScript including experience with modern frameworks (React/Remix) and debugging tools (Chrome Dev Tools, etc. )
* 2\+ years programming experience in languages such as Javascript, HTML, CSS, Python, Java, Rust, Ruby, etc.
* Prior experience building public REST and gRPC API's
 Preferred Qualifications:
* BS and 5\+ years of relevant work experience, MS and 4\+ years of relevant work experience, or PhD and 2\+ years of relevant work experience.
* Knowledge of (and a passion for) current trends and best practices in front\-end architecture, including performance, accessibility, security, and usability.
* Experience building, deploying, and running applications in Kubernetes infrastructure
* Experience developing security, compliance, or risk management platforms
 Suggested Skills:
* Javascript
* HTML/CSS
* Java, Python, Rust
* Jest, Playwright, or relevant front end testing framework
* Web Application Development
* Data science/analytics
* Advanced Programming Skills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7">
      <c r="A157" t="inlineStr">
        <is>
          <t>li-4361391460</t>
        </is>
      </c>
      <c r="B157" t="inlineStr">
        <is>
          <t>Staff Software Engineer, AI Platform</t>
        </is>
      </c>
      <c r="C157" t="inlineStr">
        <is>
          <t>LinkedIn</t>
        </is>
      </c>
      <c r="D157" t="inlineStr">
        <is>
          <t>linkedin</t>
        </is>
      </c>
      <c r="E157">
        <f>HYPERLINK("https://www.linkedin.com/jobs/view/4361391460", "https://www.linkedin.com/jobs/view/4361391460")</f>
        <v/>
      </c>
      <c r="F157" t="inlineStr"/>
      <c r="G157" t="inlineStr">
        <is>
          <t>Mountain View, CA</t>
        </is>
      </c>
      <c r="H157" t="inlineStr"/>
      <c r="I15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This role can be based in Mountain View, CA, San Francisco, CA, or Bellevue, WA.
 Join us to push the boundaries of scaling large models together. The team is responsible for scaling LinkedIn's AI model training, feature engineering and serving with hundreds of billions of parameters models and large scale feature engineering infra for all AI use cases from recommendation models, large language models, to computer vision models. We optimize performance across algorithms, AI frameworks, data infra, compute software, and hardware to harness the power of our GPU fleet with thousands of latest GPU cards. The team also works closely with the open source community and has many open source committers (TensorFlow, Horovod, Ray, vLLM, Hugginface, DeepSpeed etc.) in the team. Additionally, this team focussed on technologies like LLMs, GNNs, Incremental Learning, Online Learning and Serving performance optimizations across billions of user queries.
 Model Training Infrastructure: As an engineer on the AI Training Infra team, you will play a crucial role in building the next\-gen training infrastructure to power AI use cases. You will design and implement high performance data I/O, work with open source teams to identify and resolve issues in popular libraries like Huggingface, Horovod and PyTorch, enable distributed training over 100s of billions of parameter models, debug and optimize deep learning training, and provide advanced support for internal AI teams in areas like model parallelism, tensor parallelism, Zero\+\+ etc. Finally, you will assist in and guide the development of containerized pipeline orchestration infrastructure, including developing and distributing stable base container images, providing advanced profiling and observability, and updating internally maintained versions of deep learning frameworks and their companion libraries like Tensorflow, PyTorch, DeepSpeed, GNNs, Flash Attention. PyTorch Lightning and more.
 Feature Engineering: this team shapes the future of AI with the state\-of\-the\-art Feature Platform, which empowers AI Users to effortlessly create, compute, store, consume, monitor, and govern features within online, offline, and nearline environments, optimizing the process for model training and serving. As an engineer in the team, you will explore and innovate within the online, offline, and nearline spaces at scale (millions of QPS, multi terabytes of data, etc), developing and refining the infrastructure necessary to transform raw data into valuable feature insights. Utilizing leading open\-source technologies like Spark, Beam, and Flink and more, you will play a crucial role in processing and structuring feature data, ensuring its most optimal storage in the Feature Store, and serving feature data with high performance.
 Model Serving Infrastructure: this team builds low latency high performance applications serving very large \&amp; complex models across LLM and Personalization models. As an engineer, you will build compute efficient infra on top of native cloud, enable GPU based inference for a large variety of use cases, cuda level optimizations for high performance, enable on\-device and online training. Challenges include scale (10s of thousands of QPS, multiple terabytes of data, billions of model parameters), agility (experiment with hundreds of new ML models per quarter using thousands of features), and enabling GPU inference at scale.
 ML Ops: The MLOps and Experimentation team is responsible for the infrastructure that runs MLOps and experimentation systems across LinkedIn. From Ramping to Observability, this org powers the AI products that define LinkedIn. This team, inside MLOps, is responsible for AI Metadata, Observability, Orchestration, Ramping and Experimentation for all models; building tools that enable our product and infrastructure engineers to optimize their models and deliver the best performance possible.
 As a Staff Software Engineer, you will have first\-hand opportunities to advance one of the most scalable AI platforms in the world. At the same time, you will work together with our talented teams of researchers and engineers to build your career and your personal brand in the AI industry.
**Responsibilities**
* Owning the technical strategy for broad or complex requirements with insightful and forward\-looking approaches that go beyond the direct team and solve large open\-ended problems.
* Designing, implementing, and optimizing the performance of large\-scale distributed serving or training for personalized recommendation as well as large language models.
* Improving the observability and understandability of various systems with a focus on improving developer productivity and system sustenance.
* Mentoring other engineers, defining our challenging technical culture, and helping to build a fast\-growing team.
* Working closely with the open\-source community to participate and influence cutting edge open\-source projects (e.g., vLLMs, PyTorch, GNNs, DeepSpeed, Huggingface, etc.).
* Functioning as the tech\-lead for several concurrent key initiatives AI Infrastructure and defining the future of AI Platforms.
****Qualifications****
 Basic Qualifications
* Bachelor's Degree in Computer Science or related technical discipline, or equivalent practical experience
* 4\+ years of experience in the industry with leading/ building deep learning systems.
* 4\+ years of experience with Java, C\+\+, Python, Go, Rust, C\# and/or Functional languages such as Scala or other relevant coding languages
* Hands\-on experience developing distributed systems or other large\-scale systems.
**Preferred Qualifications**
* BS and 8\+ years of relevant work experienceMS and 7\+ years of relevant work experience, or PhD and 4\+ years of relevant work experience
* Previous experience working with geographically distributed co\-workers.
* Outstanding interpersonal communication skills (including listening, speaking, and writing) and ability to work well in a diverse, team\-focused environment with other SRE/SWE Engineers, Project Managers, etc.
* Experience building ML applications, LLM serving, GPU serving.
* Experience with search systems or similar large\-scale distributed systems
* Expertise in machine learning infrastructure, including technologies like MLFlow, Kubeflow and large scale distributed systems
* Experience with distributed data processing engines like Flink, Beam, Spark etc., feature engineering,
* Co\-author or maintainer of any open\-source projects
* Familiarity with containers and container orchestration systems
* Expertise in deep learning frameworks and tensor libraries like PyTorch, Tensorflow, JAX/FLAX
 Suggested Skills
* ML Algorithm Development
* Machine Learning and Deep Learning
* Information retrieval / recommendation systems / distributed serving / Big Data is a plus.
* Communication
* Stakeholder Management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8">
      <c r="A158" t="inlineStr">
        <is>
          <t>li-4361292739</t>
        </is>
      </c>
      <c r="B158" t="inlineStr">
        <is>
          <t>Sr. Staff Software Engineer, Developer Productivity Insights</t>
        </is>
      </c>
      <c r="C158" t="inlineStr">
        <is>
          <t>LinkedIn</t>
        </is>
      </c>
      <c r="D158" t="inlineStr">
        <is>
          <t>linkedin</t>
        </is>
      </c>
      <c r="E158">
        <f>HYPERLINK("https://www.linkedin.com/jobs/view/4361292739", "https://www.linkedin.com/jobs/view/4361292739")</f>
        <v/>
      </c>
      <c r="F158" t="inlineStr"/>
      <c r="G158" t="inlineStr">
        <is>
          <t>Mountain View, CA</t>
        </is>
      </c>
      <c r="H158" t="inlineStr"/>
      <c r="I158"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The team is part of the Developer Platform Experience organization with the mission to empower LinkedIn engineers to ship high quality products, with confidence and high velocity. We provide infrastructure, tooling and experiences that enable and promote automatic validations, diagnostics and analytics across various stages of the development lifecycle and various technology stacks. We partner with organizations and engineering teams across the company to build the right strategy and investments that boost engineering productivity and product quality.
 As a Senior Staff Software Engineer, you will be responsible for shaping the company\-wide vision for accelerating developer productivity through data and insights, in partnership with engineering leaders across the company. You will be driving investments based on anything from industry best practices to innovative new AI technologies, need to address unique LinkedIn challenges and adapting to the rapidly\-evolving engineering landscape. The responsibilities include, but not limited to, building smart data collection, processing and actionable insights generation machinery with the goal of enabling your fellow engineers to maximize their productivity towards delivering on LinkedIn’s vision of creating economic opportunity for every member of the global workforce.
**Responsibilities:**
* Driving company level developer productivity uplift through data and insights.
* Shape and execute on the developer productivity analytics and insights strategy across the company.
* Provide effective data and actionable insights driven guidance to Developer Productivity strategy at the company level.
* Own and drive the technical roadmap and architecture for the developer productivity analytics and insights infrastructure and processes
* Continuously improve telemetry coverage/quality and tighten definitions to evolve metrics that drive better business decisions.
* Help maximize developer productivity gains by guiding proper application of AI tools and technologies to accelerate pace of engineering at the company level.
* Build innovative telemetry and analytics solutions by leveraging best of breed AI tools \&amp; technologies in the developer productivity domain.
* Quantify outcomes when randomized tests aren’t feasible, using sound alternatives and communicating assumptions and limits clearly.
* Own, manage and extend services and infrastructure, constantly improving and adding new features, while driving operational excellence.
* Promote and drive best practices and industry standards across the company.
* Partner with engineers and teams across the company to guide, influence and iterate on their dev productivity strategies and build best in class developer productivity solutions.
* Lead and mentor the next generation of engineering leaders by building a culture of craftsmanship and innovation.
**Qualifications**
**Basic Qualifications:**
* BA/BS Degree in Computer Science or related technical discipline, or related practical experience.
* 5\+ years of experience in software design, development, and algorithm related solutions
* 5\+ years of experience in programming languages such as Python, Java, C/C\+\+, C\#
* 2\+ years of experience in an architect or technical leadership position
**Preferred Qualifications:**
* BS and 10\+ years of relevant work experience, MS and 8\+ years of relevant work experience, or PhD and 6\+ years of relevant work experience.
* Strong hands\-on experience in the developer productivity domain in large engineering environments, including building, and operationalizing complex, reliable systems.
* Extremely passionate about data and insights as a key driver of organization engineering success.
* Development experience with AI tools like Cursor, Claude Code, Github co\-pilot
* Proven record of measurement strategy in developer productivity \- Crafting pragmatic plans, drive alignment across teams, and clearly present pros/cons to earn stakeholder buy\-in.
* Experience with CI/CD pipelines, common deployment models and infrastructure, and various techniques used to safely introduce change into production environments.
* Demonstrable experience with application of data and insights to improve organizational engineering practices.
* Experience designing and building data processing applications, pipelines and infrastructure at scale.
* Strong hands\-on experience with data processing pipeline technologies such as Spark, Flink, Trino, Airflow, Dagster, Openhouse, Lakehouse, Icerberg and Kafka.
* Experience with large\-scale distributed systems and client\-server architectures.
* Experience with strategic planning, executing on a long term roadmap, team development and scaling processes to support business growth.
* Experience leading by influence, formulating and driving technical strategies across various organizations.
**Suggested Skills:**
* Technical Leadership
* Backend development
* Developer Productivity
* Applications
* Large projects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9">
      <c r="A159" t="inlineStr">
        <is>
          <t>li-4361351622</t>
        </is>
      </c>
      <c r="B159" t="inlineStr">
        <is>
          <t>iOS Software Engineer - Platforms &amp; Experience</t>
        </is>
      </c>
      <c r="C159" t="inlineStr">
        <is>
          <t>LinkedIn</t>
        </is>
      </c>
      <c r="D159" t="inlineStr">
        <is>
          <t>linkedin</t>
        </is>
      </c>
      <c r="E159">
        <f>HYPERLINK("https://www.linkedin.com/jobs/view/4361351622", "https://www.linkedin.com/jobs/view/4361351622")</f>
        <v/>
      </c>
      <c r="F159" t="inlineStr"/>
      <c r="G159" t="inlineStr">
        <is>
          <t>Mountain View, CA</t>
        </is>
      </c>
      <c r="H159" t="inlineStr"/>
      <c r="I159"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team, UX Engineering, is passionate about every pixel. At the heart of our work is our commitment to delivering a user experience that is accessible, consistent, high\-performing, and delightful. We are creating the framework for the next generation of consumer and enterprise applications at LinkedIn. As a Software Engineer on iOS, you will design and develop core user experience components, capabilities, and frameworks, establish the underlying infrastructure, collaborate with design systems and product engineering teams, and provide architectural guidance. Your role will enable these teams to experiment and build their features with high quality and velocity.
**Responsibilities**
* You will design and execute user\-facing features for the native LinkedIn app on iOS devices by leveraging mobile operating system frameworks for multi\-threading, persisting data, and managing user experience and graphics across multiple screen sizes.
* You will use the latest cutting edge technologies and libraries suggested by Apple for building responsive native apps for iOS.
* You will build scalable native mobile apps using LinkedIn’s internal libraries.
* You will produce high\-quality software that is unit tested, code reviewed and checked in regularly for continuous integration.
* You will provide technical leadership, driving best engineering practices to initiate, plan, and execute large\-scale, cross\-functional, and company\-wide critical programs.
**Qualifications**
**Basic Qualifications**
* BA/BS in Computer Science or related technical field or equivalent practical experience.
* 1\+ years of industry experience
* 1\+ years programming experience in languages such as Objective\-C, UIKit, Swift, Java, Kotlin.
**Preferred Qualifications**
* 2\+ years of relevant work experience.
* MS in Computer Science or related technical discipline.
**Suggest Skills**
* Objective\-C
* Swift
* iOS development toolchains such as Xcode
* Kotlin
* Java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$102,000 to $167,000 .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0">
      <c r="A160" t="inlineStr">
        <is>
          <t>li-4340348457</t>
        </is>
      </c>
      <c r="B160" t="inlineStr">
        <is>
          <t>Software Engineer, Web</t>
        </is>
      </c>
      <c r="C160" t="inlineStr">
        <is>
          <t>Pinterest</t>
        </is>
      </c>
      <c r="D160" t="inlineStr">
        <is>
          <t>linkedin</t>
        </is>
      </c>
      <c r="E160">
        <f>HYPERLINK("https://www.linkedin.com/jobs/view/4340348457", "https://www.linkedin.com/jobs/view/4340348457")</f>
        <v/>
      </c>
      <c r="F160">
        <f>HYPERLINK("https://www.pinterestcareers.com/jobs/5610055/software-engineer-web/?source=linkedin_limited_listing&amp;utm_source=linkedin_limited_listing&amp;urlHash=76bn", "https://www.pinterestcareers.com/jobs/5610055/software-engineer-web/?source=linkedin_limited_listing&amp;utm_source=linkedin_limited_listing&amp;urlHash=76bn")</f>
        <v/>
      </c>
      <c r="G160" t="inlineStr">
        <is>
          <t>Palo Alto, CA</t>
        </is>
      </c>
      <c r="H160" t="inlineStr"/>
      <c r="I16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As a Software Engineer in the Web Platform Team you will drive initiatives that empower developers to build modern world\-class web experiences for our Pinners with high productivity, performance and quality. We’re looking for someone who is passionate about working up and down the stack, has a growth mindset and isn’t afraid to give their opinion on how we can improve. You’ll have the opportunity to find creative solutions to thought\-provoking problems. Even better, because we covet the kind of courageous thinking that’s required in order for big bets and smart risks to pay off, you’ll be invited to create and drive new initiatives, seeing them from inception through to technical design, implementation, and release.
**What You’ll Do**
* Build robust frameworks and features that empower hundreds of developers and support millions of users.
* Enable developers to work more effectively by improving foundational web architecture, builds, CI/CD and testing capabilities.
* Drive changes that improve overall developer experience for all web engineers across Pinterest.
* Identify site\-wide challenges; propose, test, and ship solutions.
* Champion and drive large\-scale, cross\-functional initiatives that improve the Web platform.
* Increase web stability, scalability, performance and accessibility by implementing the best web development standards.
* Mentor team members and participate actively in design and code reviews, team processes and architectural decisions.
**What We’re Looking For**
* 3\+ years of experience in FullStack/Web development and a deep understanding of JavaScript, CSS, DOM, HTTP protocol and how the web works.
* Expertise with technologies such as React, Redux (or other state management solutions), Relay, GraphQL, TypeScript, Jest and React Testing Library.
* Good knowledge of build tools such as Webpack, Turbopack, or Vite.
* Familiarity with Node.js, server\-side rendering techniques, and frameworks such as Next.js.
* Experience in Python, Java, C\+\+, or Go or another language and a willingness to learn.
* Track record of delivering large, cross\-functional projects across multiple organizations and being a champion of developer experience, performance and quality.
* Strong written and verbal communication skills and the ability to collaborate across teams to make platform improvements, test functionality, and evangelize adoption of platform features.
* Love for Web and drive to keep up\-to\-date with new technologies, trends and best practices in client architecture.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times/week and therefore can commute to our San Francisco or Palo Alto office.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$145,524—$254,667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61">
      <c r="A161" t="inlineStr">
        <is>
          <t>li-4351733659</t>
        </is>
      </c>
      <c r="B161" t="inlineStr">
        <is>
          <t>Junior Software Engineer</t>
        </is>
      </c>
      <c r="C161" t="inlineStr">
        <is>
          <t>BeaconFire Inc.</t>
        </is>
      </c>
      <c r="D161" t="inlineStr">
        <is>
          <t>linkedin</t>
        </is>
      </c>
      <c r="E161">
        <f>HYPERLINK("https://www.linkedin.com/jobs/view/4351733659", "https://www.linkedin.com/jobs/view/4351733659")</f>
        <v/>
      </c>
      <c r="F161" t="inlineStr"/>
      <c r="G161" t="inlineStr">
        <is>
          <t>Washington, United States</t>
        </is>
      </c>
      <c r="H161" t="inlineStr"/>
      <c r="I161"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62">
      <c r="A162" t="inlineStr">
        <is>
          <t>li-4361331758</t>
        </is>
      </c>
      <c r="B162" t="inlineStr">
        <is>
          <t>Staff Software Engineer - Systems and Infrastructure</t>
        </is>
      </c>
      <c r="C162" t="inlineStr">
        <is>
          <t>LinkedIn</t>
        </is>
      </c>
      <c r="D162" t="inlineStr">
        <is>
          <t>linkedin</t>
        </is>
      </c>
      <c r="E162">
        <f>HYPERLINK("https://www.linkedin.com/jobs/view/4361331758", "https://www.linkedin.com/jobs/view/4361331758")</f>
        <v/>
      </c>
      <c r="F162" t="inlineStr"/>
      <c r="G162" t="inlineStr">
        <is>
          <t>Mountain View, CA</t>
        </is>
      </c>
      <c r="H162" t="inlineStr"/>
      <c r="I16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can be based in Mountain View, CA, San Francisco, CA, or Bellevue, WA.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part of our world\-class software engineering team, you will be charged with building the next\-generation infrastructure and platforms for LinkedIn, including but not limited to: an application and service delivery platform, compute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own the technical strategy for broad or complex requirements with insightful and forward\-looking approaches that go beyond the direct team and solve large open\-ended problems.
* You will design, implement, and optimize the performance of large\-scale distributed systems with security and compliance in mind.
* You will Improve the observability and understandability of various systems with a focus on improving developer productivity and system sustenance.
* You will effectively communicate with the team, partners and stakeholders.
* You will mentor other engineers, define our challenging technical culture, and help to build a fast\-growing team.
* You will work closely with the open\-source community to participate and influence cutting edge open\-source projects (e.g., Apache Iceberg).
* You will deliver incremental impact by driving innovation while iteratively building and shipping software at scale.
* You will diagnose technical problems, debug in production environments, and automate routine tasks.
**Qualifications**
 Basic Qualifications
* BA/BS Degree in Computer Science or related technical discipline, or related practical experience.
* 4\+ years of industry experience in software design, development, and algorithm related solutions.
* 4\+ years experience programming in object\-oriented languages such as Java, C\+\+, Python, Go, Rust, C\# and/or Functional languages such as Scala or other relevant coding languages
* Hands on experience developing distributed systems, large\-scale systems, databases and/or Backend APIs
**Preferred Qualifications**
* BS and 8\+ years of relevant work experience, MS and 7\+ years of relevant work experience, or PhD and 4\+ years of relevant work experience.
* Experience in architecting, building, and running large\-scale distributed systems.
* Experience with industry, open source, and/or academic research in technologies such as Hadoop, Spark, Kubernetes, Feather, GraphQL, GRPC, Apache Kafka, Pinot, Samza or Venice.
* Experience with open\-source project management and governance.
 Suggested Skills:
* Distributed systems
* Backend Systems Infrastructure
* Java/Golang/Rust/Python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$170,000 \- $277,000\.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3">
      <c r="A163" t="inlineStr">
        <is>
          <t>li-4361284069</t>
        </is>
      </c>
      <c r="B163" t="inlineStr">
        <is>
          <t>Software Engineer</t>
        </is>
      </c>
      <c r="C163" t="inlineStr">
        <is>
          <t>Microsoft</t>
        </is>
      </c>
      <c r="D163" t="inlineStr">
        <is>
          <t>linkedin</t>
        </is>
      </c>
      <c r="E163">
        <f>HYPERLINK("https://www.linkedin.com/jobs/view/4361284069", "https://www.linkedin.com/jobs/view/4361284069")</f>
        <v/>
      </c>
      <c r="F163" t="inlineStr"/>
      <c r="G163" t="inlineStr">
        <is>
          <t>Redmond, WA</t>
        </is>
      </c>
      <c r="H163" t="inlineStr"/>
      <c r="I163" t="inlineStr">
        <is>
          <t>**Overview**
 On Team Xbox, we aspire to empower the world’s 3 billion gamers to play the games they want, with the people they want, anywhere they want. Gaming, the largest and fastest growing category in media \&amp; entertainment, represents an important growth opportunity for Microsoft. We are leading with innovation, as highlighted by bringing the Game Pass subscription to PC, bringing Xbox to new devices with Cloud Gaming, and our recent acquisition of Activision Blizzard King creating exciting new possibilities for players.
 The Xbox Gaming Devices Ecosystem team ship tens of millions of hardware products every year including the Xbox Series X\|S, the Xbox Wireless Controller, the Xbox Adaptive Controller and Adaptive Joystick, and more. Microsoft is the destination for the brightest minds in consumer electronics design. Come join our team to deliver exciting new products to fans and customers worldwide!
 The Xbox accessories development team is expanding into new families of products and new fundamental technologies. The team is seeking an engineering candidate to contribute to firmware development and the success of these emerging products. The ideal candidate will be knowledgeable in one or more common firmware development languages such as C or C\+\+ and will bring passion and energy to development with embedded microcontrollers. The ideal candidate will possess the ability to collaborate closely with other teams, such as the Xbox operating system team, electrical design team, design validation and test team to push the boundaries of gaming accessories and deliver world\-class consumer electronics.
 The successful candidate will demonstrate a predominant growth mindset and desire to learn new paradigms and new developments techniques to overcome challenges. As part of a fast\-paced team, the successful candidate will adopt a fail\-fast mentality, learn from their successes and setbacks, invest in team processes, and deeply care for the success of their teammates.
 \#GamingJobs \#TeamXbox \#XboxAccessories
**Responsibilities**
* Participate in all phases of Xbox hardware product development including designing and implementing firmware code, creating prototypes and proofs of concept, writing test code and support scripts, validating hardware subsystems, etc.
* Contribute to the design and implementation of various firmware components and tools, including device drivers, peripheral drivers, communication interfaces, input/sensors data processing, power management state machines, programming scripts for production, and automated tests.
* Collaborate with electrical engineering teams, operating systems developers, and quality assurance for day\-to\-day operations as well as for long term roadmap improvements by feeding back key learnings.
* Troubleshoot complex scenarios spanning across multiple systems, such as communication protocols over USB or Bluetooth, interfaces with sensors and actuators, and bug reports from our testers and end\-users.
* Collaborate with cross\-functional teams including product designers, User Experience developers, and product managers to define firmware requirements and specifications.
* Promote and support our Culture and Values in the daily work with the team as well as the design of our products with accessibility, diversity and inclusion in mind.
* Be mindful of compliance, privacy and security.
**Qualifications**
 Required/Minimum Qualifications:
* Bachelor's Degree in Computer Science or related technical field AND 2\+ years technical engineering experience with coding in languages including, but not limited to, C, C\+\+ or Python OR equivalent experience.
* Demonstrated experience with integrated development environments (such as Visual Studio or Keil) and debuggers, and working with off\-the\-shelf components (OS libraries, 3rd party libraries or drivers, command line tools, etc.).
* Basic experience with embedded firmware development techniques on platforms such as Arduino, Raspberry Pi or STM32 Nucleo.
* Skilled in written and verbal communication, with a mindset to pursue learnings, identify challenges and assimilate feedback.
**Other Requirements**
* Master's Degree in Computer Science or related technical field AND 3\+ years technical engineering experience with coding in languages including, but not limited to, C, C\+\+ or Python OR Bachelor's Degree in Computer Science or related technical field AND 5\+ years technical engineering experience with coding in languages including, but not limited to, C, C\+\+ or Python OR equivalent experience.
* Experience developing firmware or applications with USB or Bluetooth support.
* Experience with one or more embedded communications protocols (SPI, I2C, UART, etc.).
* A good understanding of computer architecture including processors, buses, memories, as well as operating systems principles such as multi\-threading and memory management.
* Familiarity with reading and interpreting electrical schematics.
* Familiarity with electrical lab equipment including oscilloscopes, DMMs, logic analyzers...
* Excellent organizational and learning skills.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4">
      <c r="A164" t="inlineStr">
        <is>
          <t>li-4345871230</t>
        </is>
      </c>
      <c r="B164" t="inlineStr">
        <is>
          <t>Senior Software Engineer</t>
        </is>
      </c>
      <c r="C164" t="inlineStr">
        <is>
          <t>isolved</t>
        </is>
      </c>
      <c r="D164" t="inlineStr">
        <is>
          <t>linkedin</t>
        </is>
      </c>
      <c r="E164">
        <f>HYPERLINK("https://www.linkedin.com/jobs/view/4345871230", "https://www.linkedin.com/jobs/view/4345871230")</f>
        <v/>
      </c>
      <c r="F164" t="inlineStr"/>
      <c r="G164" t="inlineStr">
        <is>
          <t>Charlotte, NC</t>
        </is>
      </c>
      <c r="H164" t="inlineStr"/>
      <c r="I164" t="inlineStr">
        <is>
          <t>**Why Work Here**
* Headquarters is in Charlotte, NC
* Recently expanded to nearshore
* isolved ranked for SMB Payroll in 2023 Sapient Report
* Voted top places to work in USA 2023
**About The Role**
 We're looking for an experienced
 **Senior Software Engineer** 
 to join our agile team and help build innovative, enterprise\-level solutions. If you thrive in a collaborative environment and love solving complex problems, this is the role for you.
**Core Job Duties**
* Design, develop, and maintain user interface controls, business logic, and SQL Server stored procedures.
* Collaborate with an agile team to estimate backlog items, plan development activities, and continuously improve processes.
* Implement functionality following iSolved coding standards.
* Work closely with business analysts to clarify requirements and troubleshoot issues.
* Investigate and resolve third\-level support requests.
**What We´re Looking For**
* 5\-7\+ years of experience in web application/services development.
* Strong background in large enterprise or e\-business systems.
* Ability to design and implement complex functionality and mentor other developers.
* Proficiency in:
* Azure, Microservice Architecture, C\#, SQL, Unit Testing, .NET, JavaScript, HTML
* Frameworks: Knockout, Angular
* Databases: Azure CosmosDB or other NoSQL
* Pub/Sub and asynchronous messaging
* Docker, MVVM
* Experience with large systems (500\+ database tables) is a plus.
**About Isolved**
 isolved is an employee experience leader, providing intuitive, people\-first HCM (Human Capital Management) technology. Our solutions are delivered directly or through our partner network to more than five million employees and 145,000 employers \- who use them every day to boost performance, increase productivity, and accelerate results while reducing risk. Our HCM platform, isolved People Cloud, seamlessly connects and manages the employee journey across talent management, HR \&amp; payroll, workforce management and engagement management functions. No matter the industry, we help high\-growth organizations employ, enable and empower their workforce by transforming employee experience for a better today and a better tomorrow. For more information, visit www.isolvedhcm.com.
**EEO Statement**
*isolved is an equal opportunity employer. All applicants will be considered for employment without attention to race, color, religion, sex, sexual orientation, gender identity, national origin, veteran or disability status. isolved is a progressive and open\-minded meritocracy. If you are smart and good at what you do, come as you are.*
**Disability Accommodation**
*Visit* 
*www.isolvedhcm.com/careers* 
*for more information regarding our incredible culture and focus on our employee experience. Visit* 
*www.isolvedeebenefits.com* 
*for a comprehensive list of our employee total rewards offerings.*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enable individuals with disabilities to perform the essential functions outlined above.</t>
        </is>
      </c>
    </row>
    <row r="165">
      <c r="A165" t="inlineStr">
        <is>
          <t>li-4350689955</t>
        </is>
      </c>
      <c r="B165" t="inlineStr">
        <is>
          <t>Founding Senior Software Engineer ($200k-$325k + Equity) at VC-backed developer tools startup</t>
        </is>
      </c>
      <c r="C165" t="inlineStr">
        <is>
          <t>Jack &amp; Jill</t>
        </is>
      </c>
      <c r="D165" t="inlineStr">
        <is>
          <t>linkedin</t>
        </is>
      </c>
      <c r="E165">
        <f>HYPERLINK("https://www.linkedin.com/jobs/view/4350689955", "https://www.linkedin.com/jobs/view/4350689955")</f>
        <v/>
      </c>
      <c r="F165" t="inlineStr"/>
      <c r="G165" t="inlineStr">
        <is>
          <t>San Francisco, CA</t>
        </is>
      </c>
      <c r="H165" t="inlineStr"/>
      <c r="I165" t="inlineStr">
        <is>
          <t>This is a job that Jill, our AI Recruiter, is recruiting for on behalf of one of our customers.
 She will pick the best candidates from Jack's network.
 The next step is to speak to Jack.
 Founding Senior Software Engineer
**Salary:** 
 $200k\-$325k \+ Equity
**Company Description:** 
 VC\-backed developer tools startup
**Job Description:**
 Join as a founding engineer to build a world\-class firmware development platform from the ground up. Reporting directly to the CTO, you will own major product areas end\-to\-end, architecting complex technical systems for engineers building mission\-critical hardware. This is a high\-impact, hands\-on role defining the technical roadmap and building a team.
**Location:** 
 San Francisco, USA
**Why this role is remarkable:**
* Founding employee status with significant equity (1\.5\-3%) in a high\-potential seed\-stage venture.
* Direct influence on product strategy and technology stack, working side\-by\-side with the CEO and CTO.
* Opportunity to solve complex technical challenges involving computer vision and agentic flows for hardware engineering.
**What you will do:**
* Design and implement full\-stack features across desktop applications and cloud infrastructure.
* Build zero\-error computer vision systems and unified data ontologies for hardware documentation.
* Evolve the technical roadmap and establish development best practices across the entire product portfolio.
**The ideal candidate:**
* 4\+ years of experience shipping 0\-to\-1 products, specifically for highly technical users or developer audiences.
* Full\-stack expertise across React, Node.js, and Python with a focus on building scalable infrastructure.
* Strong interest or background in firmware, embedded systems, or hardware\-software integration workflows.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66">
      <c r="A166" t="inlineStr">
        <is>
          <t>li-4361371548</t>
        </is>
      </c>
      <c r="B166" t="inlineStr">
        <is>
          <t>Senior Software Engineer - Security Infrastructure</t>
        </is>
      </c>
      <c r="C166" t="inlineStr">
        <is>
          <t>LinkedIn</t>
        </is>
      </c>
      <c r="D166" t="inlineStr">
        <is>
          <t>linkedin</t>
        </is>
      </c>
      <c r="E166">
        <f>HYPERLINK("https://www.linkedin.com/jobs/view/4361371548", "https://www.linkedin.com/jobs/view/4361371548")</f>
        <v/>
      </c>
      <c r="F166" t="inlineStr"/>
      <c r="G166" t="inlineStr">
        <is>
          <t>Mountain View, CA</t>
        </is>
      </c>
      <c r="H166" t="inlineStr"/>
      <c r="I166"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At Linkedin, our vision as the SecInfra team is to ensure that every resource at LinkedIn is provided a non\-repudiable identity that is used for secure inter service communication, every access to data at LinkedIn is safe and all secret material is cryptographically protected. Our mission is to make this security infrastructure intuitive, performant, and secure. We build highly reliable and scalable services and developer\-friendly infrastructure that enable engineering teams across the company to create and integrate secure features and proactively protect our members’ data. We are responsible for securing all microservices, nodes and large scale data systems in Linkedin’s ecosystem.
 We are looking for a motivated software engineer to join the PKI team to help us realize our vision to ensure that we provide infrastructure that is secured by default and applied everywhere across the Linkedin ecosystem. This team is responsible for ensuring the foundations of trust by establishing trust between nodes, managing identities and their lifecycle, managing CA and its infrastructure and securing the root of trust. This, combined with LinkedIn’s massive scale, is an exciting space to be a part of right now.
 The team is at an exciting juncture with a multi\-year roadmap focused on building secure and usable authentication and authorization solutions that directly impact the entirety of LinkedIn’s infrastructure. You will be empowered to play a key role in helping us execute on our roadmap and vision. We are looking for an engineer with sound technical acumen and the enthusiasm to learn, grow, and lead.
 Responsibilities:
* You will design and develop secure, performant, and user intuitive solutions for security infrastructure at LinkedIn’s massive scale that operate 24x7\.
* You will drive rapid product innovation and delivery while maintaining engineering excellence
* You will embrace and champion engineering best practices
* You will produce high quality software that is unit tested, code reviewed, and checked in regularly for continuous integration.
* You will drive continuous self\-development through curiosity, learning, and a desire to excel
* You will participate in design and code reviews to maintain our high development standards.
* You will partner with peers, leads and internal customers to define scope, prioritize and build cross organizational impactful features at a high velocity.
* You will mentor other engineers and will help build a fast\-growing team.
* You will work closely with the open\-source community to participate and influence cutting edge open\-source projects (e.g., SPIRE, HSM).
**Qualifications**
 Basic Qualifications:
* BA/BS Degree in Computer Science or related technical discipline, or related practical experience.
* 3\+ years of industry experience in software design, development, and algorithm related solutions.
* 3\+ years' experience programming in object\-oriented languages such as Java, C\+\+, Python, Go, Rust, C\# and/or other relevant coding languages
* Hands on experience developing distributed systems, large\-scale systems, databases and/or Backend APIs
* Experience in infrastructure, CI/CD pipeline
 Preferred Qualifications:
* BS and 5\+ years of relevant work experience, MS and 4\+ years of relevant work experience, or PhD and 2\+ years of relevant work experience
* Experience in architecting, building, and running large\-scale distributed systems
* Experience in infrastructure, CI/CD pipeline and Kubernetes
* Prior experience with Security and/or Cryptography strongly preferred, such as secure key management, PKI/CA lifecycle management, TLS/mutual TLS.
* Experience with industry, opensource, and/or academic research in technologies such as Kubernetes, SPIFFE, SPIRE, GRPC, cert\-manager.
* Experience with open\-source project management and governance
* Knowledge of, or strong interest in learning, Linux runtime security primitives such as secure/measured boot, SELinux, AppArmor, seccomp, and related kernel hardening mechanisms
* Knowledge of, or strong interest in learning, hardware security elements such as Hardware Security Modules (HSMs), Trusted Platform Modules (TPMs), and secure enclaves
 Suggested Skills:
* Distributed systems
* Backend Systems Infrastructure
* Java/Golang/Rust/Python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7">
      <c r="A167" t="inlineStr">
        <is>
          <t>li-4361311752</t>
        </is>
      </c>
      <c r="B167" t="inlineStr">
        <is>
          <t>Sr. Staff Software Engineer, Compute Infrastructure</t>
        </is>
      </c>
      <c r="C167" t="inlineStr">
        <is>
          <t>LinkedIn</t>
        </is>
      </c>
      <c r="D167" t="inlineStr">
        <is>
          <t>linkedin</t>
        </is>
      </c>
      <c r="E167">
        <f>HYPERLINK("https://www.linkedin.com/jobs/view/4361311752", "https://www.linkedin.com/jobs/view/4361311752")</f>
        <v/>
      </c>
      <c r="F167" t="inlineStr"/>
      <c r="G167" t="inlineStr">
        <is>
          <t>Mountain View, CA</t>
        </is>
      </c>
      <c r="H167" t="inlineStr"/>
      <c r="I16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a Sr. Staff Software Engineer of the Compute Infrastructure team at LinkedIn, you will play a crucial role in our ongoing efforts to re\-architect our compute infrastructure stack. This is a high\-profile, high\-impact project that will touch every aspect of our engineering organization. We are looking for experienced professionals who have a proven track record of designing large\-scale compute infrastructure and driving consensus.
 In this role, you will design and implement solutions that enable LinkedIn to scale its compute infrastructure to meet the demands of a rapidly growing user base. This will involve working closely with a team of experienced engineers, including distinguished engineers and technical fellows, to develop and operate solutions that are robust, scalable, and efficient. You will also need to work collaboratively with cross\-functional teams and be comfortable operating in a fast\-paced, dynamic environment.
 If you are passionate about building the underlying technology that powers one of the world's most\-used internet applications, and have the skills and experience to help us take our compute infrastructure to the next level, we want to hear from you. Apply now to join our team and help shape the future of LinkedIn.
**Responsibilities**
* You will directly contribute to LinkedIn’s Compute infrastructure strategy.
* You will build and operate a platform that allocates hardware resources with necessary physical/logical distribution for fault tolerance and easy maintenance.
* You will build and operate world class high performance scheduling/deployment solutions including some of the world's largest Kubernetes clusters to place stateless/stateful services, ML workloads and short running jobs efficiently.
* You will help up\-level and coach a large team of talented developers.
**Qualifications**
 Qualifications
**Basic Qualifications**
* 5\+ years of industry experience in software design, development, and algorithm related solutions
* 5\+ years of experience programming in object\-oriented languages such as Java, Go, C/C\+\+, Rust, Rust, Python
* Hands\-on experience developing large\-scale distributed systems
* 2\+ years of experience as an architect, or technical leadership position
* BS/BA in Computer Science or related technical field or equivalent technical experience
**Preferred Qualifications**
* 10\+ years of experience in software design, development, and algorithm related solutions with at least 5 years of experience in a technical leadership position
* 10\+ years of programming experience in an object\-oriented programming language such as Go, Java, C/C\+\+, Rust
* 5\+ years of experience building large\-scale compute infrastructure, and distributed systems
* Demonstrated understanding of operating system fundamentals, container technologies, and systems knowledge.
* Experienced in leading technical teams and mentoring other engineers
* Experience building and operating cluster management solutions such as Kubernetes.
* Experience with IaaS systems and capacity management.
* Experience with networking and security principles.
* Deep understanding of Kubernetes architecture and key components (API server, scheduler, kubelet, etc.), with a proven track record of deploying, managing, and troubleshooting Kubernetes clusters.
* Strong proficiency in Golang, as it is the primary language.
* Solid understanding of networking concepts relevant to Kubernetes, including CNI plugins and pod networking.
* Knowledge of Kubernetes security best practices such as RBAC, network policies, and Pod security policies.
* Proficiency with monitoring and logging tools such as Prometheus, Grafana, and Fluentd.
 Suggested Skills
* Distributed Systems
* Kubernetes
* Technical Leadership
 LinkedIn is committed to fair and equitable compensation practices. The pay range for this role is $198,000 to $326,000\.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68">
      <c r="A168" t="inlineStr">
        <is>
          <t>li-4102636765</t>
        </is>
      </c>
      <c r="B168" t="inlineStr">
        <is>
          <t>Senior Software Engineer (Remote)</t>
        </is>
      </c>
      <c r="C168" t="inlineStr">
        <is>
          <t>Covey</t>
        </is>
      </c>
      <c r="D168" t="inlineStr">
        <is>
          <t>linkedin</t>
        </is>
      </c>
      <c r="E168">
        <f>HYPERLINK("https://www.linkedin.com/jobs/view/4102636765", "https://www.linkedin.com/jobs/view/4102636765")</f>
        <v/>
      </c>
      <c r="F168" t="inlineStr"/>
      <c r="G168" t="inlineStr"/>
      <c r="H168" t="inlineStr"/>
      <c r="I168" t="inlineStr">
        <is>
          <t>**Who We Are**
 Covey is the world’s first generative AI recruiting co\-pilot deployed at scale in the enterprise. Covey’s smart AI co\-pilot, Scout, allows users to train custom bots that evaluate millions of candidate profiles with the same nuance as a human. Thanks to Scout, our users save time and focus on high\-quality interactions with qualified candidates
**About The Role**
 Covey is at an inflection point of growth. We’ve grown our revenue in the past year on the strength of AI adoption in the enterprise. This opportunity is perfect for someone who wants to join a growing company with strong traction, as well as iterate and build on best practices while executing them.
**What You'll Do**
 The technical challenges we are facing are complex. We’re looking for an experienced technical expert with a hands\-on, problem\-solving mindset—someone unafraid to tackle ambiguous challenges and who has a track record of building and scaling complex platforms. Your responsibilities will include:
* Identifying and advocating for projects of high complexity in order to meet business goals
* Taking ambiguous technical problem statements and turning them into an actionable plan, and then executing on it with the team
* Modeling and executing against requirements involving complex and interdependent systems
* Excellent written and verbal communication skills. You will be expected to dive in deep and emerge with a plan for execution
* Owning the overall quality, engineering excellence and technical competence of your work
**Qualifications**
* 10\+ years of professional experience as a software engineer
* Experience working in a fast\-paced, dynamic environment
* Must have experience in building and designing projects with good abstractions and architecture
* You strike a balance between delivering against business requirements and engineering excellence
* Has built software with Typescript
* Strong CS knowledge
* You care about product ownership and solving problems for our customers.
* You’re passionate about being in a product\-focused environment where everyone cares deeply about customer impact
**Bonus Points For**
* Have built and productionized products that use LLMs extensively involving any of prompt tuning, RAG, CoT or other LLM prompting strategies or fine\-tuning LLM models
* Extensive experience at early days at startup solving ambiguous problems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 2023\.
 Please see the independent bias audit report covering our use of Covey here.</t>
        </is>
      </c>
    </row>
    <row r="169">
      <c r="A169" t="inlineStr">
        <is>
          <t>li-4216451968</t>
        </is>
      </c>
      <c r="B169" t="inlineStr">
        <is>
          <t>Software Engineer, Batch Data</t>
        </is>
      </c>
      <c r="C169" t="inlineStr">
        <is>
          <t>Tecton</t>
        </is>
      </c>
      <c r="D169" t="inlineStr">
        <is>
          <t>linkedin</t>
        </is>
      </c>
      <c r="E169">
        <f>HYPERLINK("https://www.linkedin.com/jobs/view/4216451968", "https://www.linkedin.com/jobs/view/4216451968")</f>
        <v/>
      </c>
      <c r="F169" t="inlineStr"/>
      <c r="G169" t="inlineStr"/>
      <c r="H169" t="inlineStr"/>
      <c r="I169"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senior engineer on the Batch Data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**Role**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significant technical domains starting from the problem definition and technical requirements to implementation and maintenance
* Lead projects of strategic importance to Tecton spanning cross\-functional teams, including product management and other engineering teams
* Drive efforts to improve engineering practices, tooling, and processes along with mentorship for junior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*The estimated US base salary range for this position is $* 
 176,000
 *\- $* 
 210,000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170">
      <c r="A170" t="inlineStr">
        <is>
          <t>li-4361284802</t>
        </is>
      </c>
      <c r="B170" t="inlineStr">
        <is>
          <t>Software Engineer - Full Stack</t>
        </is>
      </c>
      <c r="C170" t="inlineStr">
        <is>
          <t>TCI (Teachers' Curriculum Institute)</t>
        </is>
      </c>
      <c r="D170" t="inlineStr">
        <is>
          <t>linkedin</t>
        </is>
      </c>
      <c r="E170">
        <f>HYPERLINK("https://www.linkedin.com/jobs/view/4361284802", "https://www.linkedin.com/jobs/view/4361284802")</f>
        <v/>
      </c>
      <c r="F170">
        <f>HYPERLINK("https://dc1prodrecruiting.paylocity.com/Recruiting/Jobs/Details/3732565/TEACHERS-CURRICULUM-INSTITUTE-LLC?source=LinkedIn_Feed&amp;urlHash=yQxs", "https://dc1prodrecruiting.paylocity.com/Recruiting/Jobs/Details/3732565/TEACHERS-CURRICULUM-INSTITUTE-LLC?source=LinkedIn_Feed&amp;urlHash=yQxs")</f>
        <v/>
      </c>
      <c r="G170" t="inlineStr">
        <is>
          <t>Palo Alto, CA</t>
        </is>
      </c>
      <c r="H170" t="inlineStr"/>
      <c r="I170" t="inlineStr">
        <is>
          <t>**Description**
 Teachers’ Curriculum Institute (TCI) is a leading provider of K–12 curriculum solutions that combine engaging content, hands\-on learning, and powerful technology to bring education to life.
 TCI delivers innovative content to more than 50,000 K\-12 schools across the nation via our award\-winning products. As an established EdTech company, we make a difference in the lives of thousands of teachers and students every day through our programs, including the History Alive!, Social Studies Alive!, and Science Alive! series.
 We are seeking a mid\-level Full Stack Software Engineer to enhance TCI’s K–12 Teacher and Student platform. You’ll build end\-to\-end features across our Rails backend and React frontend, write well\-tested code, and collaborate with product and design to deliver iteratively. You will monitor and improve performance using APM/observability tools, contribute to AWS/Docker/GitLab CI infrastructure and pipelines, and take part in code reviews, pairing, and agile ceremonies to continuously improve quality and developer experience.
**Key Responsibilities**
* Build and maintain features across the stack: React/JavaScript on the frontend, Ruby on Rails on the backend.
* Write high\-quality, well\-tested code (RSpec, Jest), and participate in code reviews.
* Collaborate with product managers and designers to scope user stories and deliver value iteratively.
* Diagnose and resolve performance issues using APM and cloud metrics (e.g., Scout/Datadog/CloudWatch).
* Contribute to infrastructure and CI/CD improvements (AWS, Docker, GitLab CI).
* Participate in agile ceremonies and continuously improve our processes.
**Requirements**
* 3–5\+ years of professional software engineering experience.
* Experience with a modern MVC framework (Rails, Django, or similar) and a modern frontend framework (React, Vue, or similar).
* Strong SQL and relational database skills (PostgreSQL preferred).
* Familiarity with cloud infrastructure (AWS preferred) and containerization (Docker).
* Commitment to quality and maintainability with automated tests.
* Excellent written and verbal communication skills and experience collaborating in distributed teams.
**Nice To Have**
* Ruby on Rails, React, GitLab CI.
* Experience interpreting APM/cloud metrics to prevent and fix bottlenecks.
* EdTech experience or interest.
**Salary Range:** 
 $96,000 \- $145,000 annually
 This is a full\-time remote position. Base pay offered may vary depending on job\-related experience, skills, and location. TCI offers medical, dental, vision, 401k benefits, PTO and bonus eligibility.
**For this position, TCI is hiring in the following states only:** 
 CA, DC, FL, GA, HI, IL, KY, MI, MN, MT, NJ, OH, OR, PA, SC, TX, VA, WA
 Equal Opportunity Employer including Disability/Vets
 Be Aware of Recruitment Fraud. More information is available at https://www.teachtci.com/careers/recruitment\-fraud\-disclaimer/</t>
        </is>
      </c>
    </row>
    <row r="171">
      <c r="A171" t="inlineStr">
        <is>
          <t>li-4354775504</t>
        </is>
      </c>
      <c r="B171" t="inlineStr">
        <is>
          <t>Software Engineer, Firebase App Backend Services</t>
        </is>
      </c>
      <c r="C171" t="inlineStr">
        <is>
          <t>Google</t>
        </is>
      </c>
      <c r="D171" t="inlineStr">
        <is>
          <t>linkedin</t>
        </is>
      </c>
      <c r="E171">
        <f>HYPERLINK("https://www.linkedin.com/jobs/view/4354775504", "https://www.linkedin.com/jobs/view/4354775504")</f>
        <v/>
      </c>
      <c r="F171" t="inlineStr"/>
      <c r="G171" t="inlineStr">
        <is>
          <t>San Francisco, CA</t>
        </is>
      </c>
      <c r="H171" t="inlineStr"/>
      <c r="I171"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or equivalent practical experience.
* 2 years of experience with software development in one or more programming languages, or 1 year of experience with an advanced degree.
* 2 years of experience with coding in Golang.
* 2 years of experience testing, launching software products, and building developer tools that improve developer velocity, code quality and code health (e.g., compilers, automated releases, code design and testing, test automation frameworks).
**Preferred qualifications:**
* Master's degree or PhD in Computer Science or related technical fields.
* 2 years of experience with data structures and algorithms.
* Experience with Google Cloud services.
* Experience as an active participant in technical/developer communities, open source projects, or similar developer groups.
* Familiarity with Nextjs and Angularjs.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Firebase is Google’s app development platform. It helps mobile and web developers build and grow apps that users love. Firebase’s mission is to help third\-party app developers succeed. We help the top apps (and small ones too) in the app stores build and grow their businesses. Today, Firebase products are used by millions of developers, from startups to enterprises worldwide.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2">
      <c r="A172" t="inlineStr">
        <is>
          <t>li-4348173130</t>
        </is>
      </c>
      <c r="B172" t="inlineStr">
        <is>
          <t>Software Engineer I (Fullstack, Hardware Accelerate)</t>
        </is>
      </c>
      <c r="C172" t="inlineStr">
        <is>
          <t>WHOOP</t>
        </is>
      </c>
      <c r="D172" t="inlineStr">
        <is>
          <t>linkedin</t>
        </is>
      </c>
      <c r="E172">
        <f>HYPERLINK("https://www.linkedin.com/jobs/view/4348173130", "https://www.linkedin.com/jobs/view/4348173130")</f>
        <v/>
      </c>
      <c r="F172">
        <f>HYPERLINK("https://jobs.lever.co/whoop/e52bfb59-5a57-4e23-9991-88ef1b3dd745/apply?lever-source=LinkedInJobs&amp;urlHash=6IY7", "https://jobs.lever.co/whoop/e52bfb59-5a57-4e23-9991-88ef1b3dd745/apply?lever-source=LinkedInJobs&amp;urlHash=6IY7")</f>
        <v/>
      </c>
      <c r="G172" t="inlineStr">
        <is>
          <t>Boston, MA</t>
        </is>
      </c>
      <c r="H172" t="inlineStr"/>
      <c r="I172" t="inlineStr">
        <is>
          <t>At WHOOP, we're on a mission to unlock human performance and healthspan. WHOOP empowers users to perform at a higher level through a deeper understanding of their bodies and daily lives. Our wearable device tracks key physiological metrics such as heart rate variability, resting heart rate, and sleep quality to provide personalized insights into users' fitness, health, and recovery.
 In this unique role, you'll work closely with talented Embedded, Signal Processing, Electrical, and Mechanical Engineers to assist in the production of world class technology at WHOOP in a dynamic, fun, multi\-disciplinary team.
 The Hardware Accelerate team within the Embedded Engineering organization develops technology that enables rapid innovation across WHOOP’s hardware teams. By creating cutting\-edge tools and systems, we streamline workflows and provide real\-time insights to engineers, ensuring efficient and high\-quality hardware development. As a Full stack Software Engineer, you will design and implement tools that integrate seamlessly with hardware processes, delivering impactful solutions to WHOOP’s engineering teams. This role is ideal for an engineer excited about building services that directly support testing, research, experimentation, and algorithm development across the organization.
**Responsibilities**
* Design and build solutions to support hardware development, combining user\-friendly front\-end interfaces with robust backend systems.
* Create tools that integrate with hardware equipment like environmental chambers, oscilloscopes, and other engineering devices.
* Develop APIs and services to enhance connectivity across hardware workflows.
* Automate and maintain high\-throughput data pipelines to provide real\-time insights to engineering teams.
* Collaborate with cross\-functional hardware teams to identify and address pain points in development workflows.
* Ensure systems are reliable, scalable, and aligned with WHOOP’s mission to deliver innovative hardware solutions.
**Qualifications**
* Proficiency in Python for backend development, with experience designing APIs and building distributed systems.
* Experience building front\-end applications using frameworks like React
* Familiarity with API and RESTful services.
* Experience with relational databases either Postgres, MySql, SQL. Optionally NoSQL databases.
* Comfortable using Git and collaborating in a version\-controlled environment.
* Experience with data pipelines, database systems, and interest in or exposure to tool integration for hardware workflows.
* Desire to learn and work outside of your discipline focus.
* Excellent teamwork/interpersonal skills and the ability to communicate effectively.
* Strong tendency to take initiative, to work autonomously and with minimal direction.
* A collaborative mindset and ability to work in a fast\-paced, feedback\-driven environment.
* Interest in or exposure to hardware development processes, with a willingness to learn.
* Strong commitment to embracing and leveraging AI tools in day\-to\-day tasks, ensuring AI\-assisted work aligns with the same high\-quality standards as personal contributions.
*This posting is for an immediate new hire to our team. For those graduating in the spring of 2026 seeking entry level roles, we kindly ask that you check out this* 
*New Grad Opportunities* 
*job posting instead to be considered for roles opening at that time. Thank you.*
*Learn more about our Software Org and how to be successful in your engineering career at WHOOP via our* 
*Career Framework .*
***This role is based in the WHOOP office located in Boston, MA. The successful candidate must be prepared to relocate if necessary to work out of the Boston, MA office.***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
*The WHOOP compensation philosophy is designed to attract, motivate, and retain exceptional talent by offering competitive base salaries, meaningful equity, and consistent pay practices that reflect our mission and core values.*
*At WHOOP, we view total compensation as the combination of base salary, equity, and benefits, with equity serving as a key differentiator that aligns our employees with the long\-term success of the company and allows every member of our corporate team to own part of WHOOP and share in the company’s long\-term growth and success.*
*The U.S. base salary range for this full\-time position is $105,000 \- 135,000\. Salary ranges are determined by role, level, and location. Within each range, individual pay is based on factors such as job\-related skills, experience, performance, and relevant education or training.*
*In addition to the base salary, the successful candidate will also receive benefits and a generous equity package.*
*These ranges may be modified in the future to reflect evolving market conditions and organizational needs. While most offers will typically fall toward the starting point of the range, total compensation will depend on the candidate’s specific qualifications, expertise, and alignment with the role’s requirements.*</t>
        </is>
      </c>
    </row>
    <row r="173">
      <c r="A173" t="inlineStr">
        <is>
          <t>li-4328814383</t>
        </is>
      </c>
      <c r="B173" t="inlineStr">
        <is>
          <t>Software Engineer</t>
        </is>
      </c>
      <c r="C173" t="inlineStr">
        <is>
          <t>Tenable</t>
        </is>
      </c>
      <c r="D173" t="inlineStr">
        <is>
          <t>linkedin</t>
        </is>
      </c>
      <c r="E173">
        <f>HYPERLINK("https://www.linkedin.com/jobs/view/4328814383", "https://www.linkedin.com/jobs/view/4328814383")</f>
        <v/>
      </c>
      <c r="F173" t="inlineStr"/>
      <c r="G173" t="inlineStr">
        <is>
          <t>Columbia, MD</t>
        </is>
      </c>
      <c r="H173" t="inlineStr"/>
      <c r="I173"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Tenable is seeking a
 **Full Stack Software Engineer** 
 to join our core product engineering teams. You will help design, develop, and maintain
 **cloud\-native, large\-scale cybersecurity products** 
 that protect organizations worldwide. Our platforms operate in complex, ever\-changing environments and demand innovation in
 **scalability, reliability, and performance** 
 .
 As a Software Engineer, you will work across the stack , building microservices, APIs, and user interfaces , leveraging
 **modern frameworks and cloud technologies.** 
 Your contributions will directly enable customers to secure their applications, infrastructure, and digital assets at scale.
**Your Opportunity**
* Implement new features, fix bugs, and enhance the scalability and reliability of our systems.
* Develop expertise in distributed systems, cloud platforms, and modern UI frameworks while working on real\-world security products.
* Work closely with Product Managers, UX designers, and fellow engineers to iteratively improve our products.
* Contribute ideas to improve Tenable’s architecture, development processes, and technology stack.
* Write clean, maintainable code, participate in code reviews, and help drive engineering best practices.
**What You’ll Need**
* 2\+ years of experience as a Full Stack Software Engineer in SaaS or cloud\-based applications.
* Hands\-on development experience with Java or Kotlin.
* Proficiency with at least one modern UI framework (React, Angular, or Vue.js).
* Solid understanding of RESTful API development and microservices architectures.
* Familiarity with AWS or other cloud platforms.
* Experience with databases (SQL or NoSQL such as PostgreSQL, DynamoDB, Elasticsearch).
* Exposure to CI/CD pipelines, containerization (Docker/Kubernetes), and Git\-based workflows.
* Strong problem\-solving skills with a focus on building reliable, performant, and secure applications.
* Good communication skills and a collaborative mindset.
* Passion for continuous learning and keeping up with emerging technologies.
**And Ideally**
* Experience with event\-driven systems (Kafka, SQS, SNS, etc.).
* Familiarity with infrastructure\-as\-code and observability tools (Terraform, Prometheus, Datadog, ELK, Splunk, PagerDuty).
* Prior experience in cybersecurity, DevSecOps, or related domains.
* Exposure to multi\-tenant SaaS or hybrid cloud architectures.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$114,500—$152,500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74">
      <c r="A174" t="inlineStr">
        <is>
          <t>li-4361311739</t>
        </is>
      </c>
      <c r="B174" t="inlineStr">
        <is>
          <t>Principal Staff Software Engineer, Capacity Infrastructure</t>
        </is>
      </c>
      <c r="C174" t="inlineStr">
        <is>
          <t>LinkedIn</t>
        </is>
      </c>
      <c r="D174" t="inlineStr">
        <is>
          <t>linkedin</t>
        </is>
      </c>
      <c r="E174">
        <f>HYPERLINK("https://www.linkedin.com/jobs/view/4361311739", "https://www.linkedin.com/jobs/view/4361311739")</f>
        <v/>
      </c>
      <c r="F174" t="inlineStr"/>
      <c r="G174" t="inlineStr">
        <is>
          <t>Mountain View, CA</t>
        </is>
      </c>
      <c r="H174" t="inlineStr"/>
      <c r="I17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The Capacity Efficiency engineering organization is responsible for matching the supply of hardware and software resources at LinkedIn to current and anticipated demand for those resources. We deliver impact by ensuring that we have the capacity to meet the needs of traffic from our billion\+ members. We do this while also optimizing the cost of these resources.
 We are seeking a Principal Staff Software Engineer to join LinkedIn's Capacity Infrastructure team to play a critical role in designing and implementing the foundational datasets and tools that power the visibility, cost attribution and planning of LinkedIn Infrastructure.
 As a Principal Engineer, they will mentor team members, uphold a high bar for technical excellence, and elevate the team's overall capabilities. They will also embody and promote LinkedIn's Core Values \- transformation, collaboration, and results \- nurturing a culture that reflects these principles.
 In this role, you'll collaborate closely with cross\-functional partners, finance, bizops, product and capacity planning and customer stakeholders to strategize, design, and lead forward\-thinking solutions. A hands\-on approach to complex problem\-solving, coupled with strong leadership and a commitment to delivering high\-quality outcomes, is critical to your success.
**Responsibilities**
* We take an engineering\-first approach to elevate infrastructure. As a Principal Engineer, you'll be driving the strategy to reduce the total cost of ownership to run and operate our infrastructure.
* Build platforms to augment end\-to\-end reliability and scalability of LinkedIn's platforms, services, and products and bring actionable operational insights to enable continuous improvement.
* Scale: our data footprint continues to grow exponentially beyond 100s of thousands of servers, multiple exabytes of storage, 10s of trillions of events/messages \- arrive at a cohesive strategy and best practices to continue to scale our footprint 10x.
* Cloud\-based ecosystems are rapidly evolving. In this role, you will be expected to stay up to date with the latest cloud trends, including Kubernetes, serverless technologies, containers, and best practices for managing and optimizing large\-scale infrastructure performance and help define our strategy and roadmap to set us up to be competitive and get ahead of the trends.
* Provide architectural guidance and mentorship to elevate the engineering organization, actively enhancing craftsmanship at LinkedIn by establishing best practices and strategic approaches.
* Influence and lead architecture and design decisions with a strong focus on ensuring Effective Capacity Management and on Efficiencies
* Drive consensus across cross\-functional teams within a matrixed organization, fostering alignment and building a cohesive and collaborative team culture.
**Qualifications**
 Basic Qualifications
* BA/BS Degree or higher in Computer Science or related technical discipline, or related practical experience
* 10\+ years of experience in software design/development
* 7\+ years in a technical leadership role overseeing large, cross\-functional teams..
* 7\+ years' experience in/with programming skills in languages such as Python, Go, Java, Rust, Scala, or C\+\+
* Hands\-on experience developing distributed systems or other large\-scale systems
**Preferred Qualifications**
* MS Degree and/or PhD in Computer Science or related technical discipline, or equivalent practical experience
* 10\+ years programming experience in an object\-oriented programming language such as Java, C/C\+\+, Python
* Infrastructure capacity planning and forecasting experience in the tech industry
* Knowledge of AI/ML and data analytics
* Experience with large\-scale distributed systems and client\-server architectures
* Experience with Data Infrastructure tech stacks: Kafka/PubSub systems, Flink, Airflow, ETL framework and distributed storage (HDFS, S3/EBS, Object Storage, Couchbase, or similar)
* Experience architecting and launching complex AI and engineering projects
* Experience leading and influencing within large, matrixed organization
* Experience leading high\-impact, cross\-organization initiatives.
 Suggested Skills
* Technical Leadership
* Technical strategy
* Physical Infrastructure
* Capacity Management/Planning
* Distributed Systems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$209,000 \- $343,000\.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75">
      <c r="A175" t="inlineStr">
        <is>
          <t>li-4352043075</t>
        </is>
      </c>
      <c r="B175" t="inlineStr">
        <is>
          <t>Associate Software Engineer</t>
        </is>
      </c>
      <c r="C175" t="inlineStr">
        <is>
          <t>BeaconFire Inc.</t>
        </is>
      </c>
      <c r="D175" t="inlineStr">
        <is>
          <t>linkedin</t>
        </is>
      </c>
      <c r="E175">
        <f>HYPERLINK("https://www.linkedin.com/jobs/view/4352043075", "https://www.linkedin.com/jobs/view/4352043075")</f>
        <v/>
      </c>
      <c r="F175" t="inlineStr"/>
      <c r="G175" t="inlineStr">
        <is>
          <t>Massachusetts, United States</t>
        </is>
      </c>
      <c r="H175" t="inlineStr"/>
      <c r="I175"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76">
      <c r="A176" t="inlineStr">
        <is>
          <t>li-4361590292</t>
        </is>
      </c>
      <c r="B176" t="inlineStr">
        <is>
          <t>Software Engineer: Data and Integrations (Remote)</t>
        </is>
      </c>
      <c r="C176" t="inlineStr">
        <is>
          <t>M3 USA</t>
        </is>
      </c>
      <c r="D176" t="inlineStr">
        <is>
          <t>linkedin</t>
        </is>
      </c>
      <c r="E176">
        <f>HYPERLINK("https://www.linkedin.com/jobs/view/4361590292", "https://www.linkedin.com/jobs/view/4361590292")</f>
        <v/>
      </c>
      <c r="F176" t="inlineStr"/>
      <c r="G176" t="inlineStr"/>
      <c r="H176" t="inlineStr"/>
      <c r="I176" t="inlineStr">
        <is>
          <t>**Company Description**
 M3 USA is at the forefront of healthcare innovation, offering digital solutions across healthcare, life sciences, pharmaceuticals, and more. Since our inception in 2000, we’ve seen remarkable growth, fueled by our mission to utilize the internet for a healthier world and more efficient healthcare systems.
 Our success is anchored in our trusted digital platforms that engage physician communities globally, facilitating impactful medical education, precise job placement, and insightful market research. M3 USA prides itself on a dynamic and innovative work environment where every team member contributes to global health advancements.
 Joining M3 USA means being part of a dedicated team striving to make a significant difference in healthcare. We provide a unique opportunity for you to be at the cutting edge of healthcare innovation, shaping the future in a meaningful career. Embrace the chance to drive change with M3 USA.
 Due to our continued growth, we are hiring for a
 **Software Engineer: Data and Integrations** 
 at
 **M3 USA.**
**Job Description**
 The
 **Data \&amp; Integrations Engineer** 
 is a Central Services role currently focused on M3 USA's clinical trials business, responsible for data pipelines, system integrations, and custom software solutions. This position requires a fast\-learning, adaptable generalist who can own the full technical stack, from infrastructure\-as\-code to Lambda functions to reporting, with limited technical guidance.
 The work spans ELT pipelines, Tableau reporting, AWS Lambda functions, infrastructure management with Pulumi, third\-party integrations, and AI\-powered process automation. The ideal candidate excels at translating business needs into pragmatic technical solutions and is comfortable working around imperfect vendor systems.
 As a Central Services position, responsibilities may evolve to support other M3 USA businesses over time, so it’s a great opportunity for a versatile engineer who values variety and growth.
**Essential Duties And Responsibilities**
**Development \&amp; Integration:**
* Develop AWS Lambda functions, APIs, and web applications to support business operations.
* Integrate third\-party SaaS platforms into business workflows, developing creative solutions to work around vendor limitations.
* Manage cloud infrastructure using Pulumi.
**Data Pipelines \&amp; Reporting**
* Build and maintain ELT pipelines to integrate and transform data across platforms.
* Support Tableau dashboards and ensure data quality for business\-critical reporting.
**AI \&amp; Automation**
* Design and implement AI\-powered automation to improve operational efficiency.
* Evaluate and integrate LLM APIs into business processes.
**Collaboration**
* Work with product managers and business stakeholders to understand requirements and deliver solutions.
* Participate in code review and maintain readable, well\-documented code.
**Qualifications**
**Required** 
 : SQL, Python, AWS (Lambda, S3\), infrastructure\-as\-code (Pulumi/Terraform), REST APIs, Tableau, generative AI coding tools (e.g., Claude Code, GitHub Copilot).
**Preferred** 
 : Snowflake, dbt, Fivetran, TypeScript, Google Analytics/GTM, LLM APIs (Claude, OpenAI), healthcare/clinical trials experience.
**Work Style \&amp; Experience**
* Startup or small\-team experience \- comfortable as the sole engineer with limited technical guidance.
* Pragmatic problem\-solver \- works around imperfect systems rather than waiting for ideal conditions.
* Strong written communication \- documents solutions clearly for non\-technical audiences.
* Breadth over depth \- comfortable across many technologies rather than specializing in one.
* Adaptable \- energized by evolving responsibilities and new challenges.
**Benefits**
**Additional Information**
 A career opportunity with M3 USA offers competitive wages, and benefits such as:
* Health and Dental
* Life, Accident and Disability Insurance
* Prescription Plan
* Flexible Spending Account
* 401k Plan and Match
* Paid Holidays and Vacation
* Sick Days and Personal Day
* M3 reserves the right to change this job description to meet the business needs of the organization
***M3 USA is an equal opportunity employer, committed to the principles of inclusion and diversity for all employees and to providing employees with a work environment free of discrimination and harassment.***
***All employment decisions at M3 USA are based on business needs, job requirements and individual qualifications, without regard to race, color, religion or belief, national, social or ethnic origin, sex (including pregnancy), age,***
*physical or mental disability,
 **medical history or genetic information, sexual orientation, gender identity and/or expression, marital status, past or present military service, family or parental status, or any other status protected by the federal, state or local laws or regulations in the locations where we operate.***</t>
        </is>
      </c>
    </row>
    <row r="177">
      <c r="A177" t="inlineStr">
        <is>
          <t>li-4361330416</t>
        </is>
      </c>
      <c r="B177" t="inlineStr">
        <is>
          <t>Full Stack Engineer</t>
        </is>
      </c>
      <c r="C177" t="inlineStr">
        <is>
          <t>Locus Robotics</t>
        </is>
      </c>
      <c r="D177" t="inlineStr">
        <is>
          <t>linkedin</t>
        </is>
      </c>
      <c r="E177">
        <f>HYPERLINK("https://www.linkedin.com/jobs/view/4361330416", "https://www.linkedin.com/jobs/view/4361330416")</f>
        <v/>
      </c>
      <c r="F177" t="inlineStr"/>
      <c r="G177" t="inlineStr"/>
      <c r="H177" t="inlineStr"/>
      <c r="I177" t="inlineStr">
        <is>
          <t>**About The Company**
 Locus Robotics is a pioneering leader in the rapidly expanding eCommerce order fulfillment optimization industry. Our innovative solutions are designed to significantly enhance warehouse operational efficiency by enabling collaborative work between human pickers and autonomous robots. Our technology seamlessly integrates with existing Warehouse Management Systems (WMS) and optimizes current infrastructure, resulting in substantial productivity gains—often achieving two to three times improvements over traditional cart\-picking methods. Serving major global brands, Locus Robotics is committed to deploying cutting\-edge robotics and software solutions that address the complex logistics challenges faced by modern warehouses. Our dynamic team fosters a culture of innovation, excellence, and continuous improvement, making us a trusted partner in the logistics and supply chain sectors.
**About The Role**
 We are seeking a highly experienced and motivated Principal Full Stack Engineer to join our team remotely within the United States. In this pivotal role, you will lead the design, development, and enhancement of our warehouse execution software, focusing on robotics integration and system scalability. You will have the opportunity to influence the technical direction of our products, working on both user interface and backend systems. Your expertise will help improve core functionalities, introduce new features, and ensure the robustness of our cloud\-based SaaS solutions. This role requires a strategic thinker with a strong background in modern software development practices, architecture, and leadership, capable of mentoring junior engineers and driving technical excellence across teams.
**Qualifications**
* Bachelor’s Degree in Computer Science, Software Engineering, or a related field
* 10\+ years of professional experience in software development
* Proficiency in SQL, C\#, and .NET framework with strong object\-oriented design skills
* Experience with API\-first development, particularly RESTful APIs
* Hands\-on UI development experience using frameworks like React.js or Angular.js
* Expertise in designing multi\-threaded, scalable applications supporting production environments
* Demonstrated ability to develop complex applications utilizing microservices architecture and message\-oriented systems
* Solid understanding of relational SQL and NoSQL databases, with Microsoft SQL experience preferred
* Strong analytical, problem\-solving, and attention to detail skills
* Deep knowledge of agile methodologies and Scrum practices
* Experience with Test Driven Development and automated testing frameworks
* Knowledge of warehouse automation systems and warehouse execution software is a plus
* Familiarity with additional programming languages such as Java, Go, Python, or Rust is advantageous
* Excellent written and verbal communication skills in English
**Responsibilities**
* Lead software architecture discussions, ensuring scalable and maintainable solutions through design reviews
* Provide technical leadership and mentorship to a team of talented engineers
* Develop high\-quality, reliable code for cloud\-based and self\-hosted SaaS products, including automated unit tests
* Contribute to system integration, performance testing, and the development of testing tools
* Own complex technical areas within the product, taking responsibility for troubleshooting and resolving issues promptly
* Write and maintain test cases within automated testing frameworks to ensure software quality
* Participate actively within Scrum teams to plan, execute, and deliver software increments in sprints
* Collaborate closely with UX designers, product managers, and fellow developers to deliver cohesive solutions
* Serve as a technical resource and mentor for junior team members, fostering knowledge sharing and best practices
* Contribute to the development of technical strategies and continuous improvement initiatives across teams
* Engage in other duties as required to support project and organizational goals
**Benefits**
* Competitive salary and comprehensive health benefits
* Flexible remote work arrangements or hybrid setup at our offices in Wilmington, MA, or Nashua, NH
* Opportunities for professional growth and career development
* Collaborative and innovative work environment
* Participation in cutting\-edge robotics and logistics projects
* Supportive company culture that values diversity, inclusion, and work\-life balance
 Equal Opportunity
 Locus Robotics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178">
      <c r="A178" t="inlineStr">
        <is>
          <t>li-4305308119</t>
        </is>
      </c>
      <c r="B178" t="inlineStr">
        <is>
          <t>Senior Software Engineer - Backend</t>
        </is>
      </c>
      <c r="C178" t="inlineStr">
        <is>
          <t>Dragos, Inc.</t>
        </is>
      </c>
      <c r="D178" t="inlineStr">
        <is>
          <t>linkedin</t>
        </is>
      </c>
      <c r="E178">
        <f>HYPERLINK("https://www.linkedin.com/jobs/view/4305308119", "https://www.linkedin.com/jobs/view/4305308119")</f>
        <v/>
      </c>
      <c r="F178" t="inlineStr"/>
      <c r="G178" t="inlineStr"/>
      <c r="H178" t="inlineStr"/>
      <c r="I178" t="inlineStr">
        <is>
          <t>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Senior Software Engineer to join our team in building the leading OT Security Platform. We work in a matrix style engineering organization which means in this role, you will be part of our Backend Community and the new Microsegmentation Product Team. To be successful at Dragos you will need to be passionate about your craft, work well across disciplines, and care deeply about the customers and problems we are solving. The Microsegmentation Product Team is building new capabilities into the market leading Dragos Platform, helping our customers configure their networks around specific applications, workloads, or even individual devices. At Dragos, we don’t hire software engineers whose only mission in life is to write code. We are looking for product engineers who yearn to contribute to more than just a code base and who are willing to stretch themselves to accomplish the mission. You are comfortable being uncomfortable. You don’t have an ego. You seek to continuously raise the bar, and you don’t allow artificial boundaries to impede you from solving difficult problems.
**Responsibilities**
* Design and implement robust, testable, high\-performance systems and tools in Rust.
* Optimize existing software architectures to enhance speed and efficiency.
* Actively participate in all phases of the development lifecycle, including debugging and optimization, ensuring and elevating software quality.
* Stay informed about the latest advancements in Rust programming, security, and software design principles, helping to foster an environment of continuous learning and improvement.
* Give and receive peer feedback on a normal cadence as part of our review cycle
**Qualifications**
* 5\+ years of experience developing backend systems in a fast paced, high performance team environment
* 3\+ years of experience in relational databases such as Postgres
* 3\+ years of experience with NoSQL databases such as Elasticsearch
* 3\+ years of experience working in a microservices architecture
* Solid understanding of Rust
* Familiarity with networking concepts like VLAN, SDN, and VXLAN
* Experience integrating with third party devices and data providers
* Experience incorporating AI tools, models, or services into development workflows
**Additional Qualifications That Will Help You Succeed**
* Strong understanding of networking security architecture and concepts like VLAN, SDN, and VXLAN
* Experience working with and integrating networking devices such as firewalls, switches, routers, and virtual appliances
* Experience building information security products
* Experience with micro\-segmentation network configurations
* Experience with cloud\-first development and deployment
* Experience with Kotlin, Go, and Python in production environments
**Compensation**
* Salary: $165,000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t>
        </is>
      </c>
    </row>
    <row r="179">
      <c r="A179" t="inlineStr">
        <is>
          <t>li-4352810773</t>
        </is>
      </c>
      <c r="B179" t="inlineStr">
        <is>
          <t>Full Stack Engineer</t>
        </is>
      </c>
      <c r="C179" t="inlineStr">
        <is>
          <t>BeaconFire Inc.</t>
        </is>
      </c>
      <c r="D179" t="inlineStr">
        <is>
          <t>linkedin</t>
        </is>
      </c>
      <c r="E179">
        <f>HYPERLINK("https://www.linkedin.com/jobs/view/4352810773", "https://www.linkedin.com/jobs/view/4352810773")</f>
        <v/>
      </c>
      <c r="F179" t="inlineStr"/>
      <c r="G179" t="inlineStr">
        <is>
          <t>Ohio, United States</t>
        </is>
      </c>
      <c r="H179" t="inlineStr"/>
      <c r="I179"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80">
      <c r="A180" t="inlineStr">
        <is>
          <t>li-4352930623</t>
        </is>
      </c>
      <c r="B180" t="inlineStr">
        <is>
          <t>Full Stack Engineer</t>
        </is>
      </c>
      <c r="C180" t="inlineStr">
        <is>
          <t>BeaconFire Inc.</t>
        </is>
      </c>
      <c r="D180" t="inlineStr">
        <is>
          <t>linkedin</t>
        </is>
      </c>
      <c r="E180">
        <f>HYPERLINK("https://www.linkedin.com/jobs/view/4352930623", "https://www.linkedin.com/jobs/view/4352930623")</f>
        <v/>
      </c>
      <c r="F180" t="inlineStr"/>
      <c r="G180" t="inlineStr">
        <is>
          <t>Illinois, United States</t>
        </is>
      </c>
      <c r="H180" t="inlineStr"/>
      <c r="I180"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81">
      <c r="A181" t="inlineStr">
        <is>
          <t>li-4328771803</t>
        </is>
      </c>
      <c r="B181" t="inlineStr">
        <is>
          <t>Software Engineer, iOS</t>
        </is>
      </c>
      <c r="C181" t="inlineStr">
        <is>
          <t>Tinder</t>
        </is>
      </c>
      <c r="D181" t="inlineStr">
        <is>
          <t>linkedin</t>
        </is>
      </c>
      <c r="E181">
        <f>HYPERLINK("https://www.linkedin.com/jobs/view/4328771803", "https://www.linkedin.com/jobs/view/4328771803")</f>
        <v/>
      </c>
      <c r="F181" t="inlineStr"/>
      <c r="G181" t="inlineStr">
        <is>
          <t>San Francisco, CA</t>
        </is>
      </c>
      <c r="H181" t="inlineStr"/>
      <c r="I181"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As an iOS engineer at Tinder, you will have an outsized impact and ownership of the most visible aspects of the Tinder App. We are deeply invested in challenging norms, constantly improving architecture design, exploring emergent tech and ideas, and leveraging new technologies in interesting ways to deliver an app that is widely known across the world.
**Where you’ll work:** 
 This is a hybrid role and requires in\-office collaboration three times per week in our Palo Alto, CA office.
**As an iOS Engineer, you will have the opportunity to:** 
- Contribute to the architecture, design and implementation of consumer facing features in the Tinder App
- Build compelling in\-app experiences that will reach millions of users globally
- Collaborate with engineers cross\-functionally as well as the product and design team(s) to influence the roadmap and product development of Tinder’s App and services
- Contribute to internal shared frameworks and libraries
- Shape the future of optimized analytics at Tinder from the ground up with innovative data tools for the analytics and data science team(s)
- Evolve Tinder’s architecture to support multiple authentication flows and account management
- Mentor, collaborate, and learn from innovative and passionate team members
**What you'll need:** 
- 2\+ years of experience building consumer\-facing applications with native iOS
- Full life cycle experience building applications in Swift
- Proficient in Swift concepts (structs, optionals, generics etc.)
- Experience building user\-facing features with autolayout
- Familiar with popular architecture patterns such as MVVM / Clean and their uses
- Knowledge of iOS memory management and protocol\-oriented programming
- Experience building and testing large\-scale iOS apps and/or codebases
- Proficiency writing your own unit tests
- Clear and solutions oriented communication style with a passion for code quality
- Willingness to work collaboratively in an Agile environment (scrum, planning poker, standup, etc.)
**Preferred Qualifications:** 
- Experience with building public APIs and mobile SDK’s
- Knowledge of native iOS frameworks like URL Session, Core Data and Core Animation
- Comfortable working with legacy code and improving it
- Experience communicating and implementing effective, solutions oriented improvements
- Familiar with implementing In\-App Purchases, StoreKit or implementing premium features in an iOS app
- A BS or MS in Computer Science or Engineering is amazing but not required; proficiency in modern iOS technologies and principles is what matters most
**As a full time employee, you'll enjoy:** 
- Unlimited PTO (with no waiting period), 10 annual Wellness Days
- Time off to volunteer and charitable donations matched up to $15,000 annually
- Comprehensive health, vision, and dental coverage
- 100% 401(k) employer match up to 10%, Employee Stock Purchase Plan (ESPP)
- 100% paid parental leave (including for non\-birthing parents) and family forming benefits
- Investment in your development: mentorship through our MentorMatch program, access to 6,000\+ online courses through Udemy, and an annual $3,000 stipend for your professional development
- Investment in your wellness: access to mental health support via Modern Health, paid concierge medical membership, pet insurance, fitness membership subsidy, and commuter subsidy
- Free subscription to Tinder Gold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 
*\#Tinder*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salary range for this position is $165,000 \- 185,000\.  Factors such as scope and responsibilities of the position, candidate's work experience, education/training, job\-related skills, internal peer equity, as well as market and business considerations may influence base pay offered. This salary range is reflective of a position based in Los Angeles. This salary will be subject to a geographic adjustment (according to a specific city and state), if an authorization is granted to work outside of the location listed in this posting.</t>
        </is>
      </c>
    </row>
    <row r="182">
      <c r="A182" t="inlineStr">
        <is>
          <t>li-4217741463</t>
        </is>
      </c>
      <c r="B182" t="inlineStr">
        <is>
          <t>Senior Software Engineer, Machine Learning, Calibration</t>
        </is>
      </c>
      <c r="C182" t="inlineStr">
        <is>
          <t>Nuro</t>
        </is>
      </c>
      <c r="D182" t="inlineStr">
        <is>
          <t>linkedin</t>
        </is>
      </c>
      <c r="E182">
        <f>HYPERLINK("https://www.linkedin.com/jobs/view/4217741463", "https://www.linkedin.com/jobs/view/4217741463")</f>
        <v/>
      </c>
      <c r="F182" t="inlineStr"/>
      <c r="G182" t="inlineStr">
        <is>
          <t>Mountain View, CA</t>
        </is>
      </c>
      <c r="H182" t="inlineStr"/>
      <c r="I182"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team is growing and we are looking for a Software Engineer to join our Sensor Data and Calibration team. We are searching for an engineer with robotics and machine learning expertise to develop online and offline unstructured (targetless) sensor calibration algorithms. The ideal candidate has hands\-on experience in the research, development, and implementation of machine learning methods with sensor data (IMU, camera, lidar, radar, etc.). Experience with classical state estimation techniques (non\-linear least\-squares optimization, lie algebra) is a bonus.
**About The Work**
* Research and develop state\-of\-the\-art state estimation and calibration algorithms combining classic robotics and modern ML techniques.
* Analyze and characterize the accuracy and performance of state estimation and calibration algorithms.
* Integrate state estimation and calibration pipelines into the autonomy system and analyze onboard performance and resource utilization.
* Work cross\-functionally with other autonomy teams to accelerate the training of ML models and end\-to\-end performance evaluation.
* Answer critical questions about sensor data and autonomy performance.
**About You** 
* One of:
+ PhD in machine learning, computer science, electrical engineering, robotics, or related field, and 3\+ years of industry experience.
+ Masters and 4\+ years of industry experience.
+ 5\+ years of industry experience.
* Deep understanding of ML fundamentals with hands\-on experience in training and evaluating modern ML models.
* Strong Python skills with experience in deep learning frameworks, e.g., PyTorch, TensorFlow, or Jax.
**Bonus Points** 
* 
+ Deep understanding of 3D geometry and state estimation fundamentals.
+ Proficiency in systems coding.
+ Experience in building offline/online state estimation and/or calibration algorithms with camera, lidar, radar, IMU, etc.
+ Experience in simulating/modeling real sensors (camera, lidar, radar, IMU, etc...), including noise modeling.
+ Experience in building ML pipelines and optimizing/productizing ML models.
+ Demonstrated research publications in top conferences (e.g. NeurIPS, ICLR, ICML, CVPR, RSS, CoRL, ICRA).
 At Nuro, your base pay is one part of your total compensation package. For this position, the reasonably expected base pay range is between $193,930 and $291,150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83">
      <c r="A183" t="inlineStr">
        <is>
          <t>li-4361520554</t>
        </is>
      </c>
      <c r="B183" t="inlineStr">
        <is>
          <t>Principal Software Engineer</t>
        </is>
      </c>
      <c r="C183" t="inlineStr">
        <is>
          <t>Disney Experiences</t>
        </is>
      </c>
      <c r="D183" t="inlineStr">
        <is>
          <t>linkedin</t>
        </is>
      </c>
      <c r="E183">
        <f>HYPERLINK("https://www.linkedin.com/jobs/view/4361520554", "https://www.linkedin.com/jobs/view/4361520554")</f>
        <v/>
      </c>
      <c r="F183">
        <f>HYPERLINK("https://www.disneycareers.com/job/-/-/391/90526458848&amp;urlHash=KoCW", "https://www.disneycareers.com/job/-/-/391/90526458848&amp;urlHash=KoCW")</f>
        <v/>
      </c>
      <c r="G183" t="inlineStr">
        <is>
          <t>Orlando, FL</t>
        </is>
      </c>
      <c r="H183" t="inlineStr"/>
      <c r="I183" t="inlineStr">
        <is>
          <t>The Principal, Software Engineer will drive strategic vision and innovation across the Guest and Cast Experience domain by defining and evolving application development processes, standards, and best practices. This role involves architecting scalable, high\-performance solutions aligned with industry\-leading architectural principles to address complex challenges in high velocity, high performance, horizontally scalable, multi\-cloud and multi\-region resilient systems that power personalized guest experiences.
 Key responsibilities include providing architectural leadership and guidance to delivery teams while collaborating across cross\-functional stakeholders to ensure solutions are technically robust and aligned with business objectives. Approximately 80% of the role focuses on architectural solutioning, with the remaining 20% dedicated to hands\-on activities such as code reviews, technical validation, exploring new patterns, tools, skills, AI enhancements, and knowledge sharing.
 Success in this role requires deep expertise in high performance, highly scalable systems, a strong grasp of agile development methodologies, and a track record of implementing enterprise\-grade, server\-driven solutions. The ideal candidate is a visionary leader with a practical mindset, committed to enhancing development efficiency, scalability, and the delivery of exceptional digital experiences.
**Key Responsibilities:**
* Architect Sustainable Solutions: Partner with teams to design and implement cost\-effective, scalable solutions adhering to Guest and Cast Experience strategic vision.
* Technical Design and Integration: Translate business requirements into detailed technical designs, including blueprints, schemas, and integration with large scale backend systems across multiple delivery teams.
* Maintain Technical Currency: Provide leadership to ensure systems are up to date with the latest approved technologies and releases.
* Advance Technical Knowledge: Stay current with the latest development techniques, methodologies, and tools; apply innovative findings to projects. AI tools and skills abilities a must to define and adopt new development and testing paradigm
* Enhance Platform Capabilities: Mature capabilities like observability, self\-recover, sensors to detect issues before they cripple the experience, and workflow automation.
* Optimize Performance: Define best practices for maintaining performance, scalability, and reliability of digital experience solutions.
* Enable Continuous Delivery: Architect solutions that support continuous integration, delivery, and full system availability.
* Efficient Estimation: Provide high\-level estimates for project planning and impact analysis, even in ambiguous scenarios.
* Collaborative Leadership: Guide diverse technical teams, challenge the status quo, and propose innovative solutions to enhance efficiency and effectiveness.
**Required Qualification:**
* Proven Expertise: 10\+ years of experience in software architecture and development, with 5\+ years influencing highly technical professionals across diverse portfolios.
* Leadership Excellence: Confidently lead multiple projects across teams and organizations, fostering creativity and innovation in an inclusive culture that values diverse perspectives and promotes belonging.
* Strategic Decision\-Making: Agile and adept at making quick decisions to address complex technical and operational challenges, ensuring efficient and effective solutions.
* Technical Presentation Skills: Eloquent and professional communicator with demonstrated ability to present to groups, C\-suite executives, and leadership in both in\-person and virtual environments.
* Technical Mastery: Extensive experience in Java, integrated cloud solutions (AWS and GCP), as well as CI/CD platforms like Jenkins, Harness, and GIT source control.
* AI and Modern Solutions: Architect scalable solutions leveraging AI technologies, large language models (LLMs), MCP servers, Agentic AI Architecture, both client and server\-side AI technologies.
* Advanced Platform Expertise: Proficient in NoSQL and semi\-structured databases (MongoDB, Snowflake, Couchbase), combination of Claude Code, Claude CLI, Cursor, Amazon Q including Developer Q and Quick Insight.
* Operational Efficiency: Document and visualize solutions using advanced tools and diagrams while enabling continuous delivery and deployment via containerization (Docker) and monitoring tools (Splunk, Grafana, AppDynamics).
* Cutting\-Edge Insights: Agentic Architecture, building and integration with other MCP Servers, Agent Development
* Technical Curiosity and Initiative: Highly curious and proactive in exploring emerging technologies, continuously learning, and driving innovation in areas like Python development, cloud\-native tools, and DevOps practices.
**Preferred Qualification:**
* Domain Expertise in Guest and Cast Experience: Understanding of theme park industry especially with focus on digital Guest Experience, ability to work with both domestic and international stakeholders, building platforms that span and support multiple installations with as much configuration as possible.
* Technical Proficiency Across Modern Frameworks: Skilled in developing cloud\-native solutions with platforms such as AWS, Azure, or GCP, and experience with cutting\-edge frameworks and languages, including Node.js, and Typescript. Proficient in server side technologies including Lambda, Snowflake, DynamoDB.
* Industry Experience and Strategic Insight: Deep understanding of the hospitality or travel industries, leveraging insights to design scalable, guest\-centric digital solutions. Proven ability to set and execute strategic architectural directions that align with organizational goals and evolving technology landscapes.
* Leadership and Collaboration Excellence: Demonstrated ability to lead, mentor, and coach technical teams, fostering innovation and growth while building strong cross\-functional partnerships to drive enterprise\-level initiatives.
* Scalable Solutions and Operational Expertise: A track record of implementing efficient and scalable architectures, integrating advanced technologies for recommendation building, handling very large data sets with minimal latency, and push architecture.
**Required Education**
* Bachelor's or foreign equivalent Degree in Computer Science, Information Systems, Software Engineering or comparable field of study, and/or equivalent work experience
**Preferred Education**
* Master's degree in computer science, Information Technology, or related field</t>
        </is>
      </c>
    </row>
    <row r="184">
      <c r="A184" t="inlineStr">
        <is>
          <t>li-4352765510</t>
        </is>
      </c>
      <c r="B184" t="inlineStr">
        <is>
          <t>Full Stack Engineer</t>
        </is>
      </c>
      <c r="C184" t="inlineStr">
        <is>
          <t>BeaconFire Inc.</t>
        </is>
      </c>
      <c r="D184" t="inlineStr">
        <is>
          <t>linkedin</t>
        </is>
      </c>
      <c r="E184">
        <f>HYPERLINK("https://www.linkedin.com/jobs/view/4352765510", "https://www.linkedin.com/jobs/view/4352765510")</f>
        <v/>
      </c>
      <c r="F184" t="inlineStr"/>
      <c r="G184" t="inlineStr">
        <is>
          <t>New Jersey, United States</t>
        </is>
      </c>
      <c r="H184" t="inlineStr"/>
      <c r="I184"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85">
      <c r="A185" t="inlineStr">
        <is>
          <t>li-4352679117</t>
        </is>
      </c>
      <c r="B185" t="inlineStr">
        <is>
          <t>Full Stack Engineer (C# / .NET + Python) – Execution Platform - Algo Trading - Up to $500k TC - Multiple Headcount - Greenfield build - High-performance distributed systems</t>
        </is>
      </c>
      <c r="C185" t="inlineStr">
        <is>
          <t>Mondrian Alpha</t>
        </is>
      </c>
      <c r="D185" t="inlineStr">
        <is>
          <t>linkedin</t>
        </is>
      </c>
      <c r="E185">
        <f>HYPERLINK("https://www.linkedin.com/jobs/view/4352679117", "https://www.linkedin.com/jobs/view/4352679117")</f>
        <v/>
      </c>
      <c r="F185" t="inlineStr"/>
      <c r="G185" t="inlineStr"/>
      <c r="H185" t="inlineStr"/>
      <c r="I185" t="inlineStr">
        <is>
          <t>**Full Stack Engineer (C\# / .NET \+ Python) – Execution Platform \-Algo Trading \- Up to $500k TC \- Multiple Headcount \- Greenfield build \- High\-performance distributed systems** 
*Join a globally respected quantitative investment firm where engineering sits at the core of a high\-performing systematic equities platform. The firm is recognised for its scientific approach, deep computing infrastructure, and the opportunity for engineers to work directly alongside trading and investment stakeholders.* 
 The firm is building a new Trading Technology Desk team and is hiring
 **Full Stack Engineers** 
 to design and build a
 **greenfield execution monitoring and control platform** 
 , supporting core desk workflows and real\-time decision\-making at scale.
**The Role** 
 This role is ideal for engineers who enjoy owning full systems end\-to\-end — from UI to backend services, from system design to production reliability. You’ll develop performance\-critical services primarily in
 **C\# / .NET** 
 (with some Python), while building desk\-facing UI components that support execution and operational workflows.
 You’ll work closely with trading stakeholders, helping translate real\-world desk processes into robust, scalable systems that can operate in a live trading environment.
**Key Responsibilities** 
* Design and build scalable backend services in
 **C\# / .NET** 
 (primary language)
* Contribute to Python tooling and data processing where needed
* Build desk\-facing UI components with modern frontend frameworks (React preferred)
* Lead or contribute to system design: distributed services, API design, performance strategy
* Improve reliability and observability across production systems (monitoring, logging, alerting)
* Partner with traders and desk stakeholders to deliver high\-impact solutions quickly
* Own delivery across the full lifecycle: design → implementation → deployment → production support
**Ideal Candidate** 
**Required** 
* Strong engineering experience building production\-grade systems
* Hands\-on experience in
 **C\# / .NET** 
 (or Java/C\+\+ with willingness to move into C\#)
* Solid system design skills and an understanding of distributed systems
* Performance\-aware mindset and strong engineering fundamentals
* Able to contribute across UI and backend components
* Strong communication and ability to work directly with desk stakeholders
**Preferred** 
* Python experience (or willingness to learn quickly)
* Experience in financial markets, trading, or systematic environments
* Understanding of real\-time systems, monitoring platforms, or high\-throughput services
* Strong UI appreciation — they value engineers who care about usability and polish
**Why Join** 
* Architect and build a
 **brand\-new platform** 
 close to execution
* Work directly with traders in a high\-impact, high\-visibility environment
* Strong engineering culture with ownership and technical depth
* Market\-leading compensation and long\-term growth opportunities</t>
        </is>
      </c>
    </row>
    <row r="186">
      <c r="A186" t="inlineStr">
        <is>
          <t>li-4342099555</t>
        </is>
      </c>
      <c r="B186" t="inlineStr">
        <is>
          <t>Senior Software Engineer</t>
        </is>
      </c>
      <c r="C186" t="inlineStr">
        <is>
          <t>Albert Bow</t>
        </is>
      </c>
      <c r="D186" t="inlineStr">
        <is>
          <t>linkedin</t>
        </is>
      </c>
      <c r="E186">
        <f>HYPERLINK("https://www.linkedin.com/jobs/view/4342099555", "https://www.linkedin.com/jobs/view/4342099555")</f>
        <v/>
      </c>
      <c r="F186" t="inlineStr"/>
      <c r="G186" t="inlineStr">
        <is>
          <t>San Francisco, CA</t>
        </is>
      </c>
      <c r="H186" t="inlineStr"/>
      <c r="I186" t="inlineStr">
        <is>
          <t>**Senior Software Engineer \| San Francisco \| AI/Customer Experience \| Up to $230K \+ equity**
 We are working with a YC backed start\-up who are in the AI space, they help customer experience teams level up performance through automated coaching.
 They You'll take ownership of key tech decisions, shape the product, mentor others, and grow in unexpected ways. Expect hands\-on impact across the stack – from AI integrations to core architecture – with plenty of “wow, we built that” moments along the way.
**Day\-to\-Day**
* Design and scale systems that analyse large volumes of customer interactions from various platforms, surfacing insights and performance signals in real time
* Build adaptive training tools across chat, voice, and video that respond naturally to user input, creating lifelike roleplay experiences
* Craft responsive, high\-speed interfaces capable of managing complex AI workflows without compromising user experience
* Support teammates through hands\-on mentoring while helping shape key technical choices and long\-term engineering direction
**Skills/Experience**
* Proven experience thriving in fast\-paced, constantly evolving start\-up environments
* Skilled at building and shipping complex, user\-facing products from the ground up
* Deep expertise in modern web technologies, especially TypeScript and Next.js
* Comfortable owning key technical decisions, leading parts of the product, mentoring teammates, and continuously learning new tools and frameworks
 If you this sounds interesting to you apply with a CV!!
 Thanks,
 Chloe
 ﻿</t>
        </is>
      </c>
    </row>
    <row r="187">
      <c r="A187" t="inlineStr">
        <is>
          <t>li-4348233712</t>
        </is>
      </c>
      <c r="B187" t="inlineStr">
        <is>
          <t>Senior Full Stack Engineer</t>
        </is>
      </c>
      <c r="C187" t="inlineStr">
        <is>
          <t>Nourish</t>
        </is>
      </c>
      <c r="D187" t="inlineStr">
        <is>
          <t>linkedin</t>
        </is>
      </c>
      <c r="E187">
        <f>HYPERLINK("https://www.linkedin.com/jobs/view/4348233712", "https://www.linkedin.com/jobs/view/4348233712")</f>
        <v/>
      </c>
      <c r="F187" t="inlineStr"/>
      <c r="G187" t="inlineStr">
        <is>
          <t>New York, NY</t>
        </is>
      </c>
      <c r="H187" t="inlineStr"/>
      <c r="I187" t="inlineStr">
        <is>
          <t>**About Us**
 Nourish is on a mission to improve people’s health by making it easy to eat well. Nutrition\-related chronic disease is the largest and most overlooked crisis in the world. Food can be medicine: working with a Registered Dietitian is one of the most effective interventions available, but \&lt;1% of eligible Americans use their covered benefits.
 Nourish is building an AI\-native, patient\-friendly healthcare system centered on nutrition that improves outcomes, lowers costs, and helps people live healthier, longer lives. We launched three years ago, are live in all 50 states, and already have thousands of dietitians and hundreds of thousands of patients on the platform.
 We are growing quickly, have partnered with national health insurance companies and provider groups, and have raised $115M from top\-tier VCs including JP Morgan Growth Equity, Thrive Capital, Index Ventures, Y Combinator, Maverick Ventures, Box Group, Atomico, G Squared, and Pinegrove Venture Partners. Our angel investors include world\-class healthcare founders from Oscar, Rightway Health, Headway, Spring Health, and Alto Pharmacy, as well as soccer star Alex Morgan and the founders from Olipop and Notion.
 Learn more about us here and read about our recent Series B here.
**About The Role**
 Nourish is looking for talented Senior Full Stack Engineers to join our fast\-growing team! As a key early member of Nourish’s engineering team, you’ll play a pivotal role in shaping the future of our core platform. Working side\-by\-side with engineering, product, design, and analytics, you’ll drive the development of critical features that will lay the foundation for years to come.
 Reporting to the Engineering Manager of your Pod, you’ll take full ownership of major parts of the codebase, setting ambitious timelines and leading project deliverables. Whether your Pod’s focus is Growth, Consumer, or Services, your contributions will be essential in bringing our product roadmap to life and building scalable technology to transform interactions with patients, dietitians, and insurance companies.
 This role is full\-time and open to remote or onsite/hybrid out of Nourish’s NYC office in the heart of Union Square. Check out ‘Engineering at Nourish’ to learn more about our team and what we’ve already built!
**Key Responsibilities**
* Design, build, and ship cutting\-edge products and features at lightning speed without compromising on quality.
* Drive continuous improvements in our engineering processes, tools, and systems to scale both our codebase and team productivity.
* Collaborate with colleagues across product, design, engineering, and analytics to solve challenging and impactful problems in a data\-driven experimentation culture.
* Contribute to the estimations, planning and execution of projects, features, and integrations.
* Maintain and elevate our existing codebase.
* Write clean, fully\-tested, high\-performance code that sets the standard for excellence.
**We’d Love To Hear From You If You** 
* Bachelor’s or Master’s in Computer Science, Engineering, or related field.
* 5\+ years as a Software Engineer with user\-facing product experience.
* 3\+ years experience with our tech stack (React, Typescript, Node.js, React Native, Prisma, PostgreSQL, Amplitude) or are confident and excited about cross\-training and up\-skilling!
* Do your own stunts and ship fast. You like to build and ship new things, can independently take a project from idea through implementation, and run toward hard problems.
* Think work should feel like play. You value a very collaborative, close\-knit team and care about having fun and making an impact at work.
* Want to be deeply involved in product and design. You are not only passionate about engineering but also have a desire to build a product end\-to\-end, through the design, coding, testing, and deployment phases. We're an early\-stage startup where product, design, and engineering are closely intertwined.
* Think from first principles. Ask why, challenge assumptions, and value the right answer over being right.
* Nice to Have’s
+ Startup or Scale Up experience. You have that dog in you; you’re resilient and persevere through challenges.
+ Interviewing familiarity. We’re quickly growing our Engineering function and expect our Engineers to help us do so!
+ Energized by our mission. Our mission defines everything we do, we need engineers hungry to improve people’s health by making it easy to eat well.
**More Information**
 Mission \&amp; Vision \&amp; Success
 Nourish Clinical Philosophy
 Values
 Why Nourish Exists
 Team
**Compensation \&amp; Benefits**
 How We Work</t>
        </is>
      </c>
    </row>
    <row r="188">
      <c r="A188" t="inlineStr">
        <is>
          <t>li-4345890896</t>
        </is>
      </c>
      <c r="B188" t="inlineStr">
        <is>
          <t>Software Engineer, Search AI, Search Quality</t>
        </is>
      </c>
      <c r="C188" t="inlineStr">
        <is>
          <t>Google</t>
        </is>
      </c>
      <c r="D188" t="inlineStr">
        <is>
          <t>linkedin</t>
        </is>
      </c>
      <c r="E188">
        <f>HYPERLINK("https://www.linkedin.com/jobs/view/4345890896", "https://www.linkedin.com/jobs/view/4345890896")</f>
        <v/>
      </c>
      <c r="F188" t="inlineStr"/>
      <c r="G188" t="inlineStr">
        <is>
          <t>Mountain View, CA</t>
        </is>
      </c>
      <c r="H188" t="inlineStr"/>
      <c r="I188" t="inlineStr">
        <is>
          <t>**Minimum qualifications:**
* Bachelor’s degree or equivalent practical experience.
* 2 years of experience with programming in Python and C\+\+, or 1 year of experience with an advanced degree.
* 2 years of experience in large\-scale distributed data processing.
* 1 year of experience with Natural Language Processing (NLP) concepts or techniques.
* 1 year of experience with Machine Learning, Deep Learning.
**Preferred qualifications:**
* Master's degree or PhD in Computer Science or related technical fields.
* 2 years of experience working in an organization involving cross\-functional, or cross\-business projects.
* Experience in Search Quality and Machine Learning.
* Experience with JAX or TensorFlow.
* Understanding of Applied deep learning with large language models, including with prompting, Reinforcement Learning from Human Feedback (RLHF) and supervised fine\-tuning.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Join a transformative project to overhaul the Google Search stack, ensuring Large Language Models (LLMs) and machine learning are core components.
 In this role, this position requires close partnership with various engineering teams, including those working on embedding Retrieval Engine (RE) and other key Search systems. You'll be at the forefront of applying AI research to enhance products used by many users contributing significantly to both AI advancements and the new Search architecture.
 In Google Search, we're reimagining what it means to search for information – any way and anywhere. To do that, we need to solve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Address testing research and engineering problems of GenAI with potential and for immediate real\-world user impact for current and emergent query streams.
* Conduct applied research figuring out research developments best suited to solve open\-ended problems.
* Break down problems to make iterative progress.
* Build end\-to\-end Machine Learning (ML) systems spanning data, modeling, evaluation and serving and search scale.
* Build a comprehensive understanding of the search stack, evaluation metrics, query sets and philosophy of improving search quality and presentation.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li-4348075865</t>
        </is>
      </c>
      <c r="B189" t="inlineStr">
        <is>
          <t>Software Engineer, Privacy</t>
        </is>
      </c>
      <c r="C189" t="inlineStr">
        <is>
          <t>OpenAI</t>
        </is>
      </c>
      <c r="D189" t="inlineStr">
        <is>
          <t>linkedin</t>
        </is>
      </c>
      <c r="E189">
        <f>HYPERLINK("https://www.linkedin.com/jobs/view/4348075865", "https://www.linkedin.com/jobs/view/4348075865")</f>
        <v/>
      </c>
      <c r="F189">
        <f>HYPERLINK("https://jobs.ashbyhq.com/openai/8a1b804f-b070-4c61-bd3d-cdf39ef9d935/application&amp;urlHash=d1uu", "https://jobs.ashbyhq.com/openai/8a1b804f-b070-4c61-bd3d-cdf39ef9d935/application&amp;urlHash=d1uu")</f>
        <v/>
      </c>
      <c r="G189" t="inlineStr">
        <is>
          <t>San Francisco, CA</t>
        </is>
      </c>
      <c r="H189" t="inlineStr"/>
      <c r="I189" t="inlineStr">
        <is>
          <t>**About The Team**
 The Privacy Engineering Team at OpenAI is committed to integrating privacy as a foundational element in OpenAI's mission of advancing Artificial General Intelligence (AGI). Our focus is on all OpenAI products and systems handling user data, striving to uphold the highest standards of data privacy and security.
 We build essential production services, develop novel privacy\-preserving techniques, and equip cross\-functional engineering and research partners with the necessary tools to ensure responsible data use. Our approach to prioritizing responsible data use is integral to OpenAI's mission of safely introducing AGI that offers widespread benefits.
**About The Role**
 We are looking for a Software Engineer with experience developing secure backend systems that prioritize customer data protection. This role is ideal for someone who is deeply committed to the nexus of product development, security, and privacy.
**This position is located in San Francisco. Relocation assistance is available.**
**In This Role, You Will**
* Design, build, and implement back\-end systems that power privacy and security functions within our API products and consumer applications.
* Conduct threat modeling, privacy design reviews, and code\-level assessments to ensure the highest privacy and security standards.
* Collaborate with product managers, and other engineering teams to develop new products that leverage emerging research while maintaining privacy and security integrity.
* Work closely with the legal team to document and evaluate internal compliance practices, ensuring alignment with legal requirements and organizational standards, and conduct thorough internal audits to maintain the highest levels of compliance and integrity.
* Coordinate and actively participate in privacy incident response efforts.
**You Might Thrive In This Role If You**
* Have substantial experience in building (and re\-engineering) production systems to meet legal requirements, manage increased scale, and uphold privacy and security standards.
* Have led or been a significant contributor to security projects, demonstrating a cross\-functional collaboration skill set.
* Deeply care about user experience and take pride in developing products that meet customer needs whilst drawing on experience in threat modeling, secure design, and regulatory compliance.
* Possess a humble attitude, strong communication skills, and an eagerness to support your colleagues, reflecting a readiness to do whatever is necessary for team success.
* Take responsibility for problems from beginning to end, demonstrating problem\-solving abilities and preparedness to acquire any missing knowledge necessary to get the job done.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$310K</t>
        </is>
      </c>
    </row>
    <row r="190">
      <c r="A190" t="inlineStr">
        <is>
          <t>li-4345860175</t>
        </is>
      </c>
      <c r="B190" t="inlineStr">
        <is>
          <t>Software Engineer III, Performance, AI Platforms</t>
        </is>
      </c>
      <c r="C190" t="inlineStr">
        <is>
          <t>Google</t>
        </is>
      </c>
      <c r="D190" t="inlineStr">
        <is>
          <t>linkedin</t>
        </is>
      </c>
      <c r="E190">
        <f>HYPERLINK("https://www.linkedin.com/jobs/view/4345860175", "https://www.linkedin.com/jobs/view/4345860175")</f>
        <v/>
      </c>
      <c r="F190">
        <f>HYPERLINK("https://careers.google.com/jobs/results/123559992899838662-software-engineer-iii/?src=Online/LinkedIn/linkedin_us&amp;utm_source=linkedin&amp;utm_medium=jobposting&amp;utm_campaign=contract&amp;urlHash=u4ks", "https://careers.google.com/jobs/results/123559992899838662-software-engineer-iii/?src=Online/LinkedIn/linkedin_us&amp;utm_source=linkedin&amp;utm_medium=jobposting&amp;utm_campaign=contract&amp;urlHash=u4ks")</f>
        <v/>
      </c>
      <c r="G190" t="inlineStr">
        <is>
          <t>Sunnyvale, CA</t>
        </is>
      </c>
      <c r="H190" t="inlineStr"/>
      <c r="I190" t="inlineStr">
        <is>
          <t>**Minimum qualifications:**
* Bachelor’s degree or equivalent practical experience.
* 2 years of experience with software development in one or more programming languages.
* 2 years of experience with performance, large\-scale systems data analysis, visualization tools, or debugging.
* 2 years of experience with computer architecture, performance analysis, and performance modeling.
* Experience in performance analysis and optimization for compute platforms such as CPUs, TPUs, and GPUs.
**Preferred qualifications:**
* Master's degree or PhD in Computer Science or a related technical field.
* Experience in microarchitectures, reliability and performance programming, and multi\-thread/multi\-core programming.
* Experience in architecture analysis and optimization (including system architecture and performance modeling), machine learning system theory, TensorFlow, and compiler optimizations.
* Understanding of low\-level performance, memory/storage systems, and concurrent programming techniques for addressing performance and reliability issues.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AI\-augmented Compute Efficiency (ACE) team is dedicated to addressing the affordability gap through focused efforts on scaling, adapting, and simplifying software\-hardware interfaces amidst the swift evolution of customer demands. Our mission is to collaboratively enhance the efficiency, performance, reliability, and resilience of new compute platforms—including Central Processing Units (CPUs), Tensor Processing Units (TPUs), and Graphics Processing Units (GPUs) ensuring these innovations are effectively aligned with the urgent needs of our Cloud and Machine Learning fleets.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Enhance the efficiency, performance, reliability, and corruption resilience of new compute platforms such as CPUs, TPUs, and GPUs, ensuring these innovations are effectively aligned with the urgent needs of our Cloud and Machine Learning fleets.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1">
      <c r="A191" t="inlineStr">
        <is>
          <t>li-4332067992</t>
        </is>
      </c>
      <c r="B191" t="inlineStr">
        <is>
          <t>Full Stack Engineer</t>
        </is>
      </c>
      <c r="C191" t="inlineStr">
        <is>
          <t>SPECTRAFORCE</t>
        </is>
      </c>
      <c r="D191" t="inlineStr">
        <is>
          <t>linkedin</t>
        </is>
      </c>
      <c r="E191">
        <f>HYPERLINK("https://www.linkedin.com/jobs/view/4332067992", "https://www.linkedin.com/jobs/view/4332067992")</f>
        <v/>
      </c>
      <c r="F191" t="inlineStr"/>
      <c r="G191" t="inlineStr">
        <is>
          <t>Reston, VA</t>
        </is>
      </c>
      <c r="H191" t="inlineStr"/>
      <c r="I191" t="inlineStr">
        <is>
          <t>**Job Title: Full\-Stack Developer** 
**Location: Reston, VA, 20190** 
**Duration: 12 months** 
**Description:**
 We are seeking a motivated and talented React Native Software Developer to join our dynamic team. This role offers an excellent opportunity to work on exciting projects and grow your skills in a collaborative environment.
**JOB RESPONSIBILITIES INCLUDE:** 
* Works as part of the software development team to develop and debug web and mobile applications
* Assists in analyzing, maintaining, and implementing software applications.
* Learns the Corporate Software Development Methodology Framework and adheres to development standards
* Develop and maintain web applications using React Native \&amp; React.js, GraphQL, HTML, CSS, and JavaScript/TypeScript.
* Consumes RESTful \&amp; GraphQL APIs on Node.js, and is open to learning and implementing the same too.
* Collaborate with cross\-functional teams to define, design, and ship new features.
* Participate in code reviews and contribute to the continuous improvement of our development processes.
* Utilize version control systems like GitHub for code management and collaboration.
* Work with application Subject Matter Experts on identifying and resolving issues
* Understand and apply software design patterns.
* Collaborate with team members to find better, more efficient ways of doing things.
* Participate in peer\-led engineering and code reviews.
* Develop an understanding of the benefits of quality assurance within enterprise software applications
* Assist in the development and execution of test cases and system test plans.
**Education and Experience Requirements:**
* Requires bachelor's degree (or international equivalent) in Computer Science or Information Systems with 2\-5 years of relevant work experience; or 6\-9 years of relevant work experience without a bachelor’s degree.
* Knowledge, understanding and practical experience of web \&amp; mobile development technologies such as HTML, CSS, React \&amp; React Native, JavaScript/TypeScript.
* Good understanding of latest front\-end frameworks and backend technologies
* Practical knowledge and work experience with React Native \&amp; React.js.
* Familiarity with version control systems, particularly GitHub.
* Good understanding of relational databases and querying using SQL.
* Strong problem\-solving and researching skills and eagerness to learn.
* Good communication and teamwork abilities.
**Other Preferred Qualifications**
 :
* Practical knowledge of building backend systems with Node.js and GraphQL.
* Understanding of agile development methodologies.
* Experience with additional frameworks or libraries.
* Familiarity with DevOps practices and tools.
* Familiarity of cloud platforms like Azure</t>
        </is>
      </c>
    </row>
    <row r="192">
      <c r="A192" t="inlineStr">
        <is>
          <t>li-4354745443</t>
        </is>
      </c>
      <c r="B192" t="inlineStr">
        <is>
          <t>Junior Software Engineer</t>
        </is>
      </c>
      <c r="C192" t="inlineStr">
        <is>
          <t>Tech Consulting</t>
        </is>
      </c>
      <c r="D192" t="inlineStr">
        <is>
          <t>linkedin</t>
        </is>
      </c>
      <c r="E192">
        <f>HYPERLINK("https://www.linkedin.com/jobs/view/4354745443", "https://www.linkedin.com/jobs/view/4354745443")</f>
        <v/>
      </c>
      <c r="F192" t="inlineStr"/>
      <c r="G192" t="inlineStr">
        <is>
          <t>North Carolina, United States</t>
        </is>
      </c>
      <c r="H192" t="inlineStr"/>
      <c r="I192" t="inlineStr">
        <is>
          <t>Are you excited about taking your technical career to new heights with a full\-time, W\-2 role as a consultant in a dynamic and rapidly growing company? If you are, let's get in touch –
 *your interest is the first step to starting the conversation.* 
**What This Role Requires:** 
 • 2\-5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t>
        </is>
      </c>
    </row>
    <row r="193">
      <c r="A193" t="inlineStr">
        <is>
          <t>li-4340765763</t>
        </is>
      </c>
      <c r="B193" t="inlineStr">
        <is>
          <t>Software Engineer Full Stack &amp; Application Development I (Full Time) – United States</t>
        </is>
      </c>
      <c r="C193" t="inlineStr">
        <is>
          <t>Cisco</t>
        </is>
      </c>
      <c r="D193" t="inlineStr">
        <is>
          <t>linkedin</t>
        </is>
      </c>
      <c r="E193">
        <f>HYPERLINK("https://www.linkedin.com/jobs/view/4340765763", "https://www.linkedin.com/jobs/view/4340765763")</f>
        <v/>
      </c>
      <c r="F193" t="inlineStr"/>
      <c r="G193" t="inlineStr">
        <is>
          <t>Fulton, MD</t>
        </is>
      </c>
      <c r="H193" t="inlineStr"/>
      <c r="I193"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Cisco's innovative engineering community, where you'll have the opportunity to collaborate with teams across Cisco IT, CPX (Customer \&amp; Partner Experience), Supply Chain, and Workplace Technology. You'll work alongside hardworking engineers, designers, and product managers who bring ideas to life and transform how the world connects, communicates, and collaborates. Our teams value creativity, continuous learning, and a culture of inclusion as we build the next generation of industry\-leading products and platforms!
**Your Impact**
 As a Software Engineer at Cisco, you will design and build software solutions that power Cisco's products and platforms. You will work end\-to\-end on everything from APIs and backend services to user interfaces and distributed systems. You'll solve real\-world problems, ship impactful features, and help shape the future of connectivity and technology.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at least one backend language (Python, C\+\+, or Java) and familiarity with JavaScript/TypeScript for frontend development
* Experience with API development (REST, GraphQL, or gRPC)
* Understanding of data structures, object\-oriented programming, and SQL/NoSQL databases
* Familiarity with cloud platforms (AWS, Azure, GCP, or Cisco Cloud)
**Preferred Qualifications**
* Experience with Docker or Kubernetes (containerization/orchestration)
* Familiarity with Infrastructure as Code tools (Terraform, Ansible, or CloudFormation)
* Exposure to CI/CD tools (GitHub Actions, Jenkins, CircleCI)
* Experience with monitoring platforms (Grafana, Prometheus, Splunk)
* Knowledge of UI frameworks (React, Angular, Vue) for full\-stack pathways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94">
      <c r="A194" t="inlineStr">
        <is>
          <t>li-4328880034</t>
        </is>
      </c>
      <c r="B194" t="inlineStr">
        <is>
          <t>Senior Software Engineer, API Enablement</t>
        </is>
      </c>
      <c r="C194" t="inlineStr">
        <is>
          <t>Upstart</t>
        </is>
      </c>
      <c r="D194" t="inlineStr">
        <is>
          <t>linkedin</t>
        </is>
      </c>
      <c r="E194">
        <f>HYPERLINK("https://www.linkedin.com/jobs/view/4328880034", "https://www.linkedin.com/jobs/view/4328880034")</f>
        <v/>
      </c>
      <c r="F194" t="inlineStr"/>
      <c r="G194" t="inlineStr"/>
      <c r="H194" t="inlineStr"/>
      <c r="I194" t="inlineStr">
        <is>
          <t>**About Upstart**
 Upstart is the leading AI lending marketplace partnering with banks and credit unions to expand access to affordable credit. By leveraging Upstart's AI marketplace, Upstart\-powered banks and credit unions can have higher approval rates and lower loss rates across races, ages, and genders, while simultaneously delivering the exceptional digital\-first lending experience their customers demand. More than 80% of borrowers are approved instantly, with zero documentation to upload.
 Upstart is a digital\-first company, which means that most Upstarters live and work anywhere in the United States. However, we also have offices in San Mateo, California; Columbus, Ohio; Austin, Texas; and New York City, NY (opening Summer 2026\).
 Most Upstarters join us because they connect with our mission of enabling access to effortless credit based on true risk. If you are energized by the impact you can make at Upstart, we’d love to hear from you!
**The Team**
 Upstart’s Event Bus, Experimentation, and gRPC team is responsible for building frameworks and tooling to support Event Driven Architectures, safe and measurable roll out of new features, and efficient service to service communication. We do this by owning the build process and libraries for the four primarily supported languages at Upstart (Ruby, Kotlin, Python, and TypeScript). These platform products allow Upstart engineers to use them in a simple and secure way. Ease of use, performance, data quality, observability, and security are our guiding principles.
 As a
 **Senior Software Engineer** 
 on Upstart’s Event Bus, Experimentation, and gRPC team, you are empowered to design and implement high impact, cross cutting solutions that touch nearly every service within Upstart. We are a small and high impacting team contributing to Upstart’s North Star Architecture and need a product\-oriented engineer who is excited to contribute across Event Bus, Experimentation, and gRPC internal tooling.
***Position Location \-***
 This role is available in the following locations: Remote, San Mateo, Columbus, Austin
***Time Zone Requirements \-***
 This team operates on the East/West Coast time zones.
***Travel Requirements \-***
 As a digital first company, the majority of your work can be accomplished remotely. This team also has regular onsite collaboration sessions. These occur roughly once per quarter (\~3 days at a time) in one of our main offices (Columbus, OH, Austin, TX or San Mateo, CA). If you need to travel to make these meetups, Upstart will cover all travel related expenses.
**How you’ll make an impact:**
* Lead the design and development of new features and improvements to existing features.
* Collaborate with cross\-functional teams to understand requirements and bring those insights into building an impactful roadmap for the team
* Establish best practices for achieving an Event Driven Architecture, safe feature rollout, and service to service, API design.
* Mentor junior engineers and promote a culture of technical excellence
* Contribute to quality improvements within our team and the engineering organization in a meaningful way
**What we’re looking for:**
**Minimum Qualifications**
* Bachelor’s or Master’s degree in Computer Science or related field
* 5\+ years of professional experience
* Strong communication skills and ability to collaborate effectively with cross\-functional teams.
* Strong proficiency in one or more of Kotlin, Java, Python, Ruby, or Typescript programming languages
* Proficiency in automated testing patterns
* Experience in building highly observable systems
**Preferred Qualifications**
* Experience with Kotlin, Python, Ruby, or Typescript
* Experience with Kafka
* Experience with gRPC
* Experience with A/B testing and/or Feature Flagging
* Strong sense of ownership and accountability for the quality and timely delivery of work
* Ability to thrive both in self\-directed work environments and in collaborative settings, contributing positively to team dynamic.
**What you'll love:**
* Competitive Compensation (base \+ bonus \&amp; equity)
* Comprehensive medical, dental, and vision coverage with Health Savings Account contributions from Upstart
* Generous 401(k) plan with Upstart matching $2 for every $1 contributed, up to $15,000 per year
* Employee Stock Purchase Plan (ESPP)
* Life and disability insurance
* Generous holiday, vacation, sick and safety leave
* Supportive parental, family care, and military leave programs
* Annual wellness, technology \&amp; ergonomic reimbursement programs
* Social activities including team events and onsites, all\-company updates, employee resource groups (ERGs), and other interest groups such as book clubs, fitness, investing, and volunteering
* Catered lunches \+ snacks \&amp; drinks when working in offices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$163,600—$226,400 USD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95">
      <c r="A195" t="inlineStr">
        <is>
          <t>li-4354834477</t>
        </is>
      </c>
      <c r="B195" t="inlineStr">
        <is>
          <t>Senior Software Engineer - Backend, Agentic Workflows</t>
        </is>
      </c>
      <c r="C195" t="inlineStr">
        <is>
          <t>Torch Dental</t>
        </is>
      </c>
      <c r="D195" t="inlineStr">
        <is>
          <t>linkedin</t>
        </is>
      </c>
      <c r="E195">
        <f>HYPERLINK("https://www.linkedin.com/jobs/view/4354834477", "https://www.linkedin.com/jobs/view/4354834477")</f>
        <v/>
      </c>
      <c r="F195" t="inlineStr"/>
      <c r="G195" t="inlineStr">
        <is>
          <t>New York, NY</t>
        </is>
      </c>
      <c r="H195" t="inlineStr"/>
      <c r="I195" t="inlineStr">
        <is>
          <t>**About Us:** 
 Torch Dental is a rapidly growing start\-up on a mission to improve the lives of healthcare providers by simplifying supply ordering, providing transparent pricing, and modernizing a previously outdated process. Torch is targeting the $100\+ billion office\-based healthcare supply industry, starting with dental practices. Our innovative e\-commerce platform streamlines procurement for dental practices while securing the best prices for products. We’re also expanding into intelligent solutions that leverage AI to further support and empower healthcare providers in their day\-to\-day operations.
 This hybrid role sits in our Flatiron office at 49 W 23rd St, Floor 3 \- a central NYC spot surrounded by great food, coffee and easy transit. It's a space designed for focused work, fast iteration, and collaboration with others
 We are a close\-knit team that enjoys collaborating to solve real\-world problems. We obsess over customer satisfaction, promote a strong bias for action, encourage team members to engage in impactful work, and foster a one\-team culture. Our goal is to create better solutions to help healthcare professionals succeed, and we are looking for people like you to help bring this vision to life.
**Your Impact** 
 As a Senior Backend Engineer at Torch, you’ll play a key role in evolving our platform’s architecture, building high\-performance distributed systems, and developing agentic workflows that power our next generation of AI\-enabled product experiences. You’ll design the backend systems that support LLM\-powered features at scale \- whether that means orchestrating web or voice agents to fetch data, building reliable workflows and safeguards for ingestion and normalization, or ensuring everything operates securely and compliantly.
 This role is designed to grow with you: engineers at Torch are encouraged to expand their responsibility, deepen technical ownership, and shape the direction of our platform based on their ambition and interests.
**Responsibilities:** 
* Design, integrate, and operate LLM\-powered and agentic workflows for claims data
* Build and maintain HIPAA\-compliant systems for sensitive healthcare data.
* Lead decisions around security, compliance, cost, performance, and scaling of AI workloads.
* Implement robust monitoring, alerting, and observability systems for AI pipelines and production models.
* Collaborate cross\-functionally with engineering, product, and operations teams to integrate AI capabilities into Torch’s platform.
* Mentor and guide other engineers on best practices on both backend engineering and agentic workflows
**What we are looking for:** 
* 5\+ years of experience in software engineering
* Strong experience with cloud platforms (AWS, GCP, Azure) and deploying secure, compliant workloads
* Demonstrated record of building scalable, secure, and reliable systems
* Comfortable collaborating with non\-engineers, including product managers, designers, and business stakeholders
**Bonus:** 
* Experience leading AI infrastructure projects end\-to\-end in a startup environment
* Contributed to architecture or coding standards for engineering teams.
* Experience in early\-stage product ideation and design for AI\-enabled features.
* Hands\-on experience with containerization/orchestration (Docker, Kubernetes) and infrastructure\-as\-code tooling (Terraform, Pulumi) for provisioning and managing cloud resources.
**Compensation and Benefits:** 
* Salary Range: $190K\-$230K
* Comprehensive medical, dental, and wellness benefits
* 401k benefits with Empower
* Unlimited paid time off (PTO)
* Maternity and Paternity leave
* Medical and dental coverage with Aetna
* Work from home stipend
* Commuter benefits for hybrid employees
* Fully stocked pantry and fridge for hybrid employees
* An employee\-driven culture with happy hours, team events, and other initiatives to celebrate our many successes</t>
        </is>
      </c>
    </row>
    <row r="196">
      <c r="A196" t="inlineStr">
        <is>
          <t>li-4328736102</t>
        </is>
      </c>
      <c r="B196" t="inlineStr">
        <is>
          <t>Senior Backend Engineer - Device Platform</t>
        </is>
      </c>
      <c r="C196" t="inlineStr">
        <is>
          <t>Verkada</t>
        </is>
      </c>
      <c r="D196" t="inlineStr">
        <is>
          <t>linkedin</t>
        </is>
      </c>
      <c r="E196">
        <f>HYPERLINK("https://www.linkedin.com/jobs/view/4328736102", "https://www.linkedin.com/jobs/view/4328736102")</f>
        <v/>
      </c>
      <c r="F196" t="inlineStr"/>
      <c r="G196" t="inlineStr">
        <is>
          <t>San Mateo, CA</t>
        </is>
      </c>
      <c r="H196" t="inlineStr"/>
      <c r="I19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**What You'll Do**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**What You Bring**
* Degree in Computer Science or similar technical field of study
* 6\+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 Must be willing and able to work onsite five days per week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$160,000—$260,000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97">
      <c r="A197" t="inlineStr">
        <is>
          <t>li-4361521551</t>
        </is>
      </c>
      <c r="B197" t="inlineStr">
        <is>
          <t>Principal Staff Software Engineer, Online Analytics Infrastructure</t>
        </is>
      </c>
      <c r="C197" t="inlineStr">
        <is>
          <t>LinkedIn</t>
        </is>
      </c>
      <c r="D197" t="inlineStr">
        <is>
          <t>linkedin</t>
        </is>
      </c>
      <c r="E197">
        <f>HYPERLINK("https://www.linkedin.com/jobs/view/4361521551", "https://www.linkedin.com/jobs/view/4361521551")</f>
        <v/>
      </c>
      <c r="F197" t="inlineStr"/>
      <c r="G197" t="inlineStr">
        <is>
          <t>Mountain View, CA</t>
        </is>
      </c>
      <c r="H197" t="inlineStr"/>
      <c r="I19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Sunnyvale.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Team Description
 At LinkedIn, our Online Infrastructure organization powers systems and technologies that enable rich, online access to LinkedIn's economic graph data and insights for all of LinkedIn's online features and capabilities. We do this by building cutting edge and innovative planet\-scale HA systems, and by relentlessly pursuing operational excellence and customer obsession to support LinkedIn's product teams.
 The Graph and Online Analytics Infrastructure group in the Online Infra organization is at the cutting edge of building online distributed databases and services that power real\-time insights and graph traversals for our members directly and as critical real\-time computations for our member\-facing features like recommender systems, targeting and personalization use cases.
 As part of the Graph and Online Analytics Infrastructure group, you will have the opportunity to devise and own our multi\-year, multi\-systems Online Analytics strategy to support LinkedIn's growth at this critical juncture of our AI transformation for our members, customers and for ourselves.
 You will be driving LinkedIn’s Online Analytics strategy and its implementation with the rigor and pragmatism demonstrated by your world\-class expertise in the domain and prior successes in generating critical business outcomes. You will play a pivotal role in building systems and services in the domain, developing talent, augmenting culture of rigor and customer obsession and partner across Product Platforms, Online Infra and across the company to realize the benefits of online and real\-time analytics at scale. As the primary domain expert, you are expected to provide technical leadership, drive architectural decisions and implementation across the group. You will research, develop, build and ship cutting edge technologies in partnership with the group to achieve Linkedin' business goals. You will inculcate and reinforce rigor, operational excellence and customer obsession in our group and our organization.
**Responsibilities**
* Architect Real\-Time Analytics Platforms: Design and implement distributed query engines and APIs for sub\-second latency across heterogeneous systems.
* Own and Evolve Core Systems: Drive the roadmap, scalability, and operational excellence of our existing web\-scale analytics systems; ensure these systems meet future analytics demands.
* Drive Service and Operational Excellence: Define and drive service and operational excellence for online analytics services at consumer\-internet scale.
* Culture Builder: Establish and nurture a culture of customer obsession and business impact, combined with high rigor, technical craft, and innovation.
* Cross\-System Optimization: Lead architectural decisions for query planning, caching, and optimizations across multiple engines.
* Technical Leadership: Mentor senior engineers, set technical standards, and foster a culture of excellence.
* Industry Engagement: Represent the organization in real\-time analytics forums
**Qualifications**
 Basic Qualifications
* BS in Computer Science or equivalent.
* 10\+ years in distributed systems and real\-time analytics platforms.
* 5\+ years in technical leadership roles for OLAP or real\-time query engines.
* Experience in developing and scaling large scale databases or analytics systems
* Experience with building columnar storage, vectorized execution, and cost\-based optimizers.
* Experience with coding in Java, C\+\+, or Rust; knowledge of query execution, indexing, and concurrency.
**Preferred Qualifications**
* MS/PhD in Computer Science or related field.
* Experience with distributed online analytics systems and databases.
* Expertise in query federation, semantic modeling, and BI integration.
* Expertise with columnar storage, vectorized execution, and rule\-based as well as cost\-based optimizers.
* Experience building interactive services or analytics APIs for large\-scale systems.
* Experience with communication and ability to influence cross\-functional teams.
* Background in industry thought leadership.
* Demonstrated ability to align technical decisions with business outcomes and drive customer\-centric innovation.
 Suggested Skills:
* Distributed Systems design
* Real\-time analytics platforms
* Cloud\-native architecture
* Deep understanding of concurrency, distributed algorithms, and data structures.
* Familiarity with columnar storage, vectorized execution, and query optimizers.
**Additional Information**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$218,000 to $357,000\.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98">
      <c r="A198" t="inlineStr">
        <is>
          <t>li-4328813960</t>
        </is>
      </c>
      <c r="B198" t="inlineStr">
        <is>
          <t>Software Engineer</t>
        </is>
      </c>
      <c r="C198" t="inlineStr">
        <is>
          <t>Koch Ag &amp; Energy Solutions, LLC</t>
        </is>
      </c>
      <c r="D198" t="inlineStr">
        <is>
          <t>linkedin</t>
        </is>
      </c>
      <c r="E198">
        <f>HYPERLINK("https://www.linkedin.com/jobs/view/4328813960", "https://www.linkedin.com/jobs/view/4328813960")</f>
        <v/>
      </c>
      <c r="F198" t="inlineStr"/>
      <c r="G198" t="inlineStr">
        <is>
          <t>Wichita, KS</t>
        </is>
      </c>
      <c r="H198" t="inlineStr"/>
      <c r="I198" t="inlineStr">
        <is>
          <t>**Your Job**
 Koch Ag \&amp; Energy Solutions (KAES) is seeking qualified professionals to consider for a Software Engineer to join our team in Wichita, KS. As a Software Engineer within KAES, you will be responsible for delivering high\-quality software solutions that meet business goals and adhere to technical standards. You will collaborate cross\-functionally, leverage your domain expertise, and actively contribute to the continuous enhancement of our development processes. Our culture is defined by the Principle Based Management™ philosophy which guides everyday decision making and provides employees with opportunities to contribute and personally benefit from the value they create.
**Our Team**
 Koch Ag \&amp; Energy Solutions (KAES) is a leading innovator in value\-added solutions for the agriculture, energy, and chemical markets. We excel in supplying nitrogen fertilizer to meet global demand through state\-of\-the\-art terminals, with the capability to market. Our commitment to delivering cutting\-edge solutions has driven business success and established us as leaders in the market. We are seeking a Software Engineer to join our team in developing and maintaining software solutions that drive value and help our company stay ahead in a competitive market.
 This role is not eligible for Visa Sponsorship
**What You Will Do**
* Build, test, and deploy software solutions while ensuring quality, security, and maintainability
* Design solutions that adhere to best practices and minimize complexity
* Identify and propose innovative ideas to drive continuous improvement
* Collaborate with analysts and technical leads to refine requirements and develop effective solutions
* Apply business knowledge to enhance and inform technical design decisions
* Support teams by documenting knowledge and providing technical guidance when needed
* Utilize Java to build efficient loading and storage solutions.
* Collaborate with developers within the Operations tower and across all KAES capability towers
* Challenge existing processes and technologies; experiment with new tools and contribute to capability\-wide initiatives
**Who You Are (Basic Qualifications)**
* Two (2\+) or more years of professional software engineering experience in any object\-oriented programming language
* Hands\-on experience with Amazon Web Services (AWS) products and tools in a professional environment, building enterprise\-grade, scalable microservices such as Lambda, SNS, SQS, API Gateway, EventBridge, DynamoDB, and S3
* Experience designing and implementing cloud\-native applications and/or custom\-developed solutions
* Experience with automated testing (unit, integration, or e2e)
**What Will Put You Ahead**
* Experience working with JavaScript frameworks, including Node.js, React.js, or AngularJS, using TypeScript
* Experience with event\-driven architecture utilizing cloud and serverless microservices
* Experience working with Agile and DevOps methodologies, processes, and tools
* Experience programming in Java and MVC frameworks.
* Experience learning and applying new technologies and concepts to stay competitive in the industry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Ag \&amp; Energy Solutions (KAES) is a global provider of value\-added solutions for the agriculture, turf and ornamental, energy and chemical markets. From agriculture to energy, KAES makes things grow better with plant nutrient and biological technologies. Our team of innovators unleash their potential while developing the technologies that feed and power the world.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199">
      <c r="A199" t="inlineStr">
        <is>
          <t>li-4216454915</t>
        </is>
      </c>
      <c r="B199" t="inlineStr">
        <is>
          <t>Staff Software Engineer, Realtime Data</t>
        </is>
      </c>
      <c r="C199" t="inlineStr">
        <is>
          <t>Tecton</t>
        </is>
      </c>
      <c r="D199" t="inlineStr">
        <is>
          <t>linkedin</t>
        </is>
      </c>
      <c r="E199">
        <f>HYPERLINK("https://www.linkedin.com/jobs/view/4216454915", "https://www.linkedin.com/jobs/view/4216454915")</f>
        <v/>
      </c>
      <c r="F199" t="inlineStr"/>
      <c r="G199" t="inlineStr"/>
      <c r="H199" t="inlineStr"/>
      <c r="I199" t="inlineStr">
        <is>
          <t>At Tecton, we solve the complex data problems in production machine learning. Tecton’s feature platform makes it simple to activate data for smarter models and predictions, abstracting away the complex engineering to speed up innovation.
 Tecton’s founders developed the first Feature Store when they created Uber’s Michelangelo ML platform, and we’re now bringing those same capabilities to every organization in the world.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Tecton’s Realtime Data team builds high\-performance online infrastructure that power AI inference at 100K\+ QPS with millisecond latency. Our services have tight SLAs on availability and latency and are often used in mission\-critical applications by enterprises.
 This position is open to candidates based near our hubs in San Francisco, New York City, and Seattle.
**Responsibilities**
* Develop and communicate a clear 18\-month technical vision to align the team and guide our development efforts
* Architect and implement solutions to scale our serving platform to handle millions of requests per second with low latency and high availability
* Evolve Tecton’s query execution engine to support complex, multi\-stage queries with user\-defined Directed Acyclic Graphs (DAGs)
* Build an integrated observability solution that provides an exceptional operational experience with logs, metrics, and traces
* Launch our serving infrastructure across multiple cloud platforms, ensuring compliance with security protocols and data residency requirements
* Assess and prioritize tasks, demonstrating a keen awareness of performance\-critical areas
**Qualifications**
* 7\+ years of experience in programming, debugging, and performance tuning distributed and/or highly concurrent software systems
* Degree in Computer Science, Software Engineering, or a related field, or equivalent practical experience, with strong proficiency in building high throughput infrastructure
* Experience with Database Query Engines
* Experience with at least one of AWS, GCP
* Experience with low latency online storage like DynamoDB, Redis, and BigTable
* Experience with Data warehouses like Snowflake, BigQuery, Object Storage like S3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is a remote\-friendly company that employs a hybrid working policy for employees based in the SF, NY, and Seattle areas. We believe that working in\-person helps us stay connected, collaborate faster, and promote a strong culture while still providing the flexibility of working from home. We expect SF \&amp; NY employees to be in the office at least two designated days per week, and those in the Seattle area at least two designated days per month.*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row>
    <row r="200">
      <c r="A200" t="inlineStr">
        <is>
          <t>li-4361311746</t>
        </is>
      </c>
      <c r="B200" t="inlineStr">
        <is>
          <t>Senior Staff Software Engineer, Risk and Compliance Infrastructure &amp; Data Science</t>
        </is>
      </c>
      <c r="C200" t="inlineStr">
        <is>
          <t>LinkedIn</t>
        </is>
      </c>
      <c r="D200" t="inlineStr">
        <is>
          <t>linkedin</t>
        </is>
      </c>
      <c r="E200">
        <f>HYPERLINK("https://www.linkedin.com/jobs/view/4361311746", "https://www.linkedin.com/jobs/view/4361311746")</f>
        <v/>
      </c>
      <c r="F200" t="inlineStr"/>
      <c r="G200" t="inlineStr">
        <is>
          <t>Mountain View, CA</t>
        </is>
      </c>
      <c r="H200" t="inlineStr"/>
      <c r="I20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Trust is our foundation. At LinkedIn, we build secure, compliant infrastructure with integrity woven into every layer. By embedding security, governance, and regulatory alignment into our development lifecycle and business, we don’t just protect our members, customers, and employees—we set the standard for trusted technology and operations at scale. GRACE is a team leading entity\-wide compliance and risk management programs. GRACE stands for Governance, Risk, Automation, Compliance and Engineering.
 Our commitment to our customers and members is engineered into our culture of security and compliance through these foundational pillars:
* Proactive Governance \&amp; Engineering Alignment
* Scaled Lifecycle \&amp; Integrated Controls
* Assured Ecosystem \&amp; Quantified Risk Management
 LinkedIn is looking for a technical lead to provide architectural and technical leadership across GRACE infrastructure platforms, including engineering repositories, datalakes and analytics platforms, and the GRACE system of record. This role emphasizes data science, quantitative risk analysis, and automation at scale to deliver audit\-ready systems, predictive insights, and risk quantification. The role requires deep expertise in data modeling, machine learning, and advanced analytics to ensure secure, scalable, and integrated compliance platforms.
**Responsibilities**
 ᐧ Define and drive architecture and roadmap for enterprise GRC and security platforms, ensuring alignment with organizational security, audit, and compliance objectives.
 ᐧ Author technical specifications for self\-service compliance reporting, transformation of security metadata into audit\-ready artifacts, and CI/CD integration for engineering controls.
 ᐧ Design and oversee real\-time, near–real\-time, and batch data pipelines that support live dashboarding, anomaly detection, predictive modeling, and executive reporting.
 ᐧ Mentor engineering and data science teams by conducting pipeline/code reviews, promoting scalable patterns, and enabling maintainable deployment of quantitative models.
 ᐧ Govern development of certifiable reporting and audit systems, policy\-as\-code and docs\-as\-code engines, and analytics platforms supporting predictive and anomaly\-based risk intelligence.
 ᐧ Ensure secure, efficient integration and data flow across systems of record, systems of transformation, and systems of insight.
 ᐧ Implement tooling and automation that streamline compliance workflows, enable self\-service analytics, and improve quantitative risk measurement.
 ᐧ Design and enforce data models, metadata standards, lineage tracking, lifecycle management processes, and data integrity controls for structured and unstructured security\-relevant data.
 ᐧ Lead the implementation of advanced analytics capabilities leveraging statistical and ML techniques to quantify control effectiveness and risk posture.
 ᐧ Architect secure, performant integration strategies using APIs, ETL/ELT mechanisms, and workflow orchestrators; develop and manage data contracts and integration security protocols.
 ᐧ Champion platform performance, scalability, and security—ensuring confidentiality, integrity, and availability for computationally intensive risk workloads.
 ᐧ Partner with engineering teams to onboard new compliance and risk programs; enable other risk domains to leverage shared infrastructure and platform capabilities.
 ᐧ Collaborate with internal data platform teams to influence in\-house tooling that supports insight generation, workflow automation, and data\-driven risk decisions.
 ᐧ Establish and socialize engineering and data ecosystem best practices across technical and non\-technical teams, promoting standardization and design consistency.
 ᐧ Serve as an escalation point for complex technical, data quality, and model deployment issues; provide guidance on resolution paths.
 ᐧ Contribute to engineering innovations that strengthen security posture and advance the organization’s mission.
 ᐧ Contribute to engineering innovations that fuel LinkedIn’s vision and mission.
**Qualifications**
**Basic Qualifications**
 ᐧ Bachelor’s Degree in a quantitative discipline: Computer Science, Statistics, Operations Research, Informatics, Engineering, Applied Mathematics, Economics, etc.
 ᐧ 7\+ years of relevant industry experience.
 ᐧ Experience with SQL/Relational databases.
 ᐧ Background in at least one programming language (e.g., R, Python, Java, Scala, PHP, JavaScript, Python, Java and Scala).
**Preferred Qualifications**
 ᐧ BS and 11\+ years of relevant work experience, MS and 9\+ years of relevant work experience, or Ph.D. and 7\+ years of relevant work/academia experience working with large amounts of data.
 ᐧ 7\+ years in technical leadership roles for large\-scale platforms.
 ᐧ Deep experience mapping technical systems to compliance/risk frameworks.
 ᐧ Proven success launching and scaling analytics/compliance systems.
 ᐧ Experience designing and governing data models, schemas, metadata standards, and data quality controls for structured and unstructured security/compliance data.
 ᐧ Knowledge of data lineage, lifecycle management, and privacy/regulatory frameworks (e.g., GDPR, CCPA, HIPAA, SOX).
 ᐧ Experience developing analytics and ML pipelines using tools such as Spark, Databricks, Snowflake, or equivalent distributed compute frameworks.
 ᐧ Experience authoring and orchestrating data pipelines with workflow tools such as Airflow, Prefect, Flyte, or dbt.
 ᐧ Familiarity with anomaly detection, control drift analysis, predictive modeling, and quantitative risk techniques (e.g., Monte Carlo simulation, Bayesian inference, VaR).
 ᐧ Experience using BI and reporting platforms (e.g., Tableau, Power BI, Looker) to produce executive\-ready dashboards and audit artifacts.
 ᐧ Knowledge of programming languages such as Python, Scala, R, or TypeScript, and experience with ML libraries (e.g., scikit\-learn, TensorFlow, PyTorch).
 ᐧ Familiarity with integration patterns across systems of record, transformation, and insight, including data contracts, encryption, authentication, and secrets management.
 ᐧ Experience with cloud\-native compute and storage platforms (e.g., AWS, Azure, GCP), data lakes (e.g., S3, ADLS), and Git\-based source control workflows.
 ᐧ Knowledge of CI/CD, MLOps, and infrastructure\-as\-code concepts for secure, reliable model and platform deployment.
 ᐧ Experience with GRC, compliance, or security automation platforms (e.g., ServiceNow, Archer, OneTrust) and shift\-left security practices within the SDLC.
 ᐧ Familiarity with designing high\-volume, high\-reliability data foundations in large, distributed software environments.
 ᐧ Experience creating data visualizations and communicating technical concepts clearly to engineering, InfoSec, audit, and business stakeholders.
 ᐧ Demonstrated ability to mentor engineers and collaborate cross\-functionally with legal, security, and platform teams.
 ᐧ Background working in regulated or highly audited environments (e.g., finance, healthcare, government, SaaS).
**Suggested Skills**
 ᐧExperience building data science or machine learning platforms.
 ᐧExperience writing RESTful / GRPC APIs with modern frameworks.
 ᐧWeb App Development
 ᐧTechnical Leadership
 ᐧHands\-on experience in building data pipelines to transform unstructured data into structured formats, with emerging knowledge of leveraging Large Language Models (LLMs) to enhance data processing and transformation workflows.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$181,000 to $297,000\.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 annual performance bonus, stock, and benefits. For additional information, visit: LinkedIn 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01">
      <c r="A201" t="inlineStr">
        <is>
          <t>li-4328707017</t>
        </is>
      </c>
      <c r="B201" t="inlineStr">
        <is>
          <t>Senior .NET Backend Engineer - Billing Platform *Hybrid*</t>
        </is>
      </c>
      <c r="C201" t="inlineStr">
        <is>
          <t>GEICO</t>
        </is>
      </c>
      <c r="D201" t="inlineStr">
        <is>
          <t>linkedin</t>
        </is>
      </c>
      <c r="E201">
        <f>HYPERLINK("https://www.linkedin.com/jobs/view/4328707017", "https://www.linkedin.com/jobs/view/4328707017")</f>
        <v/>
      </c>
      <c r="F201" t="inlineStr"/>
      <c r="G201" t="inlineStr">
        <is>
          <t>San Francisco, CA</t>
        </is>
      </c>
      <c r="H201" t="inlineStr"/>
      <c r="I20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2">
      <c r="A202" t="inlineStr">
        <is>
          <t>li-4328876826</t>
        </is>
      </c>
      <c r="B202" t="inlineStr">
        <is>
          <t>Senior .NET Backend Engineer - Billing Platform *Hybrid*</t>
        </is>
      </c>
      <c r="C202" t="inlineStr">
        <is>
          <t>GEICO</t>
        </is>
      </c>
      <c r="D202" t="inlineStr">
        <is>
          <t>linkedin</t>
        </is>
      </c>
      <c r="E202">
        <f>HYPERLINK("https://www.linkedin.com/jobs/view/4328876826", "https://www.linkedin.com/jobs/view/4328876826")</f>
        <v/>
      </c>
      <c r="F202" t="inlineStr"/>
      <c r="G202" t="inlineStr">
        <is>
          <t>Richardson, TX</t>
        </is>
      </c>
      <c r="H202" t="inlineStr"/>
      <c r="I20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are not just an insurance company; we are a technology\-driven organization that is transforming the insurance landscape. Our mission is to leverage cutting\-edge technology to deliver exceptional experiences for our customers and create innovative solutions that redefine the industry.
**About The Team**
 The
 **Billing Platform** 
 team at GEICO oversees the tools, infrastructure, data, reporting, analytics, and services essential for delivering seamless billing experiences to internal users, end customers, and partners. Our billing platform functions as the backbone for managing financial transactions and customer interactions, enhancing efficiency, accuracy, and customer satisfaction while supporting strategic growth and ensuring compliance.
**What You Will Do**
 We are seeking a seasoned Software Engineer with extensive experience in designing, building, and maintaining large\-scale applications and distributed systems. You will become an integral part of a team dedicated to managing GEICO's core Billing Application. This platform includes a comprehensive array of components such as a core billing engine, invoicing system, commissions management, collections, payment processing, CRM integration, subscription management, credit control and dunning management, along with reporting and analytics.
***In this role, you will play a pivotal role in re\-architecting our platform from the ground up, focusing on enhancing the scalability and efficiency of our systems***
 .
**Responsibilities**
* Oversee high\-level and low\-level designs of one or more sub\-systems of the billing Application we are building
* Be responsible and accountable for the quality, reliability, usability, and performance of the solutions
* Provide strategic guidance and oversight for multiple billing teams, ensuring alignment with the Platform's technical vision and business objectives
* Lead the design and development of complex software systems, ensuring they are scalable, maintainable, and meet high\-quality standards (This includes evaluating code quality and collaborating with stakeholders to understand and implement project requirements)
* Identify and prioritize technical challenges that may pose risks to business
* Develop solutions to address these issues efficiently, ensuring smooth product development
* Work closely with various departments, including product management and design, to ensure cohesive and successful project delivery
* Facilitate effective communication and collaboration across teams to achieve common goals
* Mentor and guide engineers, fostering a culture of continuous learning and improvement
* Provide technical guidance to help team members overcome challenges and make informed decisions
**Who You Are**
 We are looking for someone who meets the minimum requirements to be considered for the role. If you meet these requirements, you are encouraged to apply. The preferred qualifications are a bonus, not a requirement.
**Minimum Requirements**
* 4\+ years of professional, hands\-on software development experience
* Strong experience in architecting and designing large\-scale, complex systems
* Proficient coding skills in .NET and/or Golang, capable of producing high\-performance, production\-quality code
* Experience with a wide range of technologies, including SQL and NoSQL databases, Kafka, Spark, Airflow, or their equivalents
* Proficient in using cloud computing tools throughout the software development lifecycle, with deep expertise in DevOps, observability, telemetry, and test automation
* Skilled in collaborating across engineering teams and other functions to build alignment, drive decision\-making, and communicate transparently
* Develop and optimize services using SQL Server, Postgres, REST APIs, microservices
* Work with Azure, Docker, Kubernetes, and automation frameworks
* Monitor and debug with App Insights, Titan, and related tools
* Experience working with XML\-based data/file systems (XPath, XSD, XML serialization in .NET etc.).
**Preferred Qualifications**
* Experience in the financial technology sector, with a focus on billing, payments, subscription management, and financial reporting
* Advanced .NET ecosystem experience (C\#, ASP.NET, Web API, REST, SQL Server, Visual Studio/VS Code)
* Proven track record in designing and implementing workflow engines
* DuckCreek product experience
* Continuous delivery / modern deployment practices ( Agile )
* GitHub Copilot / AI\-assisted development experience
**Education**
* Bachelor's and/or Master's degree, preferably in CS, or equivalent experience
 \*This is a Hybrid position working out of any of the below offices\*
 Palo Alto, CA
 Dallas, TX
 Chevy Chase, MD
**Annual Salary**
 $100,000\.00 \- $215,000\.00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03">
      <c r="A203" t="inlineStr">
        <is>
          <t>li-4328020571</t>
        </is>
      </c>
      <c r="B203" t="inlineStr">
        <is>
          <t>Full Stack Engineer</t>
        </is>
      </c>
      <c r="C203" t="inlineStr">
        <is>
          <t>Mentor Talent Acquisition</t>
        </is>
      </c>
      <c r="D203" t="inlineStr">
        <is>
          <t>linkedin</t>
        </is>
      </c>
      <c r="E203">
        <f>HYPERLINK("https://www.linkedin.com/jobs/view/4328020571", "https://www.linkedin.com/jobs/view/4328020571")</f>
        <v/>
      </c>
      <c r="F203" t="inlineStr"/>
      <c r="G203" t="inlineStr">
        <is>
          <t>New York, United States</t>
        </is>
      </c>
      <c r="H203" t="inlineStr"/>
      <c r="I203"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204">
      <c r="A204" t="inlineStr">
        <is>
          <t>li-4328687727</t>
        </is>
      </c>
      <c r="B204" t="inlineStr">
        <is>
          <t>Software Engineer, Data Migration</t>
        </is>
      </c>
      <c r="C204" t="inlineStr">
        <is>
          <t>MongoDB</t>
        </is>
      </c>
      <c r="D204" t="inlineStr">
        <is>
          <t>linkedin</t>
        </is>
      </c>
      <c r="E204">
        <f>HYPERLINK("https://www.linkedin.com/jobs/view/4328687727", "https://www.linkedin.com/jobs/view/4328687727")</f>
        <v/>
      </c>
      <c r="F204" t="inlineStr"/>
      <c r="G204" t="inlineStr">
        <is>
          <t>Montana, United States</t>
        </is>
      </c>
      <c r="H204" t="inlineStr"/>
      <c r="I204" t="inlineStr">
        <is>
          <t>MongoDB is expanding a development team in North America working on tooling that helps customers migrate data from relational databases to MongoDB. Tools developed by the Data Migration team help application developers with schema modeling, type conversions, data sync, change data capture and so on.
 MongoDB is looking for a software engineer with experience in the Java ecosystem and streaming systems to join the team. Our main technology stack includes Java, Spring Boot, Apache Kafka, and React. A successful candidate will collaborate closely with product management and engineers on the team to help drive the design and implementation of a cutting edge product.
 This role will be based out of North America in the PST and MST zones only.
 The ideal candidate for this role will have
* 2\-3 years of commercial software development experience with at least one JVM language such as Java, preferably using the Spring ecosystem
* Experience with relational data modeling and at least one SQL database (Postgres, MySQL, etc)
* Basic familiarity with streaming systems such as Apache Kafka, AWS SQS, etc
* Basic familiarity with client\-side technologies such as React
* Good understanding of algorithms, data structures and their time and space complexity
* Curiosity, a positive attitude, and a drive to continue learning
* Excellent verbal and written communication skills
 Position Expectations
* Collaborate with product management, product designers and other engineers
* Contribute high quality and well\-tested backend code to the data migration engine its surrounding services
* Participate in code reviews and team technical discussions
* Give and solicit feedback on technical design documents and pull requests
* Perform tasks related to process such as CI/CD, quality, testing, etc
 Success Measures
 Within the first three months, you will have:
* Familiarised yourself with the MongoDB database and aggregation language
* Familiarised yourself with the backend tech stack including Java, Spring Boot, and Kafka
* Set up software development infrastructure (tech stack, build tools, etc) to enable development using the relevant tech stacks
* Started collaborating with your peers and contributed to code reviews
 Within six months, you will have:
* Familiarised yourself with the rest of our codebase including the frontend stack, Confluent plugins, GitHub workflows, etc
* Worked on and delivered a medium scale feature in the product
* Contributed to and helped deliver a few releases of the product
* Reviewed and contributed to scope and technical design documents
 Within 12 months, you will have:
* Familiarised yourself with the work of other teams within the department
* Delivered at least one large scale feature that spans the entire tech stack
* Helped recruit and interview new members of the team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425547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$135,000—$202,500 USD</t>
        </is>
      </c>
    </row>
    <row r="205">
      <c r="A205" t="inlineStr">
        <is>
          <t>li-3980088205</t>
        </is>
      </c>
      <c r="B205" t="inlineStr">
        <is>
          <t>Software Engineer, Query Engine &amp; Distributed Systems</t>
        </is>
      </c>
      <c r="C205" t="inlineStr">
        <is>
          <t>Conviva</t>
        </is>
      </c>
      <c r="D205" t="inlineStr">
        <is>
          <t>linkedin</t>
        </is>
      </c>
      <c r="E205">
        <f>HYPERLINK("https://www.linkedin.com/jobs/view/3980088205", "https://www.linkedin.com/jobs/view/3980088205")</f>
        <v/>
      </c>
      <c r="F205" t="inlineStr"/>
      <c r="G205" t="inlineStr">
        <is>
          <t>Foster City, CA</t>
        </is>
      </c>
      <c r="H205" t="inlineStr"/>
      <c r="I205" t="inlineStr">
        <is>
          <t>**Conviva is the intelligence layer for digital businesses, turning every consumer interaction into outcome\-based intelligence—linking engagement patterns across AI agents, apps, websites, and streaming video to real results such as purchases, bookings, and resolved support requests. Powered by its patented Time\-State Technology®, the Conviva® Operational Data Platform delivers real\-time insights and automation that help leading enterprises grow, improve satisfaction, and build lasting trust.**
 Conviva engineers build and operate distributed systems that handle five trillion events every day, achieving performance at a scale comparable to the world's largest analytics platforms.
 We are looking for a highly motivated and self\-driven backend engineer who is passionate about distributed systems, large\-scale data infrastructure, and performance optimization. In this role, you will design and build core components of Conviva's real\-time analytics platform, collaborating with a small, world\-class team where every technical decision matters. Our engineers combine academic depth with practical innovation, contributing to research publications and advancing the state of large\-scale distributed data systems.
**What Success Will Look Like**
* Design and develop our specialized, high\-performance query engine layer, to handle complex stateful patterns and real\-time analytics.
* Develop advanced query optimization strategies and performance modeling tools to ensure low\-latency responses across trillion\-event datasets.
* Architect and evolve distributed system components that prioritize scalability and fault tolerance for next\-generation OLAP workloads.
* Partner with cross\-functional teams to identify and unlock latent capabilities within our storage and query infrastructure.
* Refine the core data processing layer to maximize efficiency and reliability across massive, high\-cardinality datasets.
* Facilitate seamless data flow by integrating high\-performance analytical solutions into the broader distributed ecosystem.
* Stay up to date with advancements in distributed databases, stream processing frameworks, and cloud infrastructure, evaluating new technologies for their impact and scalability.
**Who You Are \&amp; What You've Done**
* BS, MS, or PhD in Computer Science or a related field.
* Strong foundation in computer science fundamentals, including algorithms, data structures, and networking.
* Proficiency in C\+\+, Rust, Scala, Java, or similar systems programming language.
* Proven experience designing or building large\-scale distributed systems, ideally in production environments.
* Hands\-on experience with big data platforms and query engines (e.g., ClickHouse, Apache Druid, Presto, BigQuery, and others).
* Familiarity with distributed stream processing frameworks such as Akka Streams, Apache Spark, or Apache Flink.
* Demonstrated expertise in performance analysis and tuning for distributed systems.
* Strong collaborator with experience mentoring others, driving initiatives, and contributing to a positive engineering culture.
* Adaptable and comfortable working in a fast\-paced, evolving environment.
**Preferred Qualifications**
* Experience building and scaling systems in SaaS or data infrastructure environments.
* Contributions to open\-source projects in distributed systems, databases, or analytics.
* Knowledge of OLAP architecture, columnar storage, and high\-performance query execution.
*The expected salary range for this full\-time position is $170,000 \- $230,000 \+ equity \+ benefits. Compensation and actual level will be determined by numerous factors such as your qualifications, experience, and relevant education or training.*
**To learn more about how Conviva can help improve the performance and outcomes of your digital services, visit www.conviva.com**</t>
        </is>
      </c>
    </row>
    <row r="206">
      <c r="A206" t="inlineStr">
        <is>
          <t>li-4286819843</t>
        </is>
      </c>
      <c r="B206" t="inlineStr">
        <is>
          <t>Senior Software Engineer, Infrastructure, Google Cloud AI</t>
        </is>
      </c>
      <c r="C206" t="inlineStr">
        <is>
          <t>Google</t>
        </is>
      </c>
      <c r="D206" t="inlineStr">
        <is>
          <t>linkedin</t>
        </is>
      </c>
      <c r="E206">
        <f>HYPERLINK("https://www.linkedin.com/jobs/view/4286819843", "https://www.linkedin.com/jobs/view/4286819843")</f>
        <v/>
      </c>
      <c r="F206" t="inlineStr"/>
      <c r="G206" t="inlineStr">
        <is>
          <t>Sunnyvale, CA</t>
        </is>
      </c>
      <c r="H206" t="inlineStr"/>
      <c r="I206" t="inlineStr">
        <is>
          <t>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7">
      <c r="A207" t="inlineStr">
        <is>
          <t>li-4328733952</t>
        </is>
      </c>
      <c r="B207" t="inlineStr">
        <is>
          <t>Staff Software Engineer</t>
        </is>
      </c>
      <c r="C207" t="inlineStr">
        <is>
          <t>Carrot</t>
        </is>
      </c>
      <c r="D207" t="inlineStr">
        <is>
          <t>linkedin</t>
        </is>
      </c>
      <c r="E207">
        <f>HYPERLINK("https://www.linkedin.com/jobs/view/4328733952", "https://www.linkedin.com/jobs/view/4328733952")</f>
        <v/>
      </c>
      <c r="F207" t="inlineStr"/>
      <c r="G207" t="inlineStr"/>
      <c r="H207" t="inlineStr"/>
      <c r="I207" t="inlineStr">
        <is>
          <t>**About Carrot:** 
 Carrot is a global, comprehensive fertility and family care platform, supporting members and their families through many of life's most memorable moments. Trusted by many of the world’s leading multinational employers, health plans, and health systems, Carrot’s proven clinical program delivers exceptional outcomes and experiences for members and industry\-leading cost\-savings for employers. Its award\-winning products serve all populations, from preconception care through pregnancy, IVF, male factor infertility, adoption, gestational carrier care, and menopause. Carrot offers localized support in over 170 countries and 25 languages. With a comprehensive program that prioritizes clinical excellence and human\-centered care, Carrot supports members and their families through many of the most meaningful moments of their lives. Learn more at get\-carrot.com.
**The Role:** 
 We are looking for a Staff Software Engineer, Payments to join our Product and Engineering Team. You will be the technical lead for Carrot’s financial systems, with a focus on payments infrastructure. In this highly visible and hands\-on role, you will architect and build core systems that move money securely and reliably to our global members and customers.
 As a foundational member of our financial engineering function, you’ll shape the long\-term direction of our payments architecture. You will own technical outcomes and collaborate across teams to deliver scalable solutions that meet evolving business needs. You thrive in fast\-paced environments, take initiative in the face of ambiguity, and balance quick wins with long\-term maintainability.
 You’ll report to a Lead Engineer of a new Payments financial team at Carrot and work closely with them, as well as our VP of Payments, to help define objectives and execute on strategy.
 You’ll partner with Product, Finance, and other teams to design and build secure, resilient systems. Your work will include integrating external SaaS tools and building internal infrastructure that is accurate, compliant, and easy to maintain. While the focus is backend and systems architecture, this is a full\-stack role. You should be confident in contributing across the stack, including APIs, frontend, and infrastructure.
**The Team:** 
* We are a fast\-moving, adaptable, and highly collaborative group of skilled Engineers, Engineering leaders, Product leaders, and Designers, working with teams across the organization cross\-functionally to enable cohesive solutions across the product and business.
* Our engineers work closely with external vendors to move funds accurately and quickly to members, customers, and partners across global markets.
* We aim to build systems that are scalable, transparent, and easy to evolve as Carrot’s offerings expand.
* We favor a Lean approach to our product development, following the parts of agile that work best for us.
* We’re empowered to make local decisions, reducing the overhead of getting things done.
* We highly value having effective feedback mechanisms alongside empowerment to support continuous iterative improvements in all we do, to achieve better outcomes together.
* We welcome new technologies and are constantly self\-evaluating our tools to ensure they are solving our needs.
**Minimum Qualifications:** 
* 5\+ years of professional software development experience
* You have 2\+ years of experience as a Staff or Lead\-level engineer with full\-stack responsibilities.
* Experience in fintech, payments, or financial systems.
* Strong technical skills across backend development, systems design, and vendor integration.
* Experience integrating with SaaS\-based financial tools or payment platforms (e.g. Stripe, Airwallex, Modern Treasury, Plaid).
* You thrive in leading through complexity and ambiguity, adapting to emerging challenges and business demands, while thoughtfully but pragmatically considering tradeoffs to make informed decisions.
* You understand that there is not a one\-size\-fits\-all decision engine for how we build Carrot’s product. A blank piece of paper doesn’t scare you, and you are excited to contribute to products from the ground up.
* You are comfortable interfacing across an organization, collaborating closely with various functions, and influencing the direction of solutions to meet goals.
* You build strong relationships and trust among your team and cross\-functionally to enable higher impact of the work you are doing together.
* You understand that varying personalities and backgrounds will represent engineering competencies and principles in different ways.
* You celebrate your team, and you find the time to provide feedback to your teammates, understanding the value of feedback.
* You take pride in our mission: fertility care for all.
**Preferred Qualifications:** 
* Experience using AI tools and integrating AI into workflows and solutions
* Experience working in a startup environment or on lean teams where you’ve worn multiple hats.
* Familiarity with accounting, ledgering, or reconciliation systems.
* Experience working with international payments or multi\-currency systems.
* Experience building an MVC framework based application
* C\#, .NET Core
* JS \+ Typescript, React
**Compensation:** 
 Carrot offers a holistic Total Rewards package designed to support our employees in all aspects of their life inside and outside of work, including health and wellness benefits, retirement savings plans, short\- and long\-term incentives, parental leave, family\-forming assistance, and a competitive compensation package. The starting base salary for this position will range from $165,000\.00 \- $190,000\.00\. Actual compensation may vary from posted base salary depending on your confirmed job\-related skills and experience. 
**Fraud and Security Notice:** 
 Please note that all communication regarding job opportunities at Carrot will come exclusively from an @get\-carrot.com email address. If you receive messages from any other domain, please disregard them and report the incident to: securityreporting@get\-carrot.com
**Why Carrot?** 
 Carrot has received national and international recognition for its pioneering work, including Fast Company's Most Innovative Companies and World Changing Ideas, Inc. Power Partners, and Modern Healthcare’s Innovators. Carrot’s global workforce has been acknowledged with several accolades, including Fortune’s Best Workplaces in Healthcare, Great Place to Work, and Age\-Friendly Employer certifications. Carrot is regularly featured in media reporting on issues related to the future of work, women in leadership, and healthcare innovation, including MSNBC, The Economist, Bloomberg, The Wall Street Journal, CNBC, National Public Radio, Harvard Business Review, and more. Learn more at carrotfertility.com.</t>
        </is>
      </c>
    </row>
    <row r="208">
      <c r="A208" t="inlineStr">
        <is>
          <t>li-4305155896</t>
        </is>
      </c>
      <c r="B208" t="inlineStr">
        <is>
          <t>Staff Software Engineer</t>
        </is>
      </c>
      <c r="C208" t="inlineStr">
        <is>
          <t>Wonder</t>
        </is>
      </c>
      <c r="D208" t="inlineStr">
        <is>
          <t>linkedin</t>
        </is>
      </c>
      <c r="E208">
        <f>HYPERLINK("https://www.linkedin.com/jobs/view/4305155896", "https://www.linkedin.com/jobs/view/4305155896")</f>
        <v/>
      </c>
      <c r="F208" t="inlineStr"/>
      <c r="G208" t="inlineStr">
        <is>
          <t>New York, NY</t>
        </is>
      </c>
      <c r="H208" t="inlineStr"/>
      <c r="I208"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Opportunity**
 We're looking for a product\- minded Staff Backend Engineer to drive our restaurant platform forward. As an individual contributor on the Wonder Tech Team, you will be critical in developing our Kitchen Display System— the primary system that will power our restaurants as we expand from tens to hundreds of locations across the country. Specifically, you will be a key player in our kitchen sequencing initiative, building and optimizing the systems that determine how orders are prepared. You will design and implement features that optimize complex operational flows, enable operational analytics, and simplify the preparation of high quality food across dozens of restaurants and hundreds of menu items.
****The Impact You Will Make****
* Working closely with operations researchers, product managers, product designers, and other engineers to design and build transformative systems including our kitchen sequencing and kitchen display system
* Leading technical projects from planning through execution and delivery
* Collaborating with Operations Researchers and Product Managers to translate advanced optimization algorithms into robust, scalable, and production ready code
* Enhance our KDS simulator, transforming it into a standalone, modular tool for offline research and "what\-if" analysis
* Develop and maintain data infrastructure for real\-time and historical data inputs, including lab or data, appliance capacity, and line build times, to feed our sequencing algorithms
* Design and implement robust monitoring, alerting, and telemetry systems to ensure the operational excellence of our sequencing services
* Designing and maintaining distributed systems comprised of both synchronous and asynchronous services, as well as data infrastructure with varied consistency guarantees and performance characteristics
* Working with public cloud infrastructure such as Azure, AWS, or GCP
* Working with modern orchestration and containerization products such as Kubernetes, Docker, etc.
**What You Bring To The Table**
* Bachelor's or Master's degree in Computer Science or equivalent experience
* 5\-8\+ years of experience in software engineering
* Proven experience in implementing high\-quality systems
* Deep proficiency with one or more modern programming languages: Java, Scala, Kotlin, C\#, C\+\+, etc.
* Deep proficiency with both relational and document databases: MySQL, Postgres, CosmosDB, MongoDB, etc.
* Strong problem\-solving skills and the ability to troubleshoot complex technical challenges.
* Excellent communication and interpersonal skills
**What You're Passionate About**
* Creating clean, well\-documented, and easily maintainable code
* Achieving operational excellence in the development lifecycle
* Robust integration and unit tests that support confident deployment of complex feature and system changes
* Strong opinions on CI/CD and how application teams work within the platform
* Understanding every aspect of your systems, particularly through the collection of telemetry data
**Got these? Even Better!**
* Strong working knowledge of Java and the JVM
* Experience with microservice architectures
 Our hybrid model requires 3 days a week in the office. That said, many team members choose to come in more often to take advantage of in\-person collaboration and connection. You're welcome—and encouraged—to be in the office up to 5 days a week if it works for you.
**Base Salary:** 
 $208,500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09">
      <c r="A209" t="inlineStr">
        <is>
          <t>li-4354445723</t>
        </is>
      </c>
      <c r="B209" t="inlineStr">
        <is>
          <t>Senior Software Engineer, Cameras and Imaging for Mapping</t>
        </is>
      </c>
      <c r="C209" t="inlineStr">
        <is>
          <t>Google</t>
        </is>
      </c>
      <c r="D209" t="inlineStr">
        <is>
          <t>linkedin</t>
        </is>
      </c>
      <c r="E209">
        <f>HYPERLINK("https://www.linkedin.com/jobs/view/4354445723", "https://www.linkedin.com/jobs/view/4354445723")</f>
        <v/>
      </c>
      <c r="F209" t="inlineStr"/>
      <c r="G209" t="inlineStr">
        <is>
          <t>Mountain View, CA</t>
        </is>
      </c>
      <c r="H209" t="inlineStr"/>
      <c r="I209" t="inlineStr">
        <is>
          <t>**Minimum qualifications:**
* Bachelor’s degree or equivalent practical experience.
* 5 years of experience developing software using C\+\+.
* 3 years of experience testing, maintaining, or launching software products, and 1 year of experience with software design and architecture.
* Experience in image processing, image quality evaluation, or camera tuning.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computer science problems, designing beautiful and intuitive product experiences, and improving our understanding of the real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li-4361370975</t>
        </is>
      </c>
      <c r="B210" t="inlineStr">
        <is>
          <t>Software Engineer II - CoreAI</t>
        </is>
      </c>
      <c r="C210" t="inlineStr">
        <is>
          <t>Microsoft</t>
        </is>
      </c>
      <c r="D210" t="inlineStr">
        <is>
          <t>linkedin</t>
        </is>
      </c>
      <c r="E210">
        <f>HYPERLINK("https://www.linkedin.com/jobs/view/4361370975", "https://www.linkedin.com/jobs/view/4361370975")</f>
        <v/>
      </c>
      <c r="F210" t="inlineStr"/>
      <c r="G210" t="inlineStr">
        <is>
          <t>Redmond, WA</t>
        </is>
      </c>
      <c r="H210" t="inlineStr"/>
      <c r="I210" t="inlineStr">
        <is>
          <t>**Overview**
 Our team is responsible for developing and maintaining the mission\-critical storage service that captures and serves the output of every build across Microsoft.
 As a Software Engineer II in Azure Artifacts you will be designing and implementing new features in our distributed storage service and participating in our devops support rotation. You will also search for ways to improve the reliability and scale of our systems. This opportunity will allow you to grow your distributed systems knowledge, proven engineering fundamentals and live site discipline.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Our team is responsible for developing and maintaining the mission\-critical storage service that captures and serves the output of every build across Microsoft.
 As a Software Engineer II in Azure Artifacts you will be designing and implementing new features in our distributed storage service and participating in our devops support rotation. You will also search for ways to improve the reliability and scale of our systems. This opportunity will allow you to grow your distributed systems knowledge, proven engineering fundamentals and live site discipline.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 Bachelor's Degree in Computer Science or related technical field AND 2\+ years technical engineering experience with coding in languages including, but not limited to, C, C\+\+, C\#, Java, JavaScript, or Python OR equivalent experience.
**Other Requirements**
* The ability to meet Microsoft, customer, and/or government security screening requirements is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2\+ year(s) experience in C\# and the .NET ecosystem.
* 1\+ year(s) of experience with Cloud Services
* 6\+ months of experience using AI\-assisted development tools (e.g., GitHub Copilot, or similar) to enhance productivity and code quality.
* Experience maintaining and improving complex codebases.
* Experience writing highly concurrent services and implementing optimizations at scale.
* Experience debug problems in distributed systems and production services.
* Experience working in an operations\-focused environment with on\-call rotations.
* Experience with Kubernetes or similar cloud platforms.
**\#CoreAI**
**\#1ES**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1">
      <c r="A211" t="inlineStr">
        <is>
          <t>li-4338560082</t>
        </is>
      </c>
      <c r="B211" t="inlineStr">
        <is>
          <t>Software Engineer II</t>
        </is>
      </c>
      <c r="C211" t="inlineStr">
        <is>
          <t>Warner Bros. Discovery</t>
        </is>
      </c>
      <c r="D211" t="inlineStr">
        <is>
          <t>linkedin</t>
        </is>
      </c>
      <c r="E211">
        <f>HYPERLINK("https://www.linkedin.com/jobs/view/4338560082", "https://www.linkedin.com/jobs/view/4338560082")</f>
        <v/>
      </c>
      <c r="F211" t="inlineStr"/>
      <c r="G211" t="inlineStr">
        <is>
          <t>Bellevue, WA</t>
        </is>
      </c>
      <c r="H211" t="inlineStr"/>
      <c r="I21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Are you an enthusiastic
 Backend Developer looking for exciting opportunities to work on large\-scale software projects? We are seeking a talented individual who is customer\-obsessed, data\-driven, and committed to operational excellence. If you appreciate the holistic nature of software development, enjoy collaborating with multiple teams, and are excited about AI and innovation, we want to hear from you!
 Meet Our Team:
 DTC’s software engineering teams develop applications for the web, mobile, tablets, connected TVs, consoles, and other streaming devices. Customers begin their experience with WBD through DTC’s Global Consumer Identity and Authentication team, which manages authentication and authorization processes across all WBD brands. This is a global engineering group that supports WBD’s ongoing development.
 We are hiring a
**Software Engineer II**
 in Bellevue, WA. Seeking a customer\-focused, data\-driven engineer who thrives in cross\-functional teams to help build services used by millions.
 Roles \&amp; Responsibilities:
* Build and support scalable backend systems with multiple languages and frameworks.
* Adhere to and champion the highest standards of code quality, performance, security, and reliability
 .
* Champion customer\-first mindset, prioritizing user needs and feedback.
* Learn from
 operational
 data to continuously improve and optimize software solutions.
* Collaborate with cross\-functional teams to enhance application performance and user experience.
* Embrace
 latest advancements in AI and explore opportunities to integrate AI\-driven solutions.
* Engage in code reviews, offer constructive feedback, and provide mentorship to junior developers.
 Qualifications:
* At least
**3 years**
 of professional experience in software engineering, including building secure and scalable services for platforms supporting millions of users.
* Experience in service design;
**coding experience with Java
 Vertx
 and Spring Boot**
 ,
 including writing code that is clean, efficient, and maintainable.
 Experience with AWS Kubernetes and Kafka are a bonus.
* Proven focus on operational excellence for large\-scale cloud services, including CI/CD, high availability, scalability, and proactive issue detection with monitoring tools.
* Strong analytical skills and data\-driven problem solving.
* Excellent communication and teamwork, with a focus on knowledge sharing.
* Curious about
 AI\-based methods for increasing productivity and improving user experience with our products.
* We work with technologies such as Postgres, DynamoDB, Redis, Terraform, Telegraph, Grafana, Prometheus, and GitHub, where familiarity is beneficial.
* Strong grasp of computer science fundamentals and knowledge in full system flows (client\-server, server\-to\-server), with proven independent testing and troubleshooting skills across the stack.
 Why Join Us?
* Work on
 innovative
 projects that impact millions of users.
* Collaborate with a diverse and talented team of professionals.
* Opportunities for continuous learning and career growth.
* A supportive and inclusive work environment that values innovation and creativity.
* Competitive compensation and benefits package.
 On June 9, 2025, Warner Bros. Discovery announced plans to separate into two publicly traded companies, Warner Bros. and Discovery Global, with an expected completion in mid\-2026\. For more details, including leadership appointments and information on individual brands, please visit our newsroom here.
 Although you will be hired by Warner Bros. Discovery, upon the planned separation in 2026, your employment likely will transition to Warner Bros. During this period of transformation, you’ll have an exciting opportunity to lay the foundation at one of the world’s premier entertainment brands.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$99,400\.00 \- $184,600\.00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212">
      <c r="A212" t="inlineStr">
        <is>
          <t>li-4345844372</t>
        </is>
      </c>
      <c r="B212" t="inlineStr">
        <is>
          <t>Sr Software Engineer</t>
        </is>
      </c>
      <c r="C212" t="inlineStr">
        <is>
          <t>Mobilisights</t>
        </is>
      </c>
      <c r="D212" t="inlineStr">
        <is>
          <t>linkedin</t>
        </is>
      </c>
      <c r="E212">
        <f>HYPERLINK("https://www.linkedin.com/jobs/view/4345844372", "https://www.linkedin.com/jobs/view/4345844372")</f>
        <v/>
      </c>
      <c r="F212">
        <f>HYPERLINK("https://FCA.contacthr.com/149220381&amp;urlHash=Jrpi", "https://FCA.contacthr.com/149220381&amp;urlHash=Jrpi")</f>
        <v/>
      </c>
      <c r="G212" t="inlineStr">
        <is>
          <t>Auburn Hills, MI</t>
        </is>
      </c>
      <c r="H212" t="inlineStr"/>
      <c r="I212" t="inlineStr">
        <is>
          <t>**About Mobilisights**
 Mobilisights, part of the Stellantis Group, is a global data business unit on a mission to unlock the power of connected car data. With access to one of the largest fleets of connected vehicles worldwide, we create innovative data\-driven services that empower smarter mobility, improve safety, and accelerate sustainable solutions.
 We process large\-scale, real\-time data flows from millions of connected vehicles. This is a unique chance to work at the intersection of IoT, automotive, and cloud technologies, where challenges in scalability, performance, and innovation are part of the everyday fun.
 If you’re passionate about Node.js, cloud\-native systems, serverless, and the future of connected cars, you’ll feel right at home with us.
**Job Description**
* Design, develop, and maintain backend services using Node.js and TypeScript
* Build APIs and backend systems with Express and NestJS
* Architect and scale cloud\-native systems on AWS (EKS, Lambda, SQS, Kinesis, API Gateway, etc.)
* Implement serverless, microservices, maintain and segment monolithic architectures, choosing the right approach for each project
* Design and optimize real\-time event\-driven data pipelines handling millions of connected car events daily
* Build and optimize data access layers with Mongoose, DocumentDB, and PostgreSQL
* Develop and maintain containerized applications with Docker and Kubernetes (EKS)
* Contribute to architectural discussions and ensure services are scalable, secure, and resilient
* Design and implement foundations of operational excellence, ensuring best practices in monitoring, alerting, and reliability
* Provide on\-call support for the platform and troubleshoot production issues to maintain high availability
* Mentor junior engineers and foster a positive, knowledge\-sharing culture
 This position is hybrid. The expectation is 3 days a week on\-site in Auburn Hills, MI.
**Basic Qualifications**
* Bachelor’s degree in Computer Engineering, Electrical Engineering, Computer Science, or a related field
* A minimum of 8 years of professional experience in backend/software engineering, including a minimum of 6 years hands\-on with Node.js (JavaScript/TypeScript)
* Solid experience with Express and/or NestJS
* Proven ability to design and operate large\-scale distributed systems
* Strong knowledge of AWS cloud services, including serverless architectures (Lambda, API Gateway)
* Experience with SQL \&amp; NoSQL databases (PostgreSQL, MongoDB/DocumentDB)
* Practical knowledge of event\-driven architectures and real\-time data flows
* Curiosity and enthusiasm for IoT and connected vehicle technologies
* Excellent problem\-solving skills and a collaborative mindset
* Strong communication skills in English
**Preferred Qualifications**
* CI/CD pipeline experience (GitLab, Jenkins, etc.)
* Familiarity with monitoring and logging tools (CloudWatch, ELK, Prometheus, etc.)
* Awareness of data privacy and compliance (e.g. GDPR)
**Our Benefits — Designed With You In Mind**
**Comprehensive Health \&amp; Well\-being Coverage**
 From your very first day, you’ll have access to medical, dental, vision, and prescription drug coverage — ensuring you and your family stay healthy and protected. Also, our Employee Assistance Program (EAP) offers confidential support for personal and professional challenges, always ready when you need it.
**Family Building Benefit**
 We proudly support all paths to parenthood\- including fertility and infertility treatments, adoption services, and gestational surrogacy.
**Generous Paid Time Off**
 We believe in work\-life balance. That’s why we offer: 17\+ paid holidays, including shut\-down from December 24th through New Years Day every year. Vacation, float \&amp; wellbeing days, sick time and fully paid parental leave when your family needs you most.
**Competitive Retirement Savings Plans**
**We Help You Plan For The Future With**
* An employer match on contributions to your 401k, Roth, and Catch\-Up plans
* An employer contribution, even if you don’t contribute
**Income Protection \&amp; Insurance Options**
 Benefit from both employer\-provided and voluntary plan offerings, including life insurance, group accident, critical illness, etc. \- supporting the needs of you and your family and ensuring peace of mind.
**Company Vehicle Lease Program**
 Eligible employees and their immediate families can participate in the company vehicle lease program, providing access to Stellantis vehicles with insurance, maintenance, and unlimited miles included. Plus, take advantage of exclusive discounts on Stellantis products.
**Support for Your Growth and Giving Back**
 We believe in investing in your future and your passions:
* Tuition reimbursement
* Student loan refinancing programs
* 18 paid volunteer hours each year to make a difference in your community
**And so much more!**
 When you join us, you’re not just building a career — you’re joining a company that supports you, inside and outside of work.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EOE / Disability / Veteran</t>
        </is>
      </c>
    </row>
    <row r="213">
      <c r="A213" t="inlineStr">
        <is>
          <t>li-4327966247</t>
        </is>
      </c>
      <c r="B213" t="inlineStr">
        <is>
          <t>Software Engineer (NonStop)</t>
        </is>
      </c>
      <c r="C213" t="inlineStr">
        <is>
          <t>comforte AG</t>
        </is>
      </c>
      <c r="D213" t="inlineStr">
        <is>
          <t>linkedin</t>
        </is>
      </c>
      <c r="E213">
        <f>HYPERLINK("https://www.linkedin.com/jobs/view/4327966247", "https://www.linkedin.com/jobs/view/4327966247")</f>
        <v/>
      </c>
      <c r="F213" t="inlineStr"/>
      <c r="G213" t="inlineStr"/>
      <c r="H213" t="inlineStr"/>
      <c r="I213" t="inlineStr">
        <is>
          <t>**We are dedicated to our People** 
 We care. We put people first and we promote individual freedom. It is why we strive to secure personal data with integrity and passion to make our customer’s everyday life more comfortable and secure.
 We empower our people to grow and to learn from their experience, and in return we are rewarded with team spirit and great results.
**Purpose of the role** 
 In your role as a Software Engineer you will join a small globally\-dispersed team in maintaining, developing and supporting a range of comforte products used both internally and by our customers on their mission\-critical NonStop servers.
 This role is a great opportunity for a developer who has a personal interest in, or professional experience with Cryptography, and Windows/Linux or NonStop development.
**Key responsibilities and tasks** 
* Analysis of new feature requests and implementation into products
* Analysis of software defects, design, implementation and testing of defect fixes
* Providing product expertise to the rest of the company for products maintained by the team
* Providing 2nd and 3rd level support to customers for a variety of comforte products
* Specification of tests for QA team to build
**Professional skills and knowledge** 
 Required
* Development skills on Linux, Windows or NonStop platform in C or C\+\+
* Desire to learn new tools, new OS environments, skills and products
 Desirable
 The skills and knowledge listed below are used within the team. Knowledge that you don’t already have in these areas may be acquired as you need it for a specific product.
* Development skills in one or more of C, TAL (NonStop related), Java, C\#, VB.NET and COBOL
* Experience with any of the following technologies in a development situation would be advantageous: TCP/IP sockets programming, TLS, REST, SOAP
* A strong plus is knowledge in Cryptography, particularly in OpenSSL libraries.
* git
* Scripting (Python, Bash, PowerShell)
* make
* Docker
* NonStop experience with knowledge on the following topics is valuable but not required: Inter\-process messaging, Debugging tools, General development knowledge on the platform, Pathway, Socket programming
* Fluency in languages other than English may be valuable but not required. Comforte has a global customer base so this can be useful in your regular role and across teams where this helps.
**Personal skills** 
* Willing to continuously learn and improve skills to keep up with technology changes
* Happy to take on a leadership role as and when circumstances require this
* Comfortable discussing technical topics directly with customers
* Open to dealing with new and old technologies
* Self\-learner with an ability to work independently under minimal supervision
**Value driven professional** 
 Humble
* Ready to listen and to share expertise and best practice across own team
* Open for feedback and flexibility to adapt
 Ambitious
* Taking accountability to drive results
* Going the extra mile for great customer experience
 Smart
* Ability to prioritize multiple tasks and to set focus
* Passionate to find pragmatic solutions and to innovate
 Humane
* Caring for other’s well\-being in a remote working environment
* Advocates diversity and fairness
**Qualification** 
* 5\+ years of experience in development roles on the Linux/Windows or NonStop platform.
* Degree in computer science, mathematics, engineering or a pure science
**Why join us** 
* Individual freedom – tell us what’s important for YOU!
* Culture of trust, appreciation, innovation and opportunities
* The opportunity to make a difference in an agile and fun environment
* Work with clients in various industries around the world
* The opportunity to grow continuously as our technology field is so dynamic
* Competitive compensation and benefits package including profit sharing</t>
        </is>
      </c>
    </row>
    <row r="214">
      <c r="A214" t="inlineStr">
        <is>
          <t>li-4247576544</t>
        </is>
      </c>
      <c r="B214" t="inlineStr">
        <is>
          <t>Sr. Staff Software Engineer — Agentic AI &amp; Digital Experience</t>
        </is>
      </c>
      <c r="C214" t="inlineStr">
        <is>
          <t>Zscaler</t>
        </is>
      </c>
      <c r="D214" t="inlineStr">
        <is>
          <t>linkedin</t>
        </is>
      </c>
      <c r="E214">
        <f>HYPERLINK("https://www.linkedin.com/jobs/view/4247576544", "https://www.linkedin.com/jobs/view/4247576544")</f>
        <v/>
      </c>
      <c r="F214" t="inlineStr"/>
      <c r="G214" t="inlineStr">
        <is>
          <t>San Jose, CA</t>
        </is>
      </c>
      <c r="H214" t="inlineStr"/>
      <c r="I214"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Our Engineering team built the world’s largest cloud security platform from the ground up, and we keep building. With more than 100 patents and big plans for enhancing services and increasing our global footprint, the team has made us and our multitenant architecture today's cloud security leader, with more than 15 million users in 185 countries. Bring your vision and passion to our team of cloud architects, software engineers, security experts, and more who are enabling organizations worldwide to harness speed and agility with a cloud\-first strategy.
**Responsibilities**
 We’re looking for an experienced Sr. Staff Software Engineer to join our Digital Experience team. This role is hybrid and based in our San Jose, CA office three days a week. Reporting to the Sr. Director, Software Engineering, you'll be responsible for:
* Own agentic AI delivery end\-to\-end, including framing high\-impact use cases, designing agent workflows (tool use, planning, memory, context), and building frameworks for all products
* Evaluate and integrate state\-of\-the\-art GenAI advances (e.g., LLMs/SLMs, retrieval, fine\-tuning, inference optimization) to deliver reliable and cost\-efficient production features
* Design, implement, and operate scalable production systems, including microservices, data pipelines, orchestration, and caching
* Partner with Product, UX, and customers to turn ambiguous problems into measurable outcomes with clear SLAs, telemetry, and feedback loops
**What We’re Looking For (Minimum Qualifications)**
* BS in Computer Science (or related field) with 7\+ years of experience, or MS/PhD in Computer Science (or related field) with 6\+ years of experience solving real\-world problems using AI/ML and distributed systems
* Proficiency in programming, data structures, algorithms, and machine learning, with exceptional problem\-solving skills driven by first\-principles thinking
* Experience in the full lifecycle of ML models, including building, deployment, monitoring, and optimization
* Hands\-on experience with modern GenAI stacks (e.g., LangChain/LangGraph, CrewAI, vector stores, RAG, prompts/memory, evaluators)
* Expertise in designing and operating distributed microservices (e.g., Kubernetes, Docker, CI/CD pipelines, observability, AWS/GCP/Azure) and writing production\-grade code in Python, Go, or Java
**What Will Make You Stand Out (Preferred Qualifications)**
* Experience fine\-tuning and deploying proprietary SLMs/LLMs at scale, with a focus on optimizing latency, cost, safety, and evaluations
* Experience delivering production\-ready agentic systems, including expertise in context engineering and memory management strategies
* Proven ability to design and implement high\-performance, resilient systems with well\-defined service\-level objectives (SLOs)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$147,000 \- $220,000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215">
      <c r="A215" t="inlineStr">
        <is>
          <t>li-4328725199</t>
        </is>
      </c>
      <c r="B215" t="inlineStr">
        <is>
          <t>Senior Systems Software Engineer, Base OS - NPI</t>
        </is>
      </c>
      <c r="C215" t="inlineStr">
        <is>
          <t>NVIDIA</t>
        </is>
      </c>
      <c r="D215" t="inlineStr">
        <is>
          <t>linkedin</t>
        </is>
      </c>
      <c r="E215">
        <f>HYPERLINK("https://www.linkedin.com/jobs/view/4328725199", "https://www.linkedin.com/jobs/view/4328725199")</f>
        <v/>
      </c>
      <c r="F215" t="inlineStr"/>
      <c r="G215" t="inlineStr">
        <is>
          <t>California, United States</t>
        </is>
      </c>
      <c r="H215" t="inlineStr"/>
      <c r="I215"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build our teams with the most resourceful people in the world. Join us at the forefront of technological advancement.
**What You'll Be Doing**
* NVIDIA BaseOS is the Linux distribution of the NVIDIA GPU based platforms deployed in AI, Data\-Analytics, Autonomous vehicle industries. Your role as a Base OS Engineer is to develop the Ubuntu and RHEL based OS image flavors across platforms.
* Your role as a Base OS Engineer will also include sustaining the existing NVIDIA DGX and HGX systems.
* Work closely with System/Software development teams to build the common infrastructure for automation and use the latest industry standard tools!
* Work closely with Hardware and Firmware development teams to bring up new NVIDIA platforms, from power on to OS boot.
**What We Need To See**
* BS or Masters in computer science, or related field or equivalent experience.
* 5\+ years of experience.
* Excellent C and Python programming skills. Your expertise in coding is essential to your success in this role.
* Familiarity with at least one major Linux distro (Ubuntu, RedHat, SLES) is required.
* Experience creating your own Debian or RPM package and repository is highly desirable.
* Knowledge of OS concepts such as filesystems, job scheduling, device drivers, and storage, is required.
* Experience with complex system\-level debugging is invaluable, from X/Wayland to systemd to analyzing crash dumps to install issues.
* Excellent communication and planning skills.
**Ways To Stand Out From The Crowd**
* Knowledge of virtualization concepts such as device passthrough and SR\-IOV.
* Background in PCIe, USB, and similar low level protocols is recommended. Experience with UEFI and BMC firmware is strongly favored.
* Basic knowledge of tools deploying Containers or Kubernetes technologies is preferred. Having written software in GitHub with exposure to opensource development life cycle is desired.
 NVIDIA is widely considered to be one of the technology world’s most desirable employers. We have some of the most forward\-thinking and hardworking people on the planet working for us. If you're creative and autonomous, we want to hear from you!
 Your base salary will be determined based on your location, experience, and the pay of employees in similar positions. The base salary range is 152,000 USD \- 218,500 USD for Level 3, and 184,000 USD \- 287,500 USD for Level 4\.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JR2010491</t>
        </is>
      </c>
    </row>
    <row r="216">
      <c r="A216" t="inlineStr">
        <is>
          <t>li-4316395667</t>
        </is>
      </c>
      <c r="B216" t="inlineStr">
        <is>
          <t>Software Engineer III (.Net)</t>
        </is>
      </c>
      <c r="C216" t="inlineStr">
        <is>
          <t>Safety National</t>
        </is>
      </c>
      <c r="D216" t="inlineStr">
        <is>
          <t>linkedin</t>
        </is>
      </c>
      <c r="E216">
        <f>HYPERLINK("https://www.linkedin.com/jobs/view/4316395667", "https://www.linkedin.com/jobs/view/4316395667")</f>
        <v/>
      </c>
      <c r="F216">
        <f>HYPERLINK("https://recruiting.ultipro.com/SAF1003SNCC/JobBoard/eb5e6dcc-5a67-4833-b31e-f54b97ea0c3a/OpportunityDetail?opportunityId=de56749f-cefa-459f-91d1-b63d90e86015&amp;source=LinkedIn&amp;utm_source=LINKEDIN&amp;urlHash=IIkb", "https://recruiting.ultipro.com/SAF1003SNCC/JobBoard/eb5e6dcc-5a67-4833-b31e-f54b97ea0c3a/OpportunityDetail?opportunityId=de56749f-cefa-459f-91d1-b63d90e86015&amp;source=LinkedIn&amp;utm_source=LINKEDIN&amp;urlHash=IIkb")</f>
        <v/>
      </c>
      <c r="G216" t="inlineStr">
        <is>
          <t>St Louis, MO</t>
        </is>
      </c>
      <c r="H216" t="inlineStr"/>
      <c r="I216" t="inlineStr">
        <is>
          <t>At Safety National, we don’t just offer jobs – we build careers with purpose! Since 1942, we’ve been an industry leader, valuing integrity, teamwork, and stability while providing competitive rewards, top\-tier benefits, career growth opportunities, and flexible work options that promote balance. With tuition reimbursement, wellness perks, and a strong community impact, we invest in your success—both personally and professionally. Ready to grow with us? Apply today!
 Follow this link to view all of our available careers and apply: https://www.safetynational.com/careers\-page/
**This opportunity is in the Information Technology department**
 As the company’s largest department, I.T. is responsible for supporting both ongoing operations and our next innovative project. Information technology is prioritized, allowing us to partner with colleagues to securely enable and support new capabilities every day. Utilizing a diverse set of technologies, like Guidewire, Salesforce, Java, C\#/.NET, Mule, and Azure, the available career opportunities continue to grow rapidly. Our department consists of agile teams where individual contributions are recognized, and career advancement is nurtured.
**Role Description:**
 Are you a skilled cloud\-native developer with a passion for innovation and enterprise impact? As a Cloud Software Engineer III, you’ll play a hands\-on role in building and modernizing scalable enterprise applications that drive Safety National’s digital transformation. You’ll collaborate with product owners, architects, and fellow engineers to develop solutions using .NET Core, React, and Microsoft Azure. From designing APIs to deploying microservices using cloud\-native principles, you’ll be a key contributor to delivering secure, modern applications. If you're ready to join a forward\-thinking team that values excellence, collaboration, and cutting\-edge technology, this role is for you.
**Qualifications:**
**Education:**
 A bachelor’s degree in Computer Science, Engineering, or a related field is required.
**Required Qualifications:**
* Must be presently authorized to work in the U.S. without a requirement for work authorization sponsorship by our company for this position now or in the future
* This position allows for a hybrid work schedule which includes a minimum of 3 days per week in our St. Louis Corporate Office, located at 1832 Schuetz Rd. Saint Louis, MO. All employees are required to submit work from home requests and follow our Work From Home policy, which will be provided to all candidates selected to interview.
* 4 or more years of professional software development experience
* Strong experience with .NET Core / C\# and React
* Deep understanding of Microsoft Azure services (e.g., Azure Container Apps, Azure Functions, Cosmos DB, Azure SQL)
* Familiarity with RESTful API design and development
* Experience with CI/CD tools (Azure DevOps, GitHub, etc.) and version control systems
* Proficiency in relational and NoSQL databases
* Ability to collaborate effectively in agile and cross\-functional environments
**Preferred Qualifications:**
* Experience with containerization technologies such as Docker or Kubernetes
* Exposure to Domain\-Driven Design (DDD) and microservices architecture
* Familiarity with secure coding practices in regulated industries
* Experience with Agile methodologies and DevOps practices
* Interest or experience in mentoring junior engineers and leading technical discussions
 Protect the confidentiality, integrity and availability of information and technology assets against unauthorized disclosure, destruction and/or alteration, in accordance with Safety National policies, standards, and procedures.
 Safety National is a leading specialty insurance and reinsurance provider. Our culture is built upon relationships, which allow us to demonstrate our expertise gained through our rich 80\-year history. As a wholly\-owned subsidiary of Tokio Marine, Inc., we appreciate the benefits and support provided by our affiliation with one of the top 10 insurance companies in the world.
**Total Rewards That Put Employees First**
 In our vision to be First with Co\-Workers, compensation that includes base salary, holiday bonus, and incentive awards is only a small portion of the comprehensive total rewards package we offer. Our total rewards approach recognizes and rewards the time, talents, efforts, and results of our valued employees. Highlights of our exceptional benefits include generous health, dental, and vision coverage, health savings accounts, a 401(k)\-retirement savings match and an annual profit sharing contribution. We proudly offer family forming benefits for adoption, fertility, and surrogacy, generous paid time off and paid holidays, paid parental and caregiver leave, a hybrid work environment, and company\-paid life insurance and disability. To support employees in their career journeys, we provide professional growth and development opportunities in addition to employee recognition and well\-being programs. Apply today to learn more.
 Safety National is committed to fair, transparent pay and we strive to provide competitive, market\-based compensation. In our vision to be First with Co\-Workers, compensation is only one piece of the comprehensive total rewards package we offer. The target base salary range for this position is $86,000 to $112,000\. Compensation for the successful candidate will consider the candidate’s particular combination of knowledge, skills, competencies, experience and geographic location.</t>
        </is>
      </c>
    </row>
    <row r="217">
      <c r="A217" t="inlineStr">
        <is>
          <t>li-4352659078</t>
        </is>
      </c>
      <c r="B217" t="inlineStr">
        <is>
          <t>Frontend Engineer (React / JavaScript) – Execution Platform (Desk-Facing, Systematic Equities) - - 2 Headcount - High visibility - Greenfield - Up to $450k TC</t>
        </is>
      </c>
      <c r="C217" t="inlineStr">
        <is>
          <t>Mondrian Alpha</t>
        </is>
      </c>
      <c r="D217" t="inlineStr">
        <is>
          <t>linkedin</t>
        </is>
      </c>
      <c r="E217">
        <f>HYPERLINK("https://www.linkedin.com/jobs/view/4352659078", "https://www.linkedin.com/jobs/view/4352659078")</f>
        <v/>
      </c>
      <c r="F217" t="inlineStr"/>
      <c r="G217" t="inlineStr"/>
      <c r="H217" t="inlineStr"/>
      <c r="I217" t="inlineStr">
        <is>
          <t>**Frontend Engineer (React / JavaScript) – Execution Platform (Desk\-Facing, Systematic Equities) \- \- 2 Headcount \- High visibility \- Greenfield \- Up to $450k TC** 
*Join one of the world’s leading quantitative investment firms, a global leader in systematic trading and execution. The firm operates at the intersection of technology, research and financial markets, with an engineering\-first culture and highly scalable infrastructure powering a large systematic equities trading platform.* 
 The firm is building a new Trading Technology Desk team and is hiring
 **two Frontend Engineers** 
 to develop a
 **greenfield execution monitoring and control platform** 
 used directly by traders. This is a desk\-facing role where UI quality, responsiveness, and clarity of workflow are mission\-critical.
**The Role** 
 As a Frontend Engineer, you will build high\-performance, desk\-facing interfaces that enable traders and execution teams to monitor and adjust live trading systems. You’ll own key UI components in a real\-time trading environment and work directly with traders to iterate quickly on usability and speed.
 While this is a frontend\-focused hire, the team values engineers who can collaborate across the stack — including a willingness to get hands\-on with backend integration in
 **C\# / .NET** 
 when needed.
**Key Responsibilities** 
* Build and maintain modern web applications using
 **JavaScript/TypeScript and React**
* Design intuitive, high\-performance UI workflows used directly by trading stakeholders
* Partner closely with traders and desk users to gather requirements and deliver real\-time improvements
* Collaborate with backend engineers to integrate UI with
 **C\# services and APIs**
* Contribute to engineering standards: code quality, performance, testing and reliability
* Help shape UI architecture for scalability, maintainability and long\-term evolution
**Ideal Candidate** 
**Required** 
* Strong experience in
 **JavaScript fundamentals** 
 and modern frontend development
* Proven React experience (or similar modern frameworks)
* Comfortable working in fast\-moving, high\-stakes environments where performance matters
* Strong communication skills and ability to work directly with traders
* A genuine interest in financial markets and front\-office systems
**Preferred** 
* Willingness to learn backend and contribute to API integration (C\# / .NET exposure is a plus)
* Experience building UI for real\-time systems (trading, monitoring, analytics, etc.)
* Familiarity with performance optimisation, state management, and frontend architecture
**Why Join** 
* Build a
 **greenfield execution platform** 
 from scratch
* Work directly with traders in a live trading environment
* High visibility, strong ownership, and a culture of engineering excellence
* Market\-leading compensation and a world\-class systematic trading platform</t>
        </is>
      </c>
    </row>
    <row r="218">
      <c r="A218" t="inlineStr">
        <is>
          <t>li-4100086584</t>
        </is>
      </c>
      <c r="B218" t="inlineStr">
        <is>
          <t>Lead Software Engineer</t>
        </is>
      </c>
      <c r="C218" t="inlineStr">
        <is>
          <t>Las Vegas Sands Corp.</t>
        </is>
      </c>
      <c r="D218" t="inlineStr">
        <is>
          <t>linkedin</t>
        </is>
      </c>
      <c r="E218">
        <f>HYPERLINK("https://www.linkedin.com/jobs/view/4100086584", "https://www.linkedin.com/jobs/view/4100086584")</f>
        <v/>
      </c>
      <c r="F218" t="inlineStr"/>
      <c r="G218" t="inlineStr">
        <is>
          <t>Dallas, TX</t>
        </is>
      </c>
      <c r="H218" t="inlineStr"/>
      <c r="I218" t="inlineStr">
        <is>
          <t>Job Description:
**Position Overview**
 The primary responsibility of the Lead Software Engineer is to drive the development of innovative applications using the latest technologies. The Lead Software Engineer will take on a leadership position, guiding a team of engineers to understand user needs, design solutions, and deliver high\-quality software that meets market demands. The Lead Software Engineer thrives in a collaborative environment and has a strong technical background.
 All duties are to be performed in accordance with departmental and Las Vegas Sands Corp.’s policies, practices, and procedures. All Las Vegas Sands Corp. Team Members are expected to conduct and carry themselves in a professional manner at all times. Team Members are required to observe the Company’s standards, work requirements and rules of conduct.
**Essential Duties \&amp; Responsibilities**
* Lead the design, development, and implementation of high\-quality, maintainable, and scalable full\-stack features using Node.js, React, JavaScript/TypeScript.
* Translate designs and wireframes into clean, efficient, and reusable React components using JavaScript/TypeScript, HTML \&amp; CSS.
* Design and develop RESTful APIs using Node.js, JavaScript/Typescript.
* Provide technical guidance and architectural direction to the team, ensuring adherence to best practices and coding standards.
* Work closely with cross\-functional teams (design, product, QA) to gather requirements, design solutions, and ensure timely delivery of software.
* Foster a collaborative environment where team members can share ideas and work together effectively.
* Write clean, efficient, well\-documented, and testable code; actively participate in and facilitate code reviews to maintain high coding standards.
* Implement and advocate for best practices in testing, code quality, and documentation.
* Mentor and support junior and mid\-level engineers, providing guidance and helping them navigate technical challenges.
* Conduct regular one\-on\-one meetings to foster individual growth and performance improvement within the team.
* Take ownership of technical projects, ensuring they are delivered on time and meet quality standards.
* Define project timelines and milestones, and effectively communicate progress to stakeholders.
* Perform job duties in a safe manner.
* Attend work as scheduled on a consistent and regular basis.
* Perform other related duties as assigned.
**Minimum Qualifications**
* At least 21 years of age.
* Proof of authorization to work in the United States.
* Bachelor’s or Master’s degree in Computer Science, Software Engineering, or a related field.
* Must be able to obtain and maintain any certification or license, as required by law or policy.
* 7\+ years of relevant work experience.
* 2\+ years of experience with MongoDB/Redis and messaging systems like Kafka or MQ.
* Strong knowledge of modern JavaScript features, development methodologies, and best practices.
* Proficiency in React, Node.js, JavaScript, HTML/CSS, and Bash.
* Experience working closely with UI/UX designers to ensure collaborative refinement and implementation of designs to meet specifications, including cross\-browser compatibility.
* Demonstrated experience with Microservices architecture, RESTful APIs, GraphQL, and JSON.
* In\-depth knowledge of relational and NoSQL databases, including database design and data modeling with SQL and MongoDB/Redis.
* Strong analytical skills for researching technical issues and providing clear, actionable resolutions.
* Experienced in Agile and Scrum development processes, with a strong understanding of iterative development.
* Excellent written and verbal communication skills, with the ability to effectively convey technical concepts to non\-technical stakeholders.
* Working knowledge of cloud platforms (AWS, Azure, GCP) and DevOps practices.
* Experience with containerization tools like Docker and orchestration with Kubernetes.
* Working knowledge of unit testing and end\-to\-end testing frameworks.
* Strong interpersonal skills with the ability to communicate effectively and interact appropriately with management, other Team Members and outside contacts of different backgrounds and levels of experience.
**Physical Requirements**
 Must be able to:
* Physically access assigned workspace areas with or without reasonable accommodation.
* Work indoors and be exposed to various environmental factors such as, but not limited to, CRT, noise, and dust.
* Utilize laptop and standard keyboard to perform essential functions of the job.</t>
        </is>
      </c>
    </row>
    <row r="219">
      <c r="A219" t="inlineStr">
        <is>
          <t>li-4361268357</t>
        </is>
      </c>
      <c r="B219" t="inlineStr">
        <is>
          <t>Senior Software Engineer</t>
        </is>
      </c>
      <c r="C219" t="inlineStr">
        <is>
          <t>Microsoft</t>
        </is>
      </c>
      <c r="D219" t="inlineStr">
        <is>
          <t>linkedin</t>
        </is>
      </c>
      <c r="E219">
        <f>HYPERLINK("https://www.linkedin.com/jobs/view/4361268357", "https://www.linkedin.com/jobs/view/4361268357")</f>
        <v/>
      </c>
      <c r="F219" t="inlineStr"/>
      <c r="G219" t="inlineStr"/>
      <c r="H219" t="inlineStr"/>
      <c r="I219" t="inlineStr">
        <is>
          <t>**Overview**
 Help Microsoft define the next generation of features available to graphics processors (GPUs), neural processors (NPUs), and other accelerator devices!
 The
 **xPU Kernel Team** 
 designs the Windows infrastructure and driver interfaces for submitting workloads, managing memory content, negotiating power states, orchestrating virtualizations, and other device management tasks on these accelerators. We work in a crucial area of the heterogenous compute space between runtime workload building and execution on the physical hardware where having efficient and performant algorithms are critical to success. Our components power innovations in AI, gaming, media, and beyond. In Core OS, we are responsible for the Operating Systems that power Azure, Microsoft's Linux OS, the platforms for Windows Client, Xbox, and our Windows Server ecosystem – through all of these, we support every one of our cloud businesses and billions of customers around the world.
 In this era of ubiquitous computing, systems software excellence has never been more important for Microsoft. High\-quality, high\-efficiency operating systems and platform components underpin everything we do as a company, from making our systems more reliable for our customers, to increasing our competitiveness by reducing COGS and delivering new features and capabilities to delight customers – that’s all us. We are looking for a
 **Senior Software Engineer**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Architects solutions by identifying system and cross\-team dependencies, defining design documents, and determining required technologies and interactions.
* Assesses and manages dependencies across teams, ensuring smooth integration, clear communication, conflict resolution, and alignment on shared components.
* Oversees end\-to\-end system impact, ensuring security, performance, reliability, and optimized dependency flows across upstream and downstream systems.
* Leads architectural discussions and creates design proposals, testing hypotheses and driving final design decisions while mentoring junior team members.
* Ensures security and compliance are built into system architecture and technical designs.
* Sets engineering excellence standards by mentoring others, driving high\-quality, maintainable, extensible code, and leading refactoring, optimization, and debugging efforts.
* Defines and enforces coding best practices, patterns, and quality metrics to maintain code stability and consistency across teams.
* Builds and maintains cross‑Microsoft partnerships (e.g., Xbox, Office), acting as a key technical contact for partner organizations to align on shared goals, achieve desirable user experiences, and resolve blockers.
* Contributes to product planning by leveraging cross\-product expertise, informing release plans, and breaking long\-term vision into actionable milestones.
* Guides project estimation, highlighting risks and escalating issues that could impact timelines.
* Embodies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experience with systems programming in kernel and using kernel debuggers.
* Experience with CPU, memory, and device hardware architectures.
* Experience with WDDM and MCDM driver models.
 \#CoreOSJobs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0">
      <c r="A220" t="inlineStr">
        <is>
          <t>li-4361284726</t>
        </is>
      </c>
      <c r="B220" t="inlineStr">
        <is>
          <t>Software Engineer [Multiple Positions Available]</t>
        </is>
      </c>
      <c r="C220" t="inlineStr">
        <is>
          <t>JPMorganChase</t>
        </is>
      </c>
      <c r="D220" t="inlineStr">
        <is>
          <t>linkedin</t>
        </is>
      </c>
      <c r="E220">
        <f>HYPERLINK("https://www.linkedin.com/jobs/view/4361284726", "https://www.linkedin.com/jobs/view/4361284726")</f>
        <v/>
      </c>
      <c r="F220" t="inlineStr"/>
      <c r="G220" t="inlineStr">
        <is>
          <t>Plano, TX</t>
        </is>
      </c>
      <c r="H220" t="inlineStr"/>
      <c r="I220" t="inlineStr">
        <is>
          <t>**Description**
**JOB DESCRIPTION**
 Duties: Review, understand, code, optimize, and automate existing one\-off data transformation pipelines into discrete, scalable tasks. Plan, design, and implement data transformation pipelines and monitor operations of the data platform in a production environment. Collaborate with internal clients and service delivery engineers to identify data needs and intended workflows, and troubleshoot to find workable solutions. Gather, analyze, and document detailed technical requirements to design and implement solutions, and disseminate information to guide other engineers. Contribute code to the underlying infrastructure, software development kits, and platforms being built to support bespoke data transformation pipelines and enable predictive models to be produced and run at scale. Identify engineering opportunities to optimize operational effort and running costs of the data platform. Mentor junior engineering staff and provide guidance on day\- to\-day code development work.
**Qualifications**
 Minimum education and experience required: Bachelor's degree in Computer Science, Information Technology, Software Engineering, Mathematics, or related field of study plus 5 years of experience in the job offered or as Software Engineer, Data Engineer/Developer, or related occupation.
 Skills Required: This position requires 5 years of experience with the following: Designing and implementing scalable ETL pipelines to process structured and semi\-structured data. This position requires 3 years of experience with the following: Processing data across distributed environments using Apache Spark on Big Data ecosystems such as Cloudera or Hortonworks; Building distributed data processing workflows using Scala, Python, and Java on Spark; Supporting real\-time and batch data ingestion, data cleansing and transformation, and feature extraction on Spark; Managing large\-scale data lake tables in Parquet and Avro formats; Implementing low\- latency, scalable data operations and supporting real\-time lookups, updates, and analytics using Apache HBase and Apache Cassandra. This position requires 2 years of experience with the following: Implementing ACID\-compliant data operations and enabling schema evolution using Delta table structures; Implementing partitioning within Hadoop\-based architectures; Configuring and maintaining Grafana dashboards integrated with Prometheus, Elasticsearch, or CloudWatch to monitor pipeline performance, API services, and system health in real time; Documenting data workflows, Spring Boot API specifications, CI/CD processes, Grafana configurations, and cloud architecture using Confluence. This position requires 1 year of experience with the following: Creating and deploying RESTful APIs using Spring Boot in Docker containers to deliver processed data access and operational insights; Managing source code to maintain structured development workflows, version control, and team collaboration using Git with GitHub and Bitbucket; Building, deploying, and managing scalable data engineering pipelines and analytics infrastructure using Azure Data Factory, Databricks, or AWS tools such as EC2, S3, EMR, Lambda, Glue, IAM, or CloudWatch.
 Job Location: 8181 Communications Pkwy, Plano, TX 70524\.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21">
      <c r="A221" t="inlineStr">
        <is>
          <t>li-4286539896</t>
        </is>
      </c>
      <c r="B221" t="inlineStr">
        <is>
          <t>Senior Software Engineer</t>
        </is>
      </c>
      <c r="C221" t="inlineStr">
        <is>
          <t>Epsilon</t>
        </is>
      </c>
      <c r="D221" t="inlineStr">
        <is>
          <t>linkedin</t>
        </is>
      </c>
      <c r="E221">
        <f>HYPERLINK("https://www.linkedin.com/jobs/view/4286539896", "https://www.linkedin.com/jobs/view/4286539896")</f>
        <v/>
      </c>
      <c r="F221" t="inlineStr"/>
      <c r="G221" t="inlineStr">
        <is>
          <t>Chicago, IL</t>
        </is>
      </c>
      <c r="H221" t="inlineStr"/>
      <c r="I221" t="inlineStr">
        <is>
          <t>**Overview**
**How You’ll Make an Impact**
 Epsilon is building the next generation Retail Media Network (RMN) platform to power onsite advertising at scale, using services from our industry\-leading platform that already serves billions of offsite ads across the open web. Our vision is a unified platform for both onsite and offsite ads, delivering low\-latency, high\-throughput performance across the board. We’re looking for a Senior Software Engineer to join our Core Platform Engineering team, someone with a self\-starter mindset who thrives with minimal direction, can quickly grasp business and technical goals, and takes ownership from concept through delivery. This is a high\-impact role where you’ll shape the architecture, optimize performance, and ensure our systems are built for scale, reliability, and innovation.You’ll be at the forefront of building a next\-generation advertising platform that combines the speed and sophistication of programmatic ad serving with the personalization and commerce power of retail media. Your work will directly shape how millions of users experience advertising across top retailers and brands.
**What You’ll Achieve**
* Design, implement, and maintain high\-performance, low\-latency services for advertising.
* Collaborate with product, platform, and operations teams to integrate new capabilities into the platform.
* Optimize system performance, fix production issues, and eliminate bottlenecks across the stack.
* Contribute to frontend integrations (SPAs, dashboards, tools) when needed, ensuring seamless workflows for internal and external users.
* Partner with data engineering teams to design and integrate event tracking, analytics, and reporting pipelines.
* Champion code quality, testing standard processes, and CI/CD automation.
* Deliver critically important enhancements enabling fast, accurate, and scalable ad delivery.
* Build robust, future\-proof services and interfaces that empower rapid feature development.
* Improve system observability, monitoring, and fault tolerance.
**Who You Are**
* What You’ll Bring with you :
+ Bachelor’s degree in Computer Science or related field (or equivalent experience).
+ 6\+ years of experience in backend and/or full stack software development.
+ Strong backend expertise in Java, with experience in high\-performance, distributed systems.
+ Experience with streaming platforms (e.g., Kafka, Kinesis, Pulsar).
+ Proficiency with relational databases (SQL) and NoSQL data stores.
+ Understanding of low\-latency, high\-throughput architectures and clean software design principles.
+ Experience building SPAs with TypeScript and modern frameworks (Angular, React, or similar).
* Why you might stand out from other talent :
+ Master’s degree or 10\+ years software engineering experience.
+ Experience in ad tech, especially ad serving, RTB, or programmatic platforms.
+ Familiarity with cloud\-native environments (AWS, Kubernetes, Docker).
+ Experience with large\-scale event tracking, data pipelines.
 Click here to view how Epsilon transforms marketing with 1 View, 1 Vision, 1 Voice.
 Base Salary: $88,900 \- $165,100
 Actual compensation within the range will be dependent upon, but not limited to the individual’s skills, experience, qualifications, location and application employment laws. The salary pay range is subject to change and may be modified at any time.
**Additional Information**
**When You Join Us, We’ll Create Something EPIC Together**
 Epsilon is a global data, technology and services company that powers the marketing and advertising ecosystem. For decades, we’ve provided marketers from the world’s leading brands the data, technology and services they need to engage consumers with 1 View, 1 Vision and 1 Voice. 1 View of their universe of potential buyers. 1 Vision for engaging each individual. And 1 Voice to harmonize engagement across paid, owned and earned channels.
 Epsilon’s comprehensive portfolio of capabilities across our suite of digital media, messaging and loyalty solutions bridge the divide between marketing and advertising technology. We process 400\+ billion consumer actions each day using advanced AI and hold many patents of proprietary technology, including real\-time modeling languages and consumer privacy advancements. Thanks to the work of every employee, Epsilon has been consistently recognized as industry\-leading by Forrester, Adweek and the MRC. Epsilon is a global company with more than 9,000 employees around the world.
 Our pillars aren't just words. They're how we show up every day.
* People centricity: We focus on employee well\-being in an environment where colleagues truly care about each other.
* Collaboration: We work together, support one another, and collectively achieve goals.
* Growth: There are endless opportunities for growth through learning, development and career advancement.
* Innovation: We drive progress through cutting\-edge solutions and forward\-thinking approaches.
* Flexibility: We’ve created a balance between work and personal life, and we encourage adaptability to solve problems creatively.
 Our values guide us to create value for our clients, our people and consumers.
* Act with integrity
* Work together to win together
* Innovate with purpose
* Respect all voices
* Empower with accountability
 These pillars and values are our foundation—shaping our culture, guiding our decisions, and uniting us in common purpose.
**Because You Matter**
**Benefits**
 As an Epsilon employee, you deserve perks and benefits that put you, your family and your finances first. Our benefits encompass a wide range of offerings, including but not limited to the following:
* Time to Recharge: Flexible time off (FTO), 15 paid holidays
* Time to Recover: Paid sick time
* Family Well\-Being: Parental/new child leave, childcare \&amp; elder care assistance, adoption assistance
* Extra Perks: Comprehensive health coverage, 401(k), tuition assistance, commuter benefits, professional development, employee recognition, charitable donation matching, health coaching and counseling
 Epsilon benefits are subject to eligibility requirements and other terms.
**Epsilon is an Equal Opportunity Employer.** 
 Epsilon’s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Epsilon also prohibits harassment of applicants and employees based on any of these protected categories. Epsilon will provide accommodations to applicants needing accommodations to complete the application process. Please reach out to LeaveofAbsence@epsilon.com to request an accommodation.
**For San Francisco Bay and Los Angeles Areas:** 
 Epsilon will consider for employment qualified applicants with criminal histories in a manner consistent with the City of Los Angeles’ Fair Chance Initiative for Hiring Ordinance and San Francisco Police Code Sections 4901\-4919, commonly referred to as the San Francisco Fair Chance Ordinance. Applicants with criminal histories are welcome to apply.</t>
        </is>
      </c>
    </row>
    <row r="222">
      <c r="A222" t="inlineStr">
        <is>
          <t>li-4286633665</t>
        </is>
      </c>
      <c r="B222" t="inlineStr">
        <is>
          <t>Senior Software Engineer, Java</t>
        </is>
      </c>
      <c r="C222" t="inlineStr">
        <is>
          <t>NinjaOne</t>
        </is>
      </c>
      <c r="D222" t="inlineStr">
        <is>
          <t>linkedin</t>
        </is>
      </c>
      <c r="E222">
        <f>HYPERLINK("https://www.linkedin.com/jobs/view/4286633665", "https://www.linkedin.com/jobs/view/4286633665")</f>
        <v/>
      </c>
      <c r="F222" t="inlineStr"/>
      <c r="G222" t="inlineStr">
        <is>
          <t>California, United States</t>
        </is>
      </c>
      <c r="H222" t="inlineStr"/>
      <c r="I222" t="inlineStr">
        <is>
          <t>**Description**
**About the Role**
 As a Senior Software Engineer on the NinjaOne team, contributing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CO, CT, FL, GA, \*IL, KS, MA, ME, NC, NJ, NY, OR, TN, TX, VA** 
 , and WA. We have physical offices in Austin, TX and Tampa, FL, if you prefer a hybrid option.
**We hire the best software engineers with experience in our stack: NinjaOne** 
 is built on
 **Java** 
 ,
 **Kotlin** 
 ,
 **C\+\+** 
 , and
 **Postgres** 
 , supporting millions of user endpoints and running as a scalable cloud service in AWS. Knowing large\-scale datastore bottlenecks, asynchronous application design and client\-server architecture will help you standout.
**What You’ll Be Doing**
**Java and Kotlin Software Development–** 
 use your expertise to contribute to the development of large\-scale software applications. Make quality an invariant part of your work and help your fellow engineers continue to meet our quality\-first standards.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Other duties as needed.
**About You**
* Bachelor’s degree in Computer Science, Computer Engineering, Information Technology, or equivalent work experience.
* 10\+ years experience in Java software development for product applications or equivalent. Solid expertise in Kotlin will make you a stand 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will make you a stand\-out.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
 \#BI\-REMOTE</t>
        </is>
      </c>
    </row>
    <row r="223">
      <c r="A223" t="inlineStr">
        <is>
          <t>li-4185021297</t>
        </is>
      </c>
      <c r="B223" t="inlineStr">
        <is>
          <t>Software Engineer, Vehicle Software, V&amp;V</t>
        </is>
      </c>
      <c r="C223" t="inlineStr">
        <is>
          <t>Anduril Industries</t>
        </is>
      </c>
      <c r="D223" t="inlineStr">
        <is>
          <t>linkedin</t>
        </is>
      </c>
      <c r="E223">
        <f>HYPERLINK("https://www.linkedin.com/jobs/view/4185021297", "https://www.linkedin.com/jobs/view/4185021297")</f>
        <v/>
      </c>
      <c r="F223">
        <f>HYPERLINK("https://boards.greenhouse.io/andurilindustries/jobs/4673813007?gh_jid=4673813007&amp;source=LinkedIn&amp;urlHash=XZXr", "https://boards.greenhouse.io/andurilindustries/jobs/4673813007?gh_jid=4673813007&amp;source=LinkedIn&amp;urlHash=XZXr")</f>
        <v/>
      </c>
      <c r="G223" t="inlineStr">
        <is>
          <t>Costa Mesa, CA</t>
        </is>
      </c>
      <c r="H223" t="inlineStr"/>
      <c r="I22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**What You’ll Do**
* Lead the definition, design, and execution of product verification and validation activities throughout the product development life cycle
* Implement and automate software verification tests by defining and delivering test cases written against software requirements
* Analyze and simulate requirements per customer specifications or developed internal product requirements
* Review use cases, requirements, and specifications for products to ensure that requirements and specifications can be verified and validated
* The review also includes risk mitigations, usability, and regulatory requirements
* Execute complex testing, perform in\-depth statistical analysis, and interpret results independently
* Ensure that testing and results are traced to requirements; activities are completed with objective evidence
* Summarize results in reports with conclusions or recommendations
* As a hands\-on subject matter expert, lead ad hoc testing and potential failure mode analysis to characterize product designs and performance
* Conduct V\&amp;V Design Reviews as specified in project plans, and in accordance with company procedure
* Maintain knowledge of current regulatory requirements and standards as they pertain to the development and testing of products
* Provide technical leadership to a growing team
* Gain a working understanding of Anduril’s business lines and collaborate with leaders to build cohesive, end\-to\-end experiences for our users
* Be an advocate for excellent engineering culture across the team
**Required Qualifications**
* Eligible to obtain and maintain an active U.S. Top Secret security clearance
* Bachelor's degree in Computer Science, Computer Engineering, Robotics, Electrical Engineering, or related field, or equivalent experience
* 4\+ years of experience in Software testing or related technical experience
* Experience with requirements based verification and implementation of verification strategies with a strong emphasis on automated tests
* Have extensive knowledge of software development, processes, and verification tools, such as C/C\+\+, Python
* Track record of architecting software test plans in the Aerospace and Defense space
* In\-depth knowledge of requirements management, risk based testing approaches, defect tracking, and configuration control
* Strong Knowledge of Software Testing Principles And Methodologies
* Experience in Software Development Life Cycle And Software Verification Techniques
* Knowledge of Software Quality Assurance Tools And Techniques
* Must be eligible to obtain and maintain a U.S. TS clearance
**Preferred Qualifications**
* Experience standing up automated hardware\-in\-the\-loop testing infrastructure
* Functional knowledge of software development, verification, and validation requirements for DO\-178 and MIL\-HDBK\-516C
* Experience developing testable requirements and understanding of DO\-178 and MIL\-HDBK\-516C verification objectives
 US Salary Range
 $166,000—$220,000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4">
      <c r="A224" t="inlineStr">
        <is>
          <t>li-4345921431</t>
        </is>
      </c>
      <c r="B224" t="inlineStr">
        <is>
          <t>Software Developer III</t>
        </is>
      </c>
      <c r="C224" t="inlineStr">
        <is>
          <t>Noblis</t>
        </is>
      </c>
      <c r="D224" t="inlineStr">
        <is>
          <t>linkedin</t>
        </is>
      </c>
      <c r="E224">
        <f>HYPERLINK("https://www.linkedin.com/jobs/view/4345921431", "https://www.linkedin.com/jobs/view/4345921431")</f>
        <v/>
      </c>
      <c r="F224" t="inlineStr"/>
      <c r="G224" t="inlineStr">
        <is>
          <t>Chantilly, VA</t>
        </is>
      </c>
      <c r="H224" t="inlineStr"/>
      <c r="I224" t="inlineStr">
        <is>
          <t>**Responsibilities**
 As a
 **Python Software Developer III,** 
 you will be responsible for developing code, tests, and debugging new software or enhancements to existing software. You will have a good understanding of business applications as well as user, performance, quality, interface, and security requirements to support a forensic and investigative ecosystem across multiple enterprise applications in a multi\-enclave environment.
**Job Responsibilities**
* Develop, test, and debug new software solutions and enhancements to existing applications
* Work with technical staff to understand problems with software and resolve them
* Resolve customer complaints with software and respond to suggestions for improvements and enhancements
* Implement desktop design, testing, security lockdown, and integration with standard software packages
* Integrate with automated patching and deployment technologies
* Assist in development of software user manuals
* Document applications, services, and environments for future maintenance
* Participate in Program Increments (PIs) and Agile Release Train (ART) activities
* Support the multi\-enclave environment (Unclassified, Secret, and Top Secret)
* Collaborate with cross\-functional teams to ensure seamless integration
**Required Qualifications**
* Must have an active Top Secret (TS) clearance with eligibility for Sensitive Compartmented Information (SCI) and ability to obtain a Counterintelligence (CI) Polygraph.
* US Citizenship is required.
* Bachelor's degree or master's degree with 8 years of experience of experience OR Associate degree with 11 years of experience OR High School/Diploma with 14 years of experience.
* Demonstrated experience designing and implementing software solutions in secure government environments
* Proficiency level:
+ Python
+ API design, versioning, and integration best practices
+ DevSecOps practices and tools
 \#FundedPosition
**Desired Qualifications**
* Active TS/SCI with CI Polygraph
* Understanding of forensic and investigative data requirements
* Experience with:
+ Data processing, automation and ETL workflow orchestration
+ Lucene\-based search/indexing platforms: Elasticsearch and Opensearch
+ Data streaming and integration technologies such as Apache Nifi is preferred
+ Containerization and orchestration technologies (Docker, Kubernetes)
+ Cloud platforms (AWS GovCloud, SC2S, C2S)
+ GraphQL
+ Message brokers such as RabbitMQ, Kafka, and Redis
+ Server\-side technologies (Apache Tomcat)
+ Log analytics and observability platforms, particularly Splunk
+ Infrastructure as Code (Terraform)
+ SAFe Agile methodologies
+ Working in classified environments
 \#HiringNow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 Remote/hybrid status is subject to change based on Noblis and/or government requirements
 Commitment to Non\-Discrimination
 All qualified applicants will receive consideration for employment without regard to race, color, ethnicity, sex, age, national origin, religion, physical or mental disability, pregnancy/childbirth and related medical conditions, veteran or military status, or any other characteristics protected by applicable federal, state, or local law.
 If reasonable accommodation is needed to participate in the job application or interview process, to perform essential job functions, and/or to receive other benefits and privileges of employment, please contact us.
 EEO is the Law \| E\-Verify \| Right to Work
 Total Rewards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Compensation at Noblis is determined by various factors, including but not limited to, the combination of education, certifications, knowledge, skills, competencies, and experience, internal and external equity, location, clearance level, as well as contract\-specific affordability, organizational requirements and applicable employment laws. The projected compensation range for this position is based on full time status. For part time or on\-call staff, compensation is proportionately adjusted based on hours worked. While monetary compensation is important, it's just one component of Noblis’ total compensation package.
 Posted Salary Range
 USD $120,700\.00 \- USD $188,725\.00 /Yr.</t>
        </is>
      </c>
    </row>
    <row r="225">
      <c r="A225" t="inlineStr">
        <is>
          <t>li-4361341669</t>
        </is>
      </c>
      <c r="B225" t="inlineStr">
        <is>
          <t>Senior Software Engineer, Enterprise Applications | US (EST) - EMEA | Remote</t>
        </is>
      </c>
      <c r="C225" t="inlineStr">
        <is>
          <t>Grafana Labs</t>
        </is>
      </c>
      <c r="D225" t="inlineStr">
        <is>
          <t>linkedin</t>
        </is>
      </c>
      <c r="E225">
        <f>HYPERLINK("https://www.linkedin.com/jobs/view/4361341669", "https://www.linkedin.com/jobs/view/4361341669")</f>
        <v/>
      </c>
      <c r="F225" t="inlineStr"/>
      <c r="G225" t="inlineStr"/>
      <c r="H225" t="inlineStr"/>
      <c r="I225"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applications from the EST in NASA, UK, Spain, Germany or Sweden.**
**The Opportunity**
 We are seeking a highly technical Enterprise Application Developer to own the architecture, development, and maintenance of Grafana Labs’ internal business systems. In this role you will be the driving force behind our operational efficiency: connecting disparate systems with robust automation, developing custom internal applications where off\-the\-shelf software falls short, and designing scalable, secure architectures that enable seamless automation across IT, Finance, Security, PeopleOps, L\&amp;D, and more.
 You will operate at the nexus of engineering and business operations, elevating our engineering culture by setting code\-quality standards, implementing automated CI/CD pipelines, and leveraging modern languages and AI\-assisted tooling to deliver best\-in\-class solutions. Much of the work will involve building identity and access automation, as well as platform integrations, internal services in Go, and platform\-grade CI/CD and security practices to support internal tooling at scale.
**What You’ll Be Doing**
* Architect, build, and maintain identity and access automation using Okta Workflows to deliver a fully automated Joiner\-Mover\-Leaver (JML) lifecycle.
* Ensure the provisioning and de\-provisioning of access across the enterprise stack, driven by HRIS triggers, to enable zero\-touch onboarding and offboarding.
* Design and deploy complex processes using flowgramming systems that automate reporting and data flows.
* Own the automation strategy and workflow development for Freshservice — including automated user and group management, software provisioning, and logic\-based approval routing.
* Integrate HelpDesk and ITSM platforms with other enterprise tools via APIs to reduce manual ticket touches and improve operational SLAs.
* Design, build, and deploy custom internal applications and services using Go (Golang) to solve niche business problems (e.g., software licensing management, automated training assignments).
* Design efficient relational database schemas and author complex SQL for reporting, transactional systems, and financial integrations.
* Manage the full SDLC for internal tooling: gather requirements, design, build, test, deploy, run, and iterate based on production feedback.
* Build and maintain custom MCP servers, Slack bots, and other automation utilities for operational tooling.
* Implement and maintain robust CI/CD pipelines (GitHub Actions preferred) to automate testing, linting, security scanning, and deployments for internal tooling.
* Integrate security tooling into build and deploy pipelines (SAST/DAST), ensure secure handling of API keys and secrets, and drive secure coding practices across the team.
* Conduct and lead code reviews, mentor peers, and drive engineering best practices for maintainability, testability, and clarity.
* Embrace and responsibly use AI coding assistants (Cursor, Warp.dev, GitHub Copilot, etc.) — able to evaluate and own code produced with AI assistance.
* Collaborate closely with IT, Finance, Security, PeopleOps, and other stakeholders to align priorities, produce clear documentation and diagrams, and implement safe rollout strategies for changes that impact business workflows.
**What Makes You a Great Fit**
* Strong coding skills and operational experience: you’ve built software and been responsible for operating it in production.
* Experience with enterprise identity and lifecycle management — deep, hands\-on experience with Okta, Okta Workflows, and lifecycle provisioning.
* Experience building automation for Finance and ITSM workflows (Workato or similar iPaaS platforms; Freshservice or similar ITSM tooling).
* Proficiency in at least one widely used programming language — Go (Golang) preferred; Python, Rust, C, C\+\+ or similar is acceptable. You are comfortable writing production services in Go or are excited to learn.
* Strong SQL skills with experience designing schemas, writing complex queries, and integrating custom applications with relational databases (Postgres, MySQL, etc.).
* In\-depth experience designing and consuming REST and GraphQL APIs and handling authentication (OAuth2, API tokens), rate limiting, and pagination.
* Expertise in building and maintaining CI/CD pipelines and automations (GitHub Actions experience preferred).
* Demonstrated experience with secure coding practices and integrating code security tools (SAST/DAST) into pipelines.
* Strong Git and GitHub experience, including branching strategies and release workflows.
* Comfortable working with AI toolchains for developer productivity and able to fully understand, vet, and take full ownership of AI\-assisted code.
* Able to translate complex business requirements from non\-technical stakeholders into technical solutions and documentation (including architecture diagrams and runbooks).
* Excellent troubleshooting skills and a drive to automate repetitive work away.
* A collaborative mindset: you work across teams, make plans transparent, bring stakeholders along, and accept feedback.
* Pragmatic: You prioritize progress over perfection and can navigate ambiguity.
**Compensation \&amp; Rewards**
 In the US, the compensation range for this role is $154K \- $185K.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226">
      <c r="A226" t="inlineStr">
        <is>
          <t>li-4252120314</t>
        </is>
      </c>
      <c r="B226" t="inlineStr">
        <is>
          <t>Senior Frontend Software Engineer</t>
        </is>
      </c>
      <c r="C226" t="inlineStr">
        <is>
          <t>AWeber</t>
        </is>
      </c>
      <c r="D226" t="inlineStr">
        <is>
          <t>linkedin</t>
        </is>
      </c>
      <c r="E226">
        <f>HYPERLINK("https://www.linkedin.com/jobs/view/4252120314", "https://www.linkedin.com/jobs/view/4252120314")</f>
        <v/>
      </c>
      <c r="F226" t="inlineStr"/>
      <c r="G226" t="inlineStr">
        <is>
          <t>Philadelphia, PA</t>
        </is>
      </c>
      <c r="H226" t="inlineStr"/>
      <c r="I226" t="inlineStr">
        <is>
          <t>**We're currently hiring for remote team members in the following states: DC, DE, GA, MA, MD, NC, NH, NJ, OH, PA, SC, UT, and VA.**
 TL;DR We're looking for a curious and driven React engineer who takes pride in their code and wants to work for a 100% remote employer whose been recognized as one of Quartz's Best Companies for Remote Workers in 2023 and one of the Best Places to Work in PA for 14 years.
 We're AWeber \- a remote\-first company that helps small businesses around the world form meaningful connections with their customers and grow their businesses using our marketing communication software. We are fanatical about small businesses and we hope you are too!
 As a Senior Frontend Software Engineer, you will develop, maintain, and support client applications built with React as well as support legacy clients built using pure Javascript, PHP, and other technologies. We know that our customers need to complete their tasks quickly and continue operating their business and this is where you come in, creating remarkable experiences by guaranteeing a simple and robust platform.
 Every day you'll work with a team, writing new clients using React as well as supporting our legacy clients. You will collaborate closely with other engineers as well as Product and UI/UX Designers to craft remarkable experiences for our customers such as exposing Email Campaigns, developing editors for emails, sign\-up forms, and landing pages, and other tools that allow our customers to connect with their subscribers. You will propose creative solutions for challenging problems, develop unit and acceptance tests, and stay invested in new ways of tackling problems as we evolve our technical stack. Additionally, you will bring your passion for engineering to stay up\-to\-date on emerging trends, explore technologies across a variety of stacks, and use this passion to mentor other engineers.
 To thrive as a Senior Frontend Software Engineer, you are a motivated, quick learner who enjoys variety in their work and coming up with innovative solutions for building new React clients for new features and evolving our legacy clients to match current standards and best practices. You relish independently diving deep into tricky technical challenges as much as you love collaborating with other skilled engineers. You understand API design and know how to work with Backend Engineers to meet the needs of the features being developed. You take pride in producing high quality and secure code, making unit and acceptance testing a priority throughout the development cycle. You are proficient at mentoring others by sharing your knowledge and results as well as providing transparency throughout the project. Learning quickly is one of your super\-powers and you enjoy technologies and problems that are new to you, eager to share what you've learned. You use AI to improve your development process and have used it previously in features released to end users. You assume intense ownership over your areas of responsibility, always advocating for improvement and pushing to keep systems updated to current standards.
**Required Skills And Qualifications**
* Extensive experience working with Javascript, HTML, CSS/SASS, React, and Jest
* Extensive experience implementing and/or utilizing React component libraries
* Extensive experience implementing against RestFul APIs and understanding of core RestFul API concepts
* Understanding of browser resource caching
* Daily usage of AI technologies
**Preferred Qualifications**
* Experience with tailwindcss
* Experience with react\-query
* Experience with react\-testing\-library
* Experience with Federated Applications / Module Federation
* Experience with React Virtual Table/List Libraries (react\-virtuoso / react\-virtual)
* Experience developing with PHP
* Understanding of CDN caching
**About AWeber:**
 At AWeber we create marketing/ communication software that empowers small businesses around the world to form strong connections with their customers and grow their businesses. Who are our customers you might ask? They are creators, bloggers, entrepreneurs \- people just like you that are passionate about an idea or product they want to share with the world. At AWeber, YOU make an impact on these small businesses each and every day!
 As a team, we work remotely across the US, and although we're in separate locations, nothing can keep us apart! We collaborate everyday using a variety of tools such as slack, google meet, and confluence/ JIRA to ensure we're making decisions with our customers' best interests in mind \- something that's not possible when you work in a siloe. At AWeber, YOUR voice and YOUR opinion matters, regardless of your role. We expect all AWeber team members will ask tough questions, provide/ receive feedback regularly, and explore their passions on a daily basis. Sound exciting? Take the next step and apply.
**AWeber Benefits:**
* 100% Remote \- we're not going back to the office and here's why.
* Strong culture that supports flexibility, entrepreneurialism, and collaboration. Think we should be doing something different? Share your feedback! We're looking for you to add your AWesomeness to our culture.
* We have some other pretty cool benefits to make your life easier:
+ 100% Company Paid PPO medical, dental, vision insurance (spousal and domestic partner benefits available).
+ 4\-7 weeks of paid time off and holidays (based on tenure).
+ 4 week paid sabbatical (based on tenure).
+ 401K retirement plan with 4% company match.
+ Company Profit Share.
+ Home office equipment and internet stipend.
+ Tuition reimbursement, conferences, and learning opportunities.
+ Gym Memberships Reimbursement.
+ Company Paid Short Term Disability Insurance.
+ Company Paid Life Insurance.
+ Additional Supplemental Benefits (Long Term Disability, Critical Illness, and Additional Life Insurance).</t>
        </is>
      </c>
    </row>
    <row r="227">
      <c r="A227" t="inlineStr">
        <is>
          <t>li-4328776013</t>
        </is>
      </c>
      <c r="B227" t="inlineStr">
        <is>
          <t>Staff Backend Engineer - Device Platform</t>
        </is>
      </c>
      <c r="C227" t="inlineStr">
        <is>
          <t>Verkada</t>
        </is>
      </c>
      <c r="D227" t="inlineStr">
        <is>
          <t>linkedin</t>
        </is>
      </c>
      <c r="E227">
        <f>HYPERLINK("https://www.linkedin.com/jobs/view/4328776013", "https://www.linkedin.com/jobs/view/4328776013")</f>
        <v/>
      </c>
      <c r="F227">
        <f>HYPERLINK("https://job-boards.greenhouse.io/verkada/jobs/5010526007?gh_src=cda0ce657us&amp;urlHash=72lC", "https://job-boards.greenhouse.io/verkada/jobs/5010526007?gh_src=cda0ce657us&amp;urlHash=72lC")</f>
        <v/>
      </c>
      <c r="G227" t="inlineStr">
        <is>
          <t>San Mateo, CA</t>
        </is>
      </c>
      <c r="H227" t="inlineStr"/>
      <c r="I227"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**What You'll Do**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**What You Bring**
* Degree in Computer Science or similar technical field of study
* 6\+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$190,000—$275,000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228">
      <c r="A228" t="inlineStr">
        <is>
          <t>li-4340196497</t>
        </is>
      </c>
      <c r="B228" t="inlineStr">
        <is>
          <t>Staff Software Engineer, Agent Orchestration</t>
        </is>
      </c>
      <c r="C228" t="inlineStr">
        <is>
          <t>Decagon</t>
        </is>
      </c>
      <c r="D228" t="inlineStr">
        <is>
          <t>linkedin</t>
        </is>
      </c>
      <c r="E228">
        <f>HYPERLINK("https://www.linkedin.com/jobs/view/4340196497", "https://www.linkedin.com/jobs/view/4340196497")</f>
        <v/>
      </c>
      <c r="F228" t="inlineStr"/>
      <c r="G228" t="inlineStr">
        <is>
          <t>San Francisco, CA</t>
        </is>
      </c>
      <c r="H228" t="inlineStr"/>
      <c r="I228"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The Agent Orchestration team builds the core execution layer that powers every agent interaction. This includes the systems responsible for coordinating model reasoning, evaluating agent behavior, and ensuring that agents behave reliably in real customer environments.
 We focus on correctness, reliability, and speed. Our work shapes how Decagon agents plan, decide, and take actions across millions of interactions.
**About The Role**
 As a Staff Software Engineer on the Agent Orchestration team, you will own the long term architecture of Decagon’s agent platform. You will lead large, multi quarter initiatives that shape how our orchestration engine works, how it scales, and how engineers across the company build on top of it.
 This role is for someone who thrives on technical depth, can influence across teams, and enjoys creating strong, principled systems that last. You will work closely with Research, Infra, Product Engineering, and Agent SWE to define the standards and frameworks that keep Decagon agents reliable and intelligent.
**In this role, you will**
* Own the architecture and evolution of the core execution engine behind Decagon agents
* Lead design for systems that coordinate complex reasoning and action flows at scale
* Drive reliability, testing, and observability standards across the orchestration stack
* Create frameworks that enable safe, fast iteration on agent behavior
* Mentor senior engineers and help grow the technical culture of Agent Orchestration
**Your background looks something like this**
* 8\+ years of engineering experience with a strong record of technical leadership
* Proficiency in Python or Typescript and comfort with asynchronous programming
* Expertise in distributed systems, concurrency, or large\-scale real\-time platforms
* Ability to define long\-term architecture and lead complex cross\-functional projects
* Strong instincts around system correctness, reliability, and debuggability
* Experience mentoring other engineers and raising the technical bar
**Even better**
* Experience designing runtimes, execution engines, or agent frameworks
* Experience with model driven applications or complex orchestration logic
* Experience with evaluation or experimentation systems
* Experience influencing engineering standards across multiple teams
**Benefits**
* Medical, dental, and vision benefits
* Take what you need vacation policy
* Daily lunches, dinners and snacks in the office to keep you at your best
**Compensation**
 $300K – $375K \+ Offers Equity</t>
        </is>
      </c>
    </row>
    <row r="229">
      <c r="A229" t="inlineStr">
        <is>
          <t>li-4354775563</t>
        </is>
      </c>
      <c r="B229" t="inlineStr">
        <is>
          <t>Senior Software Engineer, Real Time</t>
        </is>
      </c>
      <c r="C229" t="inlineStr">
        <is>
          <t>RemoteHunter</t>
        </is>
      </c>
      <c r="D229" t="inlineStr">
        <is>
          <t>linkedin</t>
        </is>
      </c>
      <c r="E229">
        <f>HYPERLINK("https://www.linkedin.com/jobs/view/4354775563", "https://www.linkedin.com/jobs/view/4354775563")</f>
        <v/>
      </c>
      <c r="F229" t="inlineStr"/>
      <c r="G229" t="inlineStr"/>
      <c r="H229" t="inlineStr"/>
      <c r="I229" t="inlineStr">
        <is>
          <t>About the Opportunity:
 The organization provides a safety technology platform that supports communities by proactively preventing crime and enhancing security. Its hardware and software connect cities, law enforcement, businesses, schools, and neighborhoods in a public\-private safety network nationwide. The role involves joining the Real\-Time team to build essential tools for first responders, law enforcement, and commercial clients, focusing on developing and refining a client\-facing product that delivers real\-time data and features such as hot lists, mapping solutions, web\-socket functionality, and mobile integrations. The position includes direct customer interaction and opportunities to influence critical technology solutions.
 Responsibilities:
 • Develop and refine client\-facing real\-time data tools
 • Work on key features including hot list tools, mapping solutions, web\-socket functionality, and mobile integrations
 • Collaborate with clients to build technology solutions for real\-time crime centers
 • Deliver high\-impact results through direct customer interaction
 • Contribute to engineering tasks and participate in technical discussions
 • Spread knowledge through public communication channels
 • Own the full lifecycle of assigned work
 • Engage in cross\-team communication to solve problems
 • Participate in at least one customer call within the first 90 days
 Requirements:
 • Strong coding skills with a continuous learning mindset
 • Problem\-solving motivation for unknown and complex challenges
 • Up\-to\-date knowledge of latest web technologies
 • Familiarity with Typescript (Node) and general API design
 • Proficiency in React with Typescript
 • Experience with various data stores, especially PostgreSQL
 • Knowledge of observability and monitoring tools such as DataDog and Grafana
 • Experience with WebSocket protocols and deploying applications to Kubernetes using Helm
 • Familiarity with AWS services like S3, API Gateway, and SQS
 Compensation:
 • Starting salary range between $171,000 and $190,000
 • Stock options included
 • Salary based on experience, education, and market factors
 Benefits \&amp; Perks:
 • Flexible PTO plus 11 company holidays
 • Fully paid medical, dental, vision insurance, and HSA match
 • 12 weeks of 100% paid parental leave; additional 6\-8 weeks for birthing parents
 • $50,000 lifetime maximum benefit for adoption, surrogacy, or fertility expenses via partnered digital health service
 • Mental health benefits including therapy, coaching, and medication management
 • Caregiver support services available
 • 1:1 sessions with equity tax advisors
 • Employee Resource Groups supporting diversity and inclusion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0">
      <c r="A230" t="inlineStr">
        <is>
          <t>li-4328757074</t>
        </is>
      </c>
      <c r="B230" t="inlineStr">
        <is>
          <t>Senior Principal Software Engineer (Relocation Assistance),</t>
        </is>
      </c>
      <c r="C230" t="inlineStr">
        <is>
          <t>Baxter International Inc.</t>
        </is>
      </c>
      <c r="D230" t="inlineStr">
        <is>
          <t>linkedin</t>
        </is>
      </c>
      <c r="E230">
        <f>HYPERLINK("https://www.linkedin.com/jobs/view/4328757074", "https://www.linkedin.com/jobs/view/4328757074")</f>
        <v/>
      </c>
      <c r="F230" t="inlineStr"/>
      <c r="G230" t="inlineStr">
        <is>
          <t>Raleigh, NC</t>
        </is>
      </c>
      <c r="H230" t="inlineStr"/>
      <c r="I230"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**This is where your work saves lives**
 Baxter is seeking a visionary and highly skilled Senior Principal Embedded Software Engineer to join our Novum Infusion Pump team in the Medical Products and Therapies group. As a key member of our team, you will play a pivotal role in driving the development of cutting\-edge, embedded software solutions that enhance our infusion portfolio. If you're passionate about developing high\-quality software that meets the needs of our clients, we want to hear from you.
**What You'll Be Doing**
 As a Senior Principal Embedded Software Engineer, you'll:
* Design and Develop Embedded Software Applications: Create high\-performance and responsive embedded software applications using the Qt framework, ensuring seamless integration with hardware components.
* Lead Architectural Design: Drive the architectural design of front\-end software, focusing on modularity, scalability, and maintainability, and ensuring that software and hardware components work in harmony.
* Collaborate Across Functions: Work closely with hardware engineers, product managers, and other stakeholders to define system requirements and ensure seamless integration of software and hardware components.
* Mentor and Guide: Provide technical leadership and mentorship to junior and mid\-level engineers, fostering a culture of continuous learning and improvement.
* Ensure Code Quality: Conduct thorough code reviews, ensuring adherence to coding standards and best practices, and implement testing strategies to validate software functionality and performance.
* Stay Ahead of the Curve: Stay abreast of emerging technologies and industry trends, particularly in embedded systems development and verification, to drive innovation within the team.
* Document and Share Knowledge: Create and maintain comprehensive documentation for software designs, processes, and testing procedures, and share knowledge with the team to ensure continuous improvement.
**What You'll Bring**
* Expertise in Embedded Software Development: Bachelor's or Master's degree in Computer Science, Electrical Engineering, or a related field, with 8\+ years of experience in embedded software development, and 3 \+ years of experience using a UI framework.
* Technical Skills: Proficient in C\+\+ , UI or Qt/QML, with a strong understanding of object\-oriented programming principles, and experience with embedded Linux.
* UI/UX Design Principles: Knowledge of UI/UX design principles as they relate to embedded systems, and demonstrated experience in writing, debugging, and optimizing C/C\+\+ code for embedded systems.
* Soft Skills: Excellent problem\-solving skills and attention to detail, strong communication and interpersonal skills, and proven leadership abilities, with experience managing technical projects and mentoring team members.
**Preferred Qualifications**
* Additional Programming Languages: Experience with additional programming languages such as Python, and familiarity with version control systems (e.g., Git) and continuous integration/continuous deployment (e.g., Jenkins) tools.
* Automated Testing: Experience with automated testing using Squish library for Qt.
**Relocation assistance will be considered.**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$128,000 to $176,000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231">
      <c r="A231" t="inlineStr">
        <is>
          <t>li-4296000977</t>
        </is>
      </c>
      <c r="B231" t="inlineStr">
        <is>
          <t>Senior Software Engineer (Electronic Warfare)</t>
        </is>
      </c>
      <c r="C231" t="inlineStr">
        <is>
          <t>Applied Intuition</t>
        </is>
      </c>
      <c r="D231" t="inlineStr">
        <is>
          <t>linkedin</t>
        </is>
      </c>
      <c r="E231">
        <f>HYPERLINK("https://www.linkedin.com/jobs/view/4296000977", "https://www.linkedin.com/jobs/view/4296000977")</f>
        <v/>
      </c>
      <c r="F231" t="inlineStr"/>
      <c r="G231" t="inlineStr">
        <is>
          <t>San Diego, CA</t>
        </is>
      </c>
      <c r="H231" t="inlineStr"/>
      <c r="I231"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seeking an experienced Electronic Warfare (EW) engineer to join our cognitive sensing and radio frequency (CSRF) engineering team. The ideal candidate will play a significant role in designing, developing, and implementing cutting\-edge EW software solutions that align with our mission to deliver advanced technologies in signal and electronic intelligence (SIGINT and ELINT). This position requires extensive expertise in radar signal processing, modeling radars, software development, and applications of interest in the defense space.
 At Applied Intuition, you will:
* Design and develop signal processing algorithms for radar receivers and transmitters
* Implement radar models, waveforms, and algorithms in a complex simulation environment
* Stay up\-to\-date with the latest advancements in electronic warfare techniques, algorithms and models, and implement best practicesExecute and support the engineering aspects of contracts in radar signal processing
 We're looking for someone who has:
* Bachelor’s or Master’s degree in Computer Science, Electrical Engineering, Computer Engineering, or a related field
* Experience modeling complex radar systems
* Strong programming skills in scripting (e.g., Python), and compiled languages (e.g., C and C\+\+)
* Ability to translate radar specification documents into working software suites
* Experience designing, developing, and evaluating radar modeling and simulations for applications in electronic warfare
* Ability to transition software simulation applications that are deployed on hardware
* Passion for solving complex problems with little supervision in a fast\-moving team
* Ability to work in a fast\-paced, highly collaborative, and rapidly changing environment
 Travel Requirements:
* Must be willing to travel as projects require. Estimated average travel is once every month for between 2 days up to 1 week. (\~25%)
* This role can be based in one of the following locations: Tucson, AZ; Washington, DC; Mountain View, CA; San Diego, CA; Ann Arbor, MI; or Fort Walton Beach, FL. While preference will be given to candidates local to these areas, applicants from other U.S. locations will also be considered, provided they are willing to travel or potentially relocate for the position.
 Security Requirements:
* Must be a U.S. Citizen
* Must have an active U.S. security clearance
 For more information about U.S. security clearances: click here.
 Nice to have:
* 5\+ yrs experience with software implementation of radar signal processing algorithms
* Well versed in cognitive electronic warfare techniques.
* Software integration and understanding of electronic warfare systems.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$155,000 to $210,000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232">
      <c r="A232" t="inlineStr">
        <is>
          <t>li-4352771077</t>
        </is>
      </c>
      <c r="B232" t="inlineStr">
        <is>
          <t>Lead Full-Stack Software Engineer</t>
        </is>
      </c>
      <c r="C232" t="inlineStr">
        <is>
          <t>Signature Aviation</t>
        </is>
      </c>
      <c r="D232" t="inlineStr">
        <is>
          <t>linkedin</t>
        </is>
      </c>
      <c r="E232">
        <f>HYPERLINK("https://www.linkedin.com/jobs/view/4352771077", "https://www.linkedin.com/jobs/view/4352771077")</f>
        <v/>
      </c>
      <c r="F232" t="inlineStr"/>
      <c r="G232" t="inlineStr">
        <is>
          <t>Orlando, FL</t>
        </is>
      </c>
      <c r="H232" t="inlineStr"/>
      <c r="I232" t="inlineStr">
        <is>
          <t>**Job Description**
 We’re seeking a Lead Software Engineer to serve as a technical authority and hands\-on engineering leader across our enterprise application and digital platforms. As a senior\-most individual contributor, you will architect, design, and guide the development of scalable, secure, and high\-performing systems that power Signature Aviation’s digital ecosystem. This role blends deep technical expertise in .NET, Node.js, React/Next.js, TypeScript, and Azure with architectural vision and mentorship.
 You’ll partner closely with product owners, architects, and cross\-functional teams to define engineering standards, modernize our technology stack, and deliver enterprise\-grade solutions that advance Signature’s mission to connect people, data, and experiences across the global network.
**Responsibilities**
 Technical Strategy \&amp; Architecture
* Define and maintain technical architecture blueprints for distributed, cloud\-native systems using Azure and modern development frameworks.
* Lead solution design and code implementation for end\-to\-end enterprise systems, including API\-first architectures, microservices, and event\-driven workflows.
* Collaborate with enterprise and solution architects to ensure consistency, scalability, and security across the digital ecosystem.
* Evaluate emerging technologies and tools to inform long\-term platform strategies.
 Full\-Stack Engineering Leadership
* Design and manage Azure\-based architectures, including App Services, Functions, Logic Apps, Cosmos DB, Storage, and Azure DevOps.
* Build and optimize CI/CD pipelines (GitHub Actions or Azure DevOps) for automated testing, deployment, and observability.
* Implement IaC using Terraform and monitor system performance through Application Insights, Pino Logger, and Azure Monitor.
 Cloud \&amp; DevOps Enablement
* Architect and maintain scalable deployments using Azure App Services, Functions, Logic Apps, Service Bus, Cosmos DB, and Azure DevOps.
* Build automated CI/CD pipelines using GitHub Actions or Azure DevOps, ensuring consistent code quality and rapid delivery.
* Define infrastructure\-as\-code (IaC) standards with Terraform and manage observability using Application Insights, Azure Monitor, and Sentry.
 Technical Mentorship \&amp; Collaboration
* Act as a technical mentor and multiplier, guiding engineers through complex design, debugging, and architectural decisions.
* Foster a culture of excellence, collaboration, and innovation across engineering squads.
* Partner with product management and design to align technical feasibility with business priorities and user experience.
* Serve as the final technical escalation point for troubleshooting critical production issues.
 Innovation \&amp; Transformation
* Lead modernization and re\-platforming initiatives for legacy applications into modern, cloud\-native solutions.
* Drive automation, performance tuning, and security hardening efforts across applications.
* Advocate for DevSecOps, continuous learning, and open collaboration across disciplines.
**Qualifications**
 Minimum Education and/or Experience:
* Bachelor’s degree in Computer Science, Software Engineering, or a related field (Master’s preferred).
* 8\+ years of progressive experience in software engineering with proven success in full\-stack development and cloud\-based architecture.
* 2\+ years leading or architecting enterprise\-scale applications or digital platforms.
**Additional Knowledge And Skills**
* Languages \&amp; Frameworks: C\#, .NET Core, ASP.NET Core, Node.js, React/Next.js 14\+, TypeScript
* Cloud \&amp; DevOps: Azure (App Services, Functions, Logic Apps, Service Bus, Cosmos DB, Key Vault, APIM), Terraform, GitHub Actions, Azure DevOps
* Databases: PostgreSQL, SQL Server, Entity Framework Core, Drizzle ORM
* Frontend Tools: Tailwind CSS, shadcn/ui, Radix UI
* Integrations: Dynamics 365 CRM, Strapi CMS, Auth0 (OAuth2/JWT), REST, GraphQL
* Testing \&amp; Quality: Jest, Playwright, React Testing Library, MSW
* Observability: Application Insights, Sentry, Azure Monitor, Pino Logger
* Preferred: Docker/Kubernetes, AI/ML integrations, Adobe Experience Manager (AEM), event\-driven architecturesObservability: Application Insights, Sentry, Pino, Azure Monitor
* Preferred: Experience with containerization (Docker/Kubernetes) and AI/ML\-powered solutions
* Strategic technical thinking with hands\-on coding proficiency.
* Strong understanding of cloud\-native patterns, scalability, and security best practices.
* Exceptional collaboration and communication across technical and non\-technical audiences.
* Proven ability to influence architectural direction and deliver through others without formal authority.
* Commitment to continuous learning, innovation, and operational excellence.</t>
        </is>
      </c>
    </row>
    <row r="233">
      <c r="A233" t="inlineStr">
        <is>
          <t>li-4218975233</t>
        </is>
      </c>
      <c r="B233" t="inlineStr">
        <is>
          <t>Senior Software Engineer, Backend (Experimentation Platform)</t>
        </is>
      </c>
      <c r="C233" t="inlineStr">
        <is>
          <t>Affirm</t>
        </is>
      </c>
      <c r="D233" t="inlineStr">
        <is>
          <t>linkedin</t>
        </is>
      </c>
      <c r="E233">
        <f>HYPERLINK("https://www.linkedin.com/jobs/view/4218975233", "https://www.linkedin.com/jobs/view/4218975233")</f>
        <v/>
      </c>
      <c r="F233" t="inlineStr"/>
      <c r="G233" t="inlineStr">
        <is>
          <t>Denver, CO</t>
        </is>
      </c>
      <c r="H233" t="inlineStr"/>
      <c r="I233"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34">
      <c r="A234" t="inlineStr">
        <is>
          <t>li-4361292822</t>
        </is>
      </c>
      <c r="B234" t="inlineStr">
        <is>
          <t>Front End / React Lead Software Engineer</t>
        </is>
      </c>
      <c r="C234" t="inlineStr">
        <is>
          <t>JPMorganChase</t>
        </is>
      </c>
      <c r="D234" t="inlineStr">
        <is>
          <t>linkedin</t>
        </is>
      </c>
      <c r="E234">
        <f>HYPERLINK("https://www.linkedin.com/jobs/view/4361292822", "https://www.linkedin.com/jobs/view/4361292822")</f>
        <v/>
      </c>
      <c r="F234" t="inlineStr"/>
      <c r="G234" t="inlineStr">
        <is>
          <t>New York, NY</t>
        </is>
      </c>
      <c r="H234" t="inlineStr"/>
      <c r="I234" t="inlineStr">
        <is>
          <t>**Job Description**
 We have an opportunity to impact your career and provide an adventure where you can push the limits of what's possible.
 As a Front End / React Lead Software Engineer at JPMorgan Chase within the Consumer and Community Bank \- Digital Technology, you will play a crucial role as part of an agile team dedicated to enhancing, building, and delivering trusted, market\-leading technology products. Your work will focus on ensuring these products are secure, stable, and scalable.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opportunity,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Strong experience working with popular front\-end JavaScript frameworks including React
* Knowledge and experience in ES6\+
* Understanding of modern design patterns used in JavaScript
* Knowledge and experience working with HTML5, CSS and popular precompilers, like Sass and LESS
* Knowledge and experience using popular build tools, like Gulp and Webpack
* Knowledge and experience in TDD and modern testing frameworks that support it, like Karma and Mocha
* Understanding of source control and experience working with modern tools that support it, such as Git
* Advanced understanding of agile methodologies such as CI/CD, Application Resiliency, and Security
* Practical cloud native experience
**Preferred Qualifications, Capabilities, And Skills**
* Knowledge and experience in TypeScript and experience in using CSS for animation
* Understanding UX design concepts like responsive web design
* Work with web performance tools, such as Lighthouse
* Experience building UI web components to support a hybrid experience in mobile apps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235">
      <c r="A235" t="inlineStr">
        <is>
          <t>li-4328804646</t>
        </is>
      </c>
      <c r="B235" t="inlineStr">
        <is>
          <t>Principal Software Engineer (Firmware Developer Experience)</t>
        </is>
      </c>
      <c r="C235" t="inlineStr">
        <is>
          <t>Tandem Diabetes Care</t>
        </is>
      </c>
      <c r="D235" t="inlineStr">
        <is>
          <t>linkedin</t>
        </is>
      </c>
      <c r="E235">
        <f>HYPERLINK("https://www.linkedin.com/jobs/view/4328804646", "https://www.linkedin.com/jobs/view/4328804646")</f>
        <v/>
      </c>
      <c r="F235">
        <f>HYPERLINK("https://tandemdiabetes.wd12.myworkdayjobs.com/tandemdiabetes/job/California\u002d\u002d-High-Bluff/Principal-Software-Engineer\u002d\u002dFirmware-Developer-Experience-_JR100654?source=LinkedIn&amp;urlHash=of7c", "https://tandemdiabetes.wd12.myworkdayjobs.com/tandemdiabetes/job/California\u002d\u002d-High-Bluff/Principal-Software-Engineer\u002d\u002dFirmware-Developer-Experience-_JR100654?source=LinkedIn&amp;urlHash=of7c")</f>
        <v/>
      </c>
      <c r="G235" t="inlineStr">
        <is>
          <t>San Diego, CA</t>
        </is>
      </c>
      <c r="H235" t="inlineStr"/>
      <c r="I235"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A highly skilled team leader responsible for the design and architecture of the build infrastructure, CI/CD automation, embedded toolchain, and overall developer experience that enables reliable, efficient delivery of firmware for Tandem's t:slim, Mobi, and next\-generation insulin pump products.
 The principal engineer is among the team’s most senior individual contributors and takes on some of the most challenging problems. This leadership role elevates the technical capabilities of everyone through mentorship, technical guidance, and by modeling Tandem values.
* Architects, implements, and maintains the embedded firmware build infrastructure, including build orchestration, tool chains, configuration systems, and artifact generation.
* Designs and builds CI/CD workflows that integrate automated build, test, and release processes.
* Drives adoption of industry\-standard technology and best practices in build automation, configuration management, and developer tooling.
* Ensures the reliability and availability of CI and server infrastructure and leads the rapid diagnosis and resolution of outages that impact engineering teams.
* Collaborates across the organization and with external vendors to procure, deploy, and maintain development tools and licenses.
* Drives a culture of continuous improvement in developer experience, engineering efficiency, and quality.
* Plays an active leadership role in the development, modification, and testing of software units per corporate software process documents.
* Establishes and enforces strong software engineering practices, concepts, and techniques across multiple software teams.
* Proactively identifies opportunities in software process, discusses with peers, and implements proposals to address gaps.
* Provides technical guidance to major programs and software engineering teams.
* Responsible for the training, mentoring, and development of junior team members.
* Guides the team through strategic design and architecture decisions.
* Creates, maintains, and reviews software design specifications, interface descriptions, and other software documentation.
* Creates, maintains, and reviews software requirements specifications.
* Influences software test strategy and supports validation and verification activities.
* Evaluates and recommends tools, technologies, and processes.
**When \&amp; Where You’ll Work** 
 Remote: This position is fully remote and open to candidates within the United States. Equipment for the role will be provided and training will occur virtually.
**What You’ll Need** 
* Skilled in utilizing modern AI tools in software development.
* Deep knowledge and experience with formal software.
* Skilled at fostering an environment that supports an effective exchange of information between diverse groups.
* Ability to scope, estimate time needed and track large scale development projects.
* Skilled at defining and translating high\-level requirements into software design and implementation.
* Able to lead cooperative work efforts within and between teams.
* Adept at leading change initiatives and ensuring the redeployment of resources within and between groups to meet new objectives.
* Able to assert own ideas and persuade others through effectively consolidating, evaluating, and presenting relevant information.
**Extra Awesome** 
* Bachelor’s degree in computer engineering, Electrical Engineering, Computer Science, Biomedical Engineering or related field or equivalent combination of education and years of applicable work experience.
* 10\+ years’ experience in the field of embedded software for medical devices, aerospace, automotive, or other safety/regulation critical products.
* Extensive experience with embedded build systems and toolchains (e.g., GCC, CMake, Kconfig, Nix) for multi\-target embedded platforms.
* Hands\-on experience building CI/CD pipelines and build/test/release automation (e.g. GitHub, GitHub Actions, Azure)
* Strong proficiency in Python and scripting languages for automation and developer tooling.
* Experienced with regulated software life cycle development, preferably medical device software.
**Compensation \&amp; Benefits** 
 The starting base pay range for this position is
 **$192,000 to $230,000**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t>
        </is>
      </c>
    </row>
    <row r="236">
      <c r="A236" t="inlineStr">
        <is>
          <t>li-4328694776</t>
        </is>
      </c>
      <c r="B236" t="inlineStr">
        <is>
          <t>Senior Front End Software Engineer- Agentforce for Supply Chain</t>
        </is>
      </c>
      <c r="C236" t="inlineStr">
        <is>
          <t>Salesforce</t>
        </is>
      </c>
      <c r="D236" t="inlineStr">
        <is>
          <t>linkedin</t>
        </is>
      </c>
      <c r="E236">
        <f>HYPERLINK("https://www.linkedin.com/jobs/view/4328694776", "https://www.linkedin.com/jobs/view/4328694776")</f>
        <v/>
      </c>
      <c r="F236">
        <f>HYPERLINK("https://salesforce.wd12.myworkdayjobs.com/External_Career_Site/job/New-York\u002d\u002d-New-York/Senior-Front-End-Software-Engineer\u002d\u002dAgentforce-for-Supply-Chain_JR322188?source=LinkedIn_Jobs&amp;urlHash=4IH5", "https://salesforce.wd12.myworkdayjobs.com/External_Career_Site/job/New-York\u002d\u002d-New-York/Senior-Front-End-Software-Engineer\u002d\u002dAgentforce-for-Supply-Chain_JR322188?source=LinkedIn_Jobs&amp;urlHash=4IH5")</f>
        <v/>
      </c>
      <c r="G236" t="inlineStr">
        <is>
          <t>New York, NY</t>
        </is>
      </c>
      <c r="H236" t="inlineStr"/>
      <c r="I23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Global supply chains still rely on slow, manual processes—email, spreadsheets, and fragmented data. The economy moves fast but supply chains don’t, creating an inefficiency that affects the $13T of goods shipped annually and is one of the largest untapped opportunities in modern enterprise.
 Agentforce for Supply Chain is reimagining the supply chain with an AI\-powered platform for designing, automating, and running end\-to\-end business processes, with seamless collaboration through familiar channels like email. For Salesforce, this represents a massive growth opportunity in the back office, with innovations that flow into the front office. Customers are clamoring for more, rapidly expanding their use cases as we enter an exhilarating growth phase. As one user put it: “I’ve been waiting for this for 20 years.”
 Join our dynamic team at Salesforce and make a real impact with your code! We’re looking for passionate individuals who want to shape the future of our products and deliver exceptional experiences to our customers. Come be a part of our innovative and collaborative environment, where your skills will thrive and your ideas will be valued. Apply now and let’s build something extraordinary together!
 We embrace the hybrid model and celebrate the individual strengths of each team member while encouraging everyone on the team to grow into the best version of themselves. We believe that autonomous teams with the freedom to make decisions will empower individuals, products, companies, and customers to thrive.
**Responsibilities**
* Design, implement, test and deliver highly scalable products
* Master our development process, culture and code base, then improve it
* Operate optimally in the hybrid engineering model where engineers are encouraged to be able to craft and complete the vital work to ensure quality in their own code as well as other engineers
* Mentor others in development technologies, tools, and processes
* Present your own designs to internal/external groups and review designs of others
* Develop test strategies, design automation frameworks, write unit/functional tests to drive up code coverage and automation metrics
**Required Skills**
* A related technical degree required
* 5\+ years of proven experience in front end engineering
* Solid knowledge of UI / web technologies, such as TypeScript, JavaScript, CSS, HTML5, XML, JavaScript, JSON, or Ajax
* Thorough understanding of accessibility standards and guidelines
* Experience using ReactJS, Flux, Redux, Relay/GraphQL, ReactNative, Ember.js, Node.js for Front End focused positions
* Understanding of object oriented programming language (Java, Javascript, C\+\+, C\#, Ruby, Python)
* Experience in automated testing including unit and functional testing using Java, JUnit, JSUnit, Selenium, Mocha and QUnit
* Excellent interpersonal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$143,300 \- $216,700 annually. In select cities within the San Francisco and New York City metropolitan area, the base salary range for this role is $172,000 \- $236,500 annually. The range represents base salary only, and does not include company bonus, incentive for sales roles, equity or benefits, as applicable.</t>
        </is>
      </c>
    </row>
    <row r="237">
      <c r="A237" t="inlineStr">
        <is>
          <t>li-4328712354</t>
        </is>
      </c>
      <c r="B237" t="inlineStr">
        <is>
          <t>Sr. Software Engineer, DevOps (Starlink)</t>
        </is>
      </c>
      <c r="C237" t="inlineStr">
        <is>
          <t>SpaceX</t>
        </is>
      </c>
      <c r="D237" t="inlineStr">
        <is>
          <t>linkedin</t>
        </is>
      </c>
      <c r="E237">
        <f>HYPERLINK("https://www.linkedin.com/jobs/view/4328712354", "https://www.linkedin.com/jobs/view/4328712354")</f>
        <v/>
      </c>
      <c r="F237" t="inlineStr"/>
      <c r="G237" t="inlineStr">
        <is>
          <t>Redmond, WA</t>
        </is>
      </c>
      <c r="H237" t="inlineStr"/>
      <c r="I237"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SOFTWARE ENGINEER, DEVOPS (STARLINK)**
 Want to build the next era of the Internet? Want to develop the infrastructure necessary to bring high speed broadband to every corner of the world?
 Join the team responsible for enabling the rapid development velocity that is critical to the success of Starlink. As a software engineer specializing in developer operations, you will engage with other Starlink engineers to learn about their systems, workflows, and challenges. You will take this knowledge and your passion for building great software to develop systems that allow our teams to innovate rapidly and reliably. You will be responsible for the complete life\-cycle of the software you create, including development, testing, and support.
 Your creativity and relentless commitment to quality will be critical to the reliability of our service and the success of our business. You are the engineer that other engineers can count on; you are technically excellent, you attack every problem with enthusiasm, you care deeply about what it takes to build high quality software.
 Aerospace experience is not required to be successful here \- rather we look for smart, motivated, collaborative engineers who love solving problems and want to make an impact on an inspiring mission.
**Responsibilities**
* Invent tools and processes that enable fast, accurate, and easy\-to\-use development and deployment systems
* Provide fast and comprehensive software validation, including virtualized, hardware\-in\-the\-loop, and on\-orbit test platforms
* Monitoring and data analysis in support of a continuous integration and release system
* Hands\-on integration and troubleshooting across the entire Starlink stack
* Create and manage core infrastructure such as databases and software libraries
* Identify areas for improvement and create innovative solutions that enable high developer velocity
**Basic Qualifications**
* Bachelor's degree in computer science, engineering, math, or scientific discipline and 5\+ years of systems engineering experience; OR 7\+ years of professional experience building software in lieu of a degree
* Development experience in Python, Go, or C\+\+
**Preferred Skills And Experience**
* DevOps, site reliability engineering, or systems administration experience
* Deep understanding of testing, continuous integration, build, deployment and continuous monitoring
* Strong understanding of relevant technologies, such as:
+ Bazel or other build systems
+ Linux, Docker, Kubernetes, or similar technologies
+ GitOps, ArgoCD, or other relevant experience
* Fluency in Python
* Strong skills in debugging, performance optimization, and unit testing
* Experience managing large scale systems
* Developed and deployed software that has been used in real world applications/projects
* Creative approach to problem solving, exceptional analytical skills and engineering fundamentals
* Excellent communication skills both written and verbal
* Ability to work effectively in a dynamic environment with changing needs and requirements
**Additional Requirements**
* Must be able to work extended hours and weekends as needed
**Compensation And Benefits**
 Pay range:
 Software Engineer/Senior: $160,000 \- $220,000/per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and long\-term disability insurance, life insurance, paid parental leave, and various other discounts and perks. You may also accrue 3 weeks of paid vacation and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38">
      <c r="A238" t="inlineStr">
        <is>
          <t>li-4345705908</t>
        </is>
      </c>
      <c r="B238" t="inlineStr">
        <is>
          <t>Senior Staff Software Engineer, AI/ML, Google Workspace</t>
        </is>
      </c>
      <c r="C238" t="inlineStr">
        <is>
          <t>Google</t>
        </is>
      </c>
      <c r="D238" t="inlineStr">
        <is>
          <t>linkedin</t>
        </is>
      </c>
      <c r="E238">
        <f>HYPERLINK("https://www.linkedin.com/jobs/view/4345705908", "https://www.linkedin.com/jobs/view/4345705908")</f>
        <v/>
      </c>
      <c r="F238" t="inlineStr"/>
      <c r="G238" t="inlineStr">
        <is>
          <t>New York, NY</t>
        </is>
      </c>
      <c r="H238" t="inlineStr"/>
      <c r="I238" t="inlineStr">
        <is>
          <t>**Minimum qualifications:**
* Bachelor’s degree or equivalent practical experience.
* 8 years of experience in software development.
* 7 years of experience leading technical project strategy, ML design, and optimizing industry\-scale ML infrastructure (e.g., model deployment, model evaluation, data processing, debugging, fine tuning).
* 5 years of experience with design and architecture; and testing/launching software products.
* 5 years of experience with one or more of the following: Speech/audio (e.g., technology duplicating and responding to the human voice), reinforcement learning (e.g., sequential decision making), ML infrastructure, or specialization in another ML field.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Drive technical project strategy, lead large\-scale ML infrastructure optimization, and oversee the design and implementation of solutions across multiple specialized ML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9">
      <c r="A239" t="inlineStr">
        <is>
          <t>li-4345579597</t>
        </is>
      </c>
      <c r="B239" t="inlineStr">
        <is>
          <t>Senior Staff Software Engineer, Agent Protocol, Cloud AI</t>
        </is>
      </c>
      <c r="C239" t="inlineStr">
        <is>
          <t>Google</t>
        </is>
      </c>
      <c r="D239" t="inlineStr">
        <is>
          <t>linkedin</t>
        </is>
      </c>
      <c r="E239">
        <f>HYPERLINK("https://www.linkedin.com/jobs/view/4345579597", "https://www.linkedin.com/jobs/view/4345579597")</f>
        <v/>
      </c>
      <c r="F239">
        <f>HYPERLINK("https://careers.google.com/jobs/results/107073090919244486-senior-staff-software-engineer/?src=Online/LinkedIn/linkedin_us&amp;utm_source=linkedin&amp;utm_medium=jobposting&amp;utm_campaign=contract&amp;urlHash=xIrH", "https://careers.google.com/jobs/results/107073090919244486-senior-staff-software-engineer/?src=Online/LinkedIn/linkedin_us&amp;utm_source=linkedin&amp;utm_medium=jobposting&amp;utm_campaign=contract&amp;urlHash=xIrH")</f>
        <v/>
      </c>
      <c r="G239" t="inlineStr">
        <is>
          <t>Sunnyvale, CA</t>
        </is>
      </c>
      <c r="H239" t="inlineStr"/>
      <c r="I239" t="inlineStr">
        <is>
          <t>**Minimum qualifications:**
* Bachelor’s degree in Computer Science, Mathematics, Applied Statistics, Machine Learning, or equivalent practical experience.
* 8 years of experience in software development with Python, Java or C\+\+.
* 5 years of experience leading ML design and optimizing ML infrastructure (e.g., model deployment, model evaluation, data processing, debugging, fine tuning).
* 5 years of experience in ML driven workflows, AI based assistants, intelligent agents, agentic frameworks.
* 3 years of experience with software design and architecture.
* Experience conducting applied research to improve the quality and production agents.
**Preferred qualifications:**
* Master’s degree or PhD in Engineering, Computer Science, or a related technical field.
* 5 years of experience in platform development in major SaaS vendors.
* 5 years of experience working with Large Language Models (LLMs).
* 3 years of experience in a technical leadership role, guiding project teams and technical direction while applying and productionizing large visual, language, and multimodal research.
* 3 years of experience fine\-tuning large models (e.g., supervised, RLHF).
* Understanding of data model, API layer, UI and application development environments of at least one of the major SaaS providers.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The AI and Infrastructure team works on the world’s toughest problems, redefining what’s possible. We empower Google customers by delivering AI and Infrastructure at unparalleled scale, efficiency, reliability and velocity. We’re at the center of amazing work at Google by being the “flywheel” that enables our advanced AI models, delivering computing power across global services, and offering platforms that developers use to build services.
 We shape the future of hyperscale computing the future technology, and drive global impact by contributing to Google infrastructure from software to hardware (including building Vertex AI).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design and implementation of multimodal agentic experiences, creating systems that can understand and interact with the world through various modalities.
* Define the technical goal and long\-term strategy for multi\-agent orchestration across disparate data, api and agentic platforms, driving adoption of Gemini, Google Agent Cloud platform.
* Design and implement highly scalable evaluations infrastructure and processes to support onboarding and usage of multimodal agentic systems across platforms.
* Provide AI expertise to guide the technical relationship with Google’s customers and partners, helping them build large\-scale model evaluation for workflows, business applications and agentic solutions on Google Cloud Platform.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0">
      <c r="A240" t="inlineStr">
        <is>
          <t>li-4345864241</t>
        </is>
      </c>
      <c r="B240" t="inlineStr">
        <is>
          <t>Principal Software Developer</t>
        </is>
      </c>
      <c r="C240" t="inlineStr">
        <is>
          <t>Oracle</t>
        </is>
      </c>
      <c r="D240" t="inlineStr">
        <is>
          <t>linkedin</t>
        </is>
      </c>
      <c r="E240">
        <f>HYPERLINK("https://www.linkedin.com/jobs/view/4345864241", "https://www.linkedin.com/jobs/view/4345864241")</f>
        <v/>
      </c>
      <c r="F240" t="inlineStr"/>
      <c r="G240" t="inlineStr">
        <is>
          <t>Austin, TX</t>
        </is>
      </c>
      <c r="H240" t="inlineStr"/>
      <c r="I240" t="inlineStr">
        <is>
          <t>**Job Description**
 At Multicloud Services organization, our mission is to support customer choice, transparency, and value when it comes to cloud infrastructure. We make it easy for our customers to maximize the value of their Oracle investment as well as other clouds or on\-premise infrastructure and build highly distributed, scalable, and resilient Multicloud solutions to support their business.
 We are looking for hands\-on engineers with expertise and passion in solving difficult problems in all areas of cloud service software engineering: high scale distributed systems, virtualized infrastructure, identity, security, observability, and user experience.
 This is a greenfield opportunity to design and build new cloud services from the ground up. We are growing fast, still at an early stage, and working on ambitious new initiatives. An engineer at any level can have significant technical and business impact here. You will be part of a team of smart, motivated, diverse people, and given the autonomy as well as support to do your best work. It is a dynamic and flexible workplace where you’ll belong and be encouraged.
**Who are we looking for?**
 We are looking for engineers with experience in building control plane components for public cloud services including Google Cloud, AWS, Azure.
 You have experience with the design of major features and launching them into production. You’ve built and operated high\-scale public cloud services and have deep understanding of control plane architecture. You work on most projects and tasks independently and extend technical leadership to development teams.
 In this role, you will enable development teams by driving design of major service components, working with engineering managers and TPMs, and providing direct guidance to more junior team members. You can go from high level system design, writing architectural documentation and driving engineering peer reviews to hands\-on prototyping, code reviews and project bootstrapping.
 You are technically strong and get a lot done. You can balance speed and quality with iteration and incremental improvements. You’ve made life easier for other developers and have motivated your teams to make both process and service improvements with your ability to automate and instrument your service. You understand operational excellence and how to instill a culture of high quality and customer focus.
**Qualifications:**
* 6 to 10 years distributed service engineering experience in a software development environment
* Development experience in a modern programming language, such as Java, GoLang, C\+\+, C\#
* Hands\-on experience designing, developing, and operating public cloud service control planes
* Deep understanding of object\-oriented design and SDK development, specifically within a cloud environment
* Experience working closely with architects, principals, product and program managers to deliver product features on time and with high quality.
* Good knowledge of data structures, algorithms, operating systems, and distributed systems fundamentals.
* Working familiarity with networking protocols (TCP/IP, HTTP) and standard network architectures.
* Good understanding of databases, NoSQL systems, storage, and distributed persistence technologies.
* Good understanding of Linux or desire to learn
* Demonstrable technical leadership and mentorship skills
**Preferred Qualifications:**
* BS degree in Computer Science or related field (MS preferred)
* Hands\-on experience developing services on a public cloud platform (e.g., AWS, Azure, GCP)
* Experience driving security reviews, documentation, UX reviews, and working with Product Managers from inception through launch
* Experience and understanding of multi\-AD/AZ and regional data centers
* Building continuous integration/deployment pipelines with robust testing and deployment schedules
* FedRAMP, PCI DSS, or similar compliance and auditing experience
* Expertise in applying threat modeling or other risk identification techniques to develop security solutions
**Responsibilities**
 As a Principal Member of Technical Staff, you will build entire services and act as a leader on your team. You will be writing exceptional code and tests, mentor others on your team and establish high quality standards, drive design and architecture of your service, and play a key role in planning, execution and operational readiness. As an engineering leader, we expect you to raise the bar for the entire engineering organization – whether through best engineering practices, operational excellence, development process or shared code contributions.
**Key Responsibilities:**
* Own the engineering delivery of a service component or product.
* Work closely with architects, product and program managers to deliver product features on time and with high quality.
* Drive engineering efforts and provide direction other members of the team.
* Collaborate with other product teams.
* Proactively identify and resolve risks and issues that may dent team’s ability to execute.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41">
      <c r="A241" t="inlineStr">
        <is>
          <t>li-4345991282</t>
        </is>
      </c>
      <c r="B241" t="inlineStr">
        <is>
          <t>Lead Software Engineer</t>
        </is>
      </c>
      <c r="C241" t="inlineStr">
        <is>
          <t>STR</t>
        </is>
      </c>
      <c r="D241" t="inlineStr">
        <is>
          <t>linkedin</t>
        </is>
      </c>
      <c r="E241">
        <f>HYPERLINK("https://www.linkedin.com/jobs/view/4345991282", "https://www.linkedin.com/jobs/view/4345991282")</f>
        <v/>
      </c>
      <c r="F241" t="inlineStr"/>
      <c r="G241" t="inlineStr">
        <is>
          <t>Woburn, MA</t>
        </is>
      </c>
      <c r="H241" t="inlineStr"/>
      <c r="I241" t="inlineStr">
        <is>
          <t>A mission\-focused Lead Software Engineer develops and deploys software essential for a specific, real\-world objective or "mission" in partnership with our customers. This approach differs from standard software engineering by adding a strong emphasis on the end\-user's operational needs and the success of the overall mission, rather than just technical performance. Ensuring alignment to the mission and customer through an agile response to dynamic priorities can significantly improve the impact of STR software.
 Our Systems Development Division (SDD) executes the entire lifecycle of the solution, from conceptualization and architecture refinement through implementation and deployment, while leveraging novel technologies to deliver first\-of\-a\-kind systems. Current efforts include programs for airborne and space sensors and advanced operations enabled by multi\-function, multi\-modal capabilities. In this role you will be exposed to key operations, users, and technology that have strategic impact on AF operations.
**The Role**
 As a Lead Software Engineer in STR’s Systems Development Division (SDD), you will design and develop systems and deploy advanced technology solutions for our customers. You will work as part of tightly knit Agile software teams to develop, integrate, and maintain software systems deployed to meet unique mission needs in customer directed environments. You ensure that our software solutions meet the highest standards of quality, reliability, and performance as well as user needs.
 This position requires an active Top Secret (TS) clearance. The role can be based at any of these three STR sites: Dayton, OH, Arlington, VA, and Woburn, MA. Applicants should expect to travel and work on site at customer facilities at 1 week per month on average.
**What you will do:**
* Develop new software components for a key operational capability
* Conduct software integration and test activities in supporting a small integrated development team
* Perform integration testing to ensure seamless interaction between different system components
* Deployment and Field Testing: Traveling to integration sites to build, test, and deploy software in real\-world, operational environments (CONUS)
* Triage and Debugging: Identifying and resolving software and system failures during integration
* Participate in test planning \&amp; test events, requirements reviews, code reviews, and architecture/software implementation reviews to improve code quality and maintainability
* Develop and maintain automated test scripts and test frameworks for Java applications
**Who You Are:** 
- This position requires an Active Top Secret Security clearance, for which U.S citizenship is needed by U.S. Government
- Motivated collaborator looking to work with a team of high\-end researchers and engineers to develop and deploy software capabilities with mission impact
- BS in Computer Science or related technical field with at least 7 years of work experience (MS \+ 5 years, PhD \+ 2 years, or equivalent experience will be considered)
- Experience designing, building, testing, debugging, and maintaining a large codebase
- Experience with the following:
* Object\-oriented programming principles
* Service oriented architectures or micro\-service architectures
* Containerization/orchestration tools such as Docker and Kubernetes
* Agile software lifecycle methodologies and tools, such as JIRA and SonarQube
* DevOps or CI/CD tools such as Gitlab
* Test\-driven development methodologies
* A demonstrated ability to adopt new languages, libraries, and technologies
* Organized, detail\-oriented, and with an ability to work both independently and collaboratively
* Integration and Test Experience, with a focus on Java applications
* Experience in leading and directing development initiatives from inception to functional prototypes to production\-level systems
**Even Better:**
* SCI Eligible
* Experience with automated testing tools and frameworks (e.g., JUnit, TestNG, Selenium).
* Experience with message queuing systems like Active MQ, as well as access control and auditing
**Pay Information**
 Full\-Time Salary Range: $157,000 \- $224,000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row>
    <row r="242">
      <c r="A242" t="inlineStr">
        <is>
          <t>li-4354775506</t>
        </is>
      </c>
      <c r="B242" t="inlineStr">
        <is>
          <t>Research Software Engineer, ML Network Optimization, Google Beam</t>
        </is>
      </c>
      <c r="C242" t="inlineStr">
        <is>
          <t>Google</t>
        </is>
      </c>
      <c r="D242" t="inlineStr">
        <is>
          <t>linkedin</t>
        </is>
      </c>
      <c r="E242">
        <f>HYPERLINK("https://www.linkedin.com/jobs/view/4354775506", "https://www.linkedin.com/jobs/view/4354775506")</f>
        <v/>
      </c>
      <c r="F242" t="inlineStr"/>
      <c r="G242" t="inlineStr">
        <is>
          <t>Seattle, WA</t>
        </is>
      </c>
      <c r="H242" t="inlineStr"/>
      <c r="I242"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Los Angeles, CA, USA; Seattle, WA, USA; San Francisco, CA, USA** 
 .
 **Minimum qualifications:**
* Bachelor’s degree in Computer Science, a related technical field, or equivalent practical experience.
* 5 years of experience with software development in one or more programming languages, including C\+\+ and Python.
* 3 years of experience testing, maintaining, or launching software products, and 1 year of experience with software design and architecture.
* 3 years of experience with one or more of the following: Machine Learning Optimization (e.g., quantization, distillation), GPU/TPU hardware architecture, Kernel programming, or specialization in another ML field.
* 3 years of experience with ML infrastructure (e.g., model deployment, model evaluation, optimization, data processing, debugging).
**Preferred qualifications:**
* Master's degree or PhD in Computer Science, Computer Engineering, or a related technical field.
* 5 years of experience with data structures and algorithms, and hardware\-software co\-design.
* 1 year of experience in a technical leadership role or driving architectural transitions.
* Experience with kernel programming (e.g., CUDA, OpenCL, Vulkan, Triton), compiler technologies (e.g., XLA), and optimizing real\-time media pipelines.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researchers and engineers are turning science fiction into reality. Google Beam is developing advanced software and hardware technology to enable people who are separated by distance to experience a conversation as if they were together in the same room.
 As a Research Software Engineer, you will join a creative, fast\-moving team at the intersection of computer vision, machine learning, and graphics. While we push the boundaries of what is possible with novel research, your focus will be on making that research viable for production. You will bridge the gap between high\-level algorithms and low\-level hardware performance, architecting the transition to next\-generation GPU platforms. You will work alongside researchers and engineers to invent the future of communication.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 frames.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Research and implement emerging best practices in network design (e.g., quantization, distillation) to accelerate network performance without loss of quality.
* Lead low\-level performance optimization efforts and write fast custom kernels to reduce per\-call GPU resource requirements and latency.
* Analyze and profile complex ML models and graphics pipelines to identify and resolve performance bottlenecks.
* Collaborate with hardware and compiler teams to influence next\-generation architecture and software stack requirements.
* Navigate hardware\-software co\-design to facilitate long\-term gains in the performance of our ML software and hardware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3">
      <c r="A243" t="inlineStr">
        <is>
          <t>li-4328689658</t>
        </is>
      </c>
      <c r="B243" t="inlineStr">
        <is>
          <t>Cloud Software Engineer</t>
        </is>
      </c>
      <c r="C243" t="inlineStr">
        <is>
          <t>Peraton</t>
        </is>
      </c>
      <c r="D243" t="inlineStr">
        <is>
          <t>linkedin</t>
        </is>
      </c>
      <c r="E243">
        <f>HYPERLINK("https://www.linkedin.com/jobs/view/4328689658", "https://www.linkedin.com/jobs/view/4328689658")</f>
        <v/>
      </c>
      <c r="F243">
        <f>HYPERLINK("https://www.careers.peraton.com/jobs/cloud-software-engineer-annapolis-junction-maryland-162155-jobs\u002d\u002dinformation-technology\u002d\u002d?iis=Job%2BBoard&amp;iisn=LinkedIn&amp;urlHash=Tq40", "https://www.careers.peraton.com/jobs/cloud-software-engineer-annapolis-junction-maryland-162155-jobs\u002d\u002dinformation-technology\u002d\u002d?iis=Job%2BBoard&amp;iisn=LinkedIn&amp;urlHash=Tq40")</f>
        <v/>
      </c>
      <c r="G243" t="inlineStr">
        <is>
          <t>Annapolis Junction, MD</t>
        </is>
      </c>
      <c r="H243" t="inlineStr"/>
      <c r="I243"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**Cloud Software Engineer**
**Location:** 
 Annapolis Junction, MD
 Peraton is looking for a talented
 **Cloud Software Engineer** 
 to join our mission\-driven
 **Cyber Missions team** 
 . In this role, you'll work on impactful, real\-world challenges\-designing and delivering cloud solutions that prioritize performance, resilience, and cost efficiency in high\-stakes environments.
 As a Cloud Software Engineer, you'll take ownership of projects across the full software lifecycle, from requirements analysis and design through development, integration, testing, and ongoing enhancement. You'll work with a high degree of independence while collaborating closely with a skilled technical team, and you'll have the opportunity to mentor and guide junior engineers as they grow.
**What You'll Do**
* Design, develop, and maintain cloud\-based software solutions from concept to deployment
* Analyze requirements and translate them into scalable, secure designs
* Balance cost, capability, availability, and resilience in cloud architectures
* Troubleshoot, diagnose, and resolve complex technical issues
* Review and generate technical designs to ensure accuracy and completeness
* Help plan projects by defining tasks, timelines, and technical approaches
* Provide technical guidance and mentorship to junior team members
**Why Join Peraton**
* Work on meaningful cyber missions with real national impact
* Be trusted to operate at a high level of autonomy and technical influence
* Collaborate with experienced engineers in a supportive, growth\-oriented environment
* Tackle challenging problems using modern cloud technologies
 This role is ideal for engineers who enjoy solving complex problems, influencing technical direction, and making a measurable impact through their work.
**Qualifications**
****Required Qualifications:****
* Bachelor's degree in Computer Science or a related technical field (degree may substitute for 2 years of experience); Master's degree may substitute for 4 years of experience
* 5\+ years of relevant software engineering experience
* 4\+ years of experience developing software in high\-level languages such as Java, C, or C\+\+
* Hands\-on experience with open\-source, distributed NoSQL technologies (e.g., HBase, Accumulo, Bigtable)
* 3\+ years of experience developing software on UNIX/Linux (Red Hat) platforms
* 3\+ years of experience with software integration and testing, including creating and executing test plans and scripts
* Strong technical writing skills, with experience producing software documentation
* Active TS/SCI clearance with current polygraph (required)
****Preferred Certifications (Nice to Have)****
* AWS Certified Developer \- Associate
* AWS DevOps Engineer \- Professional
* Certified Kubernetes Application Developer (CKAD)
* Elastic Certified Engineer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44">
      <c r="A244" t="inlineStr">
        <is>
          <t>li-4340746335</t>
        </is>
      </c>
      <c r="B244" t="inlineStr">
        <is>
          <t>Senior Software Engineer, Dart</t>
        </is>
      </c>
      <c r="C244" t="inlineStr">
        <is>
          <t>Anduril Industries</t>
        </is>
      </c>
      <c r="D244" t="inlineStr">
        <is>
          <t>linkedin</t>
        </is>
      </c>
      <c r="E244">
        <f>HYPERLINK("https://www.linkedin.com/jobs/view/4340746335", "https://www.linkedin.com/jobs/view/4340746335")</f>
        <v/>
      </c>
      <c r="F244" t="inlineStr"/>
      <c r="G244" t="inlineStr">
        <is>
          <t>Costa Mesa, CA</t>
        </is>
      </c>
      <c r="H244" t="inlineStr"/>
      <c r="I24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 This position will be located at our headquarters in Costa Mesa, CA (relocation benefits provided.)***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an end\-to\-end target tracking pipeline for Dart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Participate in the full software development lifecycle, from concept and design through testing and deployment
* Stay current with emerging technologies and industry trends, recommending and implementing innovations to improve our products and processes
**Required Qualifications**
* Bachelor's degree in Robotics, Computer Science, or related field
* 5\+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Costa Mesa, CA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45">
      <c r="A245" t="inlineStr">
        <is>
          <t>li-4361311831</t>
        </is>
      </c>
      <c r="B245" t="inlineStr">
        <is>
          <t>Lead Software Engineer - Athena Cloud Engineer</t>
        </is>
      </c>
      <c r="C245" t="inlineStr">
        <is>
          <t>JPMorganChase</t>
        </is>
      </c>
      <c r="D245" t="inlineStr">
        <is>
          <t>linkedin</t>
        </is>
      </c>
      <c r="E245">
        <f>HYPERLINK("https://www.linkedin.com/jobs/view/4361311831", "https://www.linkedin.com/jobs/view/4361311831")</f>
        <v/>
      </c>
      <c r="F245">
        <f>HYPERLINK("https://JPMorganChase.contacthr.com/150606611&amp;urlHash=LHZk", "https://JPMorganChase.contacthr.com/150606611&amp;urlHash=LHZk")</f>
        <v/>
      </c>
      <c r="G245" t="inlineStr">
        <is>
          <t>Houston, TX</t>
        </is>
      </c>
      <c r="H245" t="inlineStr"/>
      <c r="I245" t="inlineStr">
        <is>
          <t>**Job Description**
 We have an opportunity to impact your career and provide an adventure where you can push the limits of what's possible.
 As a Lead Software Engineer at JPMorganChase within the Commercial and Investment Bank, Merkets Technology,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Aligning technical strategy with other partner teams across the bank to deliver a complete and coherent experience for Athena Developers
* Execute creative software solutions, design, development, and technical troubleshooting with ability to think beyond routine or conventional approaches to build solutions or break down technical problems
* Partner with a global team of engineers through a transformation of the Athena Core Platform to a resilient and scalable cloud based architecture
* Identify opportunities to eliminate or automate remediation of recurring issues to improve overall operational stability of software applications and systems
* Lead communities of practice across Software Engineering to drive awareness and use of new and leading\-edge technologies
**Required Qualifications, Capabilities, And Skills**
* Formal training or certification on software engineering concepts and 5\+ years applied experience
* Working knowledge of load balancing and service orchestration, both on\-prem and in public cloud environments
* Proficient in one or more general\-purpose programming languages such as Python, Java
* Advanced understanding of agile methodologies such as CI/CD, Application Resiliency, and Security
* Practical Cloud\-native and Kubernetes experience
* In\-depth knowledge of Infrastructure as Code such as Terraform
* Add to team culture of diversity, opportunity, inclusion, and respect
**Preferred Qualifications, Capabilities, And Skills**
* Experience running Kubernetes (AWS EKS) at large scale for financial organizations where scaling, resiliency, security, monitoring and audit trail etc. will be prioritized
* Hands\-on experience with Infrastructure as Code products, preferably Terraform
* Experience in one or more public cloud platforms (ideally AWS)
* Experience in DevOps will be considered an advantage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46">
      <c r="A246" t="inlineStr">
        <is>
          <t>li-4218971907</t>
        </is>
      </c>
      <c r="B246" t="inlineStr">
        <is>
          <t>Senior Software Engineer, Backend (Experimentation Platform)</t>
        </is>
      </c>
      <c r="C246" t="inlineStr">
        <is>
          <t>Affirm</t>
        </is>
      </c>
      <c r="D246" t="inlineStr">
        <is>
          <t>linkedin</t>
        </is>
      </c>
      <c r="E246">
        <f>HYPERLINK("https://www.linkedin.com/jobs/view/4218971907", "https://www.linkedin.com/jobs/view/4218971907")</f>
        <v/>
      </c>
      <c r="F246" t="inlineStr"/>
      <c r="G246" t="inlineStr">
        <is>
          <t>Minneapolis, MN</t>
        </is>
      </c>
      <c r="H246" t="inlineStr"/>
      <c r="I246" t="inlineStr">
        <is>
          <t>Affirm is reinventing credit to make it more honest and friendly, giving consumers the flexibility to buy now and pay later without any hidden fees or compounding interest.
 The Affirm Experimentation Platform (AXP) team empowers Affirm to make data\-driven decisions and enable safe rollouts. We support launches through Feature Flags and enable hypothesis\-driven learning through controlled Experiments that help grow the business.
 AXP builds the APIs, systems, and workflows that allow engineers to target, ramp, and measure changes. We believe Simpler is Better and strive to improve our Engineer's ability to deliver impact without compromising availability.
**What You'll Do**
* You will be responsible for owning and delivering quarterly goals for your team, leading engineers on your team through ambiguity to solve open\-ended problems, and ensuring that everyone is supported throughout delivery.
*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 You will proactively identify project, process, technology or business issues, advocate for them, and lead in solving them.
* You will support the operations and availability of your team’s artifacts by creating and monitoring metrics, escalating when needed, and supporting “keep the lights on” \&amp; on\-call efforts.
* You will foster a culture of quality and ownership on your team by setting or improving code review and design standards for your team, and advocating for them beyond your team through your writing and tech talks.
* You will help develop talent on your team by providing feedback and guidance, and leading by example.
**What We Look For**
* You have 4\+ years of experience designing, developing and launching backend systems at scale using languages like Python or Kotlin.
* You have a track record of developing highly available distributed systems using technologies like AWS, MySQL and Kubernetes.
* You have experience defining a technical plan for the delivery of a significant feature or system component with an elegant, simple and extensible design. You write high quality code that is easily understood and used by others.
* You are proficient at making significant changes in a large code base, and have developed a suite of tools and practices that enable you and your team to do so safely.
* Your experience demonstrates that you take ownership of your growth, proactively seeking feedback from your team, your manager, and your stakeholders.
* You have strong verbal and written communication skills that support effective collaboration with our global engineering team.
* This position requires either equivalent practical experience or a Bachelor’s degree in a related field.
**Base Pay Grade \- N** 
**Equity Grade \- USA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$190,000 \- $240,000
 USA base pay range (all other U.S. states) per year: $169,000 \- $219,000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247">
      <c r="A247" t="inlineStr">
        <is>
          <t>li-4335322919</t>
        </is>
      </c>
      <c r="B247" t="inlineStr">
        <is>
          <t>REMOTE Senior Fullstack Engineer - React, Typescript, Figma</t>
        </is>
      </c>
      <c r="C247" t="inlineStr">
        <is>
          <t>CyberCoders</t>
        </is>
      </c>
      <c r="D247" t="inlineStr">
        <is>
          <t>linkedin</t>
        </is>
      </c>
      <c r="E247">
        <f>HYPERLINK("https://www.linkedin.com/jobs/view/4335322919", "https://www.linkedin.com/jobs/view/4335322919")</f>
        <v/>
      </c>
      <c r="F247" t="inlineStr"/>
      <c r="G247" t="inlineStr">
        <is>
          <t>Los Angeles, CA</t>
        </is>
      </c>
      <c r="H247" t="inlineStr"/>
      <c r="I247" t="inlineStr">
        <is>
          <t>Congested cities will soon be a thing of the past. We are a fully funded, Series A startup on a mission to beautify city streets and transform them into more livable, usable spaces, while also cutting back emissions and improving safety at the same time. Our team has spent years developing a cutting\-edge AI platform to tackle one of the largest problems for cities \- Curb Management. We are running daily, real\-time analysis and utilizing computer vision to make this happen. Our team is actively growing, and we are looking for a motivated Senior Engineer who shares our passion!
**What You Will Be Doing**
* Work closely on our UI and drive new product innovation with latest programming and technology trends
* Collab with our product, engineering, and sales teams to build apps that drive growth and retention
* Write clean, testable code with scalability in mind
* Work with Google Analytics or similar tools for tracking and event triggers
* Mentor other engineers
**What You Need**
* 5\+ years as a Software Engineer
* Strong background in Full stack Development: React, Typescript
* Proven experience working on large scale applications
* Very comfortable with AWS and its services
* Exposure to design technologies \- Figma
* Known how to debug, problem solve, and jump into situations quickly
* BIG plus if you have worked with payment systems and integration of those systems
* Bonus: have worked in startups and fast paced environments
**What We Offer**
* Competitive Base Salary: $140,000 \- $180,000
* Grow with an exciting, rapidly growing startup
* Full Health Package
* Flexible work \- remote
* Drive real change with passionate
**Email Your Resume In Word To**
 Looking forward to receiving your resume through our website and going over the position with you. Clicking apply is the best way to apply, but you may also:
 sydney.miller@cybercoders.com
* Please do NOT change the email subject line in any way. You must keep the JobID: linkedin : SF2\-1883178 \-\- in the email subject line for your application to be considered.\*\*\*
 Sydney Miller \- Recruiting Manager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11/09/2025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48">
      <c r="A248" t="inlineStr">
        <is>
          <t>li-4297299230</t>
        </is>
      </c>
      <c r="B248" t="inlineStr">
        <is>
          <t>Principal AI Software Engineer (Hybrid in Oak Brook, IL)</t>
        </is>
      </c>
      <c r="C248" t="inlineStr">
        <is>
          <t>Chamberlain Group</t>
        </is>
      </c>
      <c r="D248" t="inlineStr">
        <is>
          <t>linkedin</t>
        </is>
      </c>
      <c r="E248">
        <f>HYPERLINK("https://www.linkedin.com/jobs/view/4297299230", "https://www.linkedin.com/jobs/view/4297299230")</f>
        <v/>
      </c>
      <c r="F248" t="inlineStr"/>
      <c r="G248" t="inlineStr">
        <is>
          <t>Oak Brook, IL</t>
        </is>
      </c>
      <c r="H248" t="inlineStr"/>
      <c r="I248" t="inlineStr">
        <is>
          <t>Chamberlain Group (CG) is a global leader in intelligent access and Blackstone portfolio company. Powered by our myQ technology, we make access simple and secure for millions of homeowners, businesses, and communities worldwide. Our flagship brands, LiftMaster® and Chamberlain® , are found in 50\+ million homes, and 13 million\+ people rely on the myQ® app daily.
 Chamberlain Group is a global leader in access solutions with top brands, such as LiftMaster and Chamberlain, found in millions of homes, businesses, and communities worldwide. We are seeking a hands\-on, experienced Principal Software Engineer – to lead the design and development of next\-generation Agentic AI systems that power multi\-dimensional virtual assistants across our product ecosystem. This role is a cornerstone in our shift toward AI\-native experiences — moving beyond traditional ML and into systems that reason, act, and collaborate autonomously using foundation models.
 You’ll be responsible for architecting and building LLM\-based agents that integrate with real\-world tools and APIs, orchestrate tasks across roles, and scale intelligently in production environments. If you’re passionate about building software that thinks, adapts, and interacts, this is the role for you.
 Job Responsibilities:
* Oversee the design, development, and deployment of AI features within Chamberlain products such as: Video\-based search using LLMs, Chatbot interfaces for search and AI\-generated insight, backend pipelines and APIs for AI feature delivery.
* Architect and build agentic AI systems using LLMs, RAG, tool integration, and orchestration frameworks.
* Design role\-based architectures where agents collaborate through coordination protocols and memory management.
* Build, test, and optimize pipelines using tools such as LangChain, LangGraph, and CAMEL.
* Develop systems for agent reasoning, planning, and long\-term memory retrieval to enable contextual conversations and task execution.
* Work across product, engineering, and AI research teams to ensure scalable and performant deployment of assistants.
* Drive decision\-making around tooling, infrastructure, observability, and production\-readiness.
* Mentor engineers across the org in AI\-native engineering patterns, architecture, and LLM ecosystem evolution
* Ensure end\-to\-end delivery across frontend, backend, and ML components, and drive code quality, scalability, and maintainability best practices.
* Act as the technical voice in roadmap discussions and sprint planning.
* Define engineering workflows, coding standards, and agile practices.
* Track and improve delivery velocity, quality metrics, and GenAI tool adoption.
* Comply with health and safety guidelines and rules; managers should also ensure compliance across their teams.
* Protect Chamberlain Group’s reputation by keeping information confidential.
* Maintain professional and technical knowledge by attending educational workshops, reading professional publications, establishing personal networks, and participating in professional societies.
* Contribute to the team effort by accomplishing related results and participating on projects as needed.
 Job Requirements:
* Bachelor’s or Master’s degree in Computer Science, Electrical Engineering, or a related field
* 8\+ years of experience in software engineering, with at least 2\+ years working with LLMs or agentic AI systems.
* Proven experience building LLM\-powered agents that interact with external tools and APIs.
* Demonstrated work with agent orchestration frameworks (e.g., LangGraph, CAMEL, AutoGen).
* Experience leading cross\-functional initiatives in AI productization, intelligent automation, or AI\-native user interfaces.
* Experience in AI infrastructure, prompt engineering, or fine\-tuning LLMs is a strong plus.
* Prior experience working in autonomous systems, virtual assistants, or cognitive agents is highly desirable.
* Video intelligence systems, Computer Vision is a strong plus.
* Ability to travel up to 10% of the time domestically and internationally
 Knowledge, Skills, and Abilities:
* Deep understanding of agentic system design and modern AI system architecture.
* Strong programming skills in Python and experience with production software development.
* Proficiency in LLM\-based development and orchestration tools: LangChain, LangGraph, CAMEL, LlamaIndex, AutoGen, or similar.
* Expertise in agent reasoning, multi\-agent coordination, and role\-based task decomposition.
* Working knowledge of retrieval\-augmented generation (RAG), memory systems, and API\-driven tool use.
* Familiarity with vector databases (e.g., FAISS, Weaviate, Pinecone) and embedding techniques.
* Strong grasp of software architecture, distributed systems, and system integration principles.
* Ability to balance rapid prototyping with scalable production deployment.
* Chatbot frameworks (e.g., LangChain, Rasa, custom pipelines)
* Proficiency with modern backend technologies (Python, Node.js, REST/gRPC APIs).
* Cloud\-native development experience (GCP, AWS, or Azure).
* Experience working with MLOps and model deployment pipelines.
* Excellent communication and people leadership skills.
* Comfortable operating in a fast\-paced, startup\-like environment within an established company
 Preferred Job Descriptions:
* Master’s degree in Computer Science, Computer Engineering, or related field
* Experience in IoT, software services, video, and AI
* Experience with consumer electronics, smart home companies will be beneficial
 The pay range for this position is $123,600\.00 \- $216,150\.00; base pay offered may vary depending on a number of factors including, but not limited to, the position offered, location, education, training, and/or experience. In addition to base pay, also offered is a comprehensive benefits package and 401k contribution (all benefits are subject to eligibility requirements). This position is eligible for participation in a short\-term incentive plan subject to the terms of the applicable plans and policies.
 Chamberlain Group wants all of its employees to succeed and encourages people of all backgrounds to apply. We’re proud to be an Equal Opportunity Employer, and you’ll be considered for this role regardless of race, color, religion, sex, national origin, age, sexual orientation, ancestry; marital, disabled or veteran status. We’re committed to fostering an environment where people of all lived experiences feel welcome.
 Persons with disabilities who anticipate needing accommodations for any part of the application process may contact, in confidence Recruiting@Chamberlain.com.
 NOTE: Staffing agencies, headhunters, recruiters, and/or placement agencies, please do not contact our hiring managers directly.</t>
        </is>
      </c>
    </row>
    <row r="249">
      <c r="A249" t="inlineStr">
        <is>
          <t>li-4286631759</t>
        </is>
      </c>
      <c r="B249" t="inlineStr">
        <is>
          <t>Senior Software Engineer, Kotlin</t>
        </is>
      </c>
      <c r="C249" t="inlineStr">
        <is>
          <t>NinjaOne</t>
        </is>
      </c>
      <c r="D249" t="inlineStr">
        <is>
          <t>linkedin</t>
        </is>
      </c>
      <c r="E249">
        <f>HYPERLINK("https://www.linkedin.com/jobs/view/4286631759", "https://www.linkedin.com/jobs/view/4286631759")</f>
        <v/>
      </c>
      <c r="F249" t="inlineStr"/>
      <c r="G249" t="inlineStr">
        <is>
          <t>Maine, United States</t>
        </is>
      </c>
      <c r="H249" t="inlineStr"/>
      <c r="I249" t="inlineStr">
        <is>
          <t>**Description**
**About the Role**
 As a
 **Senior Software Engineer** 
 on the NinjaOne team, you will contribute to our IT Operations product suite, designing and implementing scalable new solutions and product improvements. Providing clean and optimized coding solutions, you’ll work to develop high quality software applications that exceed our customers’ expectations – seriously our customers love our products.
 We are engineers, technology leaders and experts. We create and deliver mission critical services to enable NinjaOne’s customers to administer, protect and maintain millions of endpoints and servers. You will have the opportunity to design and develop high\-availability mission critical software systems that support our worldwide operations.
**Location** 
 \- We are flexible on remote working from home, if you are located in the USA and reside in one of the following states \-
 **CA** 
 ,
 **CO** 
 ,
 **CT** 
 ,
 **FL** 
 ,
 **GA** 
 ,
 **\*IL** 
 ,
 **KS** 
 ,
 **MD, ME** 
 ,
 **MA** 
 ,
 **NJ** 
 ,
 **NC** 
 ,
 **NY** 
 ,
 **OR** 
 ,
 **TN** 
 ,
 **TX** 
 ,
 **VA** 
 , and
 **WA** 
 . We have physical offices in Austin, TX and Tampa, FL, if you prefer a hybrid option.
 We hire the best software engineers, but experience in our stack can’t hurt:  NinjaOne is built on
 **Java** 
 ,
 **Kotlin** 
 ,
 **C\+\+** 
 , and
 **Postgres** 
 , supporting millions of user endpoints and running as a scalable cloud service in AWS.  Knowing large\-scale datastore bottlenecks, asynchronous application design and client\-server architecture will help you.
**What You’ll Be Doing**
* Kotlin Software Development – use your expertise to contribute to the development of large\-scale software applications. Make quality an invariant part of your work and help your fellow engineers continue to meet our quality\-first standards.
* Committing Code and Shipping Products – you will be one of our most trusted engineers committing code. Responsible for implementing design patterns and working on enterprise level software challenges, in a startup environment. Impact product more hands on than at other companies, building software of scale that runs on millions and millions of endpoints.
* Other duties as needed.
**About You**
* Bachelor's degree in computer science, Computer Engineering, Information Technology, or equivalent work experience.
* 7\+ year's experience in Kotlin software development for product applications or equivalent.
* Experience with Golang will make you a standout candidate
* 4\+ year's experience working with highly scalable software systems.
* Experience working on systems at scale and finding solutions to scale systems.
* Working knowledge of a breadth of OOP design principles.
* Expertise in scaling data structures and object\-oriented design.
* Knowledge of API best practices and REST service development using frameworks like Jersey or Spring.
* Relational Database design and development experience.
* Experience creating both client and server\-side development, for responsive messaging.
* Caching systems expertise and experience with Redis
* Expert knowledge of quality testing practices.
**About Us**
 NinjaOne automates the hardest parts of IT to deliver visibility, security, and control over all endpoints for more than 30,000 customers. The NinjaOne automated endpoint management platform is proven to increase productivity, reduce security risk, and lower costs for IT teams and managed service providers. NinjaOne is obsessed with customer success and provides free and unlimited onboarding, training, and support. NinjaOne is \#1 on G2 in endpoint management, patch management, remote monitoring and management, and mobile device management.
**What You’ll Love**
 We are a collaborative, kind, and curious community.
 We honor your flexibility needs with full\-time work that is hybrid remote.
 We have you covered with our comprehensive benefits package, which includes medical, dental, and vision insurance.
 We help you prepare for your financial future with our 401(k) plan.
 We prioritize your work\-life balance with our unlimited PTO.
 We reward your work with opportunity for growth and advancement.
**Additional Information**
 This position is
 **NOT** 
 eligible for Visa sponsorship.
* Due to operational policies, NinjaOne is unable to hire for this role within the city limits of Chicago. We will consider all qualified candidates who reside outside of the city proper or are willing to self\-relocate.
 Starting pay for the successful applicant depends on a variety of job\-related factors, including but not limited to location, market demands, experience, job\-related knowledge, and skills. The benefits available for this position include medical, dental, vision, 401(k) plan, life insurance coverage and PTO. For roles based in California, Colorado, Maryland, New Jersey, or Washington the base salary hiring range for this position is $140,000 to $200,000 per year.
 For roles based in New York, the base salary hiring range for this position is $140,000 to $200,000 per year.
 All qualified applicants will receive consideration for employment without regard to race, color, religion, sex, sexual orientation, gender identity, national origin, age, disability, genetic information, marital status, veteran status, or any other status protected by applicable law. We are committed to providing an inclusive and diverse work environment.
 \#BI\-Remote</t>
        </is>
      </c>
    </row>
    <row r="250">
      <c r="A250" t="inlineStr">
        <is>
          <t>li-4354806534</t>
        </is>
      </c>
      <c r="B250" t="inlineStr">
        <is>
          <t>Software Developer in Test (SDET) - II</t>
        </is>
      </c>
      <c r="C250" t="inlineStr">
        <is>
          <t>Syms Strategic Group, LLC (SSG)</t>
        </is>
      </c>
      <c r="D250" t="inlineStr">
        <is>
          <t>linkedin</t>
        </is>
      </c>
      <c r="E250">
        <f>HYPERLINK("https://www.linkedin.com/jobs/view/4354806534", "https://www.linkedin.com/jobs/view/4354806534")</f>
        <v/>
      </c>
      <c r="F250" t="inlineStr"/>
      <c r="G250" t="inlineStr">
        <is>
          <t>Fredericksburg, VA</t>
        </is>
      </c>
      <c r="H250" t="inlineStr"/>
      <c r="I250"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row r="251">
      <c r="A251" t="inlineStr">
        <is>
          <t>li-4335173898</t>
        </is>
      </c>
      <c r="B251" t="inlineStr">
        <is>
          <t>REMOTE Senior Fullstack Engineer - React, Typescript, Figma</t>
        </is>
      </c>
      <c r="C251" t="inlineStr">
        <is>
          <t>CyberCoders</t>
        </is>
      </c>
      <c r="D251" t="inlineStr">
        <is>
          <t>linkedin</t>
        </is>
      </c>
      <c r="E251">
        <f>HYPERLINK("https://www.linkedin.com/jobs/view/4335173898", "https://www.linkedin.com/jobs/view/4335173898")</f>
        <v/>
      </c>
      <c r="F251" t="inlineStr"/>
      <c r="G251" t="inlineStr">
        <is>
          <t>Irvine, CA</t>
        </is>
      </c>
      <c r="H251" t="inlineStr"/>
      <c r="I251" t="inlineStr">
        <is>
          <t>Congested cities will soon be a thing of the past. We are a fully funded, Series A startup on a mission to beautify city streets and transform them into more livable, usable spaces, while also cutting back emissions and improving safety at the same time. Our team has spent years developing a cutting\-edge AI platform to tackle one of the largest problems for cities \- Curb Management. We are running daily, real\-time analysis and utilizing computer vision to make this happen. Our team is actively growing, and we are looking for a motivated Senior Engineer who shares our passion!
**What You Will Be Doing**
* Work closely on our UI and drive new product innovation with latest programming and technology trends
* Collab with our product, engineering, and sales teams to build apps that drive growth and retention
* Write clean, testable code with scalability in mind
* Work with Google Analytics or similar tools for tracking and event triggers
* Mentor other engineers
**What You Need**
* 5\+ years as a Software Engineer
* Strong background in Full stack Development: React, Typescript
* Proven experience working on large scale applications
* Very comfortable with AWS and its services
* Exposure to design technologies \- Figma
* Known how to debug, problem solve, and jump into situations quickly
* BIG plus if you have worked with payment systems and integration of those systems
* Bonus: have worked in startups and fast paced environments
**What We Offer**
* Competitive Base Salary: $140,000 \- $180,000
* Grow with an exciting, rapidly growing startup
* Full Health Package
* Flexible work \- remote
* Drive real change with passionate
**Email Your Resume In Word To**
 Looking forward to receiving your resume through our website and going over the position with you. Clicking apply is the best way to apply, but you may also:
 sydney.miller@cybercoders.com
* Please do NOT change the email subject line in any way. You must keep the JobID: linkedin : SF2\-1883178L577 \-\- in the email subject line for your application to be considered.\*\*\*
 Sydney Miller \- Recruiting Manager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11/09/2025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252">
      <c r="A252" t="inlineStr">
        <is>
          <t>li-4328876621</t>
        </is>
      </c>
      <c r="B252" t="inlineStr">
        <is>
          <t>Cyber Software Engineer, Senior Advisor</t>
        </is>
      </c>
      <c r="C252" t="inlineStr">
        <is>
          <t>Peraton</t>
        </is>
      </c>
      <c r="D252" t="inlineStr">
        <is>
          <t>linkedin</t>
        </is>
      </c>
      <c r="E252">
        <f>HYPERLINK("https://www.linkedin.com/jobs/view/4328876621", "https://www.linkedin.com/jobs/view/4328876621")</f>
        <v/>
      </c>
      <c r="F252" t="inlineStr"/>
      <c r="G252" t="inlineStr">
        <is>
          <t>Annapolis Junction, MD</t>
        </is>
      </c>
      <c r="H252" t="inlineStr"/>
      <c r="I252"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Provides IC data management support to modernize mega data repositories, dataflow management, data provenance and compliance validation, and streaming solutions.
**About The Role**
**Senior Cyber Software Engineer \- Cyber Missions**
**Location:** 
 Annapolis Junction, MD
 Peraton is looking for a senior\-level
 **Cyber Software Engineer** 
 to join our cutting\-edge
 **Cyber Missions team** 
 in Annapolis Junction, MD. This is a unique opportunity to work on challenging, high\-impact software projects that shape the future of cybersecurity.
 In this role, you will:
* Design, develop, and maintain Java\-based applications and services, leveraging modern Java frameworks and best practices to build scalable, high\-performance, and maintainable software solutions.
* Design, develop, and enhance complex software systems, including high\-performance analytics, real\-time systems, innovative algorithms, and large\-scale data processing solutions.
* Recommend new technologies and processes to optimize complex software projects and drive innovation.
* Serve as the technical lead for multiple software development teams, guiding their work and ensuring alignment with project goals.
* Select appropriate software development processes in coordination with the customer and system engineering teams.
* Ensure quality control across all developed and modified software, maintaining the highest standards for reliability and performance.
* Delegate programming and testing responsibilities to teams and actively monitor their performance to ensure successful delivery.
* Collaborate individually and within teams to review, test, and refine software components, ensuring they meet rigorous design and performance standards.
* Troubleshoot and resolve software issues, delivering reliable, mission\-critical solutions.
* Apply advanced software development methodologies and best practices tailored to each project's needs.
* Contribute to system\-level design decisions, including hardware/software trade\-offs, software reuse strategies, and leveraging COTS/GOTS solutions to maximize efficiency.
* Transform system requirements into actionable software components, ensuring seamless integration and optimal performance.
**What we offer:**
* Work on projects that directly impact national cybersecurity initiatives.
* A collaborative and innovative team environment.
* Opportunities to tackle some of the most challenging software engineering problems in the industry.
 If you are passionate about solving complex problems, developing state\-of\-the\-art software, and making a difference in cybersecurity, we want to hear from you.
**Qualifications**
**Basic Qualifications:**
* Education: Bachelor's degree in Computer Science or a related field is required. Alternatively, 4 additional years of relevant software engineering experience may substitute for a degree.
* Extensive Software Engineering Experience: 20\+ years in complex software programs and contracts, working on projects of similar scope and complexity.
+ Proficiency with Java development is required.
* Security Clearance: Active TS/SCI clearance with polygraph is required.
**SCA / Union / Intern Rate or Range**
**Details**
 Target Salary Range: $146,000 \- $234,000\.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53">
      <c r="A253" t="inlineStr">
        <is>
          <t>li-4354436676</t>
        </is>
      </c>
      <c r="B253" t="inlineStr">
        <is>
          <t>Software Developer in Test (SDET) - II</t>
        </is>
      </c>
      <c r="C253" t="inlineStr">
        <is>
          <t>Syms Strategic Group, LLC (SSG)</t>
        </is>
      </c>
      <c r="D253" t="inlineStr">
        <is>
          <t>linkedin</t>
        </is>
      </c>
      <c r="E253">
        <f>HYPERLINK("https://www.linkedin.com/jobs/view/4354436676", "https://www.linkedin.com/jobs/view/4354436676")</f>
        <v/>
      </c>
      <c r="F253" t="inlineStr"/>
      <c r="G253" t="inlineStr">
        <is>
          <t>Newport News, VA</t>
        </is>
      </c>
      <c r="H253" t="inlineStr"/>
      <c r="I253" t="inlineStr">
        <is>
          <t>**Syms Strategic Group (SSG)** 
 is seeking a talented
 **Software Developer in Test (SDET)**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programming skills, often in languages such as C\#, .Net, Java, or Python.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2026-01-13T15:39:05Z</dcterms:created>
  <dcterms:modified xsi:type="dcterms:W3CDTF">2026-01-13T15:39:05Z</dcterms:modified>
</cp:coreProperties>
</file>