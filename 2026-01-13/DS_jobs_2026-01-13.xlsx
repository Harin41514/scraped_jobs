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in-fe1f06425104a411</t>
        </is>
      </c>
      <c r="B2" t="inlineStr">
        <is>
          <t>Principal Applied Scientist, Amazon Special Projects</t>
        </is>
      </c>
      <c r="C2" t="inlineStr">
        <is>
          <t>Amazon.com</t>
        </is>
      </c>
      <c r="D2" t="inlineStr">
        <is>
          <t>indeed</t>
        </is>
      </c>
      <c r="E2" t="inlineStr"/>
      <c r="F2" t="inlineStr"/>
      <c r="G2" t="inlineStr">
        <is>
          <t>Seattle, WA, US</t>
        </is>
      </c>
      <c r="H2" s="2" t="n">
        <v>45982</v>
      </c>
      <c r="I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in-1de75458e4428191</t>
        </is>
      </c>
      <c r="B3" t="inlineStr">
        <is>
          <t>Principal Applied Scientist, Amazon Special Projects</t>
        </is>
      </c>
      <c r="C3" t="inlineStr">
        <is>
          <t>Amazon.com</t>
        </is>
      </c>
      <c r="D3" t="inlineStr">
        <is>
          <t>indeed</t>
        </is>
      </c>
      <c r="E3" t="inlineStr"/>
      <c r="F3" t="inlineStr"/>
      <c r="G3" t="inlineStr">
        <is>
          <t>Boston, MA, US</t>
        </is>
      </c>
      <c r="H3" s="2" t="n">
        <v>45982</v>
      </c>
      <c r="I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in-2d7a13274f29a01a</t>
        </is>
      </c>
      <c r="B4" t="inlineStr">
        <is>
          <t>Senior Applied Scientist, Sponsored Products and Brands</t>
        </is>
      </c>
      <c r="C4" t="inlineStr">
        <is>
          <t>Amazon.com</t>
        </is>
      </c>
      <c r="D4" t="inlineStr">
        <is>
          <t>indeed</t>
        </is>
      </c>
      <c r="E4" t="inlineStr"/>
      <c r="F4" t="inlineStr"/>
      <c r="G4" t="inlineStr">
        <is>
          <t>Seattle, WA, US</t>
        </is>
      </c>
      <c r="H4" s="2" t="n">
        <v>45979</v>
      </c>
      <c r="I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in-80cabda1b97f8cdc</t>
        </is>
      </c>
      <c r="B5" t="inlineStr">
        <is>
          <t>Senior Applied Scientist, Sponsored Products and Brands</t>
        </is>
      </c>
      <c r="C5" t="inlineStr">
        <is>
          <t>Amazon.com</t>
        </is>
      </c>
      <c r="D5" t="inlineStr">
        <is>
          <t>indeed</t>
        </is>
      </c>
      <c r="E5" t="inlineStr"/>
      <c r="F5" t="inlineStr"/>
      <c r="G5" t="inlineStr">
        <is>
          <t>New York, NY, US</t>
        </is>
      </c>
      <c r="H5" s="2" t="n">
        <v>45979</v>
      </c>
      <c r="I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in-f82f448d2aed24cb</t>
        </is>
      </c>
      <c r="B6" t="inlineStr">
        <is>
          <t>Sr. Applied Scientist, AGI Foundations</t>
        </is>
      </c>
      <c r="C6" t="inlineStr">
        <is>
          <t>Amazon.com</t>
        </is>
      </c>
      <c r="D6" t="inlineStr">
        <is>
          <t>indeed</t>
        </is>
      </c>
      <c r="E6" t="inlineStr"/>
      <c r="F6" t="inlineStr"/>
      <c r="G6" t="inlineStr">
        <is>
          <t>Bellevue, WA, US</t>
        </is>
      </c>
      <c r="H6" s="2" t="n">
        <v>45978</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in-7d7511edb655845a</t>
        </is>
      </c>
      <c r="B7" t="inlineStr">
        <is>
          <t>Sr. Applied Scientist, AGI Foundations</t>
        </is>
      </c>
      <c r="C7" t="inlineStr">
        <is>
          <t>Amazon.com</t>
        </is>
      </c>
      <c r="D7" t="inlineStr">
        <is>
          <t>indeed</t>
        </is>
      </c>
      <c r="E7" t="inlineStr"/>
      <c r="F7" t="inlineStr"/>
      <c r="G7" t="inlineStr">
        <is>
          <t>New York, NY,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in-d99877ecf1d0f9e3</t>
        </is>
      </c>
      <c r="B8" t="inlineStr">
        <is>
          <t>Sr. Applied Scientist, AGI Foundations</t>
        </is>
      </c>
      <c r="C8" t="inlineStr">
        <is>
          <t>Amazon.com</t>
        </is>
      </c>
      <c r="D8" t="inlineStr">
        <is>
          <t>indeed</t>
        </is>
      </c>
      <c r="E8" t="inlineStr"/>
      <c r="F8" t="inlineStr"/>
      <c r="G8" t="inlineStr">
        <is>
          <t>Boston, MA, US</t>
        </is>
      </c>
      <c r="H8" s="2" t="n">
        <v>45978</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in-0a6edd5e0205e823</t>
        </is>
      </c>
      <c r="B9" t="inlineStr">
        <is>
          <t>Sr. Applied Scientist, AGI Foundations</t>
        </is>
      </c>
      <c r="C9" t="inlineStr">
        <is>
          <t>Amazon.com</t>
        </is>
      </c>
      <c r="D9" t="inlineStr">
        <is>
          <t>indeed</t>
        </is>
      </c>
      <c r="E9" t="inlineStr"/>
      <c r="F9" t="inlineStr"/>
      <c r="G9" t="inlineStr">
        <is>
          <t>Sunnyvale, CA, US</t>
        </is>
      </c>
      <c r="H9" s="2" t="n">
        <v>45978</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in-9e3d6e22360f9684</t>
        </is>
      </c>
      <c r="B10" t="inlineStr">
        <is>
          <t>Sr. Applied Scientist, AGI Foundations</t>
        </is>
      </c>
      <c r="C10" t="inlineStr">
        <is>
          <t>Amazon.com</t>
        </is>
      </c>
      <c r="D10" t="inlineStr">
        <is>
          <t>indeed</t>
        </is>
      </c>
      <c r="E10" t="inlineStr"/>
      <c r="F10" t="inlineStr"/>
      <c r="G10" t="inlineStr">
        <is>
          <t>Bellevue, WA, US</t>
        </is>
      </c>
      <c r="H10" s="2" t="n">
        <v>45963</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in-12f113eee8e4bdd5</t>
        </is>
      </c>
      <c r="B11" t="inlineStr">
        <is>
          <t>Sr. Applied Scientist, AGI Foundations</t>
        </is>
      </c>
      <c r="C11" t="inlineStr">
        <is>
          <t>Amazon.com</t>
        </is>
      </c>
      <c r="D11" t="inlineStr">
        <is>
          <t>indeed</t>
        </is>
      </c>
      <c r="E11" t="inlineStr"/>
      <c r="F11" t="inlineStr"/>
      <c r="G11" t="inlineStr">
        <is>
          <t>Boston, MA, US</t>
        </is>
      </c>
      <c r="H11" s="2" t="n">
        <v>45963</v>
      </c>
      <c r="I1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in-fbdfd9d12ff28ff1</t>
        </is>
      </c>
      <c r="B12" t="inlineStr">
        <is>
          <t>Sr. Applied Scientist, AGI Foundations</t>
        </is>
      </c>
      <c r="C12" t="inlineStr">
        <is>
          <t>Amazon.com</t>
        </is>
      </c>
      <c r="D12" t="inlineStr">
        <is>
          <t>indeed</t>
        </is>
      </c>
      <c r="E12" t="inlineStr"/>
      <c r="F12" t="inlineStr"/>
      <c r="G12" t="inlineStr">
        <is>
          <t>New York, NY, US</t>
        </is>
      </c>
      <c r="H12" s="2" t="n">
        <v>45963</v>
      </c>
      <c r="I1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in-d4a7ead3637f35c4</t>
        </is>
      </c>
      <c r="B13" t="inlineStr">
        <is>
          <t>Applied Scientist II, Prime Video - Personalization and Discovery Science, Personalization and Discovery Science</t>
        </is>
      </c>
      <c r="C13" t="inlineStr">
        <is>
          <t>Amazon.com</t>
        </is>
      </c>
      <c r="D13" t="inlineStr">
        <is>
          <t>indeed</t>
        </is>
      </c>
      <c r="E13" t="inlineStr"/>
      <c r="F13" t="inlineStr"/>
      <c r="G13" t="inlineStr">
        <is>
          <t>New York, NY,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in-a6e73d83cc4e409e</t>
        </is>
      </c>
      <c r="B14" t="inlineStr">
        <is>
          <t>Applied Scientist II, Prime Video - Personalization and Discovery Science, Personalization and Discovery Science</t>
        </is>
      </c>
      <c r="C14" t="inlineStr">
        <is>
          <t>Amazon.com</t>
        </is>
      </c>
      <c r="D14" t="inlineStr">
        <is>
          <t>indeed</t>
        </is>
      </c>
      <c r="E14" t="inlineStr"/>
      <c r="F14" t="inlineStr"/>
      <c r="G14" t="inlineStr">
        <is>
          <t>Sunnyvale, CA, US</t>
        </is>
      </c>
      <c r="H14" s="2"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in-48107e9ebf566db6</t>
        </is>
      </c>
      <c r="B15" t="inlineStr">
        <is>
          <t>Applied Scientist II, Prime Video - Personalization and Discovery Science</t>
        </is>
      </c>
      <c r="C15" t="inlineStr">
        <is>
          <t>Amazon.com</t>
        </is>
      </c>
      <c r="D15" t="inlineStr">
        <is>
          <t>indeed</t>
        </is>
      </c>
      <c r="E15" t="inlineStr"/>
      <c r="F15" t="inlineStr"/>
      <c r="G15" t="inlineStr">
        <is>
          <t>Sunnyvale, CA, US</t>
        </is>
      </c>
      <c r="H15" s="2" t="n">
        <v>45915</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in-7a7606e75d5533de</t>
        </is>
      </c>
      <c r="B16" t="inlineStr">
        <is>
          <t>Applied Scientist II, Prime Video - Personalization and Discovery Science</t>
        </is>
      </c>
      <c r="C16" t="inlineStr">
        <is>
          <t>Amazon.com</t>
        </is>
      </c>
      <c r="D16" t="inlineStr">
        <is>
          <t>indeed</t>
        </is>
      </c>
      <c r="E16" t="inlineStr"/>
      <c r="F16" t="inlineStr"/>
      <c r="G16" t="inlineStr">
        <is>
          <t>Seattle, WA, US</t>
        </is>
      </c>
      <c r="H16" s="2" t="n">
        <v>45915</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in-948b22f4d3212336</t>
        </is>
      </c>
      <c r="B17" t="inlineStr">
        <is>
          <t>Sr. Applied Scientist, Prime Video - Personalization and Discovery Science</t>
        </is>
      </c>
      <c r="C17" t="inlineStr">
        <is>
          <t>Amazon.com</t>
        </is>
      </c>
      <c r="D17" t="inlineStr">
        <is>
          <t>indeed</t>
        </is>
      </c>
      <c r="E17" t="inlineStr"/>
      <c r="F17" t="inlineStr"/>
      <c r="G17" t="inlineStr">
        <is>
          <t>Sunnyvale, CA,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in-50b16a74d1ab212c</t>
        </is>
      </c>
      <c r="B18" t="inlineStr">
        <is>
          <t>Senior Applied Scientist, Artificial General Intelligence</t>
        </is>
      </c>
      <c r="C18" t="inlineStr">
        <is>
          <t>Amazon.com</t>
        </is>
      </c>
      <c r="D18" t="inlineStr">
        <is>
          <t>indeed</t>
        </is>
      </c>
      <c r="E18" t="inlineStr"/>
      <c r="F18" t="inlineStr"/>
      <c r="G18" t="inlineStr">
        <is>
          <t>Bellevue, WA,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in-0ec8ee6b91d16e73</t>
        </is>
      </c>
      <c r="B19" t="inlineStr">
        <is>
          <t>Senior Applied Scientist, Artificial General Intelligence</t>
        </is>
      </c>
      <c r="C19" t="inlineStr">
        <is>
          <t>Amazon.com</t>
        </is>
      </c>
      <c r="D19" t="inlineStr">
        <is>
          <t>indeed</t>
        </is>
      </c>
      <c r="E19" t="inlineStr"/>
      <c r="F19" t="inlineStr"/>
      <c r="G19" t="inlineStr">
        <is>
          <t>Cambridge, MA,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in-f7fe4dcc98a5c3fc</t>
        </is>
      </c>
      <c r="B20" t="inlineStr">
        <is>
          <t>Senior Applied Scientist, Artificial General Intelligence</t>
        </is>
      </c>
      <c r="C20" t="inlineStr">
        <is>
          <t>Amazon.com</t>
        </is>
      </c>
      <c r="D20" t="inlineStr">
        <is>
          <t>indeed</t>
        </is>
      </c>
      <c r="E20" t="inlineStr"/>
      <c r="F20" t="inlineStr"/>
      <c r="G20" t="inlineStr">
        <is>
          <t>Sunnyvale, CA,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in-25492bdfceb64384</t>
        </is>
      </c>
      <c r="B21" t="inlineStr">
        <is>
          <t>Senior Applied Scientist, Artificial General Intelligence</t>
        </is>
      </c>
      <c r="C21" t="inlineStr">
        <is>
          <t>Amazon.com</t>
        </is>
      </c>
      <c r="D21" t="inlineStr">
        <is>
          <t>indeed</t>
        </is>
      </c>
      <c r="E21" t="inlineStr"/>
      <c r="F21" t="inlineStr"/>
      <c r="G21" t="inlineStr">
        <is>
          <t>New York, NY, US</t>
        </is>
      </c>
      <c r="H21" s="2" t="n">
        <v>45907</v>
      </c>
      <c r="I2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in-fd980f33c01a4d28</t>
        </is>
      </c>
      <c r="B22" t="inlineStr">
        <is>
          <t>Applied Scientist II, Prime Video - Personalization and Discovery Science, Personalization and Discovery Science</t>
        </is>
      </c>
      <c r="C22" t="inlineStr">
        <is>
          <t>Amazon.com</t>
        </is>
      </c>
      <c r="D22" t="inlineStr">
        <is>
          <t>indeed</t>
        </is>
      </c>
      <c r="E22" t="inlineStr"/>
      <c r="F22" t="inlineStr"/>
      <c r="G22" t="inlineStr">
        <is>
          <t>Seattle, WA, US</t>
        </is>
      </c>
      <c r="H22" s="2" t="n">
        <v>45886</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in-55e1833485f24e28</t>
        </is>
      </c>
      <c r="B23" t="inlineStr">
        <is>
          <t>Applied Scientist II, Prime Video - Personalization and Discovery Science, Personalization and Discovery Science</t>
        </is>
      </c>
      <c r="C23" t="inlineStr">
        <is>
          <t>Amazon.com</t>
        </is>
      </c>
      <c r="D23" t="inlineStr">
        <is>
          <t>indeed</t>
        </is>
      </c>
      <c r="E23" t="inlineStr"/>
      <c r="F23" t="inlineStr"/>
      <c r="G23" t="inlineStr">
        <is>
          <t>Sunnyvale, CA, US</t>
        </is>
      </c>
      <c r="H23" s="2" t="n">
        <v>45886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in-74c1973ce787c313</t>
        </is>
      </c>
      <c r="B24" t="inlineStr">
        <is>
          <t>Sr. Applied Scientist, Prime Video - Personalization and Discovery Science</t>
        </is>
      </c>
      <c r="C24" t="inlineStr">
        <is>
          <t>Amazon.com</t>
        </is>
      </c>
      <c r="D24" t="inlineStr">
        <is>
          <t>indeed</t>
        </is>
      </c>
      <c r="E24" t="inlineStr"/>
      <c r="F24" t="inlineStr"/>
      <c r="G24" t="inlineStr">
        <is>
          <t>Sunnyvale, CA,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in-aa39e01f1c4e176a</t>
        </is>
      </c>
      <c r="B25" t="inlineStr">
        <is>
          <t>Applied Scientist II, Prime Video - Personalization and Discovery Science, Personalization and Discovery Science</t>
        </is>
      </c>
      <c r="C25" t="inlineStr">
        <is>
          <t>Amazon.com</t>
        </is>
      </c>
      <c r="D25" t="inlineStr">
        <is>
          <t>indeed</t>
        </is>
      </c>
      <c r="E25" t="inlineStr"/>
      <c r="F25" t="inlineStr"/>
      <c r="G25" t="inlineStr">
        <is>
          <t>New York, NY,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in-91c3b699480f1c10</t>
        </is>
      </c>
      <c r="B26" t="inlineStr">
        <is>
          <t>Sr. Applied Scientist, Prime Video - Personalization and Discovery Science</t>
        </is>
      </c>
      <c r="C26" t="inlineStr">
        <is>
          <t>Amazon.com</t>
        </is>
      </c>
      <c r="D26" t="inlineStr">
        <is>
          <t>indeed</t>
        </is>
      </c>
      <c r="E26" t="inlineStr"/>
      <c r="F26" t="inlineStr"/>
      <c r="G26" t="inlineStr">
        <is>
          <t>Seattle, WA,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in-bfbc55c2ba997e5e</t>
        </is>
      </c>
      <c r="B27" t="inlineStr">
        <is>
          <t>Sr. Applied Scientist, Prime Video - Personalization and Discovery Science</t>
        </is>
      </c>
      <c r="C27" t="inlineStr">
        <is>
          <t>Amazon.com</t>
        </is>
      </c>
      <c r="D27" t="inlineStr">
        <is>
          <t>indeed</t>
        </is>
      </c>
      <c r="E27" t="inlineStr"/>
      <c r="F27" t="inlineStr"/>
      <c r="G27" t="inlineStr">
        <is>
          <t>New York, NY,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in-46804c931240c895</t>
        </is>
      </c>
      <c r="B28" t="inlineStr">
        <is>
          <t>Sr. Applied Scientist, Prime Video - Personalization and Discovery Science</t>
        </is>
      </c>
      <c r="C28" t="inlineStr">
        <is>
          <t>Amazon.com</t>
        </is>
      </c>
      <c r="D28" t="inlineStr">
        <is>
          <t>indeed</t>
        </is>
      </c>
      <c r="E28" t="inlineStr"/>
      <c r="F28" t="inlineStr"/>
      <c r="G28" t="inlineStr">
        <is>
          <t>New York, NY, US</t>
        </is>
      </c>
      <c r="H28" s="2" t="n">
        <v>45881</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in-e72a48b5949635e8</t>
        </is>
      </c>
      <c r="B29" t="inlineStr">
        <is>
          <t>Applied Scientist II, Prime Video - Personalization and Discovery Science</t>
        </is>
      </c>
      <c r="C29" t="inlineStr">
        <is>
          <t>Amazon.com</t>
        </is>
      </c>
      <c r="D29" t="inlineStr">
        <is>
          <t>indeed</t>
        </is>
      </c>
      <c r="E29" t="inlineStr"/>
      <c r="F29" t="inlineStr"/>
      <c r="G29" t="inlineStr">
        <is>
          <t>New York, NY, US</t>
        </is>
      </c>
      <c r="H29" s="2" t="n">
        <v>45881</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in-5d6712530e07aa41</t>
        </is>
      </c>
      <c r="B30" t="inlineStr">
        <is>
          <t>Applied Scientist, Prime Video - Personalization and Discovery Science</t>
        </is>
      </c>
      <c r="C30" t="inlineStr">
        <is>
          <t>Amazon.com</t>
        </is>
      </c>
      <c r="D30" t="inlineStr">
        <is>
          <t>indeed</t>
        </is>
      </c>
      <c r="E30" t="inlineStr"/>
      <c r="F30" t="inlineStr"/>
      <c r="G30" t="inlineStr">
        <is>
          <t>Sunnyvale, CA, US</t>
        </is>
      </c>
      <c r="H30" s="2" t="n">
        <v>45845</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in-efa688fd5a47f8db</t>
        </is>
      </c>
      <c r="B31" t="inlineStr">
        <is>
          <t>Applied Scientist, Prime Video - Personalization and Discovery Science</t>
        </is>
      </c>
      <c r="C31" t="inlineStr">
        <is>
          <t>Amazon.com</t>
        </is>
      </c>
      <c r="D31" t="inlineStr">
        <is>
          <t>indeed</t>
        </is>
      </c>
      <c r="E31" t="inlineStr"/>
      <c r="F31" t="inlineStr"/>
      <c r="G31" t="inlineStr">
        <is>
          <t>New York, NY, US</t>
        </is>
      </c>
      <c r="H31" s="2" t="n">
        <v>45845</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in-d182c63c7154e5b6</t>
        </is>
      </c>
      <c r="B32" t="inlineStr">
        <is>
          <t>Applied Scientist, Prime Video - Personalization and Discovery Science</t>
        </is>
      </c>
      <c r="C32" t="inlineStr">
        <is>
          <t>Amazon.com</t>
        </is>
      </c>
      <c r="D32" t="inlineStr">
        <is>
          <t>indeed</t>
        </is>
      </c>
      <c r="E32" t="inlineStr"/>
      <c r="F32" t="inlineStr"/>
      <c r="G32" t="inlineStr">
        <is>
          <t>Seattle, WA, US</t>
        </is>
      </c>
      <c r="H32" s="2" t="n">
        <v>45845</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in-d3d27d5318e0433c</t>
        </is>
      </c>
      <c r="B33" t="inlineStr">
        <is>
          <t>Sr. Data Scientist, Amazon Leo Global Planning, Amazon Leo</t>
        </is>
      </c>
      <c r="C33" t="inlineStr">
        <is>
          <t>Amazon.com</t>
        </is>
      </c>
      <c r="D33" t="inlineStr">
        <is>
          <t>indeed</t>
        </is>
      </c>
      <c r="E33" t="inlineStr"/>
      <c r="F33" t="inlineStr"/>
      <c r="G33" t="inlineStr">
        <is>
          <t>Redmond, WA, US</t>
        </is>
      </c>
      <c r="H33" s="2" t="n">
        <v>45830</v>
      </c>
      <c r="I3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in-cbd821d6cbf59d7a</t>
        </is>
      </c>
      <c r="B34" t="inlineStr">
        <is>
          <t>Sr. Data Scientist, Amazon Leo Global Planning, Amazon Leo</t>
        </is>
      </c>
      <c r="C34" t="inlineStr">
        <is>
          <t>Amazon.com</t>
        </is>
      </c>
      <c r="D34" t="inlineStr">
        <is>
          <t>indeed</t>
        </is>
      </c>
      <c r="E34" t="inlineStr"/>
      <c r="F34" t="inlineStr"/>
      <c r="G34" t="inlineStr">
        <is>
          <t>Bellevue, WA, US</t>
        </is>
      </c>
      <c r="H34" s="2" t="n">
        <v>45830</v>
      </c>
      <c r="I3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in-8aa8ffdeac60d1ef</t>
        </is>
      </c>
      <c r="B35" t="inlineStr">
        <is>
          <t>Sr. Applied Scientist, Prime Video - Personalization and Discovery Science</t>
        </is>
      </c>
      <c r="C35" t="inlineStr">
        <is>
          <t>Amazon.com</t>
        </is>
      </c>
      <c r="D35" t="inlineStr">
        <is>
          <t>indeed</t>
        </is>
      </c>
      <c r="E35" t="inlineStr"/>
      <c r="F35" t="inlineStr"/>
      <c r="G35" t="inlineStr">
        <is>
          <t>Seattle, WA, US</t>
        </is>
      </c>
      <c r="H35" s="2" t="n">
        <v>45819</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in-56d36db83861f386</t>
        </is>
      </c>
      <c r="B36" t="inlineStr">
        <is>
          <t>Sr. Applied Scientist, Prime Video - Personalization and Discovery Science</t>
        </is>
      </c>
      <c r="C36" t="inlineStr">
        <is>
          <t>Amazon.com</t>
        </is>
      </c>
      <c r="D36" t="inlineStr">
        <is>
          <t>indeed</t>
        </is>
      </c>
      <c r="E36" t="inlineStr"/>
      <c r="F36" t="inlineStr"/>
      <c r="G36" t="inlineStr">
        <is>
          <t>Sunnyvale, CA, US</t>
        </is>
      </c>
      <c r="H36" s="2" t="n">
        <v>45819</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in-06477b704658846f</t>
        </is>
      </c>
      <c r="B37" t="inlineStr">
        <is>
          <t>Applied Scientist, ML Compiler</t>
        </is>
      </c>
      <c r="C37" t="inlineStr">
        <is>
          <t>Amazon Web Services</t>
        </is>
      </c>
      <c r="D37" t="inlineStr">
        <is>
          <t>indeed</t>
        </is>
      </c>
      <c r="E37" t="inlineStr"/>
      <c r="F37" t="inlineStr"/>
      <c r="G37" t="inlineStr">
        <is>
          <t>Cupertino, CA, US</t>
        </is>
      </c>
      <c r="H37" s="2" t="n">
        <v>45993</v>
      </c>
      <c r="I37"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in-ff90efab40858eae</t>
        </is>
      </c>
      <c r="B38" t="inlineStr">
        <is>
          <t>Applied Scientist, ML Compiler</t>
        </is>
      </c>
      <c r="C38" t="inlineStr">
        <is>
          <t>Amazon Web Services</t>
        </is>
      </c>
      <c r="D38" t="inlineStr">
        <is>
          <t>indeed</t>
        </is>
      </c>
      <c r="E38" t="inlineStr"/>
      <c r="F38" t="inlineStr"/>
      <c r="G38" t="inlineStr">
        <is>
          <t>Seattle, WA, US</t>
        </is>
      </c>
      <c r="H38" s="2" t="n">
        <v>45993</v>
      </c>
      <c r="I38"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in-8bfbd5ca6aa5d641</t>
        </is>
      </c>
      <c r="B39" t="inlineStr">
        <is>
          <t>Applied Scientist, Model Customization, Generative AI Innovation Center, Model Customization</t>
        </is>
      </c>
      <c r="C39" t="inlineStr">
        <is>
          <t>Amazon Web Services</t>
        </is>
      </c>
      <c r="D39" t="inlineStr">
        <is>
          <t>indeed</t>
        </is>
      </c>
      <c r="E39" t="inlineStr"/>
      <c r="F39" t="inlineStr"/>
      <c r="G39" t="inlineStr">
        <is>
          <t>New York, NY, US</t>
        </is>
      </c>
      <c r="H39" s="2" t="n">
        <v>45993</v>
      </c>
      <c r="I3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in-e09d8e6c073064aa</t>
        </is>
      </c>
      <c r="B40" t="inlineStr">
        <is>
          <t>Senior Applied Scientist, Artificial General Intelligence</t>
        </is>
      </c>
      <c r="C40" t="inlineStr">
        <is>
          <t>Amazon.com</t>
        </is>
      </c>
      <c r="D40" t="inlineStr">
        <is>
          <t>indeed</t>
        </is>
      </c>
      <c r="E40" t="inlineStr"/>
      <c r="F40" t="inlineStr"/>
      <c r="G40" t="inlineStr">
        <is>
          <t>Boston, MA, US</t>
        </is>
      </c>
      <c r="H40" s="2" t="n">
        <v>45980</v>
      </c>
      <c r="I4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in-8205a2e33436fd2b</t>
        </is>
      </c>
      <c r="B41" t="inlineStr">
        <is>
          <t>Senior Applied Scientist, Artificial General Intelligence</t>
        </is>
      </c>
      <c r="C41" t="inlineStr">
        <is>
          <t>Amazon.com</t>
        </is>
      </c>
      <c r="D41" t="inlineStr">
        <is>
          <t>indeed</t>
        </is>
      </c>
      <c r="E41" t="inlineStr"/>
      <c r="F41" t="inlineStr"/>
      <c r="G41" t="inlineStr">
        <is>
          <t>New York, NY, US</t>
        </is>
      </c>
      <c r="H41" s="2" t="n">
        <v>45980</v>
      </c>
      <c r="I4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in-786ccb2020b1ab89</t>
        </is>
      </c>
      <c r="B42" t="inlineStr">
        <is>
          <t>Senior Applied Scientist, Artificial General Intelligence</t>
        </is>
      </c>
      <c r="C42" t="inlineStr">
        <is>
          <t>Amazon.com</t>
        </is>
      </c>
      <c r="D42" t="inlineStr">
        <is>
          <t>indeed</t>
        </is>
      </c>
      <c r="E42" t="inlineStr"/>
      <c r="F42" t="inlineStr"/>
      <c r="G42" t="inlineStr">
        <is>
          <t>Sunnyvale, CA, US</t>
        </is>
      </c>
      <c r="H42" s="2" t="n">
        <v>45980</v>
      </c>
      <c r="I4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in-26932f3c791dd973</t>
        </is>
      </c>
      <c r="B43" t="inlineStr">
        <is>
          <t>Senior Applied Scientist, Artificial General Intelligence</t>
        </is>
      </c>
      <c r="C43" t="inlineStr">
        <is>
          <t>Amazon.com</t>
        </is>
      </c>
      <c r="D43" t="inlineStr">
        <is>
          <t>indeed</t>
        </is>
      </c>
      <c r="E43" t="inlineStr"/>
      <c r="F43" t="inlineStr"/>
      <c r="G43" t="inlineStr">
        <is>
          <t>Seattle, WA, US</t>
        </is>
      </c>
      <c r="H43" s="2" t="n">
        <v>45980</v>
      </c>
      <c r="I4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in-159ebf3b759e3180</t>
        </is>
      </c>
      <c r="B44" t="inlineStr">
        <is>
          <t>Principal Applied Scientist, Sponsored Products and Brands</t>
        </is>
      </c>
      <c r="C44" t="inlineStr">
        <is>
          <t>Amazon.com</t>
        </is>
      </c>
      <c r="D44" t="inlineStr">
        <is>
          <t>indeed</t>
        </is>
      </c>
      <c r="E44" t="inlineStr"/>
      <c r="F44" t="inlineStr"/>
      <c r="G44" t="inlineStr">
        <is>
          <t>New York, NY, US</t>
        </is>
      </c>
      <c r="H44" s="2" t="n">
        <v>45979</v>
      </c>
      <c r="I4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in-8621a201b5d9a8ef</t>
        </is>
      </c>
      <c r="B45" t="inlineStr">
        <is>
          <t>Principal Applied Scientist, Sponsored Products and Brands</t>
        </is>
      </c>
      <c r="C45" t="inlineStr">
        <is>
          <t>Amazon.com</t>
        </is>
      </c>
      <c r="D45" t="inlineStr">
        <is>
          <t>indeed</t>
        </is>
      </c>
      <c r="E45" t="inlineStr"/>
      <c r="F45" t="inlineStr"/>
      <c r="G45" t="inlineStr">
        <is>
          <t>Seattle, WA, US</t>
        </is>
      </c>
      <c r="H45" s="2" t="n">
        <v>45979</v>
      </c>
      <c r="I4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in-992d4c8c128a3190</t>
        </is>
      </c>
      <c r="B46" t="inlineStr">
        <is>
          <t>Applied Scientist, Personalization, DTx Science</t>
        </is>
      </c>
      <c r="C46" t="inlineStr">
        <is>
          <t>Amazon.com</t>
        </is>
      </c>
      <c r="D46" t="inlineStr">
        <is>
          <t>indeed</t>
        </is>
      </c>
      <c r="E46" t="inlineStr"/>
      <c r="F46" t="inlineStr"/>
      <c r="G46" t="inlineStr">
        <is>
          <t>New York, NY, US</t>
        </is>
      </c>
      <c r="H46" s="2" t="n">
        <v>45979</v>
      </c>
      <c r="I4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in-c62f6ef4a149e8f0</t>
        </is>
      </c>
      <c r="B47" t="inlineStr">
        <is>
          <t>Applied Scientist, Personalization, DTx Science</t>
        </is>
      </c>
      <c r="C47" t="inlineStr">
        <is>
          <t>Amazon.com</t>
        </is>
      </c>
      <c r="D47" t="inlineStr">
        <is>
          <t>indeed</t>
        </is>
      </c>
      <c r="E47" t="inlineStr"/>
      <c r="F47" t="inlineStr"/>
      <c r="G47" t="inlineStr">
        <is>
          <t>Seattle, WA, US</t>
        </is>
      </c>
      <c r="H47" s="2" t="n">
        <v>45979</v>
      </c>
      <c r="I4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in-384aeb74ae853c49</t>
        </is>
      </c>
      <c r="B48" t="inlineStr">
        <is>
          <t>Principal Applied Scientist, Artificial General Intelligence</t>
        </is>
      </c>
      <c r="C48" t="inlineStr">
        <is>
          <t>Amazon.com</t>
        </is>
      </c>
      <c r="D48" t="inlineStr">
        <is>
          <t>indeed</t>
        </is>
      </c>
      <c r="E48" t="inlineStr"/>
      <c r="F48" t="inlineStr"/>
      <c r="G48" t="inlineStr">
        <is>
          <t>Sunnyvale, CA, US</t>
        </is>
      </c>
      <c r="H48" s="2" t="n">
        <v>45978</v>
      </c>
      <c r="I48"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in-2604ea10c5edbd88</t>
        </is>
      </c>
      <c r="B49" t="inlineStr">
        <is>
          <t>Principal Applied Scientist, AGI Foundations, AGI Foundations</t>
        </is>
      </c>
      <c r="C49" t="inlineStr">
        <is>
          <t>Amazon.com</t>
        </is>
      </c>
      <c r="D49" t="inlineStr">
        <is>
          <t>indeed</t>
        </is>
      </c>
      <c r="E49" t="inlineStr"/>
      <c r="F49" t="inlineStr"/>
      <c r="G49" t="inlineStr">
        <is>
          <t>Boston, MA, US</t>
        </is>
      </c>
      <c r="H49" s="2" t="n">
        <v>45978</v>
      </c>
      <c r="I4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in-5578967f1d7bb369</t>
        </is>
      </c>
      <c r="B50" t="inlineStr">
        <is>
          <t>Principal Applied Scientist, AGI Foundations, AGI Foundations</t>
        </is>
      </c>
      <c r="C50" t="inlineStr">
        <is>
          <t>Amazon.com</t>
        </is>
      </c>
      <c r="D50" t="inlineStr">
        <is>
          <t>indeed</t>
        </is>
      </c>
      <c r="E50" t="inlineStr"/>
      <c r="F50" t="inlineStr"/>
      <c r="G50" t="inlineStr">
        <is>
          <t>New York, NY, US</t>
        </is>
      </c>
      <c r="H50" s="2" t="n">
        <v>45978</v>
      </c>
      <c r="I5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in-1a58389fe1d5f5d1</t>
        </is>
      </c>
      <c r="B51" t="inlineStr">
        <is>
          <t>Principal Applied Scientist, Artificial General Intelligence</t>
        </is>
      </c>
      <c r="C51" t="inlineStr">
        <is>
          <t>Amazon.com</t>
        </is>
      </c>
      <c r="D51" t="inlineStr">
        <is>
          <t>indeed</t>
        </is>
      </c>
      <c r="E51" t="inlineStr"/>
      <c r="F51" t="inlineStr"/>
      <c r="G51" t="inlineStr">
        <is>
          <t>Bellevue, WA, US</t>
        </is>
      </c>
      <c r="H51" s="2" t="n">
        <v>45978</v>
      </c>
      <c r="I5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in-8edf7834824caf65</t>
        </is>
      </c>
      <c r="B52" t="inlineStr">
        <is>
          <t>Principal Applied Scientist, Artificial General Intelligence</t>
        </is>
      </c>
      <c r="C52" t="inlineStr">
        <is>
          <t>Amazon.com</t>
        </is>
      </c>
      <c r="D52" t="inlineStr">
        <is>
          <t>indeed</t>
        </is>
      </c>
      <c r="E52" t="inlineStr"/>
      <c r="F52" t="inlineStr"/>
      <c r="G52" t="inlineStr">
        <is>
          <t>Seattle, WA, US</t>
        </is>
      </c>
      <c r="H52" s="2" t="n">
        <v>45978</v>
      </c>
      <c r="I5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in-7268cfd9af269a24</t>
        </is>
      </c>
      <c r="B53" t="inlineStr">
        <is>
          <t>Principal Applied Scientist, AGI Foundations, AGI Foundations</t>
        </is>
      </c>
      <c r="C53" t="inlineStr">
        <is>
          <t>Amazon.com</t>
        </is>
      </c>
      <c r="D53" t="inlineStr">
        <is>
          <t>indeed</t>
        </is>
      </c>
      <c r="E53" t="inlineStr"/>
      <c r="F53" t="inlineStr"/>
      <c r="G53" t="inlineStr">
        <is>
          <t>Sunnyvale, CA, US</t>
        </is>
      </c>
      <c r="H53" s="2" t="n">
        <v>45978</v>
      </c>
      <c r="I5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in-5edea83fe5ba4f5c</t>
        </is>
      </c>
      <c r="B54" t="inlineStr">
        <is>
          <t>Principal Applied Scientist, Artificial General Intelligence</t>
        </is>
      </c>
      <c r="C54" t="inlineStr">
        <is>
          <t>Amazon.com</t>
        </is>
      </c>
      <c r="D54" t="inlineStr">
        <is>
          <t>indeed</t>
        </is>
      </c>
      <c r="E54" t="inlineStr"/>
      <c r="F54" t="inlineStr"/>
      <c r="G54" t="inlineStr">
        <is>
          <t>San Francisco, CA, US</t>
        </is>
      </c>
      <c r="H54" s="2" t="n">
        <v>45978</v>
      </c>
      <c r="I54"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in-3a5b546a1e8dcae3</t>
        </is>
      </c>
      <c r="B55" t="inlineStr">
        <is>
          <t>Principal Applied Scientist, AGI Foundations, AGI Foundations</t>
        </is>
      </c>
      <c r="C55" t="inlineStr">
        <is>
          <t>Amazon.com</t>
        </is>
      </c>
      <c r="D55" t="inlineStr">
        <is>
          <t>indeed</t>
        </is>
      </c>
      <c r="E55" t="inlineStr"/>
      <c r="F55" t="inlineStr"/>
      <c r="G55" t="inlineStr">
        <is>
          <t>Bellevue, WA, US</t>
        </is>
      </c>
      <c r="H55" s="2" t="n">
        <v>45978</v>
      </c>
      <c r="I5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in-aff3a0875d4558eb</t>
        </is>
      </c>
      <c r="B56" t="inlineStr">
        <is>
          <t>Sr. Applied Scientist, Sponsored Products</t>
        </is>
      </c>
      <c r="C56" t="inlineStr">
        <is>
          <t>Amazon.com</t>
        </is>
      </c>
      <c r="D56" t="inlineStr">
        <is>
          <t>indeed</t>
        </is>
      </c>
      <c r="E56" t="inlineStr"/>
      <c r="F56" t="inlineStr"/>
      <c r="G56" t="inlineStr">
        <is>
          <t>New York, NY, US</t>
        </is>
      </c>
      <c r="H56" s="2" t="n">
        <v>45976</v>
      </c>
      <c r="I5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in-c23087ee15a730e3</t>
        </is>
      </c>
      <c r="B57" t="inlineStr">
        <is>
          <t>Sr. Applied Scientist, Sponsored Products</t>
        </is>
      </c>
      <c r="C57" t="inlineStr">
        <is>
          <t>Amazon.com</t>
        </is>
      </c>
      <c r="D57" t="inlineStr">
        <is>
          <t>indeed</t>
        </is>
      </c>
      <c r="E57" t="inlineStr"/>
      <c r="F57" t="inlineStr"/>
      <c r="G57" t="inlineStr">
        <is>
          <t>Seattle, WA, US</t>
        </is>
      </c>
      <c r="H57" s="2" t="n">
        <v>45976</v>
      </c>
      <c r="I5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in-cbdd3580f567c3c9</t>
        </is>
      </c>
      <c r="B58" t="inlineStr">
        <is>
          <t>Sr. Applied Scientist, Sponsored Products</t>
        </is>
      </c>
      <c r="C58" t="inlineStr">
        <is>
          <t>Amazon.com</t>
        </is>
      </c>
      <c r="D58" t="inlineStr">
        <is>
          <t>indeed</t>
        </is>
      </c>
      <c r="E58" t="inlineStr"/>
      <c r="F58" t="inlineStr"/>
      <c r="G58" t="inlineStr">
        <is>
          <t>Arlington, VA, US</t>
        </is>
      </c>
      <c r="H58" s="2" t="n">
        <v>45976</v>
      </c>
      <c r="I5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in-a2bd1474daa67ef9</t>
        </is>
      </c>
      <c r="B59" t="inlineStr">
        <is>
          <t>Applied Scientist, Artificial General Intelligence</t>
        </is>
      </c>
      <c r="C59" t="inlineStr">
        <is>
          <t>Amazon.com</t>
        </is>
      </c>
      <c r="D59" t="inlineStr">
        <is>
          <t>indeed</t>
        </is>
      </c>
      <c r="E59" t="inlineStr"/>
      <c r="F59" t="inlineStr"/>
      <c r="G59" t="inlineStr">
        <is>
          <t>Seattle, WA, US</t>
        </is>
      </c>
      <c r="H59" s="2" t="n">
        <v>45974</v>
      </c>
      <c r="I5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in-a692ff56a7f26717</t>
        </is>
      </c>
      <c r="B60" t="inlineStr">
        <is>
          <t>Applied Scientist, Artificial General Intelligence</t>
        </is>
      </c>
      <c r="C60" t="inlineStr">
        <is>
          <t>Amazon.com</t>
        </is>
      </c>
      <c r="D60" t="inlineStr">
        <is>
          <t>indeed</t>
        </is>
      </c>
      <c r="E60" t="inlineStr"/>
      <c r="F60" t="inlineStr"/>
      <c r="G60" t="inlineStr">
        <is>
          <t>Sunnyvale, CA, US</t>
        </is>
      </c>
      <c r="H60" s="2" t="n">
        <v>45974</v>
      </c>
      <c r="I6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in-f6b0e18a0851ac51</t>
        </is>
      </c>
      <c r="B61" t="inlineStr">
        <is>
          <t>Applied Scientist, Artificial General Intelligence</t>
        </is>
      </c>
      <c r="C61" t="inlineStr">
        <is>
          <t>Amazon.com</t>
        </is>
      </c>
      <c r="D61" t="inlineStr">
        <is>
          <t>indeed</t>
        </is>
      </c>
      <c r="E61" t="inlineStr"/>
      <c r="F61" t="inlineStr"/>
      <c r="G61" t="inlineStr">
        <is>
          <t>Boston, MA,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in-70476813af0ab510</t>
        </is>
      </c>
      <c r="B62" t="inlineStr">
        <is>
          <t>Senior Data Scientist, AWS Professional Services</t>
        </is>
      </c>
      <c r="C62" t="inlineStr">
        <is>
          <t>Amazon Web Services</t>
        </is>
      </c>
      <c r="D62" t="inlineStr">
        <is>
          <t>indeed</t>
        </is>
      </c>
      <c r="E62" t="inlineStr"/>
      <c r="F62" t="inlineStr"/>
      <c r="G62" t="inlineStr">
        <is>
          <t>Irvine, CA, US</t>
        </is>
      </c>
      <c r="H62" s="2" t="n">
        <v>45972</v>
      </c>
      <c r="I6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in-cb7dcafc04e8b81c</t>
        </is>
      </c>
      <c r="B63" t="inlineStr">
        <is>
          <t>Senior Data Scientist, AWS Professional Services</t>
        </is>
      </c>
      <c r="C63" t="inlineStr">
        <is>
          <t>Amazon Web Services</t>
        </is>
      </c>
      <c r="D63" t="inlineStr">
        <is>
          <t>indeed</t>
        </is>
      </c>
      <c r="E63" t="inlineStr"/>
      <c r="F63" t="inlineStr"/>
      <c r="G63" t="inlineStr">
        <is>
          <t>Santa Monica, CA, US</t>
        </is>
      </c>
      <c r="H63" s="2" t="n">
        <v>45972</v>
      </c>
      <c r="I6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in-7e86991cceacb4f6</t>
        </is>
      </c>
      <c r="B64" t="inlineStr">
        <is>
          <t>Senior Data Scientist, AWS Professional Services</t>
        </is>
      </c>
      <c r="C64" t="inlineStr">
        <is>
          <t>Amazon Web Services</t>
        </is>
      </c>
      <c r="D64" t="inlineStr">
        <is>
          <t>indeed</t>
        </is>
      </c>
      <c r="E64" t="inlineStr"/>
      <c r="F64" t="inlineStr"/>
      <c r="G64" t="inlineStr">
        <is>
          <t>Arlington, VA, US</t>
        </is>
      </c>
      <c r="H64" s="2" t="n">
        <v>45972</v>
      </c>
      <c r="I6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in-c1cecd6dfe89715e</t>
        </is>
      </c>
      <c r="B65" t="inlineStr">
        <is>
          <t>Senior Data Scientist, AWS Professional Services</t>
        </is>
      </c>
      <c r="C65" t="inlineStr">
        <is>
          <t>Amazon Web Services</t>
        </is>
      </c>
      <c r="D65" t="inlineStr">
        <is>
          <t>indeed</t>
        </is>
      </c>
      <c r="E65" t="inlineStr"/>
      <c r="F65" t="inlineStr"/>
      <c r="G65" t="inlineStr">
        <is>
          <t>Dallas, TX, US</t>
        </is>
      </c>
      <c r="H65" s="2" t="n">
        <v>45972</v>
      </c>
      <c r="I6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in-afc52b8d0b42b059</t>
        </is>
      </c>
      <c r="B66" t="inlineStr">
        <is>
          <t>Senior Data Scientist, AWS Professional Services</t>
        </is>
      </c>
      <c r="C66" t="inlineStr">
        <is>
          <t>Amazon Web Services</t>
        </is>
      </c>
      <c r="D66" t="inlineStr">
        <is>
          <t>indeed</t>
        </is>
      </c>
      <c r="E66" t="inlineStr"/>
      <c r="F66" t="inlineStr"/>
      <c r="G66" t="inlineStr">
        <is>
          <t>Seattle, WA, US</t>
        </is>
      </c>
      <c r="H66" s="2" t="n">
        <v>45972</v>
      </c>
      <c r="I6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in-594d7189454a8fdc</t>
        </is>
      </c>
      <c r="B67" t="inlineStr">
        <is>
          <t>Senior Data Scientist, AWS Professional Services</t>
        </is>
      </c>
      <c r="C67" t="inlineStr">
        <is>
          <t>Amazon Web Services</t>
        </is>
      </c>
      <c r="D67" t="inlineStr">
        <is>
          <t>indeed</t>
        </is>
      </c>
      <c r="E67" t="inlineStr"/>
      <c r="F67" t="inlineStr"/>
      <c r="G67" t="inlineStr">
        <is>
          <t>New York, NY, US</t>
        </is>
      </c>
      <c r="H67" s="2" t="n">
        <v>45972</v>
      </c>
      <c r="I6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in-8f6c6919ad60c99b</t>
        </is>
      </c>
      <c r="B68" t="inlineStr">
        <is>
          <t>Senior Data Scientist, AWS Professional Services</t>
        </is>
      </c>
      <c r="C68" t="inlineStr">
        <is>
          <t>Amazon Web Services</t>
        </is>
      </c>
      <c r="D68" t="inlineStr">
        <is>
          <t>indeed</t>
        </is>
      </c>
      <c r="E68" t="inlineStr"/>
      <c r="F68" t="inlineStr"/>
      <c r="G68" t="inlineStr">
        <is>
          <t>Chicago, IL,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in-f2f8bef3ce63748b</t>
        </is>
      </c>
      <c r="B69" t="inlineStr">
        <is>
          <t>Senior Data Scientist, AWS Professional Services</t>
        </is>
      </c>
      <c r="C69" t="inlineStr">
        <is>
          <t>Amazon Web Services</t>
        </is>
      </c>
      <c r="D69" t="inlineStr">
        <is>
          <t>indeed</t>
        </is>
      </c>
      <c r="E69" t="inlineStr"/>
      <c r="F69" t="inlineStr"/>
      <c r="G69" t="inlineStr">
        <is>
          <t>Atlanta, GA, US</t>
        </is>
      </c>
      <c r="H69" s="2"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in-6bd9cc335b253693</t>
        </is>
      </c>
      <c r="B70" t="inlineStr">
        <is>
          <t>Senior Data Scientist, AWS Professional Services</t>
        </is>
      </c>
      <c r="C70" t="inlineStr">
        <is>
          <t>Amazon Web Services</t>
        </is>
      </c>
      <c r="D70" t="inlineStr">
        <is>
          <t>indeed</t>
        </is>
      </c>
      <c r="E70" t="inlineStr"/>
      <c r="F70" t="inlineStr"/>
      <c r="G70" t="inlineStr">
        <is>
          <t>Boston, MA, US</t>
        </is>
      </c>
      <c r="H70" s="2" t="n">
        <v>45972</v>
      </c>
      <c r="I7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in-4bfb322281332343</t>
        </is>
      </c>
      <c r="B71" t="inlineStr">
        <is>
          <t>Senior Applied Scientist, Creative X - RAPID</t>
        </is>
      </c>
      <c r="C71" t="inlineStr">
        <is>
          <t>Amazon.com</t>
        </is>
      </c>
      <c r="D71" t="inlineStr">
        <is>
          <t>indeed</t>
        </is>
      </c>
      <c r="E71" t="inlineStr"/>
      <c r="F71" t="inlineStr"/>
      <c r="G71" t="inlineStr">
        <is>
          <t>Seattle, WA, US</t>
        </is>
      </c>
      <c r="H71" s="2" t="n">
        <v>45971</v>
      </c>
      <c r="I71"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in-7d086bae2f07d52d</t>
        </is>
      </c>
      <c r="B72" t="inlineStr">
        <is>
          <t>Senior Applied Scientist, Creative X - RAPID</t>
        </is>
      </c>
      <c r="C72" t="inlineStr">
        <is>
          <t>Amazon.com</t>
        </is>
      </c>
      <c r="D72" t="inlineStr">
        <is>
          <t>indeed</t>
        </is>
      </c>
      <c r="E72" t="inlineStr"/>
      <c r="F72" t="inlineStr"/>
      <c r="G72" t="inlineStr">
        <is>
          <t>New York, NY, US</t>
        </is>
      </c>
      <c r="H72" s="2" t="n">
        <v>45971</v>
      </c>
      <c r="I72"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in-942f93e5112e30f1</t>
        </is>
      </c>
      <c r="B73" t="inlineStr">
        <is>
          <t>Applied Scientist, Sponsored Products and Brands</t>
        </is>
      </c>
      <c r="C73" t="inlineStr">
        <is>
          <t>Amazon.com</t>
        </is>
      </c>
      <c r="D73" t="inlineStr">
        <is>
          <t>indeed</t>
        </is>
      </c>
      <c r="E73" t="inlineStr"/>
      <c r="F73" t="inlineStr"/>
      <c r="G73" t="inlineStr">
        <is>
          <t>New York, NY, US</t>
        </is>
      </c>
      <c r="H73" s="2" t="n">
        <v>45965</v>
      </c>
      <c r="I7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in-6b3adcc45548b015</t>
        </is>
      </c>
      <c r="B74" t="inlineStr">
        <is>
          <t>Applied Scientist, Sponsored Products and Brands</t>
        </is>
      </c>
      <c r="C74" t="inlineStr">
        <is>
          <t>Amazon.com</t>
        </is>
      </c>
      <c r="D74" t="inlineStr">
        <is>
          <t>indeed</t>
        </is>
      </c>
      <c r="E74" t="inlineStr"/>
      <c r="F74" t="inlineStr"/>
      <c r="G74" t="inlineStr">
        <is>
          <t>Seattle, WA, US</t>
        </is>
      </c>
      <c r="H74" s="2" t="n">
        <v>45965</v>
      </c>
      <c r="I7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in-9f1625f0ea170cd6</t>
        </is>
      </c>
      <c r="B75" t="inlineStr">
        <is>
          <t>Principal Applied Scientist, Amazon AGI</t>
        </is>
      </c>
      <c r="C75" t="inlineStr">
        <is>
          <t>Amazon.com</t>
        </is>
      </c>
      <c r="D75" t="inlineStr">
        <is>
          <t>indeed</t>
        </is>
      </c>
      <c r="E75" t="inlineStr"/>
      <c r="F75" t="inlineStr"/>
      <c r="G75" t="inlineStr">
        <is>
          <t>San Francisco, CA, US</t>
        </is>
      </c>
      <c r="H75" s="2" t="n">
        <v>45964</v>
      </c>
      <c r="I7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in-571c64cf101624a2</t>
        </is>
      </c>
      <c r="B76" t="inlineStr">
        <is>
          <t>Principal Applied Scientist, Amazon AGI</t>
        </is>
      </c>
      <c r="C76" t="inlineStr">
        <is>
          <t>Amazon.com</t>
        </is>
      </c>
      <c r="D76" t="inlineStr">
        <is>
          <t>indeed</t>
        </is>
      </c>
      <c r="E76" t="inlineStr"/>
      <c r="F76" t="inlineStr"/>
      <c r="G76" t="inlineStr">
        <is>
          <t>Boston, MA, US</t>
        </is>
      </c>
      <c r="H76" s="2" t="n">
        <v>45964</v>
      </c>
      <c r="I7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in-0b9c2c2b2f997fc6</t>
        </is>
      </c>
      <c r="B77" t="inlineStr">
        <is>
          <t>Principal Applied Scientist, Advertiser Growth, Amazon Sponsored Products &amp; Brands</t>
        </is>
      </c>
      <c r="C77" t="inlineStr">
        <is>
          <t>Amazon.com</t>
        </is>
      </c>
      <c r="D77" t="inlineStr">
        <is>
          <t>indeed</t>
        </is>
      </c>
      <c r="E77" t="inlineStr"/>
      <c r="F77" t="inlineStr"/>
      <c r="G77" t="inlineStr">
        <is>
          <t>Palo Alto, CA, US</t>
        </is>
      </c>
      <c r="H77" s="2" t="n">
        <v>45942</v>
      </c>
      <c r="I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in-4179e95f3cbfabc5</t>
        </is>
      </c>
      <c r="B78" t="inlineStr">
        <is>
          <t>Principal Applied Scientist, Advertiser Growth, Amazon Sponsored Products &amp; Brands</t>
        </is>
      </c>
      <c r="C78" t="inlineStr">
        <is>
          <t>Amazon.com</t>
        </is>
      </c>
      <c r="D78" t="inlineStr">
        <is>
          <t>indeed</t>
        </is>
      </c>
      <c r="E78" t="inlineStr"/>
      <c r="F78" t="inlineStr"/>
      <c r="G78" t="inlineStr">
        <is>
          <t>New York, NY, US</t>
        </is>
      </c>
      <c r="H78" s="2"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in-ca698a5bb75c9987</t>
        </is>
      </c>
      <c r="B79" t="inlineStr">
        <is>
          <t>Principal Applied Scientist, Advertiser Growth, Amazon Sponsored Products &amp; Brands</t>
        </is>
      </c>
      <c r="C79" t="inlineStr">
        <is>
          <t>Amazon.com</t>
        </is>
      </c>
      <c r="D79" t="inlineStr">
        <is>
          <t>indeed</t>
        </is>
      </c>
      <c r="E79" t="inlineStr"/>
      <c r="F79" t="inlineStr"/>
      <c r="G79" t="inlineStr">
        <is>
          <t>Seattle, WA, US</t>
        </is>
      </c>
      <c r="H79" s="2" t="n">
        <v>45942</v>
      </c>
      <c r="I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in-9fc73fa61732ed45</t>
        </is>
      </c>
      <c r="B80" t="inlineStr">
        <is>
          <t>Applied Scientist, Artificial General Intelligence</t>
        </is>
      </c>
      <c r="C80" t="inlineStr">
        <is>
          <t>Amazon.com</t>
        </is>
      </c>
      <c r="D80" t="inlineStr">
        <is>
          <t>indeed</t>
        </is>
      </c>
      <c r="E80" t="inlineStr"/>
      <c r="F80" t="inlineStr"/>
      <c r="G80" t="inlineStr">
        <is>
          <t>Seattle, WA, US</t>
        </is>
      </c>
      <c r="H80" s="2" t="n">
        <v>45937</v>
      </c>
      <c r="I8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in-c0c13badf59106ce</t>
        </is>
      </c>
      <c r="B81" t="inlineStr">
        <is>
          <t>Applied Scientist, Artificial General Intelligence</t>
        </is>
      </c>
      <c r="C81" t="inlineStr">
        <is>
          <t>Amazon.com</t>
        </is>
      </c>
      <c r="D81" t="inlineStr">
        <is>
          <t>indeed</t>
        </is>
      </c>
      <c r="E81" t="inlineStr"/>
      <c r="F81" t="inlineStr"/>
      <c r="G81" t="inlineStr">
        <is>
          <t>New York, NY, US</t>
        </is>
      </c>
      <c r="H81" s="2" t="n">
        <v>45937</v>
      </c>
      <c r="I8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in-0feeef7736e1700a</t>
        </is>
      </c>
      <c r="B82" t="inlineStr">
        <is>
          <t>Applied Scientist, Artificial General Intelligence</t>
        </is>
      </c>
      <c r="C82" t="inlineStr">
        <is>
          <t>Amazon.com</t>
        </is>
      </c>
      <c r="D82" t="inlineStr">
        <is>
          <t>indeed</t>
        </is>
      </c>
      <c r="E82" t="inlineStr"/>
      <c r="F82" t="inlineStr"/>
      <c r="G82" t="inlineStr">
        <is>
          <t>Bellevue, WA, US</t>
        </is>
      </c>
      <c r="H82" s="2" t="n">
        <v>45937</v>
      </c>
      <c r="I8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in-9a5a0ea89a488646</t>
        </is>
      </c>
      <c r="B83" t="inlineStr">
        <is>
          <t>Applied Scientist, Artificial General Intelligence</t>
        </is>
      </c>
      <c r="C83" t="inlineStr">
        <is>
          <t>Amazon.com</t>
        </is>
      </c>
      <c r="D83" t="inlineStr">
        <is>
          <t>indeed</t>
        </is>
      </c>
      <c r="E83" t="inlineStr"/>
      <c r="F83" t="inlineStr"/>
      <c r="G83" t="inlineStr">
        <is>
          <t>Sunnyvale, CA, US</t>
        </is>
      </c>
      <c r="H83" s="2" t="n">
        <v>45937</v>
      </c>
      <c r="I8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in-8a4679e92f08a4e4</t>
        </is>
      </c>
      <c r="B84" t="inlineStr">
        <is>
          <t>Principal Applied Scientist, Artificial General Intelligence</t>
        </is>
      </c>
      <c r="C84" t="inlineStr">
        <is>
          <t>Amazon.com</t>
        </is>
      </c>
      <c r="D84" t="inlineStr">
        <is>
          <t>indeed</t>
        </is>
      </c>
      <c r="E84" t="inlineStr"/>
      <c r="F84" t="inlineStr"/>
      <c r="G84" t="inlineStr">
        <is>
          <t>Boston, MA, US</t>
        </is>
      </c>
      <c r="H84" s="2" t="n">
        <v>45923</v>
      </c>
      <c r="I8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in-5219cd0e928287fe</t>
        </is>
      </c>
      <c r="B85" t="inlineStr">
        <is>
          <t>Principal Applied Scientist, Artificial General Intelligence</t>
        </is>
      </c>
      <c r="C85" t="inlineStr">
        <is>
          <t>Amazon.com</t>
        </is>
      </c>
      <c r="D85" t="inlineStr">
        <is>
          <t>indeed</t>
        </is>
      </c>
      <c r="E85" t="inlineStr"/>
      <c r="F85" t="inlineStr"/>
      <c r="G85" t="inlineStr">
        <is>
          <t>Sunnyvale, CA, US</t>
        </is>
      </c>
      <c r="H85" s="2" t="n">
        <v>45923</v>
      </c>
      <c r="I8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in-df9bc8d20e3affec</t>
        </is>
      </c>
      <c r="B86" t="inlineStr">
        <is>
          <t>Principal Applied Scientist, Artificial General Intelligence</t>
        </is>
      </c>
      <c r="C86" t="inlineStr">
        <is>
          <t>Amazon.com</t>
        </is>
      </c>
      <c r="D86" t="inlineStr">
        <is>
          <t>indeed</t>
        </is>
      </c>
      <c r="E86" t="inlineStr"/>
      <c r="F86" t="inlineStr"/>
      <c r="G86" t="inlineStr">
        <is>
          <t>New York, NY, US</t>
        </is>
      </c>
      <c r="H86" s="2" t="n">
        <v>45923</v>
      </c>
      <c r="I8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in-0deed334c12841c0</t>
        </is>
      </c>
      <c r="B87" t="inlineStr">
        <is>
          <t>Senior Applied Scientist, Artificial General Intelligence</t>
        </is>
      </c>
      <c r="C87" t="inlineStr">
        <is>
          <t>Amazon.com</t>
        </is>
      </c>
      <c r="D87" t="inlineStr">
        <is>
          <t>indeed</t>
        </is>
      </c>
      <c r="E87" t="inlineStr"/>
      <c r="F87" t="inlineStr"/>
      <c r="G87" t="inlineStr">
        <is>
          <t>Boston, MA, US</t>
        </is>
      </c>
      <c r="H87" s="2" t="n">
        <v>45922</v>
      </c>
      <c r="I8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in-ff56ac0c9d63b813</t>
        </is>
      </c>
      <c r="B88" t="inlineStr">
        <is>
          <t>Senior Applied Scientist, Artificial General Intelligence</t>
        </is>
      </c>
      <c r="C88" t="inlineStr">
        <is>
          <t>Amazon.com</t>
        </is>
      </c>
      <c r="D88" t="inlineStr">
        <is>
          <t>indeed</t>
        </is>
      </c>
      <c r="E88" t="inlineStr"/>
      <c r="F88" t="inlineStr"/>
      <c r="G88" t="inlineStr">
        <is>
          <t>Seattle, WA, US</t>
        </is>
      </c>
      <c r="H88" s="2" t="n">
        <v>45922</v>
      </c>
      <c r="I8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in-0b844a4b43bd2c1c</t>
        </is>
      </c>
      <c r="B89" t="inlineStr">
        <is>
          <t>Senior Applied Scientist, Artificial General Intelligence</t>
        </is>
      </c>
      <c r="C89" t="inlineStr">
        <is>
          <t>Amazon.com</t>
        </is>
      </c>
      <c r="D89" t="inlineStr">
        <is>
          <t>indeed</t>
        </is>
      </c>
      <c r="E89" t="inlineStr"/>
      <c r="F89" t="inlineStr"/>
      <c r="G89" t="inlineStr">
        <is>
          <t>Sunnyvale, CA, US</t>
        </is>
      </c>
      <c r="H89" s="2" t="n">
        <v>45922</v>
      </c>
      <c r="I8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in-c7f01e3cae19a750</t>
        </is>
      </c>
      <c r="B90" t="inlineStr">
        <is>
          <t>Applied Scientist, Artificial General Intelligence</t>
        </is>
      </c>
      <c r="C90" t="inlineStr">
        <is>
          <t>Amazon.com</t>
        </is>
      </c>
      <c r="D90" t="inlineStr">
        <is>
          <t>indeed</t>
        </is>
      </c>
      <c r="E90" t="inlineStr"/>
      <c r="F90" t="inlineStr"/>
      <c r="G90" t="inlineStr">
        <is>
          <t>Bellevue, WA, US</t>
        </is>
      </c>
      <c r="H90" s="2" t="n">
        <v>45921</v>
      </c>
      <c r="I9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in-96a861aa63da874e</t>
        </is>
      </c>
      <c r="B91" t="inlineStr">
        <is>
          <t>Applied Scientist, Artificial General Intelligence</t>
        </is>
      </c>
      <c r="C91" t="inlineStr">
        <is>
          <t>Amazon.com</t>
        </is>
      </c>
      <c r="D91" t="inlineStr">
        <is>
          <t>indeed</t>
        </is>
      </c>
      <c r="E91" t="inlineStr"/>
      <c r="F91" t="inlineStr"/>
      <c r="G91" t="inlineStr">
        <is>
          <t>Seattle, WA, US</t>
        </is>
      </c>
      <c r="H91" s="2" t="n">
        <v>45921</v>
      </c>
      <c r="I9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in-caaa25b3122e9e64</t>
        </is>
      </c>
      <c r="B92" t="inlineStr">
        <is>
          <t>Senior Applied Scientist, Model Customization, Generative AI Innovation Center</t>
        </is>
      </c>
      <c r="C92" t="inlineStr">
        <is>
          <t>Amazon Web Services</t>
        </is>
      </c>
      <c r="D92" t="inlineStr">
        <is>
          <t>indeed</t>
        </is>
      </c>
      <c r="E92" t="inlineStr"/>
      <c r="F92" t="inlineStr"/>
      <c r="G92" t="inlineStr">
        <is>
          <t>New York, NY, US</t>
        </is>
      </c>
      <c r="H92" s="2" t="n">
        <v>45908</v>
      </c>
      <c r="I9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in-951d4ad8fe943103</t>
        </is>
      </c>
      <c r="B93" t="inlineStr">
        <is>
          <t>Senior Applied Scientist, Model Customization, Generative AI Innovation Center</t>
        </is>
      </c>
      <c r="C93" t="inlineStr">
        <is>
          <t>Amazon Web Services</t>
        </is>
      </c>
      <c r="D93" t="inlineStr">
        <is>
          <t>indeed</t>
        </is>
      </c>
      <c r="E93" t="inlineStr"/>
      <c r="F93" t="inlineStr"/>
      <c r="G93" t="inlineStr">
        <is>
          <t>Arlington, VA, US</t>
        </is>
      </c>
      <c r="H93" s="2" t="n">
        <v>45908</v>
      </c>
      <c r="I9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in-44da918e1d91ff1d</t>
        </is>
      </c>
      <c r="B94" t="inlineStr">
        <is>
          <t>Senior Applied Scientist, Model Customization, Generative AI Innovation Center</t>
        </is>
      </c>
      <c r="C94" t="inlineStr">
        <is>
          <t>Amazon Web Services</t>
        </is>
      </c>
      <c r="D94" t="inlineStr">
        <is>
          <t>indeed</t>
        </is>
      </c>
      <c r="E94" t="inlineStr"/>
      <c r="F94" t="inlineStr"/>
      <c r="G94" t="inlineStr">
        <is>
          <t>Bellevue, WA, US</t>
        </is>
      </c>
      <c r="H94" s="2" t="n">
        <v>45908</v>
      </c>
      <c r="I9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in-bec1db62dfe30be0</t>
        </is>
      </c>
      <c r="B95" t="inlineStr">
        <is>
          <t>Applied Scientist II, Creative X - RAPID</t>
        </is>
      </c>
      <c r="C95" t="inlineStr">
        <is>
          <t>Amazon.com</t>
        </is>
      </c>
      <c r="D95" t="inlineStr">
        <is>
          <t>indeed</t>
        </is>
      </c>
      <c r="E95" t="inlineStr"/>
      <c r="F95" t="inlineStr"/>
      <c r="G95" t="inlineStr">
        <is>
          <t>Seattle, WA, US</t>
        </is>
      </c>
      <c r="H95" s="2" t="n">
        <v>45908</v>
      </c>
      <c r="I9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in-6eeac68afba7e3cd</t>
        </is>
      </c>
      <c r="B96" t="inlineStr">
        <is>
          <t>Applied Scientist II, Creative X - RAPID</t>
        </is>
      </c>
      <c r="C96" t="inlineStr">
        <is>
          <t>Amazon.com</t>
        </is>
      </c>
      <c r="D96" t="inlineStr">
        <is>
          <t>indeed</t>
        </is>
      </c>
      <c r="E96" t="inlineStr"/>
      <c r="F96" t="inlineStr"/>
      <c r="G96" t="inlineStr">
        <is>
          <t>New York, NY, US</t>
        </is>
      </c>
      <c r="H96" s="2" t="n">
        <v>45908</v>
      </c>
      <c r="I9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in-871fcbe6f623c78e</t>
        </is>
      </c>
      <c r="B97" t="inlineStr">
        <is>
          <t>Senior Applied Scientist, Artificial General Intelligence</t>
        </is>
      </c>
      <c r="C97" t="inlineStr">
        <is>
          <t>Amazon.com</t>
        </is>
      </c>
      <c r="D97" t="inlineStr">
        <is>
          <t>indeed</t>
        </is>
      </c>
      <c r="E97" t="inlineStr"/>
      <c r="F97" t="inlineStr"/>
      <c r="G97" t="inlineStr">
        <is>
          <t>Sunnyvale, CA, US</t>
        </is>
      </c>
      <c r="H97" s="2" t="n">
        <v>45907</v>
      </c>
      <c r="I9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in-afab98b1f9dfc47a</t>
        </is>
      </c>
      <c r="B98" t="inlineStr">
        <is>
          <t>Senior Applied Scientist, Artificial General Intelligence</t>
        </is>
      </c>
      <c r="C98" t="inlineStr">
        <is>
          <t>Amazon.com</t>
        </is>
      </c>
      <c r="D98" t="inlineStr">
        <is>
          <t>indeed</t>
        </is>
      </c>
      <c r="E98" t="inlineStr"/>
      <c r="F98" t="inlineStr"/>
      <c r="G98" t="inlineStr">
        <is>
          <t>Bellevue, WA, US</t>
        </is>
      </c>
      <c r="H98" s="2" t="n">
        <v>45907</v>
      </c>
      <c r="I9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in-91eaf30c9e25d01a</t>
        </is>
      </c>
      <c r="B99" t="inlineStr">
        <is>
          <t>Senior Data Scientist, Data and Machine Learning, WWPS US Federal</t>
        </is>
      </c>
      <c r="C99" t="inlineStr">
        <is>
          <t>Amazon Web Services</t>
        </is>
      </c>
      <c r="D99" t="inlineStr">
        <is>
          <t>indeed</t>
        </is>
      </c>
      <c r="E99" t="inlineStr"/>
      <c r="F99" t="inlineStr"/>
      <c r="G99" t="inlineStr">
        <is>
          <t>Arlington, VA, US</t>
        </is>
      </c>
      <c r="H99" s="2" t="n">
        <v>45872</v>
      </c>
      <c r="I9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in-c18084b51d3072b0</t>
        </is>
      </c>
      <c r="B100" t="inlineStr">
        <is>
          <t>Senior Data Scientist, Data and Machine Learning, WWPS US Federal</t>
        </is>
      </c>
      <c r="C100" t="inlineStr">
        <is>
          <t>Amazon Web Services</t>
        </is>
      </c>
      <c r="D100" t="inlineStr">
        <is>
          <t>indeed</t>
        </is>
      </c>
      <c r="E100" t="inlineStr"/>
      <c r="F100" t="inlineStr"/>
      <c r="G100" t="inlineStr">
        <is>
          <t>Herndon, VA, US</t>
        </is>
      </c>
      <c r="H100" s="2" t="n">
        <v>45872</v>
      </c>
      <c r="I10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in-970fdbaa21e83ab1</t>
        </is>
      </c>
      <c r="B101" t="inlineStr">
        <is>
          <t>Senior Data Scientist, Data and Machine Learning, WWPS US Federal</t>
        </is>
      </c>
      <c r="C101" t="inlineStr">
        <is>
          <t>Amazon Web Services</t>
        </is>
      </c>
      <c r="D101" t="inlineStr">
        <is>
          <t>indeed</t>
        </is>
      </c>
      <c r="E101" t="inlineStr"/>
      <c r="F101" t="inlineStr"/>
      <c r="G101" t="inlineStr">
        <is>
          <t>Jessup, MD, US</t>
        </is>
      </c>
      <c r="H101" s="2" t="n">
        <v>45872</v>
      </c>
      <c r="I10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in-fb4ad531c8514c18</t>
        </is>
      </c>
      <c r="B102" t="inlineStr">
        <is>
          <t>Principal Applied Scientist, AGI Foundations, AGI Foundations</t>
        </is>
      </c>
      <c r="C102" t="inlineStr">
        <is>
          <t>Amazon.com</t>
        </is>
      </c>
      <c r="D102" t="inlineStr">
        <is>
          <t>indeed</t>
        </is>
      </c>
      <c r="E102" t="inlineStr"/>
      <c r="F102" t="inlineStr"/>
      <c r="G102" t="inlineStr">
        <is>
          <t>New York, NY, US</t>
        </is>
      </c>
      <c r="H102" s="2" t="n">
        <v>45856</v>
      </c>
      <c r="I10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in-fe685500b7e3b40a</t>
        </is>
      </c>
      <c r="B103" t="inlineStr">
        <is>
          <t>Principal Applied Scientist, AGI Foundations, AGI Foundations</t>
        </is>
      </c>
      <c r="C103" t="inlineStr">
        <is>
          <t>Amazon.com</t>
        </is>
      </c>
      <c r="D103" t="inlineStr">
        <is>
          <t>indeed</t>
        </is>
      </c>
      <c r="E103" t="inlineStr"/>
      <c r="F103" t="inlineStr"/>
      <c r="G103" t="inlineStr">
        <is>
          <t>Boston, MA, US</t>
        </is>
      </c>
      <c r="H103" s="2" t="n">
        <v>45856</v>
      </c>
      <c r="I10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in-f67ce8cfdcb99de3</t>
        </is>
      </c>
      <c r="B104" t="inlineStr">
        <is>
          <t>Principal Applied Scientist, AGI Foundations, AGI Foundations</t>
        </is>
      </c>
      <c r="C104" t="inlineStr">
        <is>
          <t>Amazon.com</t>
        </is>
      </c>
      <c r="D104" t="inlineStr">
        <is>
          <t>indeed</t>
        </is>
      </c>
      <c r="E104" t="inlineStr"/>
      <c r="F104" t="inlineStr"/>
      <c r="G104" t="inlineStr">
        <is>
          <t>Sunnyvale, CA, US</t>
        </is>
      </c>
      <c r="H104" s="2" t="n">
        <v>45856</v>
      </c>
      <c r="I10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in-f110579038a16b99</t>
        </is>
      </c>
      <c r="B105" t="inlineStr">
        <is>
          <t>Principal Applied Scientist, AGI Foundations, AGI Foundations</t>
        </is>
      </c>
      <c r="C105" t="inlineStr">
        <is>
          <t>Amazon.com</t>
        </is>
      </c>
      <c r="D105" t="inlineStr">
        <is>
          <t>indeed</t>
        </is>
      </c>
      <c r="E105" t="inlineStr"/>
      <c r="F105" t="inlineStr"/>
      <c r="G105" t="inlineStr">
        <is>
          <t>Bellevue, WA, US</t>
        </is>
      </c>
      <c r="H105" s="2" t="n">
        <v>45856</v>
      </c>
      <c r="I10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in-32fceba7a5dbf55d</t>
        </is>
      </c>
      <c r="B106" t="inlineStr">
        <is>
          <t>Sr. Applied Scientist, Amazon Advertising</t>
        </is>
      </c>
      <c r="C106" t="inlineStr">
        <is>
          <t>Amazon.com</t>
        </is>
      </c>
      <c r="D106" t="inlineStr">
        <is>
          <t>indeed</t>
        </is>
      </c>
      <c r="E106" t="inlineStr"/>
      <c r="F106" t="inlineStr"/>
      <c r="G106" t="inlineStr">
        <is>
          <t>West Hollywood, CA,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in-8cb3db85f3c69893</t>
        </is>
      </c>
      <c r="B107" t="inlineStr">
        <is>
          <t>Sr. Applied Scientist, Amazon Advertising</t>
        </is>
      </c>
      <c r="C107" t="inlineStr">
        <is>
          <t>Amazon.com</t>
        </is>
      </c>
      <c r="D107" t="inlineStr">
        <is>
          <t>indeed</t>
        </is>
      </c>
      <c r="E107" t="inlineStr"/>
      <c r="F107" t="inlineStr"/>
      <c r="G107" t="inlineStr">
        <is>
          <t>Seattle, WA,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in-8783f4ed9a3c0037</t>
        </is>
      </c>
      <c r="B108" t="inlineStr">
        <is>
          <t>Sr. Applied Scientist, Amazon Advertising</t>
        </is>
      </c>
      <c r="C108" t="inlineStr">
        <is>
          <t>Amazon.com</t>
        </is>
      </c>
      <c r="D108" t="inlineStr">
        <is>
          <t>indeed</t>
        </is>
      </c>
      <c r="E108" t="inlineStr"/>
      <c r="F108" t="inlineStr"/>
      <c r="G108" t="inlineStr">
        <is>
          <t>Los Angeles, CA,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in-ec2749c170954dbe</t>
        </is>
      </c>
      <c r="B109" t="inlineStr">
        <is>
          <t>Sr. Applied Scientist, Amazon Advertising</t>
        </is>
      </c>
      <c r="C109" t="inlineStr">
        <is>
          <t>Amazon.com</t>
        </is>
      </c>
      <c r="D109" t="inlineStr">
        <is>
          <t>indeed</t>
        </is>
      </c>
      <c r="E109" t="inlineStr"/>
      <c r="F109" t="inlineStr"/>
      <c r="G109" t="inlineStr">
        <is>
          <t>New York, NY, US</t>
        </is>
      </c>
      <c r="H109" s="2"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in-3371224ad1500feb</t>
        </is>
      </c>
      <c r="B110" t="inlineStr">
        <is>
          <t>Sr. Applied Scientist, Amazon Advertising</t>
        </is>
      </c>
      <c r="C110" t="inlineStr">
        <is>
          <t>Amazon.com</t>
        </is>
      </c>
      <c r="D110" t="inlineStr">
        <is>
          <t>indeed</t>
        </is>
      </c>
      <c r="E110" t="inlineStr"/>
      <c r="F110" t="inlineStr"/>
      <c r="G110" t="inlineStr">
        <is>
          <t>Austin, TX,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in-bb59add37ddc8e2e</t>
        </is>
      </c>
      <c r="B111" t="inlineStr">
        <is>
          <t>Sr. Applied Scientist, Amazon Advertising</t>
        </is>
      </c>
      <c r="C111" t="inlineStr">
        <is>
          <t>Amazon.com</t>
        </is>
      </c>
      <c r="D111" t="inlineStr">
        <is>
          <t>indeed</t>
        </is>
      </c>
      <c r="E111" t="inlineStr"/>
      <c r="F111" t="inlineStr"/>
      <c r="G111" t="inlineStr">
        <is>
          <t>Palo Alto, CA,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in-8f85ef50b5a37686</t>
        </is>
      </c>
      <c r="B112" t="inlineStr">
        <is>
          <t>Sr. Applied Scientist, Amazon Advertising</t>
        </is>
      </c>
      <c r="C112" t="inlineStr">
        <is>
          <t>Amazon.com</t>
        </is>
      </c>
      <c r="D112" t="inlineStr">
        <is>
          <t>indeed</t>
        </is>
      </c>
      <c r="E112" t="inlineStr"/>
      <c r="F112" t="inlineStr"/>
      <c r="G112" t="inlineStr">
        <is>
          <t>Simi Valley, CA,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in-a66159ce7bcf91be</t>
        </is>
      </c>
      <c r="B113" t="inlineStr">
        <is>
          <t>Sr. Applied Scientist, Amazon Advertising</t>
        </is>
      </c>
      <c r="C113" t="inlineStr">
        <is>
          <t>Amazon.com</t>
        </is>
      </c>
      <c r="D113" t="inlineStr">
        <is>
          <t>indeed</t>
        </is>
      </c>
      <c r="E113" t="inlineStr"/>
      <c r="F113" t="inlineStr"/>
      <c r="G113" t="inlineStr">
        <is>
          <t>Arlington, VA,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in-b1118ae2586d6517</t>
        </is>
      </c>
      <c r="B114" t="inlineStr">
        <is>
          <t>Sr. Applied Scientist, Sales AI</t>
        </is>
      </c>
      <c r="C114" t="inlineStr">
        <is>
          <t>Amazon.com</t>
        </is>
      </c>
      <c r="D114" t="inlineStr">
        <is>
          <t>indeed</t>
        </is>
      </c>
      <c r="E114" t="inlineStr"/>
      <c r="F114" t="inlineStr"/>
      <c r="G114" t="inlineStr">
        <is>
          <t>Seattle, WA, US</t>
        </is>
      </c>
      <c r="H114" s="2" t="n">
        <v>45830</v>
      </c>
      <c r="I11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in-690821735aff1aa1</t>
        </is>
      </c>
      <c r="B115" t="inlineStr">
        <is>
          <t>Sr. Applied Scientist, Sales AI</t>
        </is>
      </c>
      <c r="C115" t="inlineStr">
        <is>
          <t>Amazon.com</t>
        </is>
      </c>
      <c r="D115" t="inlineStr">
        <is>
          <t>indeed</t>
        </is>
      </c>
      <c r="E115" t="inlineStr"/>
      <c r="F115" t="inlineStr"/>
      <c r="G115" t="inlineStr">
        <is>
          <t>New York, NY, US</t>
        </is>
      </c>
      <c r="H115" s="2" t="n">
        <v>45830</v>
      </c>
      <c r="I11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in-a93830bdff0b1794</t>
        </is>
      </c>
      <c r="B116" t="inlineStr">
        <is>
          <t>Sr. Applied Scientist, Sales AI</t>
        </is>
      </c>
      <c r="C116" t="inlineStr">
        <is>
          <t>Amazon.com</t>
        </is>
      </c>
      <c r="D116" t="inlineStr">
        <is>
          <t>indeed</t>
        </is>
      </c>
      <c r="E116" t="inlineStr"/>
      <c r="F116" t="inlineStr"/>
      <c r="G116" t="inlineStr">
        <is>
          <t>Sunnyvale, CA, US</t>
        </is>
      </c>
      <c r="H116" s="2" t="n">
        <v>45830</v>
      </c>
      <c r="I11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in-dfe81ea33751543b</t>
        </is>
      </c>
      <c r="B117" t="inlineStr">
        <is>
          <t>Sr. Applied Scientist, AGI Info</t>
        </is>
      </c>
      <c r="C117" t="inlineStr">
        <is>
          <t>Amazon.com</t>
        </is>
      </c>
      <c r="D117" t="inlineStr">
        <is>
          <t>indeed</t>
        </is>
      </c>
      <c r="E117" t="inlineStr"/>
      <c r="F117" t="inlineStr"/>
      <c r="G117" t="inlineStr">
        <is>
          <t>Bellevue, WA, US</t>
        </is>
      </c>
      <c r="H117" s="2" t="n">
        <v>45811</v>
      </c>
      <c r="I117"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in-77ab7307d95e83b5</t>
        </is>
      </c>
      <c r="B118" t="inlineStr">
        <is>
          <t>Sr. Applied Scientist, AGI Info</t>
        </is>
      </c>
      <c r="C118" t="inlineStr">
        <is>
          <t>Amazon.com</t>
        </is>
      </c>
      <c r="D118" t="inlineStr">
        <is>
          <t>indeed</t>
        </is>
      </c>
      <c r="E118" t="inlineStr"/>
      <c r="F118" t="inlineStr"/>
      <c r="G118" t="inlineStr">
        <is>
          <t>Sunnyvale, CA, US</t>
        </is>
      </c>
      <c r="H118" s="2" t="n">
        <v>45811</v>
      </c>
      <c r="I118"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in-3b2d213ac1cd0d52</t>
        </is>
      </c>
      <c r="B119" t="inlineStr">
        <is>
          <t>Applied Scientist, Sponsored Products</t>
        </is>
      </c>
      <c r="C119" t="inlineStr">
        <is>
          <t>Amazon.com</t>
        </is>
      </c>
      <c r="D119" t="inlineStr">
        <is>
          <t>indeed</t>
        </is>
      </c>
      <c r="E119" t="inlineStr"/>
      <c r="F119" t="inlineStr"/>
      <c r="G119" t="inlineStr">
        <is>
          <t>Seattle, WA, US</t>
        </is>
      </c>
      <c r="H119" s="2" t="n">
        <v>45971</v>
      </c>
      <c r="I11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in-858b0624f883e883</t>
        </is>
      </c>
      <c r="B120" t="inlineStr">
        <is>
          <t>Applied Scientist, Sponsored Products</t>
        </is>
      </c>
      <c r="C120" t="inlineStr">
        <is>
          <t>Amazon.com</t>
        </is>
      </c>
      <c r="D120" t="inlineStr">
        <is>
          <t>indeed</t>
        </is>
      </c>
      <c r="E120" t="inlineStr"/>
      <c r="F120" t="inlineStr"/>
      <c r="G120" t="inlineStr">
        <is>
          <t>Arlington, VA, US</t>
        </is>
      </c>
      <c r="H120" s="2" t="n">
        <v>45971</v>
      </c>
      <c r="I12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in-b2dc0978df84065a</t>
        </is>
      </c>
      <c r="B121" t="inlineStr">
        <is>
          <t>Applied Scientist, AWS Agentic AI</t>
        </is>
      </c>
      <c r="C121" t="inlineStr">
        <is>
          <t>Amazon Web Services</t>
        </is>
      </c>
      <c r="D121" t="inlineStr">
        <is>
          <t>indeed</t>
        </is>
      </c>
      <c r="E121" t="inlineStr"/>
      <c r="F121" t="inlineStr"/>
      <c r="G121" t="inlineStr">
        <is>
          <t>New York, NY, US</t>
        </is>
      </c>
      <c r="H121" s="2" t="n">
        <v>45962</v>
      </c>
      <c r="I12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in-66bfef252cc44fc2</t>
        </is>
      </c>
      <c r="B122" t="inlineStr">
        <is>
          <t>Applied Scientist, AWS Agentic AI</t>
        </is>
      </c>
      <c r="C122" t="inlineStr">
        <is>
          <t>Amazon Web Services</t>
        </is>
      </c>
      <c r="D122" t="inlineStr">
        <is>
          <t>indeed</t>
        </is>
      </c>
      <c r="E122" t="inlineStr"/>
      <c r="F122" t="inlineStr"/>
      <c r="G122" t="inlineStr">
        <is>
          <t>Santa Clara, CA, US</t>
        </is>
      </c>
      <c r="H122" s="2" t="n">
        <v>45962</v>
      </c>
      <c r="I12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in-4a6ce8ecface9f0d</t>
        </is>
      </c>
      <c r="B123" t="inlineStr">
        <is>
          <t>Applied Scientist, AWS Agentic AI</t>
        </is>
      </c>
      <c r="C123" t="inlineStr">
        <is>
          <t>Amazon Web Services</t>
        </is>
      </c>
      <c r="D123" t="inlineStr">
        <is>
          <t>indeed</t>
        </is>
      </c>
      <c r="E123" t="inlineStr"/>
      <c r="F123" t="inlineStr"/>
      <c r="G123" t="inlineStr">
        <is>
          <t>Seattle, WA, US</t>
        </is>
      </c>
      <c r="H123" s="2" t="n">
        <v>45962</v>
      </c>
      <c r="I12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in-1db1c61d137f5820</t>
        </is>
      </c>
      <c r="B124" t="inlineStr">
        <is>
          <t>Applied Scientist, Workplace Health &amp; Safety</t>
        </is>
      </c>
      <c r="C124" t="inlineStr">
        <is>
          <t>Amazon.com</t>
        </is>
      </c>
      <c r="D124" t="inlineStr">
        <is>
          <t>indeed</t>
        </is>
      </c>
      <c r="E124" t="inlineStr"/>
      <c r="F124" t="inlineStr"/>
      <c r="G124" t="inlineStr">
        <is>
          <t>Nashville, TN, US</t>
        </is>
      </c>
      <c r="H124" s="2" t="n">
        <v>45917</v>
      </c>
      <c r="I12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in-f5aaa2c9b0bf596d</t>
        </is>
      </c>
      <c r="B125" t="inlineStr">
        <is>
          <t>Applied Scientist, Workplace Health &amp; Safety</t>
        </is>
      </c>
      <c r="C125" t="inlineStr">
        <is>
          <t>Amazon.com</t>
        </is>
      </c>
      <c r="D125" t="inlineStr">
        <is>
          <t>indeed</t>
        </is>
      </c>
      <c r="E125" t="inlineStr"/>
      <c r="F125" t="inlineStr"/>
      <c r="G125" t="inlineStr">
        <is>
          <t>Bellevue, WA, US</t>
        </is>
      </c>
      <c r="H125" s="2" t="n">
        <v>45917</v>
      </c>
      <c r="I12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in-fe1f06425104a411</t>
        </is>
      </c>
      <c r="B126" t="inlineStr">
        <is>
          <t>Principal Applied Scientist, Amazon Special Projects</t>
        </is>
      </c>
      <c r="C126" t="inlineStr">
        <is>
          <t>Amazon.com</t>
        </is>
      </c>
      <c r="D126" t="inlineStr">
        <is>
          <t>indeed</t>
        </is>
      </c>
      <c r="E126">
        <f>HYPERLINK("https://www.indeed.com/viewjob?jk=fe1f06425104a411", "https://www.indeed.com/viewjob?jk=fe1f06425104a411")</f>
        <v/>
      </c>
      <c r="F126">
        <f>HYPERLINK("https://www.amazon.jobs/jobs/3132566/principal-applied-scientist-amazon-special-projects?cmpid=DA_INAD200785B", "https://www.amazon.jobs/jobs/3132566/principal-applied-scientist-amazon-special-projects?cmpid=DA_INAD200785B")</f>
        <v/>
      </c>
      <c r="G126" t="inlineStr">
        <is>
          <t>Seattle, WA, US</t>
        </is>
      </c>
      <c r="H126" s="3" t="n">
        <v>45982</v>
      </c>
      <c r="I12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in-1de75458e4428191</t>
        </is>
      </c>
      <c r="B127" t="inlineStr">
        <is>
          <t>Principal Applied Scientist, Amazon Special Projects</t>
        </is>
      </c>
      <c r="C127" t="inlineStr">
        <is>
          <t>Amazon.com</t>
        </is>
      </c>
      <c r="D127" t="inlineStr">
        <is>
          <t>indeed</t>
        </is>
      </c>
      <c r="E127">
        <f>HYPERLINK("https://www.indeed.com/viewjob?jk=1de75458e4428191", "https://www.indeed.com/viewjob?jk=1de75458e4428191")</f>
        <v/>
      </c>
      <c r="F127">
        <f>HYPERLINK("https://www.amazon.jobs/jobs/3132566/principal-applied-scientist-amazon-special-projects?cmpid=DA_INAD200785B", "https://www.amazon.jobs/jobs/3132566/principal-applied-scientist-amazon-special-projects?cmpid=DA_INAD200785B")</f>
        <v/>
      </c>
      <c r="G127" t="inlineStr">
        <is>
          <t>Boston, MA, US</t>
        </is>
      </c>
      <c r="H127" s="3" t="n">
        <v>45982</v>
      </c>
      <c r="I12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in-2d7a13274f29a01a</t>
        </is>
      </c>
      <c r="B128" t="inlineStr">
        <is>
          <t>Senior Applied Scientist, Sponsored Products and Brands</t>
        </is>
      </c>
      <c r="C128" t="inlineStr">
        <is>
          <t>Amazon.com</t>
        </is>
      </c>
      <c r="D128" t="inlineStr">
        <is>
          <t>indeed</t>
        </is>
      </c>
      <c r="E128">
        <f>HYPERLINK("https://www.indeed.com/viewjob?jk=2d7a13274f29a01a", "https://www.indeed.com/viewjob?jk=2d7a13274f29a01a")</f>
        <v/>
      </c>
      <c r="F128">
        <f>HYPERLINK("https://www.amazon.jobs/jobs/3130062/senior-applied-scientist-sponsored-products-and-brands?cmpid=DA_INAD200785B", "https://www.amazon.jobs/jobs/3130062/senior-applied-scientist-sponsored-products-and-brands?cmpid=DA_INAD200785B")</f>
        <v/>
      </c>
      <c r="G128" t="inlineStr">
        <is>
          <t>Seattle, WA, US</t>
        </is>
      </c>
      <c r="H128" s="3" t="n">
        <v>45979</v>
      </c>
      <c r="I12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in-80cabda1b97f8cdc</t>
        </is>
      </c>
      <c r="B129" t="inlineStr">
        <is>
          <t>Senior Applied Scientist, Sponsored Products and Brands</t>
        </is>
      </c>
      <c r="C129" t="inlineStr">
        <is>
          <t>Amazon.com</t>
        </is>
      </c>
      <c r="D129" t="inlineStr">
        <is>
          <t>indeed</t>
        </is>
      </c>
      <c r="E129">
        <f>HYPERLINK("https://www.indeed.com/viewjob?jk=80cabda1b97f8cdc", "https://www.indeed.com/viewjob?jk=80cabda1b97f8cdc")</f>
        <v/>
      </c>
      <c r="F129">
        <f>HYPERLINK("https://www.amazon.jobs/jobs/3130062/senior-applied-scientist-sponsored-products-and-brands?cmpid=DA_INAD200785B", "https://www.amazon.jobs/jobs/3130062/senior-applied-scientist-sponsored-products-and-brands?cmpid=DA_INAD200785B")</f>
        <v/>
      </c>
      <c r="G129" t="inlineStr">
        <is>
          <t>New York, NY, US</t>
        </is>
      </c>
      <c r="H129" s="3" t="n">
        <v>45979</v>
      </c>
      <c r="I12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in-f82f448d2aed24cb</t>
        </is>
      </c>
      <c r="B130" t="inlineStr">
        <is>
          <t>Sr. Applied Scientist, AGI Foundations</t>
        </is>
      </c>
      <c r="C130" t="inlineStr">
        <is>
          <t>Amazon.com</t>
        </is>
      </c>
      <c r="D130" t="inlineStr">
        <is>
          <t>indeed</t>
        </is>
      </c>
      <c r="E130">
        <f>HYPERLINK("https://www.indeed.com/viewjob?jk=f82f448d2aed24cb", "https://www.indeed.com/viewjob?jk=f82f448d2aed24cb")</f>
        <v/>
      </c>
      <c r="F130">
        <f>HYPERLINK("https://www.amazon.jobs/jobs/3128807/sr-applied-scientist-agi-foundations?cmpid=DA_INAD200785B", "https://www.amazon.jobs/jobs/3128807/sr-applied-scientist-agi-foundations?cmpid=DA_INAD200785B")</f>
        <v/>
      </c>
      <c r="G130" t="inlineStr">
        <is>
          <t>Bellevue, WA, US</t>
        </is>
      </c>
      <c r="H130" s="3" t="n">
        <v>45978</v>
      </c>
      <c r="I13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in-7d7511edb655845a</t>
        </is>
      </c>
      <c r="B131" t="inlineStr">
        <is>
          <t>Sr. Applied Scientist, AGI Foundations</t>
        </is>
      </c>
      <c r="C131" t="inlineStr">
        <is>
          <t>Amazon.com</t>
        </is>
      </c>
      <c r="D131" t="inlineStr">
        <is>
          <t>indeed</t>
        </is>
      </c>
      <c r="E131">
        <f>HYPERLINK("https://www.indeed.com/viewjob?jk=7d7511edb655845a", "https://www.indeed.com/viewjob?jk=7d7511edb655845a")</f>
        <v/>
      </c>
      <c r="F131">
        <f>HYPERLINK("https://www.amazon.jobs/jobs/3128807/sr-applied-scientist-agi-foundations?cmpid=DA_INAD200785B", "https://www.amazon.jobs/jobs/3128807/sr-applied-scientist-agi-foundations?cmpid=DA_INAD200785B")</f>
        <v/>
      </c>
      <c r="G131" t="inlineStr">
        <is>
          <t>New York, NY, US</t>
        </is>
      </c>
      <c r="H131" s="3" t="n">
        <v>45978</v>
      </c>
      <c r="I13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in-d99877ecf1d0f9e3</t>
        </is>
      </c>
      <c r="B132" t="inlineStr">
        <is>
          <t>Sr. Applied Scientist, AGI Foundations</t>
        </is>
      </c>
      <c r="C132" t="inlineStr">
        <is>
          <t>Amazon.com</t>
        </is>
      </c>
      <c r="D132" t="inlineStr">
        <is>
          <t>indeed</t>
        </is>
      </c>
      <c r="E132">
        <f>HYPERLINK("https://www.indeed.com/viewjob?jk=d99877ecf1d0f9e3", "https://www.indeed.com/viewjob?jk=d99877ecf1d0f9e3")</f>
        <v/>
      </c>
      <c r="F132">
        <f>HYPERLINK("https://www.amazon.jobs/jobs/3128807/sr-applied-scientist-agi-foundations?cmpid=DA_INAD200785B", "https://www.amazon.jobs/jobs/3128807/sr-applied-scientist-agi-foundations?cmpid=DA_INAD200785B")</f>
        <v/>
      </c>
      <c r="G132" t="inlineStr">
        <is>
          <t>Boston, MA, US</t>
        </is>
      </c>
      <c r="H132" s="3" t="n">
        <v>45978</v>
      </c>
      <c r="I13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in-0a6edd5e0205e823</t>
        </is>
      </c>
      <c r="B133" t="inlineStr">
        <is>
          <t>Sr. Applied Scientist, AGI Foundations</t>
        </is>
      </c>
      <c r="C133" t="inlineStr">
        <is>
          <t>Amazon.com</t>
        </is>
      </c>
      <c r="D133" t="inlineStr">
        <is>
          <t>indeed</t>
        </is>
      </c>
      <c r="E133">
        <f>HYPERLINK("https://www.indeed.com/viewjob?jk=0a6edd5e0205e823", "https://www.indeed.com/viewjob?jk=0a6edd5e0205e823")</f>
        <v/>
      </c>
      <c r="F133">
        <f>HYPERLINK("https://www.amazon.jobs/jobs/3128807/sr-applied-scientist-agi-foundations?cmpid=DA_INAD200785B", "https://www.amazon.jobs/jobs/3128807/sr-applied-scientist-agi-foundations?cmpid=DA_INAD200785B")</f>
        <v/>
      </c>
      <c r="G133" t="inlineStr">
        <is>
          <t>Sunnyvale, CA, US</t>
        </is>
      </c>
      <c r="H133" s="3" t="n">
        <v>45978</v>
      </c>
      <c r="I13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in-9e3d6e22360f9684</t>
        </is>
      </c>
      <c r="B134" t="inlineStr">
        <is>
          <t>Sr. Applied Scientist, AGI Foundations</t>
        </is>
      </c>
      <c r="C134" t="inlineStr">
        <is>
          <t>Amazon.com</t>
        </is>
      </c>
      <c r="D134" t="inlineStr">
        <is>
          <t>indeed</t>
        </is>
      </c>
      <c r="E134">
        <f>HYPERLINK("https://www.indeed.com/viewjob?jk=9e3d6e22360f9684", "https://www.indeed.com/viewjob?jk=9e3d6e22360f9684")</f>
        <v/>
      </c>
      <c r="F134">
        <f>HYPERLINK("https://www.amazon.jobs/jobs/3123268/sr-applied-scientist-agi-foundations?cmpid=DA_INAD200785B", "https://www.amazon.jobs/jobs/3123268/sr-applied-scientist-agi-foundations?cmpid=DA_INAD200785B")</f>
        <v/>
      </c>
      <c r="G134" t="inlineStr">
        <is>
          <t>Bellevue, WA, US</t>
        </is>
      </c>
      <c r="H134" s="3" t="n">
        <v>45963</v>
      </c>
      <c r="I13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in-12f113eee8e4bdd5</t>
        </is>
      </c>
      <c r="B135" t="inlineStr">
        <is>
          <t>Sr. Applied Scientist, AGI Foundations</t>
        </is>
      </c>
      <c r="C135" t="inlineStr">
        <is>
          <t>Amazon.com</t>
        </is>
      </c>
      <c r="D135" t="inlineStr">
        <is>
          <t>indeed</t>
        </is>
      </c>
      <c r="E135">
        <f>HYPERLINK("https://www.indeed.com/viewjob?jk=12f113eee8e4bdd5", "https://www.indeed.com/viewjob?jk=12f113eee8e4bdd5")</f>
        <v/>
      </c>
      <c r="F135">
        <f>HYPERLINK("https://www.amazon.jobs/jobs/3123268/sr-applied-scientist-agi-foundations?cmpid=DA_INAD200785B", "https://www.amazon.jobs/jobs/3123268/sr-applied-scientist-agi-foundations?cmpid=DA_INAD200785B")</f>
        <v/>
      </c>
      <c r="G135" t="inlineStr">
        <is>
          <t>Boston, MA, US</t>
        </is>
      </c>
      <c r="H135" s="3" t="n">
        <v>45963</v>
      </c>
      <c r="I13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in-fbdfd9d12ff28ff1</t>
        </is>
      </c>
      <c r="B136" t="inlineStr">
        <is>
          <t>Sr. Applied Scientist, AGI Foundations</t>
        </is>
      </c>
      <c r="C136" t="inlineStr">
        <is>
          <t>Amazon.com</t>
        </is>
      </c>
      <c r="D136" t="inlineStr">
        <is>
          <t>indeed</t>
        </is>
      </c>
      <c r="E136">
        <f>HYPERLINK("https://www.indeed.com/viewjob?jk=fbdfd9d12ff28ff1", "https://www.indeed.com/viewjob?jk=fbdfd9d12ff28ff1")</f>
        <v/>
      </c>
      <c r="F136">
        <f>HYPERLINK("https://www.amazon.jobs/jobs/3123268/sr-applied-scientist-agi-foundations?cmpid=DA_INAD200785B", "https://www.amazon.jobs/jobs/3123268/sr-applied-scientist-agi-foundations?cmpid=DA_INAD200785B")</f>
        <v/>
      </c>
      <c r="G136" t="inlineStr">
        <is>
          <t>New York, NY, US</t>
        </is>
      </c>
      <c r="H136" s="3" t="n">
        <v>45963</v>
      </c>
      <c r="I13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in-d4a7ead3637f35c4</t>
        </is>
      </c>
      <c r="B137" t="inlineStr">
        <is>
          <t>Applied Scientist II, Prime Video - Personalization and Discovery Science, Personalization and Discovery Science</t>
        </is>
      </c>
      <c r="C137" t="inlineStr">
        <is>
          <t>Amazon.com</t>
        </is>
      </c>
      <c r="D137" t="inlineStr">
        <is>
          <t>indeed</t>
        </is>
      </c>
      <c r="E137">
        <f>HYPERLINK("https://www.indeed.com/viewjob?jk=d4a7ead3637f35c4", "https://www.indeed.com/viewjob?jk=d4a7ead3637f35c4")</f>
        <v/>
      </c>
      <c r="F13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7" t="inlineStr">
        <is>
          <t>New York, NY, US</t>
        </is>
      </c>
      <c r="H137" s="3" t="n">
        <v>45930</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in-a6e73d83cc4e409e</t>
        </is>
      </c>
      <c r="B138" t="inlineStr">
        <is>
          <t>Applied Scientist II, Prime Video - Personalization and Discovery Science, Personalization and Discovery Science</t>
        </is>
      </c>
      <c r="C138" t="inlineStr">
        <is>
          <t>Amazon.com</t>
        </is>
      </c>
      <c r="D138" t="inlineStr">
        <is>
          <t>indeed</t>
        </is>
      </c>
      <c r="E138">
        <f>HYPERLINK("https://www.indeed.com/viewjob?jk=a6e73d83cc4e409e", "https://www.indeed.com/viewjob?jk=a6e73d83cc4e409e")</f>
        <v/>
      </c>
      <c r="F13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8" t="inlineStr">
        <is>
          <t>Sunnyvale, CA, US</t>
        </is>
      </c>
      <c r="H138" s="3" t="n">
        <v>45930</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in-48107e9ebf566db6</t>
        </is>
      </c>
      <c r="B139" t="inlineStr">
        <is>
          <t>Applied Scientist II, Prime Video - Personalization and Discovery Science</t>
        </is>
      </c>
      <c r="C139" t="inlineStr">
        <is>
          <t>Amazon.com</t>
        </is>
      </c>
      <c r="D139" t="inlineStr">
        <is>
          <t>indeed</t>
        </is>
      </c>
      <c r="E139">
        <f>HYPERLINK("https://www.indeed.com/viewjob?jk=48107e9ebf566db6", "https://www.indeed.com/viewjob?jk=48107e9ebf566db6")</f>
        <v/>
      </c>
      <c r="F139">
        <f>HYPERLINK("https://www.amazon.jobs/jobs/3086060/applied-scientist-ii-prime-video--personalization-and-discovery-science?cmpid=DA_INAD200785B", "https://www.amazon.jobs/jobs/3086060/applied-scientist-ii-prime-video--personalization-and-discovery-science?cmpid=DA_INAD200785B")</f>
        <v/>
      </c>
      <c r="G139" t="inlineStr">
        <is>
          <t>Sunnyvale, CA, US</t>
        </is>
      </c>
      <c r="H139" s="3" t="n">
        <v>45915</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in-7a7606e75d5533de</t>
        </is>
      </c>
      <c r="B140" t="inlineStr">
        <is>
          <t>Applied Scientist II, Prime Video - Personalization and Discovery Science</t>
        </is>
      </c>
      <c r="C140" t="inlineStr">
        <is>
          <t>Amazon.com</t>
        </is>
      </c>
      <c r="D140" t="inlineStr">
        <is>
          <t>indeed</t>
        </is>
      </c>
      <c r="E140">
        <f>HYPERLINK("https://www.indeed.com/viewjob?jk=7a7606e75d5533de", "https://www.indeed.com/viewjob?jk=7a7606e75d5533de")</f>
        <v/>
      </c>
      <c r="F140">
        <f>HYPERLINK("https://www.amazon.jobs/jobs/3086060/applied-scientist-ii-prime-video--personalization-and-discovery-science?cmpid=DA_INAD200785B", "https://www.amazon.jobs/jobs/3086060/applied-scientist-ii-prime-video--personalization-and-discovery-science?cmpid=DA_INAD200785B")</f>
        <v/>
      </c>
      <c r="G140" t="inlineStr">
        <is>
          <t>Seattle, WA, US</t>
        </is>
      </c>
      <c r="H140" s="3" t="n">
        <v>45915</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in-948b22f4d3212336</t>
        </is>
      </c>
      <c r="B141" t="inlineStr">
        <is>
          <t>Sr. Applied Scientist, Prime Video - Personalization and Discovery Science</t>
        </is>
      </c>
      <c r="C141" t="inlineStr">
        <is>
          <t>Amazon.com</t>
        </is>
      </c>
      <c r="D141" t="inlineStr">
        <is>
          <t>indeed</t>
        </is>
      </c>
      <c r="E141">
        <f>HYPERLINK("https://www.indeed.com/viewjob?jk=948b22f4d3212336", "https://www.indeed.com/viewjob?jk=948b22f4d3212336")</f>
        <v/>
      </c>
      <c r="F141">
        <f>HYPERLINK("https://www.amazon.jobs/jobs/3083564/sr-applied-scientist-prime-video--personalization-and-discovery-science?cmpid=DA_INAD200785B", "https://www.amazon.jobs/jobs/3083564/sr-applied-scientist-prime-video--personalization-and-discovery-science?cmpid=DA_INAD200785B")</f>
        <v/>
      </c>
      <c r="G141" t="inlineStr">
        <is>
          <t>Sunnyvale, CA, US</t>
        </is>
      </c>
      <c r="H141" s="3" t="n">
        <v>45914</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in-50b16a74d1ab212c</t>
        </is>
      </c>
      <c r="B142" t="inlineStr">
        <is>
          <t>Senior Applied Scientist, Artificial General Intelligence</t>
        </is>
      </c>
      <c r="C142" t="inlineStr">
        <is>
          <t>Amazon.com</t>
        </is>
      </c>
      <c r="D142" t="inlineStr">
        <is>
          <t>indeed</t>
        </is>
      </c>
      <c r="E142">
        <f>HYPERLINK("https://www.indeed.com/viewjob?jk=50b16a74d1ab212c", "https://www.indeed.com/viewjob?jk=50b16a74d1ab212c")</f>
        <v/>
      </c>
      <c r="F142">
        <f>HYPERLINK("https://www.amazon.jobs/jobs/3078137/senior-applied-scientist-artificial-general-intelligence?cmpid=DA_INAD200785B", "https://www.amazon.jobs/jobs/3078137/senior-applied-scientist-artificial-general-intelligence?cmpid=DA_INAD200785B")</f>
        <v/>
      </c>
      <c r="G142" t="inlineStr">
        <is>
          <t>Bellevue, WA, US</t>
        </is>
      </c>
      <c r="H142" s="3" t="n">
        <v>45907</v>
      </c>
      <c r="I14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in-0ec8ee6b91d16e73</t>
        </is>
      </c>
      <c r="B143" t="inlineStr">
        <is>
          <t>Senior Applied Scientist, Artificial General Intelligence</t>
        </is>
      </c>
      <c r="C143" t="inlineStr">
        <is>
          <t>Amazon.com</t>
        </is>
      </c>
      <c r="D143" t="inlineStr">
        <is>
          <t>indeed</t>
        </is>
      </c>
      <c r="E143">
        <f>HYPERLINK("https://www.indeed.com/viewjob?jk=0ec8ee6b91d16e73", "https://www.indeed.com/viewjob?jk=0ec8ee6b91d16e73")</f>
        <v/>
      </c>
      <c r="F143">
        <f>HYPERLINK("https://www.amazon.jobs/jobs/3078137/senior-applied-scientist-artificial-general-intelligence?cmpid=DA_INAD200785B", "https://www.amazon.jobs/jobs/3078137/senior-applied-scientist-artificial-general-intelligence?cmpid=DA_INAD200785B")</f>
        <v/>
      </c>
      <c r="G143" t="inlineStr">
        <is>
          <t>Cambridge, MA, US</t>
        </is>
      </c>
      <c r="H143" s="3" t="n">
        <v>45907</v>
      </c>
      <c r="I14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in-f7fe4dcc98a5c3fc</t>
        </is>
      </c>
      <c r="B144" t="inlineStr">
        <is>
          <t>Senior Applied Scientist, Artificial General Intelligence</t>
        </is>
      </c>
      <c r="C144" t="inlineStr">
        <is>
          <t>Amazon.com</t>
        </is>
      </c>
      <c r="D144" t="inlineStr">
        <is>
          <t>indeed</t>
        </is>
      </c>
      <c r="E144">
        <f>HYPERLINK("https://www.indeed.com/viewjob?jk=f7fe4dcc98a5c3fc", "https://www.indeed.com/viewjob?jk=f7fe4dcc98a5c3fc")</f>
        <v/>
      </c>
      <c r="F144">
        <f>HYPERLINK("https://www.amazon.jobs/jobs/3078137/senior-applied-scientist-artificial-general-intelligence?cmpid=DA_INAD200785B", "https://www.amazon.jobs/jobs/3078137/senior-applied-scientist-artificial-general-intelligence?cmpid=DA_INAD200785B")</f>
        <v/>
      </c>
      <c r="G144" t="inlineStr">
        <is>
          <t>Sunnyvale, CA, US</t>
        </is>
      </c>
      <c r="H144" s="3" t="n">
        <v>45907</v>
      </c>
      <c r="I14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in-25492bdfceb64384</t>
        </is>
      </c>
      <c r="B145" t="inlineStr">
        <is>
          <t>Senior Applied Scientist, Artificial General Intelligence</t>
        </is>
      </c>
      <c r="C145" t="inlineStr">
        <is>
          <t>Amazon.com</t>
        </is>
      </c>
      <c r="D145" t="inlineStr">
        <is>
          <t>indeed</t>
        </is>
      </c>
      <c r="E145">
        <f>HYPERLINK("https://www.indeed.com/viewjob?jk=25492bdfceb64384", "https://www.indeed.com/viewjob?jk=25492bdfceb64384")</f>
        <v/>
      </c>
      <c r="F145">
        <f>HYPERLINK("https://www.amazon.jobs/jobs/3078137/senior-applied-scientist-artificial-general-intelligence?cmpid=DA_INAD200785B", "https://www.amazon.jobs/jobs/3078137/senior-applied-scientist-artificial-general-intelligence?cmpid=DA_INAD200785B")</f>
        <v/>
      </c>
      <c r="G145" t="inlineStr">
        <is>
          <t>New York, NY, US</t>
        </is>
      </c>
      <c r="H145" s="3" t="n">
        <v>45907</v>
      </c>
      <c r="I14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in-fd980f33c01a4d28</t>
        </is>
      </c>
      <c r="B146" t="inlineStr">
        <is>
          <t>Applied Scientist II, Prime Video - Personalization and Discovery Science, Personalization and Discovery Science</t>
        </is>
      </c>
      <c r="C146" t="inlineStr">
        <is>
          <t>Amazon.com</t>
        </is>
      </c>
      <c r="D146" t="inlineStr">
        <is>
          <t>indeed</t>
        </is>
      </c>
      <c r="E146">
        <f>HYPERLINK("https://www.indeed.com/viewjob?jk=fd980f33c01a4d28", "https://www.indeed.com/viewjob?jk=fd980f33c01a4d28")</f>
        <v/>
      </c>
      <c r="F146">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46" t="inlineStr">
        <is>
          <t>Seattle, WA, US</t>
        </is>
      </c>
      <c r="H146" s="3" t="n">
        <v>45886</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in-55e1833485f24e28</t>
        </is>
      </c>
      <c r="B147" t="inlineStr">
        <is>
          <t>Applied Scientist II, Prime Video - Personalization and Discovery Science, Personalization and Discovery Science</t>
        </is>
      </c>
      <c r="C147" t="inlineStr">
        <is>
          <t>Amazon.com</t>
        </is>
      </c>
      <c r="D147" t="inlineStr">
        <is>
          <t>indeed</t>
        </is>
      </c>
      <c r="E147">
        <f>HYPERLINK("https://www.indeed.com/viewjob?jk=55e1833485f24e28", "https://www.indeed.com/viewjob?jk=55e1833485f24e28")</f>
        <v/>
      </c>
      <c r="F147">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47" t="inlineStr">
        <is>
          <t>Sunnyvale, CA, US</t>
        </is>
      </c>
      <c r="H147" s="3" t="n">
        <v>45886</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in-74c1973ce787c313</t>
        </is>
      </c>
      <c r="B148" t="inlineStr">
        <is>
          <t>Sr. Applied Scientist, Prime Video - Personalization and Discovery Science</t>
        </is>
      </c>
      <c r="C148" t="inlineStr">
        <is>
          <t>Amazon.com</t>
        </is>
      </c>
      <c r="D148" t="inlineStr">
        <is>
          <t>indeed</t>
        </is>
      </c>
      <c r="E148">
        <f>HYPERLINK("https://www.indeed.com/viewjob?jk=74c1973ce787c313", "https://www.indeed.com/viewjob?jk=74c1973ce787c313")</f>
        <v/>
      </c>
      <c r="F148">
        <f>HYPERLINK("https://www.amazon.jobs/jobs/3061266/sr-applied-scientist-prime-video--personalization-and-discovery-science?cmpid=DA_INAD200785B", "https://www.amazon.jobs/jobs/3061266/sr-applied-scientist-prime-video--personalization-and-discovery-science?cmpid=DA_INAD200785B")</f>
        <v/>
      </c>
      <c r="G148" t="inlineStr">
        <is>
          <t>Sunnyvale, CA, US</t>
        </is>
      </c>
      <c r="H148" s="3" t="n">
        <v>45886</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in-aa39e01f1c4e176a</t>
        </is>
      </c>
      <c r="B149" t="inlineStr">
        <is>
          <t>Applied Scientist II, Prime Video - Personalization and Discovery Science, Personalization and Discovery Science</t>
        </is>
      </c>
      <c r="C149" t="inlineStr">
        <is>
          <t>Amazon.com</t>
        </is>
      </c>
      <c r="D149" t="inlineStr">
        <is>
          <t>indeed</t>
        </is>
      </c>
      <c r="E149">
        <f>HYPERLINK("https://www.indeed.com/viewjob?jk=aa39e01f1c4e176a", "https://www.indeed.com/viewjob?jk=aa39e01f1c4e176a")</f>
        <v/>
      </c>
      <c r="F149">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49" t="inlineStr">
        <is>
          <t>New York, NY, US</t>
        </is>
      </c>
      <c r="H149" s="3" t="n">
        <v>45886</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in-91c3b699480f1c10</t>
        </is>
      </c>
      <c r="B150" t="inlineStr">
        <is>
          <t>Sr. Applied Scientist, Prime Video - Personalization and Discovery Science</t>
        </is>
      </c>
      <c r="C150" t="inlineStr">
        <is>
          <t>Amazon.com</t>
        </is>
      </c>
      <c r="D150" t="inlineStr">
        <is>
          <t>indeed</t>
        </is>
      </c>
      <c r="E150">
        <f>HYPERLINK("https://www.indeed.com/viewjob?jk=91c3b699480f1c10", "https://www.indeed.com/viewjob?jk=91c3b699480f1c10")</f>
        <v/>
      </c>
      <c r="F150">
        <f>HYPERLINK("https://www.amazon.jobs/jobs/3061266/sr-applied-scientist-prime-video--personalization-and-discovery-science?cmpid=DA_INAD200785B", "https://www.amazon.jobs/jobs/3061266/sr-applied-scientist-prime-video--personalization-and-discovery-science?cmpid=DA_INAD200785B")</f>
        <v/>
      </c>
      <c r="G150" t="inlineStr">
        <is>
          <t>Seattle, WA, US</t>
        </is>
      </c>
      <c r="H150" s="3" t="n">
        <v>45886</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in-bfbc55c2ba997e5e</t>
        </is>
      </c>
      <c r="B151" t="inlineStr">
        <is>
          <t>Sr. Applied Scientist, Prime Video - Personalization and Discovery Science</t>
        </is>
      </c>
      <c r="C151" t="inlineStr">
        <is>
          <t>Amazon.com</t>
        </is>
      </c>
      <c r="D151" t="inlineStr">
        <is>
          <t>indeed</t>
        </is>
      </c>
      <c r="E151">
        <f>HYPERLINK("https://www.indeed.com/viewjob?jk=bfbc55c2ba997e5e", "https://www.indeed.com/viewjob?jk=bfbc55c2ba997e5e")</f>
        <v/>
      </c>
      <c r="F151">
        <f>HYPERLINK("https://www.amazon.jobs/jobs/3061266/sr-applied-scientist-prime-video--personalization-and-discovery-science?cmpid=DA_INAD200785B", "https://www.amazon.jobs/jobs/3061266/sr-applied-scientist-prime-video--personalization-and-discovery-science?cmpid=DA_INAD200785B")</f>
        <v/>
      </c>
      <c r="G151" t="inlineStr">
        <is>
          <t>New York, NY, US</t>
        </is>
      </c>
      <c r="H151" s="3" t="n">
        <v>45886</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in-46804c931240c895</t>
        </is>
      </c>
      <c r="B152" t="inlineStr">
        <is>
          <t>Sr. Applied Scientist, Prime Video - Personalization and Discovery Science</t>
        </is>
      </c>
      <c r="C152" t="inlineStr">
        <is>
          <t>Amazon.com</t>
        </is>
      </c>
      <c r="D152" t="inlineStr">
        <is>
          <t>indeed</t>
        </is>
      </c>
      <c r="E152">
        <f>HYPERLINK("https://www.indeed.com/viewjob?jk=46804c931240c895", "https://www.indeed.com/viewjob?jk=46804c931240c895")</f>
        <v/>
      </c>
      <c r="F152">
        <f>HYPERLINK("https://www.amazon.jobs/jobs/3059256/sr-applied-scientist-prime-video--personalization-and-discovery-science?cmpid=DA_INAD200785B", "https://www.amazon.jobs/jobs/3059256/sr-applied-scientist-prime-video--personalization-and-discovery-science?cmpid=DA_INAD200785B")</f>
        <v/>
      </c>
      <c r="G152" t="inlineStr">
        <is>
          <t>New York, NY, US</t>
        </is>
      </c>
      <c r="H152" s="3" t="n">
        <v>45881</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in-e72a48b5949635e8</t>
        </is>
      </c>
      <c r="B153" t="inlineStr">
        <is>
          <t>Applied Scientist II, Prime Video - Personalization and Discovery Science</t>
        </is>
      </c>
      <c r="C153" t="inlineStr">
        <is>
          <t>Amazon.com</t>
        </is>
      </c>
      <c r="D153" t="inlineStr">
        <is>
          <t>indeed</t>
        </is>
      </c>
      <c r="E153">
        <f>HYPERLINK("https://www.indeed.com/viewjob?jk=e72a48b5949635e8", "https://www.indeed.com/viewjob?jk=e72a48b5949635e8")</f>
        <v/>
      </c>
      <c r="F153">
        <f>HYPERLINK("https://www.amazon.jobs/jobs/3059253/applied-scientist-ii-prime-video--personalization-and-discovery-science?cmpid=DA_INAD200785B", "https://www.amazon.jobs/jobs/3059253/applied-scientist-ii-prime-video--personalization-and-discovery-science?cmpid=DA_INAD200785B")</f>
        <v/>
      </c>
      <c r="G153" t="inlineStr">
        <is>
          <t>New York, NY, US</t>
        </is>
      </c>
      <c r="H153" s="3" t="n">
        <v>45881</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in-5d6712530e07aa41</t>
        </is>
      </c>
      <c r="B154" t="inlineStr">
        <is>
          <t>Applied Scientist, Prime Video - Personalization and Discovery Science</t>
        </is>
      </c>
      <c r="C154" t="inlineStr">
        <is>
          <t>Amazon.com</t>
        </is>
      </c>
      <c r="D154" t="inlineStr">
        <is>
          <t>indeed</t>
        </is>
      </c>
      <c r="E154">
        <f>HYPERLINK("https://www.indeed.com/viewjob?jk=5d6712530e07aa41", "https://www.indeed.com/viewjob?jk=5d6712530e07aa41")</f>
        <v/>
      </c>
      <c r="F154">
        <f>HYPERLINK("https://www.amazon.jobs/jobs/3033050/applied-scientist-prime-video--personalization-and-discovery-science?cmpid=DA_INAD200785B", "https://www.amazon.jobs/jobs/3033050/applied-scientist-prime-video--personalization-and-discovery-science?cmpid=DA_INAD200785B")</f>
        <v/>
      </c>
      <c r="G154" t="inlineStr">
        <is>
          <t>Sunnyvale, CA, US</t>
        </is>
      </c>
      <c r="H154" s="3" t="n">
        <v>45845</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in-efa688fd5a47f8db</t>
        </is>
      </c>
      <c r="B155" t="inlineStr">
        <is>
          <t>Applied Scientist, Prime Video - Personalization and Discovery Science</t>
        </is>
      </c>
      <c r="C155" t="inlineStr">
        <is>
          <t>Amazon.com</t>
        </is>
      </c>
      <c r="D155" t="inlineStr">
        <is>
          <t>indeed</t>
        </is>
      </c>
      <c r="E155">
        <f>HYPERLINK("https://www.indeed.com/viewjob?jk=efa688fd5a47f8db", "https://www.indeed.com/viewjob?jk=efa688fd5a47f8db")</f>
        <v/>
      </c>
      <c r="F155">
        <f>HYPERLINK("https://www.amazon.jobs/jobs/3033050/applied-scientist-prime-video--personalization-and-discovery-science?cmpid=DA_INAD200785B", "https://www.amazon.jobs/jobs/3033050/applied-scientist-prime-video--personalization-and-discovery-science?cmpid=DA_INAD200785B")</f>
        <v/>
      </c>
      <c r="G155" t="inlineStr">
        <is>
          <t>New York, NY, US</t>
        </is>
      </c>
      <c r="H155" s="3" t="n">
        <v>45845</v>
      </c>
      <c r="I1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in-d182c63c7154e5b6</t>
        </is>
      </c>
      <c r="B156" t="inlineStr">
        <is>
          <t>Applied Scientist, Prime Video - Personalization and Discovery Science</t>
        </is>
      </c>
      <c r="C156" t="inlineStr">
        <is>
          <t>Amazon.com</t>
        </is>
      </c>
      <c r="D156" t="inlineStr">
        <is>
          <t>indeed</t>
        </is>
      </c>
      <c r="E156">
        <f>HYPERLINK("https://www.indeed.com/viewjob?jk=d182c63c7154e5b6", "https://www.indeed.com/viewjob?jk=d182c63c7154e5b6")</f>
        <v/>
      </c>
      <c r="F156">
        <f>HYPERLINK("https://www.amazon.jobs/jobs/3033050/applied-scientist-prime-video--personalization-and-discovery-science?cmpid=DA_INAD200785B", "https://www.amazon.jobs/jobs/3033050/applied-scientist-prime-video--personalization-and-discovery-science?cmpid=DA_INAD200785B")</f>
        <v/>
      </c>
      <c r="G156" t="inlineStr">
        <is>
          <t>Seattle, WA, US</t>
        </is>
      </c>
      <c r="H156" s="3" t="n">
        <v>45845</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in-d3d27d5318e0433c</t>
        </is>
      </c>
      <c r="B157" t="inlineStr">
        <is>
          <t>Sr. Data Scientist, Amazon Leo Global Planning, Amazon Leo</t>
        </is>
      </c>
      <c r="C157" t="inlineStr">
        <is>
          <t>Amazon.com</t>
        </is>
      </c>
      <c r="D157" t="inlineStr">
        <is>
          <t>indeed</t>
        </is>
      </c>
      <c r="E157">
        <f>HYPERLINK("https://www.indeed.com/viewjob?jk=d3d27d5318e0433c", "https://www.indeed.com/viewjob?jk=d3d27d5318e0433c")</f>
        <v/>
      </c>
      <c r="F157">
        <f>HYPERLINK("https://www.amazon.jobs/jobs/3016062/sr-data-scientist-amazon-leo-global-planning-amazon-leo?cmpid=DA_INAD200785B", "https://www.amazon.jobs/jobs/3016062/sr-data-scientist-amazon-leo-global-planning-amazon-leo?cmpid=DA_INAD200785B")</f>
        <v/>
      </c>
      <c r="G157" t="inlineStr">
        <is>
          <t>Redmond, WA, US</t>
        </is>
      </c>
      <c r="H157" s="3" t="n">
        <v>45830</v>
      </c>
      <c r="I157"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in-cbd821d6cbf59d7a</t>
        </is>
      </c>
      <c r="B158" t="inlineStr">
        <is>
          <t>Sr. Data Scientist, Amazon Leo Global Planning, Amazon Leo</t>
        </is>
      </c>
      <c r="C158" t="inlineStr">
        <is>
          <t>Amazon.com</t>
        </is>
      </c>
      <c r="D158" t="inlineStr">
        <is>
          <t>indeed</t>
        </is>
      </c>
      <c r="E158">
        <f>HYPERLINK("https://www.indeed.com/viewjob?jk=cbd821d6cbf59d7a", "https://www.indeed.com/viewjob?jk=cbd821d6cbf59d7a")</f>
        <v/>
      </c>
      <c r="F158">
        <f>HYPERLINK("https://www.amazon.jobs/jobs/3016062/sr-data-scientist-amazon-leo-global-planning-amazon-leo?cmpid=DA_INAD200785B", "https://www.amazon.jobs/jobs/3016062/sr-data-scientist-amazon-leo-global-planning-amazon-leo?cmpid=DA_INAD200785B")</f>
        <v/>
      </c>
      <c r="G158" t="inlineStr">
        <is>
          <t>Bellevue, WA, US</t>
        </is>
      </c>
      <c r="H158" s="3" t="n">
        <v>45830</v>
      </c>
      <c r="I15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in-8aa8ffdeac60d1ef</t>
        </is>
      </c>
      <c r="B159" t="inlineStr">
        <is>
          <t>Sr. Applied Scientist, Prime Video - Personalization and Discovery Science</t>
        </is>
      </c>
      <c r="C159" t="inlineStr">
        <is>
          <t>Amazon.com</t>
        </is>
      </c>
      <c r="D159" t="inlineStr">
        <is>
          <t>indeed</t>
        </is>
      </c>
      <c r="E159">
        <f>HYPERLINK("https://www.indeed.com/viewjob?jk=8aa8ffdeac60d1ef", "https://www.indeed.com/viewjob?jk=8aa8ffdeac60d1ef")</f>
        <v/>
      </c>
      <c r="F159">
        <f>HYPERLINK("https://www.amazon.jobs/jobs/3011754/sr-applied-scientist-prime-video--personalization-and-discovery-science?cmpid=DA_INAD200785B", "https://www.amazon.jobs/jobs/3011754/sr-applied-scientist-prime-video--personalization-and-discovery-science?cmpid=DA_INAD200785B")</f>
        <v/>
      </c>
      <c r="G159" t="inlineStr">
        <is>
          <t>Seattle, WA, US</t>
        </is>
      </c>
      <c r="H159" s="3" t="n">
        <v>45819</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in-56d36db83861f386</t>
        </is>
      </c>
      <c r="B160" t="inlineStr">
        <is>
          <t>Sr. Applied Scientist, Prime Video - Personalization and Discovery Science</t>
        </is>
      </c>
      <c r="C160" t="inlineStr">
        <is>
          <t>Amazon.com</t>
        </is>
      </c>
      <c r="D160" t="inlineStr">
        <is>
          <t>indeed</t>
        </is>
      </c>
      <c r="E160">
        <f>HYPERLINK("https://www.indeed.com/viewjob?jk=56d36db83861f386", "https://www.indeed.com/viewjob?jk=56d36db83861f386")</f>
        <v/>
      </c>
      <c r="F160">
        <f>HYPERLINK("https://www.amazon.jobs/jobs/3011754/sr-applied-scientist-prime-video--personalization-and-discovery-science?cmpid=DA_INAD200785B", "https://www.amazon.jobs/jobs/3011754/sr-applied-scientist-prime-video--personalization-and-discovery-science?cmpid=DA_INAD200785B")</f>
        <v/>
      </c>
      <c r="G160" t="inlineStr">
        <is>
          <t>Sunnyvale, CA, US</t>
        </is>
      </c>
      <c r="H160" s="3" t="n">
        <v>45819</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in-06477b704658846f</t>
        </is>
      </c>
      <c r="B161" t="inlineStr">
        <is>
          <t>Applied Scientist, ML Compiler</t>
        </is>
      </c>
      <c r="C161" t="inlineStr">
        <is>
          <t>Amazon Web Services</t>
        </is>
      </c>
      <c r="D161" t="inlineStr">
        <is>
          <t>indeed</t>
        </is>
      </c>
      <c r="E161">
        <f>HYPERLINK("https://www.indeed.com/viewjob?jk=06477b704658846f", "https://www.indeed.com/viewjob?jk=06477b704658846f")</f>
        <v/>
      </c>
      <c r="F161">
        <f>HYPERLINK("https://www.amazon.jobs/jobs/3136884/applied-scientist-ml-compiler?cmpid=DA_INAD200785B", "https://www.amazon.jobs/jobs/3136884/applied-scientist-ml-compiler?cmpid=DA_INAD200785B")</f>
        <v/>
      </c>
      <c r="G161" t="inlineStr">
        <is>
          <t>Cupertino, CA, US</t>
        </is>
      </c>
      <c r="H161" s="3" t="n">
        <v>45993</v>
      </c>
      <c r="I16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in-ff90efab40858eae</t>
        </is>
      </c>
      <c r="B162" t="inlineStr">
        <is>
          <t>Applied Scientist, ML Compiler</t>
        </is>
      </c>
      <c r="C162" t="inlineStr">
        <is>
          <t>Amazon Web Services</t>
        </is>
      </c>
      <c r="D162" t="inlineStr">
        <is>
          <t>indeed</t>
        </is>
      </c>
      <c r="E162">
        <f>HYPERLINK("https://www.indeed.com/viewjob?jk=ff90efab40858eae", "https://www.indeed.com/viewjob?jk=ff90efab40858eae")</f>
        <v/>
      </c>
      <c r="F162">
        <f>HYPERLINK("https://www.amazon.jobs/jobs/3136884/applied-scientist-ml-compiler?cmpid=DA_INAD200785B", "https://www.amazon.jobs/jobs/3136884/applied-scientist-ml-compiler?cmpid=DA_INAD200785B")</f>
        <v/>
      </c>
      <c r="G162" t="inlineStr">
        <is>
          <t>Seattle, WA, US</t>
        </is>
      </c>
      <c r="H162" s="3" t="n">
        <v>45993</v>
      </c>
      <c r="I16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in-8bfbd5ca6aa5d641</t>
        </is>
      </c>
      <c r="B163" t="inlineStr">
        <is>
          <t>Applied Scientist, Model Customization, Generative AI Innovation Center, Model Customization</t>
        </is>
      </c>
      <c r="C163" t="inlineStr">
        <is>
          <t>Amazon Web Services</t>
        </is>
      </c>
      <c r="D163" t="inlineStr">
        <is>
          <t>indeed</t>
        </is>
      </c>
      <c r="E163">
        <f>HYPERLINK("https://www.indeed.com/viewjob?jk=8bfbd5ca6aa5d641", "https://www.indeed.com/viewjob?jk=8bfbd5ca6aa5d641")</f>
        <v/>
      </c>
      <c r="F163">
        <f>HYPERLINK("https://www.amazon.jobs/jobs/3137793/applied-scientist-model-customization-generative-ai-innovation-center-model-customization?cmpid=DA_INAD200785B", "https://www.amazon.jobs/jobs/3137793/applied-scientist-model-customization-generative-ai-innovation-center-model-customization?cmpid=DA_INAD200785B")</f>
        <v/>
      </c>
      <c r="G163" t="inlineStr">
        <is>
          <t>New York, NY, US</t>
        </is>
      </c>
      <c r="H163" s="3" t="n">
        <v>45993</v>
      </c>
      <c r="I16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in-e09d8e6c073064aa</t>
        </is>
      </c>
      <c r="B164" t="inlineStr">
        <is>
          <t>Senior Applied Scientist, Artificial General Intelligence</t>
        </is>
      </c>
      <c r="C164" t="inlineStr">
        <is>
          <t>Amazon.com</t>
        </is>
      </c>
      <c r="D164" t="inlineStr">
        <is>
          <t>indeed</t>
        </is>
      </c>
      <c r="E164">
        <f>HYPERLINK("https://www.indeed.com/viewjob?jk=e09d8e6c073064aa", "https://www.indeed.com/viewjob?jk=e09d8e6c073064aa")</f>
        <v/>
      </c>
      <c r="F164">
        <f>HYPERLINK("https://www.amazon.jobs/jobs/3131971/senior-applied-scientist-artificial-general-intelligence?cmpid=DA_INAD200785B", "https://www.amazon.jobs/jobs/3131971/senior-applied-scientist-artificial-general-intelligence?cmpid=DA_INAD200785B")</f>
        <v/>
      </c>
      <c r="G164" t="inlineStr">
        <is>
          <t>Boston, MA, US</t>
        </is>
      </c>
      <c r="H164" s="3" t="n">
        <v>45980</v>
      </c>
      <c r="I16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in-8205a2e33436fd2b</t>
        </is>
      </c>
      <c r="B165" t="inlineStr">
        <is>
          <t>Senior Applied Scientist, Artificial General Intelligence</t>
        </is>
      </c>
      <c r="C165" t="inlineStr">
        <is>
          <t>Amazon.com</t>
        </is>
      </c>
      <c r="D165" t="inlineStr">
        <is>
          <t>indeed</t>
        </is>
      </c>
      <c r="E165">
        <f>HYPERLINK("https://www.indeed.com/viewjob?jk=8205a2e33436fd2b", "https://www.indeed.com/viewjob?jk=8205a2e33436fd2b")</f>
        <v/>
      </c>
      <c r="F165">
        <f>HYPERLINK("https://www.amazon.jobs/jobs/3131971/senior-applied-scientist-artificial-general-intelligence?cmpid=DA_INAD200785B", "https://www.amazon.jobs/jobs/3131971/senior-applied-scientist-artificial-general-intelligence?cmpid=DA_INAD200785B")</f>
        <v/>
      </c>
      <c r="G165" t="inlineStr">
        <is>
          <t>New York, NY, US</t>
        </is>
      </c>
      <c r="H165" s="3" t="n">
        <v>45980</v>
      </c>
      <c r="I16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in-786ccb2020b1ab89</t>
        </is>
      </c>
      <c r="B166" t="inlineStr">
        <is>
          <t>Senior Applied Scientist, Artificial General Intelligence</t>
        </is>
      </c>
      <c r="C166" t="inlineStr">
        <is>
          <t>Amazon.com</t>
        </is>
      </c>
      <c r="D166" t="inlineStr">
        <is>
          <t>indeed</t>
        </is>
      </c>
      <c r="E166">
        <f>HYPERLINK("https://www.indeed.com/viewjob?jk=786ccb2020b1ab89", "https://www.indeed.com/viewjob?jk=786ccb2020b1ab89")</f>
        <v/>
      </c>
      <c r="F166">
        <f>HYPERLINK("https://www.amazon.jobs/jobs/3131971/senior-applied-scientist-artificial-general-intelligence?cmpid=DA_INAD200785B", "https://www.amazon.jobs/jobs/3131971/senior-applied-scientist-artificial-general-intelligence?cmpid=DA_INAD200785B")</f>
        <v/>
      </c>
      <c r="G166" t="inlineStr">
        <is>
          <t>Sunnyvale, CA, US</t>
        </is>
      </c>
      <c r="H166" s="3" t="n">
        <v>45980</v>
      </c>
      <c r="I16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in-26932f3c791dd973</t>
        </is>
      </c>
      <c r="B167" t="inlineStr">
        <is>
          <t>Senior Applied Scientist, Artificial General Intelligence</t>
        </is>
      </c>
      <c r="C167" t="inlineStr">
        <is>
          <t>Amazon.com</t>
        </is>
      </c>
      <c r="D167" t="inlineStr">
        <is>
          <t>indeed</t>
        </is>
      </c>
      <c r="E167">
        <f>HYPERLINK("https://www.indeed.com/viewjob?jk=26932f3c791dd973", "https://www.indeed.com/viewjob?jk=26932f3c791dd973")</f>
        <v/>
      </c>
      <c r="F167">
        <f>HYPERLINK("https://www.amazon.jobs/jobs/3131971/senior-applied-scientist-artificial-general-intelligence?cmpid=DA_INAD200785B", "https://www.amazon.jobs/jobs/3131971/senior-applied-scientist-artificial-general-intelligence?cmpid=DA_INAD200785B")</f>
        <v/>
      </c>
      <c r="G167" t="inlineStr">
        <is>
          <t>Seattle, WA, US</t>
        </is>
      </c>
      <c r="H167" s="3" t="n">
        <v>45980</v>
      </c>
      <c r="I16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in-159ebf3b759e3180</t>
        </is>
      </c>
      <c r="B168" t="inlineStr">
        <is>
          <t>Principal Applied Scientist, Sponsored Products and Brands</t>
        </is>
      </c>
      <c r="C168" t="inlineStr">
        <is>
          <t>Amazon.com</t>
        </is>
      </c>
      <c r="D168" t="inlineStr">
        <is>
          <t>indeed</t>
        </is>
      </c>
      <c r="E168">
        <f>HYPERLINK("https://www.indeed.com/viewjob?jk=159ebf3b759e3180", "https://www.indeed.com/viewjob?jk=159ebf3b759e3180")</f>
        <v/>
      </c>
      <c r="F168">
        <f>HYPERLINK("https://www.amazon.jobs/jobs/3130855/principal-applied-scientist-sponsored-products-and-brands?cmpid=DA_INAD200785B", "https://www.amazon.jobs/jobs/3130855/principal-applied-scientist-sponsored-products-and-brands?cmpid=DA_INAD200785B")</f>
        <v/>
      </c>
      <c r="G168" t="inlineStr">
        <is>
          <t>New York, NY, US</t>
        </is>
      </c>
      <c r="H168" s="3" t="n">
        <v>45979</v>
      </c>
      <c r="I16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in-8621a201b5d9a8ef</t>
        </is>
      </c>
      <c r="B169" t="inlineStr">
        <is>
          <t>Principal Applied Scientist, Sponsored Products and Brands</t>
        </is>
      </c>
      <c r="C169" t="inlineStr">
        <is>
          <t>Amazon.com</t>
        </is>
      </c>
      <c r="D169" t="inlineStr">
        <is>
          <t>indeed</t>
        </is>
      </c>
      <c r="E169">
        <f>HYPERLINK("https://www.indeed.com/viewjob?jk=8621a201b5d9a8ef", "https://www.indeed.com/viewjob?jk=8621a201b5d9a8ef")</f>
        <v/>
      </c>
      <c r="F169">
        <f>HYPERLINK("https://www.amazon.jobs/jobs/3130855/principal-applied-scientist-sponsored-products-and-brands?cmpid=DA_INAD200785B", "https://www.amazon.jobs/jobs/3130855/principal-applied-scientist-sponsored-products-and-brands?cmpid=DA_INAD200785B")</f>
        <v/>
      </c>
      <c r="G169" t="inlineStr">
        <is>
          <t>Seattle, WA, US</t>
        </is>
      </c>
      <c r="H169" s="3" t="n">
        <v>45979</v>
      </c>
      <c r="I16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in-992d4c8c128a3190</t>
        </is>
      </c>
      <c r="B170" t="inlineStr">
        <is>
          <t>Applied Scientist, Personalization, DTx Science</t>
        </is>
      </c>
      <c r="C170" t="inlineStr">
        <is>
          <t>Amazon.com</t>
        </is>
      </c>
      <c r="D170" t="inlineStr">
        <is>
          <t>indeed</t>
        </is>
      </c>
      <c r="E170">
        <f>HYPERLINK("https://www.indeed.com/viewjob?jk=992d4c8c128a3190", "https://www.indeed.com/viewjob?jk=992d4c8c128a3190")</f>
        <v/>
      </c>
      <c r="F170">
        <f>HYPERLINK("https://www.amazon.jobs/jobs/3136853/applied-scientist-personalization-dtx-science?cmpid=DA_INAD200785B", "https://www.amazon.jobs/jobs/3136853/applied-scientist-personalization-dtx-science?cmpid=DA_INAD200785B")</f>
        <v/>
      </c>
      <c r="G170" t="inlineStr">
        <is>
          <t>New York, NY, US</t>
        </is>
      </c>
      <c r="H170" s="3" t="n">
        <v>45979</v>
      </c>
      <c r="I17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in-c62f6ef4a149e8f0</t>
        </is>
      </c>
      <c r="B171" t="inlineStr">
        <is>
          <t>Applied Scientist, Personalization, DTx Science</t>
        </is>
      </c>
      <c r="C171" t="inlineStr">
        <is>
          <t>Amazon.com</t>
        </is>
      </c>
      <c r="D171" t="inlineStr">
        <is>
          <t>indeed</t>
        </is>
      </c>
      <c r="E171">
        <f>HYPERLINK("https://www.indeed.com/viewjob?jk=c62f6ef4a149e8f0", "https://www.indeed.com/viewjob?jk=c62f6ef4a149e8f0")</f>
        <v/>
      </c>
      <c r="F171">
        <f>HYPERLINK("https://www.amazon.jobs/jobs/3136853/applied-scientist-personalization-dtx-science?cmpid=DA_INAD200785B", "https://www.amazon.jobs/jobs/3136853/applied-scientist-personalization-dtx-science?cmpid=DA_INAD200785B")</f>
        <v/>
      </c>
      <c r="G171" t="inlineStr">
        <is>
          <t>Seattle, WA, US</t>
        </is>
      </c>
      <c r="H171" s="3" t="n">
        <v>45979</v>
      </c>
      <c r="I17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in-384aeb74ae853c49</t>
        </is>
      </c>
      <c r="B172" t="inlineStr">
        <is>
          <t>Principal Applied Scientist, Artificial General Intelligence</t>
        </is>
      </c>
      <c r="C172" t="inlineStr">
        <is>
          <t>Amazon.com</t>
        </is>
      </c>
      <c r="D172" t="inlineStr">
        <is>
          <t>indeed</t>
        </is>
      </c>
      <c r="E172">
        <f>HYPERLINK("https://www.indeed.com/viewjob?jk=384aeb74ae853c49", "https://www.indeed.com/viewjob?jk=384aeb74ae853c49")</f>
        <v/>
      </c>
      <c r="F172">
        <f>HYPERLINK("https://www.amazon.jobs/jobs/3128477/principal-applied-scientist--artificial-general-intelligence?cmpid=DA_INAD200785B", "https://www.amazon.jobs/jobs/3128477/principal-applied-scientist--artificial-general-intelligence?cmpid=DA_INAD200785B")</f>
        <v/>
      </c>
      <c r="G172" t="inlineStr">
        <is>
          <t>Sunnyvale, CA, US</t>
        </is>
      </c>
      <c r="H172" s="3" t="n">
        <v>45978</v>
      </c>
      <c r="I17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in-2604ea10c5edbd88</t>
        </is>
      </c>
      <c r="B173" t="inlineStr">
        <is>
          <t>Principal Applied Scientist, AGI Foundations, AGI Foundations</t>
        </is>
      </c>
      <c r="C173" t="inlineStr">
        <is>
          <t>Amazon.com</t>
        </is>
      </c>
      <c r="D173" t="inlineStr">
        <is>
          <t>indeed</t>
        </is>
      </c>
      <c r="E173">
        <f>HYPERLINK("https://www.indeed.com/viewjob?jk=2604ea10c5edbd88", "https://www.indeed.com/viewjob?jk=2604ea10c5edbd88")</f>
        <v/>
      </c>
      <c r="F173">
        <f>HYPERLINK("https://www.amazon.jobs/jobs/3127969/principal-applied-scientist-agi-foundations-agi-foundations?cmpid=DA_INAD200785B", "https://www.amazon.jobs/jobs/3127969/principal-applied-scientist-agi-foundations-agi-foundations?cmpid=DA_INAD200785B")</f>
        <v/>
      </c>
      <c r="G173" t="inlineStr">
        <is>
          <t>Boston, MA, US</t>
        </is>
      </c>
      <c r="H173" s="3" t="n">
        <v>45978</v>
      </c>
      <c r="I17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in-5578967f1d7bb369</t>
        </is>
      </c>
      <c r="B174" t="inlineStr">
        <is>
          <t>Principal Applied Scientist, AGI Foundations, AGI Foundations</t>
        </is>
      </c>
      <c r="C174" t="inlineStr">
        <is>
          <t>Amazon.com</t>
        </is>
      </c>
      <c r="D174" t="inlineStr">
        <is>
          <t>indeed</t>
        </is>
      </c>
      <c r="E174">
        <f>HYPERLINK("https://www.indeed.com/viewjob?jk=5578967f1d7bb369", "https://www.indeed.com/viewjob?jk=5578967f1d7bb369")</f>
        <v/>
      </c>
      <c r="F174">
        <f>HYPERLINK("https://www.amazon.jobs/jobs/3127969/principal-applied-scientist-agi-foundations-agi-foundations?cmpid=DA_INAD200785B", "https://www.amazon.jobs/jobs/3127969/principal-applied-scientist-agi-foundations-agi-foundations?cmpid=DA_INAD200785B")</f>
        <v/>
      </c>
      <c r="G174" t="inlineStr">
        <is>
          <t>New York, NY, US</t>
        </is>
      </c>
      <c r="H174" s="3" t="n">
        <v>45978</v>
      </c>
      <c r="I174"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in-1a58389fe1d5f5d1</t>
        </is>
      </c>
      <c r="B175" t="inlineStr">
        <is>
          <t>Principal Applied Scientist, Artificial General Intelligence</t>
        </is>
      </c>
      <c r="C175" t="inlineStr">
        <is>
          <t>Amazon.com</t>
        </is>
      </c>
      <c r="D175" t="inlineStr">
        <is>
          <t>indeed</t>
        </is>
      </c>
      <c r="E175">
        <f>HYPERLINK("https://www.indeed.com/viewjob?jk=1a58389fe1d5f5d1", "https://www.indeed.com/viewjob?jk=1a58389fe1d5f5d1")</f>
        <v/>
      </c>
      <c r="F175">
        <f>HYPERLINK("https://www.amazon.jobs/jobs/3128477/principal-applied-scientist--artificial-general-intelligence?cmpid=DA_INAD200785B", "https://www.amazon.jobs/jobs/3128477/principal-applied-scientist--artificial-general-intelligence?cmpid=DA_INAD200785B")</f>
        <v/>
      </c>
      <c r="G175" t="inlineStr">
        <is>
          <t>Bellevue, WA, US</t>
        </is>
      </c>
      <c r="H175" s="3" t="n">
        <v>45978</v>
      </c>
      <c r="I175"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in-8edf7834824caf65</t>
        </is>
      </c>
      <c r="B176" t="inlineStr">
        <is>
          <t>Principal Applied Scientist, Artificial General Intelligence</t>
        </is>
      </c>
      <c r="C176" t="inlineStr">
        <is>
          <t>Amazon.com</t>
        </is>
      </c>
      <c r="D176" t="inlineStr">
        <is>
          <t>indeed</t>
        </is>
      </c>
      <c r="E176">
        <f>HYPERLINK("https://www.indeed.com/viewjob?jk=8edf7834824caf65", "https://www.indeed.com/viewjob?jk=8edf7834824caf65")</f>
        <v/>
      </c>
      <c r="F176">
        <f>HYPERLINK("https://www.amazon.jobs/jobs/3128477/principal-applied-scientist--artificial-general-intelligence?cmpid=DA_INAD200785B", "https://www.amazon.jobs/jobs/3128477/principal-applied-scientist--artificial-general-intelligence?cmpid=DA_INAD200785B")</f>
        <v/>
      </c>
      <c r="G176" t="inlineStr">
        <is>
          <t>Seattle, WA, US</t>
        </is>
      </c>
      <c r="H176" s="3" t="n">
        <v>45978</v>
      </c>
      <c r="I176"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in-7268cfd9af269a24</t>
        </is>
      </c>
      <c r="B177" t="inlineStr">
        <is>
          <t>Principal Applied Scientist, AGI Foundations, AGI Foundations</t>
        </is>
      </c>
      <c r="C177" t="inlineStr">
        <is>
          <t>Amazon.com</t>
        </is>
      </c>
      <c r="D177" t="inlineStr">
        <is>
          <t>indeed</t>
        </is>
      </c>
      <c r="E177">
        <f>HYPERLINK("https://www.indeed.com/viewjob?jk=7268cfd9af269a24", "https://www.indeed.com/viewjob?jk=7268cfd9af269a24")</f>
        <v/>
      </c>
      <c r="F177">
        <f>HYPERLINK("https://www.amazon.jobs/jobs/3127969/principal-applied-scientist-agi-foundations-agi-foundations?cmpid=DA_INAD200785B", "https://www.amazon.jobs/jobs/3127969/principal-applied-scientist-agi-foundations-agi-foundations?cmpid=DA_INAD200785B")</f>
        <v/>
      </c>
      <c r="G177" t="inlineStr">
        <is>
          <t>Sunnyvale, CA, US</t>
        </is>
      </c>
      <c r="H177" s="3" t="n">
        <v>45978</v>
      </c>
      <c r="I17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in-5edea83fe5ba4f5c</t>
        </is>
      </c>
      <c r="B178" t="inlineStr">
        <is>
          <t>Principal Applied Scientist, Artificial General Intelligence</t>
        </is>
      </c>
      <c r="C178" t="inlineStr">
        <is>
          <t>Amazon.com</t>
        </is>
      </c>
      <c r="D178" t="inlineStr">
        <is>
          <t>indeed</t>
        </is>
      </c>
      <c r="E178">
        <f>HYPERLINK("https://www.indeed.com/viewjob?jk=5edea83fe5ba4f5c", "https://www.indeed.com/viewjob?jk=5edea83fe5ba4f5c")</f>
        <v/>
      </c>
      <c r="F178">
        <f>HYPERLINK("https://www.amazon.jobs/jobs/3128477/principal-applied-scientist--artificial-general-intelligence?cmpid=DA_INAD200785B", "https://www.amazon.jobs/jobs/3128477/principal-applied-scientist--artificial-general-intelligence?cmpid=DA_INAD200785B")</f>
        <v/>
      </c>
      <c r="G178" t="inlineStr">
        <is>
          <t>San Francisco, CA, US</t>
        </is>
      </c>
      <c r="H178" s="3" t="n">
        <v>45978</v>
      </c>
      <c r="I178"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in-3a5b546a1e8dcae3</t>
        </is>
      </c>
      <c r="B179" t="inlineStr">
        <is>
          <t>Principal Applied Scientist, AGI Foundations, AGI Foundations</t>
        </is>
      </c>
      <c r="C179" t="inlineStr">
        <is>
          <t>Amazon.com</t>
        </is>
      </c>
      <c r="D179" t="inlineStr">
        <is>
          <t>indeed</t>
        </is>
      </c>
      <c r="E179">
        <f>HYPERLINK("https://www.indeed.com/viewjob?jk=3a5b546a1e8dcae3", "https://www.indeed.com/viewjob?jk=3a5b546a1e8dcae3")</f>
        <v/>
      </c>
      <c r="F179">
        <f>HYPERLINK("https://www.amazon.jobs/jobs/3127969/principal-applied-scientist-agi-foundations-agi-foundations?cmpid=DA_INAD200785B", "https://www.amazon.jobs/jobs/3127969/principal-applied-scientist-agi-foundations-agi-foundations?cmpid=DA_INAD200785B")</f>
        <v/>
      </c>
      <c r="G179" t="inlineStr">
        <is>
          <t>Bellevue, WA, US</t>
        </is>
      </c>
      <c r="H179" s="3" t="n">
        <v>45978</v>
      </c>
      <c r="I17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in-aff3a0875d4558eb</t>
        </is>
      </c>
      <c r="B180" t="inlineStr">
        <is>
          <t>Sr. Applied Scientist, Sponsored Products</t>
        </is>
      </c>
      <c r="C180" t="inlineStr">
        <is>
          <t>Amazon.com</t>
        </is>
      </c>
      <c r="D180" t="inlineStr">
        <is>
          <t>indeed</t>
        </is>
      </c>
      <c r="E180">
        <f>HYPERLINK("https://www.indeed.com/viewjob?jk=aff3a0875d4558eb", "https://www.indeed.com/viewjob?jk=aff3a0875d4558eb")</f>
        <v/>
      </c>
      <c r="F180">
        <f>HYPERLINK("https://www.amazon.jobs/jobs/3136156/sr-applied-scientist-sponsored-products?cmpid=DA_INAD200785B", "https://www.amazon.jobs/jobs/3136156/sr-applied-scientist-sponsored-products?cmpid=DA_INAD200785B")</f>
        <v/>
      </c>
      <c r="G180" t="inlineStr">
        <is>
          <t>New York, NY, US</t>
        </is>
      </c>
      <c r="H180" s="3" t="n">
        <v>45976</v>
      </c>
      <c r="I18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in-c23087ee15a730e3</t>
        </is>
      </c>
      <c r="B181" t="inlineStr">
        <is>
          <t>Sr. Applied Scientist, Sponsored Products</t>
        </is>
      </c>
      <c r="C181" t="inlineStr">
        <is>
          <t>Amazon.com</t>
        </is>
      </c>
      <c r="D181" t="inlineStr">
        <is>
          <t>indeed</t>
        </is>
      </c>
      <c r="E181">
        <f>HYPERLINK("https://www.indeed.com/viewjob?jk=c23087ee15a730e3", "https://www.indeed.com/viewjob?jk=c23087ee15a730e3")</f>
        <v/>
      </c>
      <c r="F181">
        <f>HYPERLINK("https://www.amazon.jobs/jobs/3136156/sr-applied-scientist-sponsored-products?cmpid=DA_INAD200785B", "https://www.amazon.jobs/jobs/3136156/sr-applied-scientist-sponsored-products?cmpid=DA_INAD200785B")</f>
        <v/>
      </c>
      <c r="G181" t="inlineStr">
        <is>
          <t>Seattle, WA, US</t>
        </is>
      </c>
      <c r="H181" s="3" t="n">
        <v>45976</v>
      </c>
      <c r="I18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in-cbdd3580f567c3c9</t>
        </is>
      </c>
      <c r="B182" t="inlineStr">
        <is>
          <t>Sr. Applied Scientist, Sponsored Products</t>
        </is>
      </c>
      <c r="C182" t="inlineStr">
        <is>
          <t>Amazon.com</t>
        </is>
      </c>
      <c r="D182" t="inlineStr">
        <is>
          <t>indeed</t>
        </is>
      </c>
      <c r="E182">
        <f>HYPERLINK("https://www.indeed.com/viewjob?jk=cbdd3580f567c3c9", "https://www.indeed.com/viewjob?jk=cbdd3580f567c3c9")</f>
        <v/>
      </c>
      <c r="F182">
        <f>HYPERLINK("https://www.amazon.jobs/jobs/3136156/sr-applied-scientist-sponsored-products?cmpid=DA_INAD200785B", "https://www.amazon.jobs/jobs/3136156/sr-applied-scientist-sponsored-products?cmpid=DA_INAD200785B")</f>
        <v/>
      </c>
      <c r="G182" t="inlineStr">
        <is>
          <t>Arlington, VA, US</t>
        </is>
      </c>
      <c r="H182" s="3" t="n">
        <v>45976</v>
      </c>
      <c r="I18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in-a2bd1474daa67ef9</t>
        </is>
      </c>
      <c r="B183" t="inlineStr">
        <is>
          <t>Applied Scientist, Artificial General Intelligence</t>
        </is>
      </c>
      <c r="C183" t="inlineStr">
        <is>
          <t>Amazon.com</t>
        </is>
      </c>
      <c r="D183" t="inlineStr">
        <is>
          <t>indeed</t>
        </is>
      </c>
      <c r="E183">
        <f>HYPERLINK("https://www.indeed.com/viewjob?jk=a2bd1474daa67ef9", "https://www.indeed.com/viewjob?jk=a2bd1474daa67ef9")</f>
        <v/>
      </c>
      <c r="F183">
        <f>HYPERLINK("https://www.amazon.jobs/jobs/3127075/applied-scientist-artificial-general-intelligence?cmpid=DA_INAD200785B", "https://www.amazon.jobs/jobs/3127075/applied-scientist-artificial-general-intelligence?cmpid=DA_INAD200785B")</f>
        <v/>
      </c>
      <c r="G183" t="inlineStr">
        <is>
          <t>Seattle, WA, US</t>
        </is>
      </c>
      <c r="H183" s="3" t="n">
        <v>45974</v>
      </c>
      <c r="I18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in-a692ff56a7f26717</t>
        </is>
      </c>
      <c r="B184" t="inlineStr">
        <is>
          <t>Applied Scientist, Artificial General Intelligence</t>
        </is>
      </c>
      <c r="C184" t="inlineStr">
        <is>
          <t>Amazon.com</t>
        </is>
      </c>
      <c r="D184" t="inlineStr">
        <is>
          <t>indeed</t>
        </is>
      </c>
      <c r="E184">
        <f>HYPERLINK("https://www.indeed.com/viewjob?jk=a692ff56a7f26717", "https://www.indeed.com/viewjob?jk=a692ff56a7f26717")</f>
        <v/>
      </c>
      <c r="F184">
        <f>HYPERLINK("https://www.amazon.jobs/jobs/3127075/applied-scientist-artificial-general-intelligence?cmpid=DA_INAD200785B", "https://www.amazon.jobs/jobs/3127075/applied-scientist-artificial-general-intelligence?cmpid=DA_INAD200785B")</f>
        <v/>
      </c>
      <c r="G184" t="inlineStr">
        <is>
          <t>Sunnyvale, CA, US</t>
        </is>
      </c>
      <c r="H184" s="3" t="n">
        <v>45974</v>
      </c>
      <c r="I18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in-f6b0e18a0851ac51</t>
        </is>
      </c>
      <c r="B185" t="inlineStr">
        <is>
          <t>Applied Scientist, Artificial General Intelligence</t>
        </is>
      </c>
      <c r="C185" t="inlineStr">
        <is>
          <t>Amazon.com</t>
        </is>
      </c>
      <c r="D185" t="inlineStr">
        <is>
          <t>indeed</t>
        </is>
      </c>
      <c r="E185">
        <f>HYPERLINK("https://www.indeed.com/viewjob?jk=f6b0e18a0851ac51", "https://www.indeed.com/viewjob?jk=f6b0e18a0851ac51")</f>
        <v/>
      </c>
      <c r="F185">
        <f>HYPERLINK("https://www.amazon.jobs/jobs/3127075/applied-scientist-artificial-general-intelligence?cmpid=DA_INAD200785B", "https://www.amazon.jobs/jobs/3127075/applied-scientist-artificial-general-intelligence?cmpid=DA_INAD200785B")</f>
        <v/>
      </c>
      <c r="G185" t="inlineStr">
        <is>
          <t>Boston, MA, US</t>
        </is>
      </c>
      <c r="H185" s="3" t="n">
        <v>45974</v>
      </c>
      <c r="I18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in-70476813af0ab510</t>
        </is>
      </c>
      <c r="B186" t="inlineStr">
        <is>
          <t>Senior Data Scientist, AWS Professional Services</t>
        </is>
      </c>
      <c r="C186" t="inlineStr">
        <is>
          <t>Amazon Web Services</t>
        </is>
      </c>
      <c r="D186" t="inlineStr">
        <is>
          <t>indeed</t>
        </is>
      </c>
      <c r="E186">
        <f>HYPERLINK("https://www.indeed.com/viewjob?jk=70476813af0ab510", "https://www.indeed.com/viewjob?jk=70476813af0ab510")</f>
        <v/>
      </c>
      <c r="F186">
        <f>HYPERLINK("https://www.amazon.jobs/jobs/3127431/senior-data-scientist-aws-professional-services?cmpid=DA_INAD200785B", "https://www.amazon.jobs/jobs/3127431/senior-data-scientist-aws-professional-services?cmpid=DA_INAD200785B")</f>
        <v/>
      </c>
      <c r="G186" t="inlineStr">
        <is>
          <t>Irvine, CA, US</t>
        </is>
      </c>
      <c r="H186" s="3" t="n">
        <v>45972</v>
      </c>
      <c r="I18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in-cb7dcafc04e8b81c</t>
        </is>
      </c>
      <c r="B187" t="inlineStr">
        <is>
          <t>Senior Data Scientist, AWS Professional Services</t>
        </is>
      </c>
      <c r="C187" t="inlineStr">
        <is>
          <t>Amazon Web Services</t>
        </is>
      </c>
      <c r="D187" t="inlineStr">
        <is>
          <t>indeed</t>
        </is>
      </c>
      <c r="E187">
        <f>HYPERLINK("https://www.indeed.com/viewjob?jk=cb7dcafc04e8b81c", "https://www.indeed.com/viewjob?jk=cb7dcafc04e8b81c")</f>
        <v/>
      </c>
      <c r="F187">
        <f>HYPERLINK("https://www.amazon.jobs/jobs/3127431/senior-data-scientist-aws-professional-services?cmpid=DA_INAD200785B", "https://www.amazon.jobs/jobs/3127431/senior-data-scientist-aws-professional-services?cmpid=DA_INAD200785B")</f>
        <v/>
      </c>
      <c r="G187" t="inlineStr">
        <is>
          <t>Santa Monica, CA, US</t>
        </is>
      </c>
      <c r="H187" s="3" t="n">
        <v>45972</v>
      </c>
      <c r="I18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in-7e86991cceacb4f6</t>
        </is>
      </c>
      <c r="B188" t="inlineStr">
        <is>
          <t>Senior Data Scientist, AWS Professional Services</t>
        </is>
      </c>
      <c r="C188" t="inlineStr">
        <is>
          <t>Amazon Web Services</t>
        </is>
      </c>
      <c r="D188" t="inlineStr">
        <is>
          <t>indeed</t>
        </is>
      </c>
      <c r="E188">
        <f>HYPERLINK("https://www.indeed.com/viewjob?jk=7e86991cceacb4f6", "https://www.indeed.com/viewjob?jk=7e86991cceacb4f6")</f>
        <v/>
      </c>
      <c r="F188">
        <f>HYPERLINK("https://www.amazon.jobs/jobs/3127431/senior-data-scientist-aws-professional-services?cmpid=DA_INAD200785B", "https://www.amazon.jobs/jobs/3127431/senior-data-scientist-aws-professional-services?cmpid=DA_INAD200785B")</f>
        <v/>
      </c>
      <c r="G188" t="inlineStr">
        <is>
          <t>Arlington, VA, US</t>
        </is>
      </c>
      <c r="H188" s="3" t="n">
        <v>45972</v>
      </c>
      <c r="I18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in-c1cecd6dfe89715e</t>
        </is>
      </c>
      <c r="B189" t="inlineStr">
        <is>
          <t>Senior Data Scientist, AWS Professional Services</t>
        </is>
      </c>
      <c r="C189" t="inlineStr">
        <is>
          <t>Amazon Web Services</t>
        </is>
      </c>
      <c r="D189" t="inlineStr">
        <is>
          <t>indeed</t>
        </is>
      </c>
      <c r="E189">
        <f>HYPERLINK("https://www.indeed.com/viewjob?jk=c1cecd6dfe89715e", "https://www.indeed.com/viewjob?jk=c1cecd6dfe89715e")</f>
        <v/>
      </c>
      <c r="F189">
        <f>HYPERLINK("https://www.amazon.jobs/jobs/3127431/senior-data-scientist-aws-professional-services?cmpid=DA_INAD200785B", "https://www.amazon.jobs/jobs/3127431/senior-data-scientist-aws-professional-services?cmpid=DA_INAD200785B")</f>
        <v/>
      </c>
      <c r="G189" t="inlineStr">
        <is>
          <t>Dallas, TX, US</t>
        </is>
      </c>
      <c r="H189" s="3" t="n">
        <v>45972</v>
      </c>
      <c r="I18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in-afc52b8d0b42b059</t>
        </is>
      </c>
      <c r="B190" t="inlineStr">
        <is>
          <t>Senior Data Scientist, AWS Professional Services</t>
        </is>
      </c>
      <c r="C190" t="inlineStr">
        <is>
          <t>Amazon Web Services</t>
        </is>
      </c>
      <c r="D190" t="inlineStr">
        <is>
          <t>indeed</t>
        </is>
      </c>
      <c r="E190">
        <f>HYPERLINK("https://www.indeed.com/viewjob?jk=afc52b8d0b42b059", "https://www.indeed.com/viewjob?jk=afc52b8d0b42b059")</f>
        <v/>
      </c>
      <c r="F190">
        <f>HYPERLINK("https://www.amazon.jobs/jobs/3127431/senior-data-scientist-aws-professional-services?cmpid=DA_INAD200785B", "https://www.amazon.jobs/jobs/3127431/senior-data-scientist-aws-professional-services?cmpid=DA_INAD200785B")</f>
        <v/>
      </c>
      <c r="G190" t="inlineStr">
        <is>
          <t>Seattle, WA, US</t>
        </is>
      </c>
      <c r="H190" s="3" t="n">
        <v>45972</v>
      </c>
      <c r="I19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in-594d7189454a8fdc</t>
        </is>
      </c>
      <c r="B191" t="inlineStr">
        <is>
          <t>Senior Data Scientist, AWS Professional Services</t>
        </is>
      </c>
      <c r="C191" t="inlineStr">
        <is>
          <t>Amazon Web Services</t>
        </is>
      </c>
      <c r="D191" t="inlineStr">
        <is>
          <t>indeed</t>
        </is>
      </c>
      <c r="E191">
        <f>HYPERLINK("https://www.indeed.com/viewjob?jk=594d7189454a8fdc", "https://www.indeed.com/viewjob?jk=594d7189454a8fdc")</f>
        <v/>
      </c>
      <c r="F191">
        <f>HYPERLINK("https://www.amazon.jobs/jobs/3127431/senior-data-scientist-aws-professional-services?cmpid=DA_INAD200785B", "https://www.amazon.jobs/jobs/3127431/senior-data-scientist-aws-professional-services?cmpid=DA_INAD200785B")</f>
        <v/>
      </c>
      <c r="G191" t="inlineStr">
        <is>
          <t>New York, NY, US</t>
        </is>
      </c>
      <c r="H191" s="3" t="n">
        <v>45972</v>
      </c>
      <c r="I19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in-8f6c6919ad60c99b</t>
        </is>
      </c>
      <c r="B192" t="inlineStr">
        <is>
          <t>Senior Data Scientist, AWS Professional Services</t>
        </is>
      </c>
      <c r="C192" t="inlineStr">
        <is>
          <t>Amazon Web Services</t>
        </is>
      </c>
      <c r="D192" t="inlineStr">
        <is>
          <t>indeed</t>
        </is>
      </c>
      <c r="E192">
        <f>HYPERLINK("https://www.indeed.com/viewjob?jk=8f6c6919ad60c99b", "https://www.indeed.com/viewjob?jk=8f6c6919ad60c99b")</f>
        <v/>
      </c>
      <c r="F192">
        <f>HYPERLINK("https://www.amazon.jobs/jobs/3127431/senior-data-scientist-aws-professional-services?cmpid=DA_INAD200785B", "https://www.amazon.jobs/jobs/3127431/senior-data-scientist-aws-professional-services?cmpid=DA_INAD200785B")</f>
        <v/>
      </c>
      <c r="G192" t="inlineStr">
        <is>
          <t>Chicago, IL, US</t>
        </is>
      </c>
      <c r="H192" s="3" t="n">
        <v>45972</v>
      </c>
      <c r="I19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in-f2f8bef3ce63748b</t>
        </is>
      </c>
      <c r="B193" t="inlineStr">
        <is>
          <t>Senior Data Scientist, AWS Professional Services</t>
        </is>
      </c>
      <c r="C193" t="inlineStr">
        <is>
          <t>Amazon Web Services</t>
        </is>
      </c>
      <c r="D193" t="inlineStr">
        <is>
          <t>indeed</t>
        </is>
      </c>
      <c r="E193">
        <f>HYPERLINK("https://www.indeed.com/viewjob?jk=f2f8bef3ce63748b", "https://www.indeed.com/viewjob?jk=f2f8bef3ce63748b")</f>
        <v/>
      </c>
      <c r="F193">
        <f>HYPERLINK("https://www.amazon.jobs/jobs/3127431/senior-data-scientist-aws-professional-services?cmpid=DA_INAD200785B", "https://www.amazon.jobs/jobs/3127431/senior-data-scientist-aws-professional-services?cmpid=DA_INAD200785B")</f>
        <v/>
      </c>
      <c r="G193" t="inlineStr">
        <is>
          <t>Atlanta, GA, US</t>
        </is>
      </c>
      <c r="H193" s="3" t="n">
        <v>45972</v>
      </c>
      <c r="I19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in-6bd9cc335b253693</t>
        </is>
      </c>
      <c r="B194" t="inlineStr">
        <is>
          <t>Senior Data Scientist, AWS Professional Services</t>
        </is>
      </c>
      <c r="C194" t="inlineStr">
        <is>
          <t>Amazon Web Services</t>
        </is>
      </c>
      <c r="D194" t="inlineStr">
        <is>
          <t>indeed</t>
        </is>
      </c>
      <c r="E194">
        <f>HYPERLINK("https://www.indeed.com/viewjob?jk=6bd9cc335b253693", "https://www.indeed.com/viewjob?jk=6bd9cc335b253693")</f>
        <v/>
      </c>
      <c r="F194">
        <f>HYPERLINK("https://www.amazon.jobs/jobs/3127431/senior-data-scientist-aws-professional-services?cmpid=DA_INAD200785B", "https://www.amazon.jobs/jobs/3127431/senior-data-scientist-aws-professional-services?cmpid=DA_INAD200785B")</f>
        <v/>
      </c>
      <c r="G194" t="inlineStr">
        <is>
          <t>Boston, MA, US</t>
        </is>
      </c>
      <c r="H194" s="3" t="n">
        <v>45972</v>
      </c>
      <c r="I19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in-4bfb322281332343</t>
        </is>
      </c>
      <c r="B195" t="inlineStr">
        <is>
          <t>Senior Applied Scientist, Creative X - RAPID</t>
        </is>
      </c>
      <c r="C195" t="inlineStr">
        <is>
          <t>Amazon.com</t>
        </is>
      </c>
      <c r="D195" t="inlineStr">
        <is>
          <t>indeed</t>
        </is>
      </c>
      <c r="E195">
        <f>HYPERLINK("https://www.indeed.com/viewjob?jk=4bfb322281332343", "https://www.indeed.com/viewjob?jk=4bfb322281332343")</f>
        <v/>
      </c>
      <c r="F195">
        <f>HYPERLINK("https://www.amazon.jobs/jobs/3128786/senior-applied-scientist-creative-x--rapid?cmpid=DA_INAD200785B", "https://www.amazon.jobs/jobs/3128786/senior-applied-scientist-creative-x--rapid?cmpid=DA_INAD200785B")</f>
        <v/>
      </c>
      <c r="G195" t="inlineStr">
        <is>
          <t>Seattle, WA, US</t>
        </is>
      </c>
      <c r="H195" s="3" t="n">
        <v>45971</v>
      </c>
      <c r="I19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in-7d086bae2f07d52d</t>
        </is>
      </c>
      <c r="B196" t="inlineStr">
        <is>
          <t>Senior Applied Scientist, Creative X - RAPID</t>
        </is>
      </c>
      <c r="C196" t="inlineStr">
        <is>
          <t>Amazon.com</t>
        </is>
      </c>
      <c r="D196" t="inlineStr">
        <is>
          <t>indeed</t>
        </is>
      </c>
      <c r="E196">
        <f>HYPERLINK("https://www.indeed.com/viewjob?jk=7d086bae2f07d52d", "https://www.indeed.com/viewjob?jk=7d086bae2f07d52d")</f>
        <v/>
      </c>
      <c r="F196">
        <f>HYPERLINK("https://www.amazon.jobs/jobs/3128786/senior-applied-scientist-creative-x--rapid?cmpid=DA_INAD200785B", "https://www.amazon.jobs/jobs/3128786/senior-applied-scientist-creative-x--rapid?cmpid=DA_INAD200785B")</f>
        <v/>
      </c>
      <c r="G196" t="inlineStr">
        <is>
          <t>New York, NY, US</t>
        </is>
      </c>
      <c r="H196" s="3" t="n">
        <v>45971</v>
      </c>
      <c r="I19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in-942f93e5112e30f1</t>
        </is>
      </c>
      <c r="B197" t="inlineStr">
        <is>
          <t>Applied Scientist, Sponsored Products and Brands</t>
        </is>
      </c>
      <c r="C197" t="inlineStr">
        <is>
          <t>Amazon.com</t>
        </is>
      </c>
      <c r="D197" t="inlineStr">
        <is>
          <t>indeed</t>
        </is>
      </c>
      <c r="E197">
        <f>HYPERLINK("https://www.indeed.com/viewjob?jk=942f93e5112e30f1", "https://www.indeed.com/viewjob?jk=942f93e5112e30f1")</f>
        <v/>
      </c>
      <c r="F197">
        <f>HYPERLINK("https://www.amazon.jobs/jobs/3122617/applied-scientist-sponsored-products-and-brands?cmpid=DA_INAD200785B", "https://www.amazon.jobs/jobs/3122617/applied-scientist-sponsored-products-and-brands?cmpid=DA_INAD200785B")</f>
        <v/>
      </c>
      <c r="G197" t="inlineStr">
        <is>
          <t>New York, NY, US</t>
        </is>
      </c>
      <c r="H197" s="3" t="n">
        <v>45965</v>
      </c>
      <c r="I19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in-6b3adcc45548b015</t>
        </is>
      </c>
      <c r="B198" t="inlineStr">
        <is>
          <t>Applied Scientist, Sponsored Products and Brands</t>
        </is>
      </c>
      <c r="C198" t="inlineStr">
        <is>
          <t>Amazon.com</t>
        </is>
      </c>
      <c r="D198" t="inlineStr">
        <is>
          <t>indeed</t>
        </is>
      </c>
      <c r="E198">
        <f>HYPERLINK("https://www.indeed.com/viewjob?jk=6b3adcc45548b015", "https://www.indeed.com/viewjob?jk=6b3adcc45548b015")</f>
        <v/>
      </c>
      <c r="F198">
        <f>HYPERLINK("https://www.amazon.jobs/jobs/3122617/applied-scientist-sponsored-products-and-brands?cmpid=DA_INAD200785B", "https://www.amazon.jobs/jobs/3122617/applied-scientist-sponsored-products-and-brands?cmpid=DA_INAD200785B")</f>
        <v/>
      </c>
      <c r="G198" t="inlineStr">
        <is>
          <t>Seattle, WA, US</t>
        </is>
      </c>
      <c r="H198" s="3" t="n">
        <v>45965</v>
      </c>
      <c r="I19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in-9f1625f0ea170cd6</t>
        </is>
      </c>
      <c r="B199" t="inlineStr">
        <is>
          <t>Principal Applied Scientist, Amazon AGI</t>
        </is>
      </c>
      <c r="C199" t="inlineStr">
        <is>
          <t>Amazon.com</t>
        </is>
      </c>
      <c r="D199" t="inlineStr">
        <is>
          <t>indeed</t>
        </is>
      </c>
      <c r="E199">
        <f>HYPERLINK("https://www.indeed.com/viewjob?jk=9f1625f0ea170cd6", "https://www.indeed.com/viewjob?jk=9f1625f0ea170cd6")</f>
        <v/>
      </c>
      <c r="F199">
        <f>HYPERLINK("https://www.amazon.jobs/jobs/3128808/principal-applied-scientist-amazon-agi?cmpid=DA_INAD200785B", "https://www.amazon.jobs/jobs/3128808/principal-applied-scientist-amazon-agi?cmpid=DA_INAD200785B")</f>
        <v/>
      </c>
      <c r="G199" t="inlineStr">
        <is>
          <t>San Francisco, CA, US</t>
        </is>
      </c>
      <c r="H199" s="3" t="n">
        <v>45964</v>
      </c>
      <c r="I19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in-571c64cf101624a2</t>
        </is>
      </c>
      <c r="B200" t="inlineStr">
        <is>
          <t>Principal Applied Scientist, Amazon AGI</t>
        </is>
      </c>
      <c r="C200" t="inlineStr">
        <is>
          <t>Amazon.com</t>
        </is>
      </c>
      <c r="D200" t="inlineStr">
        <is>
          <t>indeed</t>
        </is>
      </c>
      <c r="E200">
        <f>HYPERLINK("https://www.indeed.com/viewjob?jk=571c64cf101624a2", "https://www.indeed.com/viewjob?jk=571c64cf101624a2")</f>
        <v/>
      </c>
      <c r="F200">
        <f>HYPERLINK("https://www.amazon.jobs/jobs/3128808/principal-applied-scientist-amazon-agi?cmpid=DA_INAD200785B", "https://www.amazon.jobs/jobs/3128808/principal-applied-scientist-amazon-agi?cmpid=DA_INAD200785B")</f>
        <v/>
      </c>
      <c r="G200" t="inlineStr">
        <is>
          <t>Boston, MA, US</t>
        </is>
      </c>
      <c r="H200" s="3" t="n">
        <v>45964</v>
      </c>
      <c r="I20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in-0b9c2c2b2f997fc6</t>
        </is>
      </c>
      <c r="B201" t="inlineStr">
        <is>
          <t>Principal Applied Scientist, Advertiser Growth, Amazon Sponsored Products &amp; Brands</t>
        </is>
      </c>
      <c r="C201" t="inlineStr">
        <is>
          <t>Amazon.com</t>
        </is>
      </c>
      <c r="D201" t="inlineStr">
        <is>
          <t>indeed</t>
        </is>
      </c>
      <c r="E201">
        <f>HYPERLINK("https://www.indeed.com/viewjob?jk=0b9c2c2b2f997fc6", "https://www.indeed.com/viewjob?jk=0b9c2c2b2f997fc6")</f>
        <v/>
      </c>
      <c r="F201">
        <f>HYPERLINK("https://www.amazon.jobs/jobs/3115279/principal-applied-scientist-advertiser-growth-amazon-sponsored-products--brands?cmpid=DA_INAD200785B", "https://www.amazon.jobs/jobs/3115279/principal-applied-scientist-advertiser-growth-amazon-sponsored-products--brands?cmpid=DA_INAD200785B")</f>
        <v/>
      </c>
      <c r="G201" t="inlineStr">
        <is>
          <t>Palo Alto, CA, US</t>
        </is>
      </c>
      <c r="H201" s="3" t="n">
        <v>45942</v>
      </c>
      <c r="I20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in-4179e95f3cbfabc5</t>
        </is>
      </c>
      <c r="B202" t="inlineStr">
        <is>
          <t>Principal Applied Scientist, Advertiser Growth, Amazon Sponsored Products &amp; Brands</t>
        </is>
      </c>
      <c r="C202" t="inlineStr">
        <is>
          <t>Amazon.com</t>
        </is>
      </c>
      <c r="D202" t="inlineStr">
        <is>
          <t>indeed</t>
        </is>
      </c>
      <c r="E202">
        <f>HYPERLINK("https://www.indeed.com/viewjob?jk=4179e95f3cbfabc5", "https://www.indeed.com/viewjob?jk=4179e95f3cbfabc5")</f>
        <v/>
      </c>
      <c r="F202">
        <f>HYPERLINK("https://www.amazon.jobs/jobs/3115279/principal-applied-scientist-advertiser-growth-amazon-sponsored-products--brands?cmpid=DA_INAD200785B", "https://www.amazon.jobs/jobs/3115279/principal-applied-scientist-advertiser-growth-amazon-sponsored-products--brands?cmpid=DA_INAD200785B")</f>
        <v/>
      </c>
      <c r="G202" t="inlineStr">
        <is>
          <t>New York, NY, US</t>
        </is>
      </c>
      <c r="H202" s="3" t="n">
        <v>45942</v>
      </c>
      <c r="I20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in-ca698a5bb75c9987</t>
        </is>
      </c>
      <c r="B203" t="inlineStr">
        <is>
          <t>Principal Applied Scientist, Advertiser Growth, Amazon Sponsored Products &amp; Brands</t>
        </is>
      </c>
      <c r="C203" t="inlineStr">
        <is>
          <t>Amazon.com</t>
        </is>
      </c>
      <c r="D203" t="inlineStr">
        <is>
          <t>indeed</t>
        </is>
      </c>
      <c r="E203">
        <f>HYPERLINK("https://www.indeed.com/viewjob?jk=ca698a5bb75c9987", "https://www.indeed.com/viewjob?jk=ca698a5bb75c9987")</f>
        <v/>
      </c>
      <c r="F203">
        <f>HYPERLINK("https://www.amazon.jobs/jobs/3115279/principal-applied-scientist-advertiser-growth-amazon-sponsored-products--brands?cmpid=DA_INAD200785B", "https://www.amazon.jobs/jobs/3115279/principal-applied-scientist-advertiser-growth-amazon-sponsored-products--brands?cmpid=DA_INAD200785B")</f>
        <v/>
      </c>
      <c r="G203" t="inlineStr">
        <is>
          <t>Seattle, WA, US</t>
        </is>
      </c>
      <c r="H203" s="3" t="n">
        <v>45942</v>
      </c>
      <c r="I20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in-9fc73fa61732ed45</t>
        </is>
      </c>
      <c r="B204" t="inlineStr">
        <is>
          <t>Applied Scientist, Artificial General Intelligence</t>
        </is>
      </c>
      <c r="C204" t="inlineStr">
        <is>
          <t>Amazon.com</t>
        </is>
      </c>
      <c r="D204" t="inlineStr">
        <is>
          <t>indeed</t>
        </is>
      </c>
      <c r="E204">
        <f>HYPERLINK("https://www.indeed.com/viewjob?jk=9fc73fa61732ed45", "https://www.indeed.com/viewjob?jk=9fc73fa61732ed45")</f>
        <v/>
      </c>
      <c r="F204">
        <f>HYPERLINK("https://www.amazon.jobs/jobs/3104517/applied-scientist-artificial-general-intelligence?cmpid=DA_INAD200785B", "https://www.amazon.jobs/jobs/3104517/applied-scientist-artificial-general-intelligence?cmpid=DA_INAD200785B")</f>
        <v/>
      </c>
      <c r="G204" t="inlineStr">
        <is>
          <t>Seattle, WA, US</t>
        </is>
      </c>
      <c r="H204" s="3" t="n">
        <v>45937</v>
      </c>
      <c r="I20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in-c0c13badf59106ce</t>
        </is>
      </c>
      <c r="B205" t="inlineStr">
        <is>
          <t>Applied Scientist, Artificial General Intelligence</t>
        </is>
      </c>
      <c r="C205" t="inlineStr">
        <is>
          <t>Amazon.com</t>
        </is>
      </c>
      <c r="D205" t="inlineStr">
        <is>
          <t>indeed</t>
        </is>
      </c>
      <c r="E205">
        <f>HYPERLINK("https://www.indeed.com/viewjob?jk=c0c13badf59106ce", "https://www.indeed.com/viewjob?jk=c0c13badf59106ce")</f>
        <v/>
      </c>
      <c r="F205">
        <f>HYPERLINK("https://www.amazon.jobs/jobs/3104517/applied-scientist-artificial-general-intelligence?cmpid=DA_INAD200785B", "https://www.amazon.jobs/jobs/3104517/applied-scientist-artificial-general-intelligence?cmpid=DA_INAD200785B")</f>
        <v/>
      </c>
      <c r="G205" t="inlineStr">
        <is>
          <t>New York, NY, US</t>
        </is>
      </c>
      <c r="H205" s="3" t="n">
        <v>45937</v>
      </c>
      <c r="I20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in-0feeef7736e1700a</t>
        </is>
      </c>
      <c r="B206" t="inlineStr">
        <is>
          <t>Applied Scientist, Artificial General Intelligence</t>
        </is>
      </c>
      <c r="C206" t="inlineStr">
        <is>
          <t>Amazon.com</t>
        </is>
      </c>
      <c r="D206" t="inlineStr">
        <is>
          <t>indeed</t>
        </is>
      </c>
      <c r="E206">
        <f>HYPERLINK("https://www.indeed.com/viewjob?jk=0feeef7736e1700a", "https://www.indeed.com/viewjob?jk=0feeef7736e1700a")</f>
        <v/>
      </c>
      <c r="F206">
        <f>HYPERLINK("https://www.amazon.jobs/jobs/3104517/applied-scientist-artificial-general-intelligence?cmpid=DA_INAD200785B", "https://www.amazon.jobs/jobs/3104517/applied-scientist-artificial-general-intelligence?cmpid=DA_INAD200785B")</f>
        <v/>
      </c>
      <c r="G206" t="inlineStr">
        <is>
          <t>Bellevue, WA, US</t>
        </is>
      </c>
      <c r="H206" s="3" t="n">
        <v>45937</v>
      </c>
      <c r="I20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in-9a5a0ea89a488646</t>
        </is>
      </c>
      <c r="B207" t="inlineStr">
        <is>
          <t>Applied Scientist, Artificial General Intelligence</t>
        </is>
      </c>
      <c r="C207" t="inlineStr">
        <is>
          <t>Amazon.com</t>
        </is>
      </c>
      <c r="D207" t="inlineStr">
        <is>
          <t>indeed</t>
        </is>
      </c>
      <c r="E207">
        <f>HYPERLINK("https://www.indeed.com/viewjob?jk=9a5a0ea89a488646", "https://www.indeed.com/viewjob?jk=9a5a0ea89a488646")</f>
        <v/>
      </c>
      <c r="F207">
        <f>HYPERLINK("https://www.amazon.jobs/jobs/3104517/applied-scientist-artificial-general-intelligence?cmpid=DA_INAD200785B", "https://www.amazon.jobs/jobs/3104517/applied-scientist-artificial-general-intelligence?cmpid=DA_INAD200785B")</f>
        <v/>
      </c>
      <c r="G207" t="inlineStr">
        <is>
          <t>Sunnyvale, CA, US</t>
        </is>
      </c>
      <c r="H207" s="3" t="n">
        <v>45937</v>
      </c>
      <c r="I20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in-8a4679e92f08a4e4</t>
        </is>
      </c>
      <c r="B208" t="inlineStr">
        <is>
          <t>Principal Applied Scientist, Artificial General Intelligence</t>
        </is>
      </c>
      <c r="C208" t="inlineStr">
        <is>
          <t>Amazon.com</t>
        </is>
      </c>
      <c r="D208" t="inlineStr">
        <is>
          <t>indeed</t>
        </is>
      </c>
      <c r="E208">
        <f>HYPERLINK("https://www.indeed.com/viewjob?jk=8a4679e92f08a4e4", "https://www.indeed.com/viewjob?jk=8a4679e92f08a4e4")</f>
        <v/>
      </c>
      <c r="F208">
        <f>HYPERLINK("https://www.amazon.jobs/jobs/3092462/principal-applied-scientist-artificial-general-intelligence?cmpid=DA_INAD200785B", "https://www.amazon.jobs/jobs/3092462/principal-applied-scientist-artificial-general-intelligence?cmpid=DA_INAD200785B")</f>
        <v/>
      </c>
      <c r="G208" t="inlineStr">
        <is>
          <t>Boston, MA, US</t>
        </is>
      </c>
      <c r="H208" s="3" t="n">
        <v>45923</v>
      </c>
      <c r="I20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in-5219cd0e928287fe</t>
        </is>
      </c>
      <c r="B209" t="inlineStr">
        <is>
          <t>Principal Applied Scientist, Artificial General Intelligence</t>
        </is>
      </c>
      <c r="C209" t="inlineStr">
        <is>
          <t>Amazon.com</t>
        </is>
      </c>
      <c r="D209" t="inlineStr">
        <is>
          <t>indeed</t>
        </is>
      </c>
      <c r="E209">
        <f>HYPERLINK("https://www.indeed.com/viewjob?jk=5219cd0e928287fe", "https://www.indeed.com/viewjob?jk=5219cd0e928287fe")</f>
        <v/>
      </c>
      <c r="F209">
        <f>HYPERLINK("https://www.amazon.jobs/jobs/3092462/principal-applied-scientist-artificial-general-intelligence?cmpid=DA_INAD200785B", "https://www.amazon.jobs/jobs/3092462/principal-applied-scientist-artificial-general-intelligence?cmpid=DA_INAD200785B")</f>
        <v/>
      </c>
      <c r="G209" t="inlineStr">
        <is>
          <t>Sunnyvale, CA, US</t>
        </is>
      </c>
      <c r="H209" s="3" t="n">
        <v>45923</v>
      </c>
      <c r="I20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in-df9bc8d20e3affec</t>
        </is>
      </c>
      <c r="B210" t="inlineStr">
        <is>
          <t>Principal Applied Scientist, Artificial General Intelligence</t>
        </is>
      </c>
      <c r="C210" t="inlineStr">
        <is>
          <t>Amazon.com</t>
        </is>
      </c>
      <c r="D210" t="inlineStr">
        <is>
          <t>indeed</t>
        </is>
      </c>
      <c r="E210">
        <f>HYPERLINK("https://www.indeed.com/viewjob?jk=df9bc8d20e3affec", "https://www.indeed.com/viewjob?jk=df9bc8d20e3affec")</f>
        <v/>
      </c>
      <c r="F210">
        <f>HYPERLINK("https://www.amazon.jobs/jobs/3092462/principal-applied-scientist-artificial-general-intelligence?cmpid=DA_INAD200785B", "https://www.amazon.jobs/jobs/3092462/principal-applied-scientist-artificial-general-intelligence?cmpid=DA_INAD200785B")</f>
        <v/>
      </c>
      <c r="G210" t="inlineStr">
        <is>
          <t>New York, NY, US</t>
        </is>
      </c>
      <c r="H210" s="3" t="n">
        <v>45923</v>
      </c>
      <c r="I21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in-0deed334c12841c0</t>
        </is>
      </c>
      <c r="B211" t="inlineStr">
        <is>
          <t>Senior Applied Scientist, Artificial General Intelligence</t>
        </is>
      </c>
      <c r="C211" t="inlineStr">
        <is>
          <t>Amazon.com</t>
        </is>
      </c>
      <c r="D211" t="inlineStr">
        <is>
          <t>indeed</t>
        </is>
      </c>
      <c r="E211">
        <f>HYPERLINK("https://www.indeed.com/viewjob?jk=0deed334c12841c0", "https://www.indeed.com/viewjob?jk=0deed334c12841c0")</f>
        <v/>
      </c>
      <c r="F211">
        <f>HYPERLINK("https://www.amazon.jobs/jobs/3091494/senior-applied-scientist-artificial-general-intelligence?cmpid=DA_INAD200785B", "https://www.amazon.jobs/jobs/3091494/senior-applied-scientist-artificial-general-intelligence?cmpid=DA_INAD200785B")</f>
        <v/>
      </c>
      <c r="G211" t="inlineStr">
        <is>
          <t>Boston, MA, US</t>
        </is>
      </c>
      <c r="H211" s="3" t="n">
        <v>45922</v>
      </c>
      <c r="I21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in-ff56ac0c9d63b813</t>
        </is>
      </c>
      <c r="B212" t="inlineStr">
        <is>
          <t>Senior Applied Scientist, Artificial General Intelligence</t>
        </is>
      </c>
      <c r="C212" t="inlineStr">
        <is>
          <t>Amazon.com</t>
        </is>
      </c>
      <c r="D212" t="inlineStr">
        <is>
          <t>indeed</t>
        </is>
      </c>
      <c r="E212">
        <f>HYPERLINK("https://www.indeed.com/viewjob?jk=ff56ac0c9d63b813", "https://www.indeed.com/viewjob?jk=ff56ac0c9d63b813")</f>
        <v/>
      </c>
      <c r="F212">
        <f>HYPERLINK("https://www.amazon.jobs/jobs/3091494/senior-applied-scientist-artificial-general-intelligence?cmpid=DA_INAD200785B", "https://www.amazon.jobs/jobs/3091494/senior-applied-scientist-artificial-general-intelligence?cmpid=DA_INAD200785B")</f>
        <v/>
      </c>
      <c r="G212" t="inlineStr">
        <is>
          <t>Seattle, WA, US</t>
        </is>
      </c>
      <c r="H212" s="3" t="n">
        <v>45922</v>
      </c>
      <c r="I21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in-0b844a4b43bd2c1c</t>
        </is>
      </c>
      <c r="B213" t="inlineStr">
        <is>
          <t>Senior Applied Scientist, Artificial General Intelligence</t>
        </is>
      </c>
      <c r="C213" t="inlineStr">
        <is>
          <t>Amazon.com</t>
        </is>
      </c>
      <c r="D213" t="inlineStr">
        <is>
          <t>indeed</t>
        </is>
      </c>
      <c r="E213">
        <f>HYPERLINK("https://www.indeed.com/viewjob?jk=0b844a4b43bd2c1c", "https://www.indeed.com/viewjob?jk=0b844a4b43bd2c1c")</f>
        <v/>
      </c>
      <c r="F213">
        <f>HYPERLINK("https://www.amazon.jobs/jobs/3091494/senior-applied-scientist-artificial-general-intelligence?cmpid=DA_INAD200785B", "https://www.amazon.jobs/jobs/3091494/senior-applied-scientist-artificial-general-intelligence?cmpid=DA_INAD200785B")</f>
        <v/>
      </c>
      <c r="G213" t="inlineStr">
        <is>
          <t>Sunnyvale, CA, US</t>
        </is>
      </c>
      <c r="H213" s="3" t="n">
        <v>45922</v>
      </c>
      <c r="I21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in-c7f01e3cae19a750</t>
        </is>
      </c>
      <c r="B214" t="inlineStr">
        <is>
          <t>Applied Scientist, Artificial General Intelligence</t>
        </is>
      </c>
      <c r="C214" t="inlineStr">
        <is>
          <t>Amazon.com</t>
        </is>
      </c>
      <c r="D214" t="inlineStr">
        <is>
          <t>indeed</t>
        </is>
      </c>
      <c r="E214">
        <f>HYPERLINK("https://www.indeed.com/viewjob?jk=c7f01e3cae19a750", "https://www.indeed.com/viewjob?jk=c7f01e3cae19a750")</f>
        <v/>
      </c>
      <c r="F214">
        <f>HYPERLINK("https://www.amazon.jobs/jobs/3090846/applied-scientist-artificial-general-intelligence?cmpid=DA_INAD200785B", "https://www.amazon.jobs/jobs/3090846/applied-scientist-artificial-general-intelligence?cmpid=DA_INAD200785B")</f>
        <v/>
      </c>
      <c r="G214" t="inlineStr">
        <is>
          <t>Bellevue, WA, US</t>
        </is>
      </c>
      <c r="H214" s="3" t="n">
        <v>45921</v>
      </c>
      <c r="I21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in-96a861aa63da874e</t>
        </is>
      </c>
      <c r="B215" t="inlineStr">
        <is>
          <t>Applied Scientist, Artificial General Intelligence</t>
        </is>
      </c>
      <c r="C215" t="inlineStr">
        <is>
          <t>Amazon.com</t>
        </is>
      </c>
      <c r="D215" t="inlineStr">
        <is>
          <t>indeed</t>
        </is>
      </c>
      <c r="E215">
        <f>HYPERLINK("https://www.indeed.com/viewjob?jk=96a861aa63da874e", "https://www.indeed.com/viewjob?jk=96a861aa63da874e")</f>
        <v/>
      </c>
      <c r="F215">
        <f>HYPERLINK("https://www.amazon.jobs/jobs/3090846/applied-scientist-artificial-general-intelligence?cmpid=DA_INAD200785B", "https://www.amazon.jobs/jobs/3090846/applied-scientist-artificial-general-intelligence?cmpid=DA_INAD200785B")</f>
        <v/>
      </c>
      <c r="G215" t="inlineStr">
        <is>
          <t>Seattle, WA, US</t>
        </is>
      </c>
      <c r="H215" s="3" t="n">
        <v>45921</v>
      </c>
      <c r="I21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in-caaa25b3122e9e64</t>
        </is>
      </c>
      <c r="B216" t="inlineStr">
        <is>
          <t>Senior Applied Scientist, Model Customization, Generative AI Innovation Center</t>
        </is>
      </c>
      <c r="C216" t="inlineStr">
        <is>
          <t>Amazon Web Services</t>
        </is>
      </c>
      <c r="D216" t="inlineStr">
        <is>
          <t>indeed</t>
        </is>
      </c>
      <c r="E216">
        <f>HYPERLINK("https://www.indeed.com/viewjob?jk=caaa25b3122e9e64", "https://www.indeed.com/viewjob?jk=caaa25b3122e9e64")</f>
        <v/>
      </c>
      <c r="F216">
        <f>HYPERLINK("https://www.amazon.jobs/jobs/3088254/senior-applied-scientist-model-customization-generative-ai-innovation-center?cmpid=DA_INAD200785B", "https://www.amazon.jobs/jobs/3088254/senior-applied-scientist-model-customization-generative-ai-innovation-center?cmpid=DA_INAD200785B")</f>
        <v/>
      </c>
      <c r="G216" t="inlineStr">
        <is>
          <t>New York, NY, US</t>
        </is>
      </c>
      <c r="H216" s="3" t="n">
        <v>45908</v>
      </c>
      <c r="I21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in-951d4ad8fe943103</t>
        </is>
      </c>
      <c r="B217" t="inlineStr">
        <is>
          <t>Senior Applied Scientist, Model Customization, Generative AI Innovation Center</t>
        </is>
      </c>
      <c r="C217" t="inlineStr">
        <is>
          <t>Amazon Web Services</t>
        </is>
      </c>
      <c r="D217" t="inlineStr">
        <is>
          <t>indeed</t>
        </is>
      </c>
      <c r="E217">
        <f>HYPERLINK("https://www.indeed.com/viewjob?jk=951d4ad8fe943103", "https://www.indeed.com/viewjob?jk=951d4ad8fe943103")</f>
        <v/>
      </c>
      <c r="F217">
        <f>HYPERLINK("https://www.amazon.jobs/jobs/3088254/senior-applied-scientist-model-customization-generative-ai-innovation-center?cmpid=DA_INAD200785B", "https://www.amazon.jobs/jobs/3088254/senior-applied-scientist-model-customization-generative-ai-innovation-center?cmpid=DA_INAD200785B")</f>
        <v/>
      </c>
      <c r="G217" t="inlineStr">
        <is>
          <t>Arlington, VA, US</t>
        </is>
      </c>
      <c r="H217" s="3" t="n">
        <v>45908</v>
      </c>
      <c r="I21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in-44da918e1d91ff1d</t>
        </is>
      </c>
      <c r="B218" t="inlineStr">
        <is>
          <t>Senior Applied Scientist, Model Customization, Generative AI Innovation Center</t>
        </is>
      </c>
      <c r="C218" t="inlineStr">
        <is>
          <t>Amazon Web Services</t>
        </is>
      </c>
      <c r="D218" t="inlineStr">
        <is>
          <t>indeed</t>
        </is>
      </c>
      <c r="E218">
        <f>HYPERLINK("https://www.indeed.com/viewjob?jk=44da918e1d91ff1d", "https://www.indeed.com/viewjob?jk=44da918e1d91ff1d")</f>
        <v/>
      </c>
      <c r="F218">
        <f>HYPERLINK("https://www.amazon.jobs/jobs/3088254/senior-applied-scientist-model-customization-generative-ai-innovation-center?cmpid=DA_INAD200785B", "https://www.amazon.jobs/jobs/3088254/senior-applied-scientist-model-customization-generative-ai-innovation-center?cmpid=DA_INAD200785B")</f>
        <v/>
      </c>
      <c r="G218" t="inlineStr">
        <is>
          <t>Bellevue, WA, US</t>
        </is>
      </c>
      <c r="H218" s="3" t="n">
        <v>45908</v>
      </c>
      <c r="I21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in-bec1db62dfe30be0</t>
        </is>
      </c>
      <c r="B219" t="inlineStr">
        <is>
          <t>Applied Scientist II, Creative X - RAPID</t>
        </is>
      </c>
      <c r="C219" t="inlineStr">
        <is>
          <t>Amazon.com</t>
        </is>
      </c>
      <c r="D219" t="inlineStr">
        <is>
          <t>indeed</t>
        </is>
      </c>
      <c r="E219">
        <f>HYPERLINK("https://www.indeed.com/viewjob?jk=bec1db62dfe30be0", "https://www.indeed.com/viewjob?jk=bec1db62dfe30be0")</f>
        <v/>
      </c>
      <c r="F219">
        <f>HYPERLINK("https://www.amazon.jobs/jobs/3083576/applied-scientist-ii-creative-x--rapid?cmpid=DA_INAD200785B", "https://www.amazon.jobs/jobs/3083576/applied-scientist-ii-creative-x--rapid?cmpid=DA_INAD200785B")</f>
        <v/>
      </c>
      <c r="G219" t="inlineStr">
        <is>
          <t>Seattle, WA, US</t>
        </is>
      </c>
      <c r="H219" s="3" t="n">
        <v>45908</v>
      </c>
      <c r="I219"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in-6eeac68afba7e3cd</t>
        </is>
      </c>
      <c r="B220" t="inlineStr">
        <is>
          <t>Applied Scientist II, Creative X - RAPID</t>
        </is>
      </c>
      <c r="C220" t="inlineStr">
        <is>
          <t>Amazon.com</t>
        </is>
      </c>
      <c r="D220" t="inlineStr">
        <is>
          <t>indeed</t>
        </is>
      </c>
      <c r="E220">
        <f>HYPERLINK("https://www.indeed.com/viewjob?jk=6eeac68afba7e3cd", "https://www.indeed.com/viewjob?jk=6eeac68afba7e3cd")</f>
        <v/>
      </c>
      <c r="F220">
        <f>HYPERLINK("https://www.amazon.jobs/jobs/3083576/applied-scientist-ii-creative-x--rapid?cmpid=DA_INAD200785B", "https://www.amazon.jobs/jobs/3083576/applied-scientist-ii-creative-x--rapid?cmpid=DA_INAD200785B")</f>
        <v/>
      </c>
      <c r="G220" t="inlineStr">
        <is>
          <t>New York, NY, US</t>
        </is>
      </c>
      <c r="H220" s="3" t="n">
        <v>45908</v>
      </c>
      <c r="I22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in-871fcbe6f623c78e</t>
        </is>
      </c>
      <c r="B221" t="inlineStr">
        <is>
          <t>Senior Applied Scientist, Artificial General Intelligence</t>
        </is>
      </c>
      <c r="C221" t="inlineStr">
        <is>
          <t>Amazon.com</t>
        </is>
      </c>
      <c r="D221" t="inlineStr">
        <is>
          <t>indeed</t>
        </is>
      </c>
      <c r="E221">
        <f>HYPERLINK("https://www.indeed.com/viewjob?jk=871fcbe6f623c78e", "https://www.indeed.com/viewjob?jk=871fcbe6f623c78e")</f>
        <v/>
      </c>
      <c r="F221">
        <f>HYPERLINK("https://www.amazon.jobs/jobs/3078169/senior-applied-scientist-artificial-general-intelligence?cmpid=DA_INAD200785B", "https://www.amazon.jobs/jobs/3078169/senior-applied-scientist-artificial-general-intelligence?cmpid=DA_INAD200785B")</f>
        <v/>
      </c>
      <c r="G221" t="inlineStr">
        <is>
          <t>Sunnyvale, CA, US</t>
        </is>
      </c>
      <c r="H221" s="3" t="n">
        <v>45907</v>
      </c>
      <c r="I22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in-afab98b1f9dfc47a</t>
        </is>
      </c>
      <c r="B222" t="inlineStr">
        <is>
          <t>Senior Applied Scientist, Artificial General Intelligence</t>
        </is>
      </c>
      <c r="C222" t="inlineStr">
        <is>
          <t>Amazon.com</t>
        </is>
      </c>
      <c r="D222" t="inlineStr">
        <is>
          <t>indeed</t>
        </is>
      </c>
      <c r="E222">
        <f>HYPERLINK("https://www.indeed.com/viewjob?jk=afab98b1f9dfc47a", "https://www.indeed.com/viewjob?jk=afab98b1f9dfc47a")</f>
        <v/>
      </c>
      <c r="F222">
        <f>HYPERLINK("https://www.amazon.jobs/jobs/3078169/senior-applied-scientist-artificial-general-intelligence?cmpid=DA_INAD200785B", "https://www.amazon.jobs/jobs/3078169/senior-applied-scientist-artificial-general-intelligence?cmpid=DA_INAD200785B")</f>
        <v/>
      </c>
      <c r="G222" t="inlineStr">
        <is>
          <t>Bellevue, WA, US</t>
        </is>
      </c>
      <c r="H222" s="3" t="n">
        <v>45907</v>
      </c>
      <c r="I22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in-91eaf30c9e25d01a</t>
        </is>
      </c>
      <c r="B223" t="inlineStr">
        <is>
          <t>Senior Data Scientist, Data and Machine Learning, WWPS US Federal</t>
        </is>
      </c>
      <c r="C223" t="inlineStr">
        <is>
          <t>Amazon Web Services</t>
        </is>
      </c>
      <c r="D223" t="inlineStr">
        <is>
          <t>indeed</t>
        </is>
      </c>
      <c r="E223">
        <f>HYPERLINK("https://www.indeed.com/viewjob?jk=91eaf30c9e25d01a", "https://www.indeed.com/viewjob?jk=91eaf30c9e25d01a")</f>
        <v/>
      </c>
      <c r="F223">
        <f>HYPERLINK("https://www.amazon.jobs/jobs/3054883/senior-data-scientist-data-and-machine-learning-wwps-us-federal?cmpid=DA_INAD200785B", "https://www.amazon.jobs/jobs/3054883/senior-data-scientist-data-and-machine-learning-wwps-us-federal?cmpid=DA_INAD200785B")</f>
        <v/>
      </c>
      <c r="G223" t="inlineStr">
        <is>
          <t>Arlington, VA, US</t>
        </is>
      </c>
      <c r="H223" s="3" t="n">
        <v>45872</v>
      </c>
      <c r="I22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in-c18084b51d3072b0</t>
        </is>
      </c>
      <c r="B224" t="inlineStr">
        <is>
          <t>Senior Data Scientist, Data and Machine Learning, WWPS US Federal</t>
        </is>
      </c>
      <c r="C224" t="inlineStr">
        <is>
          <t>Amazon Web Services</t>
        </is>
      </c>
      <c r="D224" t="inlineStr">
        <is>
          <t>indeed</t>
        </is>
      </c>
      <c r="E224">
        <f>HYPERLINK("https://www.indeed.com/viewjob?jk=c18084b51d3072b0", "https://www.indeed.com/viewjob?jk=c18084b51d3072b0")</f>
        <v/>
      </c>
      <c r="F224">
        <f>HYPERLINK("https://www.amazon.jobs/jobs/3054883/senior-data-scientist-data-and-machine-learning-wwps-us-federal?cmpid=DA_INAD200785B", "https://www.amazon.jobs/jobs/3054883/senior-data-scientist-data-and-machine-learning-wwps-us-federal?cmpid=DA_INAD200785B")</f>
        <v/>
      </c>
      <c r="G224" t="inlineStr">
        <is>
          <t>Herndon, VA, US</t>
        </is>
      </c>
      <c r="H224" s="3" t="n">
        <v>45872</v>
      </c>
      <c r="I22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in-970fdbaa21e83ab1</t>
        </is>
      </c>
      <c r="B225" t="inlineStr">
        <is>
          <t>Senior Data Scientist, Data and Machine Learning, WWPS US Federal</t>
        </is>
      </c>
      <c r="C225" t="inlineStr">
        <is>
          <t>Amazon Web Services</t>
        </is>
      </c>
      <c r="D225" t="inlineStr">
        <is>
          <t>indeed</t>
        </is>
      </c>
      <c r="E225">
        <f>HYPERLINK("https://www.indeed.com/viewjob?jk=970fdbaa21e83ab1", "https://www.indeed.com/viewjob?jk=970fdbaa21e83ab1")</f>
        <v/>
      </c>
      <c r="F225">
        <f>HYPERLINK("https://www.amazon.jobs/jobs/3054883/senior-data-scientist-data-and-machine-learning-wwps-us-federal?cmpid=DA_INAD200785B", "https://www.amazon.jobs/jobs/3054883/senior-data-scientist-data-and-machine-learning-wwps-us-federal?cmpid=DA_INAD200785B")</f>
        <v/>
      </c>
      <c r="G225" t="inlineStr">
        <is>
          <t>Jessup, MD, US</t>
        </is>
      </c>
      <c r="H225" s="3" t="n">
        <v>45872</v>
      </c>
      <c r="I22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in-fb4ad531c8514c18</t>
        </is>
      </c>
      <c r="B226" t="inlineStr">
        <is>
          <t>Principal Applied Scientist, AGI Foundations, AGI Foundations</t>
        </is>
      </c>
      <c r="C226" t="inlineStr">
        <is>
          <t>Amazon.com</t>
        </is>
      </c>
      <c r="D226" t="inlineStr">
        <is>
          <t>indeed</t>
        </is>
      </c>
      <c r="E226">
        <f>HYPERLINK("https://www.indeed.com/viewjob?jk=fb4ad531c8514c18", "https://www.indeed.com/viewjob?jk=fb4ad531c8514c18")</f>
        <v/>
      </c>
      <c r="F226">
        <f>HYPERLINK("https://www.amazon.jobs/jobs/3047563/principal-applied-scientist-agi-foundations-agi-foundations?cmpid=DA_INAD200785B", "https://www.amazon.jobs/jobs/3047563/principal-applied-scientist-agi-foundations-agi-foundations?cmpid=DA_INAD200785B")</f>
        <v/>
      </c>
      <c r="G226" t="inlineStr">
        <is>
          <t>New York, NY, US</t>
        </is>
      </c>
      <c r="H226" s="3" t="n">
        <v>45856</v>
      </c>
      <c r="I22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in-fe685500b7e3b40a</t>
        </is>
      </c>
      <c r="B227" t="inlineStr">
        <is>
          <t>Principal Applied Scientist, AGI Foundations, AGI Foundations</t>
        </is>
      </c>
      <c r="C227" t="inlineStr">
        <is>
          <t>Amazon.com</t>
        </is>
      </c>
      <c r="D227" t="inlineStr">
        <is>
          <t>indeed</t>
        </is>
      </c>
      <c r="E227">
        <f>HYPERLINK("https://www.indeed.com/viewjob?jk=fe685500b7e3b40a", "https://www.indeed.com/viewjob?jk=fe685500b7e3b40a")</f>
        <v/>
      </c>
      <c r="F227">
        <f>HYPERLINK("https://www.amazon.jobs/jobs/3047563/principal-applied-scientist-agi-foundations-agi-foundations?cmpid=DA_INAD200785B", "https://www.amazon.jobs/jobs/3047563/principal-applied-scientist-agi-foundations-agi-foundations?cmpid=DA_INAD200785B")</f>
        <v/>
      </c>
      <c r="G227" t="inlineStr">
        <is>
          <t>Boston, MA, US</t>
        </is>
      </c>
      <c r="H227" s="3" t="n">
        <v>45856</v>
      </c>
      <c r="I22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in-f67ce8cfdcb99de3</t>
        </is>
      </c>
      <c r="B228" t="inlineStr">
        <is>
          <t>Principal Applied Scientist, AGI Foundations, AGI Foundations</t>
        </is>
      </c>
      <c r="C228" t="inlineStr">
        <is>
          <t>Amazon.com</t>
        </is>
      </c>
      <c r="D228" t="inlineStr">
        <is>
          <t>indeed</t>
        </is>
      </c>
      <c r="E228">
        <f>HYPERLINK("https://www.indeed.com/viewjob?jk=f67ce8cfdcb99de3", "https://www.indeed.com/viewjob?jk=f67ce8cfdcb99de3")</f>
        <v/>
      </c>
      <c r="F228">
        <f>HYPERLINK("https://www.amazon.jobs/jobs/3047563/principal-applied-scientist-agi-foundations-agi-foundations?cmpid=DA_INAD200785B", "https://www.amazon.jobs/jobs/3047563/principal-applied-scientist-agi-foundations-agi-foundations?cmpid=DA_INAD200785B")</f>
        <v/>
      </c>
      <c r="G228" t="inlineStr">
        <is>
          <t>Sunnyvale, CA, US</t>
        </is>
      </c>
      <c r="H228" s="3" t="n">
        <v>45856</v>
      </c>
      <c r="I22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in-f110579038a16b99</t>
        </is>
      </c>
      <c r="B229" t="inlineStr">
        <is>
          <t>Principal Applied Scientist, AGI Foundations, AGI Foundations</t>
        </is>
      </c>
      <c r="C229" t="inlineStr">
        <is>
          <t>Amazon.com</t>
        </is>
      </c>
      <c r="D229" t="inlineStr">
        <is>
          <t>indeed</t>
        </is>
      </c>
      <c r="E229">
        <f>HYPERLINK("https://www.indeed.com/viewjob?jk=f110579038a16b99", "https://www.indeed.com/viewjob?jk=f110579038a16b99")</f>
        <v/>
      </c>
      <c r="F229">
        <f>HYPERLINK("https://www.amazon.jobs/jobs/3047563/principal-applied-scientist-agi-foundations-agi-foundations?cmpid=DA_INAD200785B", "https://www.amazon.jobs/jobs/3047563/principal-applied-scientist-agi-foundations-agi-foundations?cmpid=DA_INAD200785B")</f>
        <v/>
      </c>
      <c r="G229" t="inlineStr">
        <is>
          <t>Bellevue, WA, US</t>
        </is>
      </c>
      <c r="H229" s="3" t="n">
        <v>45856</v>
      </c>
      <c r="I22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in-32fceba7a5dbf55d</t>
        </is>
      </c>
      <c r="B230" t="inlineStr">
        <is>
          <t>Sr. Applied Scientist, Amazon Advertising</t>
        </is>
      </c>
      <c r="C230" t="inlineStr">
        <is>
          <t>Amazon.com</t>
        </is>
      </c>
      <c r="D230" t="inlineStr">
        <is>
          <t>indeed</t>
        </is>
      </c>
      <c r="E230">
        <f>HYPERLINK("https://www.indeed.com/viewjob?jk=32fceba7a5dbf55d", "https://www.indeed.com/viewjob?jk=32fceba7a5dbf55d")</f>
        <v/>
      </c>
      <c r="F230">
        <f>HYPERLINK("https://www.amazon.jobs/jobs/3035686/sr-applied-scientist-amazon-advertising?cmpid=DA_INAD200785B", "https://www.amazon.jobs/jobs/3035686/sr-applied-scientist-amazon-advertising?cmpid=DA_INAD200785B")</f>
        <v/>
      </c>
      <c r="G230" t="inlineStr">
        <is>
          <t>West Hollywood, CA, US</t>
        </is>
      </c>
      <c r="H230" s="3" t="n">
        <v>45851</v>
      </c>
      <c r="I2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in-8cb3db85f3c69893</t>
        </is>
      </c>
      <c r="B231" t="inlineStr">
        <is>
          <t>Sr. Applied Scientist, Amazon Advertising</t>
        </is>
      </c>
      <c r="C231" t="inlineStr">
        <is>
          <t>Amazon.com</t>
        </is>
      </c>
      <c r="D231" t="inlineStr">
        <is>
          <t>indeed</t>
        </is>
      </c>
      <c r="E231">
        <f>HYPERLINK("https://www.indeed.com/viewjob?jk=8cb3db85f3c69893", "https://www.indeed.com/viewjob?jk=8cb3db85f3c69893")</f>
        <v/>
      </c>
      <c r="F231">
        <f>HYPERLINK("https://www.amazon.jobs/jobs/3035686/sr-applied-scientist-amazon-advertising?cmpid=DA_INAD200785B", "https://www.amazon.jobs/jobs/3035686/sr-applied-scientist-amazon-advertising?cmpid=DA_INAD200785B")</f>
        <v/>
      </c>
      <c r="G231" t="inlineStr">
        <is>
          <t>Seattle, WA, US</t>
        </is>
      </c>
      <c r="H231" s="3" t="n">
        <v>45851</v>
      </c>
      <c r="I2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in-8783f4ed9a3c0037</t>
        </is>
      </c>
      <c r="B232" t="inlineStr">
        <is>
          <t>Sr. Applied Scientist, Amazon Advertising</t>
        </is>
      </c>
      <c r="C232" t="inlineStr">
        <is>
          <t>Amazon.com</t>
        </is>
      </c>
      <c r="D232" t="inlineStr">
        <is>
          <t>indeed</t>
        </is>
      </c>
      <c r="E232">
        <f>HYPERLINK("https://www.indeed.com/viewjob?jk=8783f4ed9a3c0037", "https://www.indeed.com/viewjob?jk=8783f4ed9a3c0037")</f>
        <v/>
      </c>
      <c r="F232">
        <f>HYPERLINK("https://www.amazon.jobs/jobs/3035686/sr-applied-scientist-amazon-advertising?cmpid=DA_INAD200785B", "https://www.amazon.jobs/jobs/3035686/sr-applied-scientist-amazon-advertising?cmpid=DA_INAD200785B")</f>
        <v/>
      </c>
      <c r="G232" t="inlineStr">
        <is>
          <t>Los Angeles, CA, US</t>
        </is>
      </c>
      <c r="H232" s="3" t="n">
        <v>45851</v>
      </c>
      <c r="I2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in-ec2749c170954dbe</t>
        </is>
      </c>
      <c r="B233" t="inlineStr">
        <is>
          <t>Sr. Applied Scientist, Amazon Advertising</t>
        </is>
      </c>
      <c r="C233" t="inlineStr">
        <is>
          <t>Amazon.com</t>
        </is>
      </c>
      <c r="D233" t="inlineStr">
        <is>
          <t>indeed</t>
        </is>
      </c>
      <c r="E233">
        <f>HYPERLINK("https://www.indeed.com/viewjob?jk=ec2749c170954dbe", "https://www.indeed.com/viewjob?jk=ec2749c170954dbe")</f>
        <v/>
      </c>
      <c r="F233">
        <f>HYPERLINK("https://www.amazon.jobs/jobs/3035686/sr-applied-scientist-amazon-advertising?cmpid=DA_INAD200785B", "https://www.amazon.jobs/jobs/3035686/sr-applied-scientist-amazon-advertising?cmpid=DA_INAD200785B")</f>
        <v/>
      </c>
      <c r="G233" t="inlineStr">
        <is>
          <t>New York, NY, US</t>
        </is>
      </c>
      <c r="H233" s="3" t="n">
        <v>45851</v>
      </c>
      <c r="I2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in-3371224ad1500feb</t>
        </is>
      </c>
      <c r="B234" t="inlineStr">
        <is>
          <t>Sr. Applied Scientist, Amazon Advertising</t>
        </is>
      </c>
      <c r="C234" t="inlineStr">
        <is>
          <t>Amazon.com</t>
        </is>
      </c>
      <c r="D234" t="inlineStr">
        <is>
          <t>indeed</t>
        </is>
      </c>
      <c r="E234">
        <f>HYPERLINK("https://www.indeed.com/viewjob?jk=3371224ad1500feb", "https://www.indeed.com/viewjob?jk=3371224ad1500feb")</f>
        <v/>
      </c>
      <c r="F234">
        <f>HYPERLINK("https://www.amazon.jobs/jobs/3035686/sr-applied-scientist-amazon-advertising?cmpid=DA_INAD200785B", "https://www.amazon.jobs/jobs/3035686/sr-applied-scientist-amazon-advertising?cmpid=DA_INAD200785B")</f>
        <v/>
      </c>
      <c r="G234" t="inlineStr">
        <is>
          <t>Austin, TX, US</t>
        </is>
      </c>
      <c r="H234" s="3" t="n">
        <v>45851</v>
      </c>
      <c r="I2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in-bb59add37ddc8e2e</t>
        </is>
      </c>
      <c r="B235" t="inlineStr">
        <is>
          <t>Sr. Applied Scientist, Amazon Advertising</t>
        </is>
      </c>
      <c r="C235" t="inlineStr">
        <is>
          <t>Amazon.com</t>
        </is>
      </c>
      <c r="D235" t="inlineStr">
        <is>
          <t>indeed</t>
        </is>
      </c>
      <c r="E235">
        <f>HYPERLINK("https://www.indeed.com/viewjob?jk=bb59add37ddc8e2e", "https://www.indeed.com/viewjob?jk=bb59add37ddc8e2e")</f>
        <v/>
      </c>
      <c r="F235">
        <f>HYPERLINK("https://www.amazon.jobs/jobs/3035686/sr-applied-scientist-amazon-advertising?cmpid=DA_INAD200785B", "https://www.amazon.jobs/jobs/3035686/sr-applied-scientist-amazon-advertising?cmpid=DA_INAD200785B")</f>
        <v/>
      </c>
      <c r="G235" t="inlineStr">
        <is>
          <t>Palo Alto, CA, US</t>
        </is>
      </c>
      <c r="H235" s="3" t="n">
        <v>45851</v>
      </c>
      <c r="I2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in-8f85ef50b5a37686</t>
        </is>
      </c>
      <c r="B236" t="inlineStr">
        <is>
          <t>Sr. Applied Scientist, Amazon Advertising</t>
        </is>
      </c>
      <c r="C236" t="inlineStr">
        <is>
          <t>Amazon.com</t>
        </is>
      </c>
      <c r="D236" t="inlineStr">
        <is>
          <t>indeed</t>
        </is>
      </c>
      <c r="E236">
        <f>HYPERLINK("https://www.indeed.com/viewjob?jk=8f85ef50b5a37686", "https://www.indeed.com/viewjob?jk=8f85ef50b5a37686")</f>
        <v/>
      </c>
      <c r="F236">
        <f>HYPERLINK("https://www.amazon.jobs/jobs/3035686/sr-applied-scientist-amazon-advertising?cmpid=DA_INAD200785B", "https://www.amazon.jobs/jobs/3035686/sr-applied-scientist-amazon-advertising?cmpid=DA_INAD200785B")</f>
        <v/>
      </c>
      <c r="G236" t="inlineStr">
        <is>
          <t>Simi Valley, CA, US</t>
        </is>
      </c>
      <c r="H236" s="3" t="n">
        <v>45851</v>
      </c>
      <c r="I2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in-a66159ce7bcf91be</t>
        </is>
      </c>
      <c r="B237" t="inlineStr">
        <is>
          <t>Sr. Applied Scientist, Amazon Advertising</t>
        </is>
      </c>
      <c r="C237" t="inlineStr">
        <is>
          <t>Amazon.com</t>
        </is>
      </c>
      <c r="D237" t="inlineStr">
        <is>
          <t>indeed</t>
        </is>
      </c>
      <c r="E237">
        <f>HYPERLINK("https://www.indeed.com/viewjob?jk=a66159ce7bcf91be", "https://www.indeed.com/viewjob?jk=a66159ce7bcf91be")</f>
        <v/>
      </c>
      <c r="F237">
        <f>HYPERLINK("https://www.amazon.jobs/jobs/3035686/sr-applied-scientist-amazon-advertising?cmpid=DA_INAD200785B", "https://www.amazon.jobs/jobs/3035686/sr-applied-scientist-amazon-advertising?cmpid=DA_INAD200785B")</f>
        <v/>
      </c>
      <c r="G237" t="inlineStr">
        <is>
          <t>Arlington, VA, US</t>
        </is>
      </c>
      <c r="H237" s="3" t="n">
        <v>45851</v>
      </c>
      <c r="I2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in-b1118ae2586d6517</t>
        </is>
      </c>
      <c r="B238" t="inlineStr">
        <is>
          <t>Sr. Applied Scientist, Sales AI</t>
        </is>
      </c>
      <c r="C238" t="inlineStr">
        <is>
          <t>Amazon.com</t>
        </is>
      </c>
      <c r="D238" t="inlineStr">
        <is>
          <t>indeed</t>
        </is>
      </c>
      <c r="E238">
        <f>HYPERLINK("https://www.indeed.com/viewjob?jk=b1118ae2586d6517", "https://www.indeed.com/viewjob?jk=b1118ae2586d6517")</f>
        <v/>
      </c>
      <c r="F238">
        <f>HYPERLINK("https://www.amazon.jobs/jobs/3020528/sr-applied-scientist-sales-ai?cmpid=DA_INAD200785B", "https://www.amazon.jobs/jobs/3020528/sr-applied-scientist-sales-ai?cmpid=DA_INAD200785B")</f>
        <v/>
      </c>
      <c r="G238" t="inlineStr">
        <is>
          <t>Seattle, WA, US</t>
        </is>
      </c>
      <c r="H238" s="3" t="n">
        <v>45830</v>
      </c>
      <c r="I23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in-690821735aff1aa1</t>
        </is>
      </c>
      <c r="B239" t="inlineStr">
        <is>
          <t>Sr. Applied Scientist, Sales AI</t>
        </is>
      </c>
      <c r="C239" t="inlineStr">
        <is>
          <t>Amazon.com</t>
        </is>
      </c>
      <c r="D239" t="inlineStr">
        <is>
          <t>indeed</t>
        </is>
      </c>
      <c r="E239">
        <f>HYPERLINK("https://www.indeed.com/viewjob?jk=690821735aff1aa1", "https://www.indeed.com/viewjob?jk=690821735aff1aa1")</f>
        <v/>
      </c>
      <c r="F239">
        <f>HYPERLINK("https://www.amazon.jobs/jobs/3020528/sr-applied-scientist-sales-ai?cmpid=DA_INAD200785B", "https://www.amazon.jobs/jobs/3020528/sr-applied-scientist-sales-ai?cmpid=DA_INAD200785B")</f>
        <v/>
      </c>
      <c r="G239" t="inlineStr">
        <is>
          <t>New York, NY, US</t>
        </is>
      </c>
      <c r="H239" s="3" t="n">
        <v>45830</v>
      </c>
      <c r="I23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in-a93830bdff0b1794</t>
        </is>
      </c>
      <c r="B240" t="inlineStr">
        <is>
          <t>Sr. Applied Scientist, Sales AI</t>
        </is>
      </c>
      <c r="C240" t="inlineStr">
        <is>
          <t>Amazon.com</t>
        </is>
      </c>
      <c r="D240" t="inlineStr">
        <is>
          <t>indeed</t>
        </is>
      </c>
      <c r="E240">
        <f>HYPERLINK("https://www.indeed.com/viewjob?jk=a93830bdff0b1794", "https://www.indeed.com/viewjob?jk=a93830bdff0b1794")</f>
        <v/>
      </c>
      <c r="F240">
        <f>HYPERLINK("https://www.amazon.jobs/jobs/3020528/sr-applied-scientist-sales-ai?cmpid=DA_INAD200785B", "https://www.amazon.jobs/jobs/3020528/sr-applied-scientist-sales-ai?cmpid=DA_INAD200785B")</f>
        <v/>
      </c>
      <c r="G240" t="inlineStr">
        <is>
          <t>Sunnyvale, CA, US</t>
        </is>
      </c>
      <c r="H240" s="3" t="n">
        <v>45830</v>
      </c>
      <c r="I24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in-dfe81ea33751543b</t>
        </is>
      </c>
      <c r="B241" t="inlineStr">
        <is>
          <t>Sr. Applied Scientist, AGI Info</t>
        </is>
      </c>
      <c r="C241" t="inlineStr">
        <is>
          <t>Amazon.com</t>
        </is>
      </c>
      <c r="D241" t="inlineStr">
        <is>
          <t>indeed</t>
        </is>
      </c>
      <c r="E241">
        <f>HYPERLINK("https://www.indeed.com/viewjob?jk=dfe81ea33751543b", "https://www.indeed.com/viewjob?jk=dfe81ea33751543b")</f>
        <v/>
      </c>
      <c r="F241">
        <f>HYPERLINK("https://www.amazon.jobs/jobs/2999351/sr-applied-scientist-agi-info?cmpid=DA_INAD200785B", "https://www.amazon.jobs/jobs/2999351/sr-applied-scientist-agi-info?cmpid=DA_INAD200785B")</f>
        <v/>
      </c>
      <c r="G241" t="inlineStr">
        <is>
          <t>Bellevue, WA, US</t>
        </is>
      </c>
      <c r="H241" s="3" t="n">
        <v>45811</v>
      </c>
      <c r="I241"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in-77ab7307d95e83b5</t>
        </is>
      </c>
      <c r="B242" t="inlineStr">
        <is>
          <t>Sr. Applied Scientist, AGI Info</t>
        </is>
      </c>
      <c r="C242" t="inlineStr">
        <is>
          <t>Amazon.com</t>
        </is>
      </c>
      <c r="D242" t="inlineStr">
        <is>
          <t>indeed</t>
        </is>
      </c>
      <c r="E242">
        <f>HYPERLINK("https://www.indeed.com/viewjob?jk=77ab7307d95e83b5", "https://www.indeed.com/viewjob?jk=77ab7307d95e83b5")</f>
        <v/>
      </c>
      <c r="F242">
        <f>HYPERLINK("https://www.amazon.jobs/jobs/2999351/sr-applied-scientist-agi-info?cmpid=DA_INAD200785B", "https://www.amazon.jobs/jobs/2999351/sr-applied-scientist-agi-info?cmpid=DA_INAD200785B")</f>
        <v/>
      </c>
      <c r="G242" t="inlineStr">
        <is>
          <t>Sunnyvale, CA, US</t>
        </is>
      </c>
      <c r="H242" s="3" t="n">
        <v>45811</v>
      </c>
      <c r="I242"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in-3b2d213ac1cd0d52</t>
        </is>
      </c>
      <c r="B243" t="inlineStr">
        <is>
          <t>Applied Scientist, Sponsored Products</t>
        </is>
      </c>
      <c r="C243" t="inlineStr">
        <is>
          <t>Amazon.com</t>
        </is>
      </c>
      <c r="D243" t="inlineStr">
        <is>
          <t>indeed</t>
        </is>
      </c>
      <c r="E243">
        <f>HYPERLINK("https://www.indeed.com/viewjob?jk=3b2d213ac1cd0d52", "https://www.indeed.com/viewjob?jk=3b2d213ac1cd0d52")</f>
        <v/>
      </c>
      <c r="F243">
        <f>HYPERLINK("https://www.amazon.jobs/jobs/3140511/applied-scientist-sponsored-products?cmpid=DA_INAD200785B", "https://www.amazon.jobs/jobs/3140511/applied-scientist-sponsored-products?cmpid=DA_INAD200785B")</f>
        <v/>
      </c>
      <c r="G243" t="inlineStr">
        <is>
          <t>Seattle, WA, US</t>
        </is>
      </c>
      <c r="H243" s="3" t="n">
        <v>45971</v>
      </c>
      <c r="I24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in-858b0624f883e883</t>
        </is>
      </c>
      <c r="B244" t="inlineStr">
        <is>
          <t>Applied Scientist, Sponsored Products</t>
        </is>
      </c>
      <c r="C244" t="inlineStr">
        <is>
          <t>Amazon.com</t>
        </is>
      </c>
      <c r="D244" t="inlineStr">
        <is>
          <t>indeed</t>
        </is>
      </c>
      <c r="E244">
        <f>HYPERLINK("https://www.indeed.com/viewjob?jk=858b0624f883e883", "https://www.indeed.com/viewjob?jk=858b0624f883e883")</f>
        <v/>
      </c>
      <c r="F244">
        <f>HYPERLINK("https://www.amazon.jobs/jobs/3140511/applied-scientist-sponsored-products?cmpid=DA_INAD200785B", "https://www.amazon.jobs/jobs/3140511/applied-scientist-sponsored-products?cmpid=DA_INAD200785B")</f>
        <v/>
      </c>
      <c r="G244" t="inlineStr">
        <is>
          <t>Arlington, VA, US</t>
        </is>
      </c>
      <c r="H244" s="3" t="n">
        <v>45971</v>
      </c>
      <c r="I24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in-b2dc0978df84065a</t>
        </is>
      </c>
      <c r="B245" t="inlineStr">
        <is>
          <t>Applied Scientist, AWS Agentic AI</t>
        </is>
      </c>
      <c r="C245" t="inlineStr">
        <is>
          <t>Amazon Web Services</t>
        </is>
      </c>
      <c r="D245" t="inlineStr">
        <is>
          <t>indeed</t>
        </is>
      </c>
      <c r="E245">
        <f>HYPERLINK("https://www.indeed.com/viewjob?jk=b2dc0978df84065a", "https://www.indeed.com/viewjob?jk=b2dc0978df84065a")</f>
        <v/>
      </c>
      <c r="F245">
        <f>HYPERLINK("https://www.amazon.jobs/jobs/3141517/applied-scientist-aws-agentic-ai-?cmpid=DA_INAD200785B", "https://www.amazon.jobs/jobs/3141517/applied-scientist-aws-agentic-ai-?cmpid=DA_INAD200785B")</f>
        <v/>
      </c>
      <c r="G245" t="inlineStr">
        <is>
          <t>New York, NY, US</t>
        </is>
      </c>
      <c r="H245" s="3" t="n">
        <v>45962</v>
      </c>
      <c r="I24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in-66bfef252cc44fc2</t>
        </is>
      </c>
      <c r="B246" t="inlineStr">
        <is>
          <t>Applied Scientist, AWS Agentic AI</t>
        </is>
      </c>
      <c r="C246" t="inlineStr">
        <is>
          <t>Amazon Web Services</t>
        </is>
      </c>
      <c r="D246" t="inlineStr">
        <is>
          <t>indeed</t>
        </is>
      </c>
      <c r="E246">
        <f>HYPERLINK("https://www.indeed.com/viewjob?jk=66bfef252cc44fc2", "https://www.indeed.com/viewjob?jk=66bfef252cc44fc2")</f>
        <v/>
      </c>
      <c r="F246">
        <f>HYPERLINK("https://www.amazon.jobs/jobs/3141517/applied-scientist-aws-agentic-ai-?cmpid=DA_INAD200785B", "https://www.amazon.jobs/jobs/3141517/applied-scientist-aws-agentic-ai-?cmpid=DA_INAD200785B")</f>
        <v/>
      </c>
      <c r="G246" t="inlineStr">
        <is>
          <t>Santa Clara, CA, US</t>
        </is>
      </c>
      <c r="H246" s="3" t="n">
        <v>45962</v>
      </c>
      <c r="I24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in-4a6ce8ecface9f0d</t>
        </is>
      </c>
      <c r="B247" t="inlineStr">
        <is>
          <t>Applied Scientist, AWS Agentic AI</t>
        </is>
      </c>
      <c r="C247" t="inlineStr">
        <is>
          <t>Amazon Web Services</t>
        </is>
      </c>
      <c r="D247" t="inlineStr">
        <is>
          <t>indeed</t>
        </is>
      </c>
      <c r="E247">
        <f>HYPERLINK("https://www.indeed.com/viewjob?jk=4a6ce8ecface9f0d", "https://www.indeed.com/viewjob?jk=4a6ce8ecface9f0d")</f>
        <v/>
      </c>
      <c r="F247">
        <f>HYPERLINK("https://www.amazon.jobs/jobs/3141517/applied-scientist-aws-agentic-ai-?cmpid=DA_INAD200785B", "https://www.amazon.jobs/jobs/3141517/applied-scientist-aws-agentic-ai-?cmpid=DA_INAD200785B")</f>
        <v/>
      </c>
      <c r="G247" t="inlineStr">
        <is>
          <t>Seattle, WA, US</t>
        </is>
      </c>
      <c r="H247" s="3" t="n">
        <v>45962</v>
      </c>
      <c r="I24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in-1db1c61d137f5820</t>
        </is>
      </c>
      <c r="B248" t="inlineStr">
        <is>
          <t>Applied Scientist, Workplace Health &amp; Safety</t>
        </is>
      </c>
      <c r="C248" t="inlineStr">
        <is>
          <t>Amazon.com</t>
        </is>
      </c>
      <c r="D248" t="inlineStr">
        <is>
          <t>indeed</t>
        </is>
      </c>
      <c r="E248">
        <f>HYPERLINK("https://www.indeed.com/viewjob?jk=1db1c61d137f5820", "https://www.indeed.com/viewjob?jk=1db1c61d137f5820")</f>
        <v/>
      </c>
      <c r="F248">
        <f>HYPERLINK("https://www.amazon.jobs/jobs/3144886/applied-scientist-workplace-health--safety-?cmpid=DA_INAD200785B", "https://www.amazon.jobs/jobs/3144886/applied-scientist-workplace-health--safety-?cmpid=DA_INAD200785B")</f>
        <v/>
      </c>
      <c r="G248" t="inlineStr">
        <is>
          <t>Nashville, TN, US</t>
        </is>
      </c>
      <c r="H248" s="3" t="n">
        <v>45917</v>
      </c>
      <c r="I24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in-f5aaa2c9b0bf596d</t>
        </is>
      </c>
      <c r="B249" t="inlineStr">
        <is>
          <t>Applied Scientist, Workplace Health &amp; Safety</t>
        </is>
      </c>
      <c r="C249" t="inlineStr">
        <is>
          <t>Amazon.com</t>
        </is>
      </c>
      <c r="D249" t="inlineStr">
        <is>
          <t>indeed</t>
        </is>
      </c>
      <c r="E249">
        <f>HYPERLINK("https://www.indeed.com/viewjob?jk=f5aaa2c9b0bf596d", "https://www.indeed.com/viewjob?jk=f5aaa2c9b0bf596d")</f>
        <v/>
      </c>
      <c r="F249">
        <f>HYPERLINK("https://www.amazon.jobs/jobs/3144886/applied-scientist-workplace-health--safety-?cmpid=DA_INAD200785B", "https://www.amazon.jobs/jobs/3144886/applied-scientist-workplace-health--safety-?cmpid=DA_INAD200785B")</f>
        <v/>
      </c>
      <c r="G249" t="inlineStr">
        <is>
          <t>Bellevue, WA, US</t>
        </is>
      </c>
      <c r="H249" s="3" t="n">
        <v>45917</v>
      </c>
      <c r="I24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li-4361351620</t>
        </is>
      </c>
      <c r="B2" t="inlineStr">
        <is>
          <t>Senior Data Scientist</t>
        </is>
      </c>
      <c r="C2" t="inlineStr">
        <is>
          <t>LinkedIn</t>
        </is>
      </c>
      <c r="D2" t="inlineStr">
        <is>
          <t>linkedin</t>
        </is>
      </c>
      <c r="E2" t="inlineStr"/>
      <c r="F2" t="inlineStr"/>
      <c r="G2" t="inlineStr">
        <is>
          <t>Mountain View, CA</t>
        </is>
      </c>
      <c r="H2" t="inlineStr"/>
      <c r="I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LinkedIn offers countless ways for an ambitious data engineer to have an impact and transform your career.
 We are now looking for a talented and driven individual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Partner with cross\-functional teams to contribute towards completion of large\-scale/complex strategic projects for teams, departments and the company.
* Drive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 Engage with technology partners to build, prototype and validate scalable tools/applications end to end (backend, frontend, data) for converting data to insights.
* Mentor junior members of the team.
**Qualifications**
 Basic Qualifications
* Bachelor's Degree in a quantitative discipline: Computer Science, Statistics, Operations Research, Informatics, Engineering, Applied Mathematics, Economics, etc.
* 3\+ years of relevant industry or relevant academia experience working with large amounts of data
* Experience influencing strategy through data\-centric presentations.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BS and 5\+ years of relevant work experience, MS and 3\+ years of relevant work experience, or Ph.D. and 1\+ years of relevant work/academia experience working with large amounts of data
* MS or PhD in a quantitative discipline: statistics, operations research, computer science, informatics, engineering, applied mathematics, economics, etc.
* Experience with manipulating massive\-scale structured and unstructured data.
* Working knowledge of Unix command\-line/shell, git and review board.
* Experience leveraging government data or publicly available third\-party APIs.
* Excellent communication skills, with the ability to synthesize, simplify and explain complex problems to different types of audience.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$121,000\.00 to $198,000\.00\.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
      <c r="A3" t="inlineStr">
        <is>
          <t>li-4361590525</t>
        </is>
      </c>
      <c r="B3" t="inlineStr">
        <is>
          <t>Staff Data Scientist</t>
        </is>
      </c>
      <c r="C3" t="inlineStr">
        <is>
          <t>LinkedIn</t>
        </is>
      </c>
      <c r="D3" t="inlineStr">
        <is>
          <t>linkedin</t>
        </is>
      </c>
      <c r="E3" t="inlineStr"/>
      <c r="F3" t="inlineStr"/>
      <c r="G3" t="inlineStr">
        <is>
          <t>Mountain View, CA</t>
        </is>
      </c>
      <c r="H3" t="inlineStr"/>
      <c r="I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**Overview:**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looking for a talented and driven technical leader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Partner with cross\-functional teams to initiate, lead and drive to completion large\-scale/complex strategic projects for teams, departments and the company.
* Act as a thought partner to senior leaders to prioritize/scope projects, provide recommendations, and evangelize data\-driven business decisions in support of strategic goals.
* Provide technical guidance and mentorship to junior team members on solution design as well as lead code/design reviews.
* Drive org\-wide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Independently craft compelling stories; make logical recommendations; drive informed actions.
* Engage with technology partners to build, prototype and validate scalable tools/applications end to end (backend, frontend, data) for converting data to insights.
* Mentor junior members of the team.
**Qualifications**
**Basic Qualifications:**
* Bachelor or higher degree in a quantitative discipline: statistics, operations research, computer science, informatics, engineering, applied mathematics, economics, etc.
* 5\+ years of relevant work experience.
* Experience influencing strategy through data\-centric presentations .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Experience with manipulating massive\-scale structured and unstructured data.
* Proven record writing and optimizing code with high levels of craftsmanship, and coaching others to improve technical outputs.
* Working knowledge of Unix command\-line/shell, git and review board.
* Experience leveraging government data or publicly available third\-party APIs.
* Experience mentoring other data scientists in an official or unofficial capacity.
* Excellent communication skills, with the ability to synthesize, simplify and explain complex problems to different types of audience, including executives and compile compelling narratives.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Compensation:
 The pay range for this role is $144,000 \- $236,000\.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
      <c r="A4" t="inlineStr">
        <is>
          <t>li-4346050065</t>
        </is>
      </c>
      <c r="B4" t="inlineStr">
        <is>
          <t>Data Scientist - E-commerce</t>
        </is>
      </c>
      <c r="C4" t="inlineStr">
        <is>
          <t>Corsair</t>
        </is>
      </c>
      <c r="D4" t="inlineStr">
        <is>
          <t>linkedin</t>
        </is>
      </c>
      <c r="E4" t="inlineStr"/>
      <c r="F4" t="inlineStr"/>
      <c r="G4" t="inlineStr">
        <is>
          <t>Milpitas, CA</t>
        </is>
      </c>
      <c r="H4" t="inlineStr"/>
      <c r="I4" t="inlineStr">
        <is>
          <t>**Job Description**
**Position Summary, Responsibilities and Expectations:**
* Perform customer, product, and behavioral segmentation analysis using transactional, browsing, and content data
* Analyze e\-commerce performance metrics and experiment results to identify trends, opportunities, and optimization levers
* Support AI\-driven use cases such as personalization, merchandising intelligence, and content optimization
* Design and analyze A/B tests to evaluate changes in content, merchandising, or customer experience
* Work with e\-commerce and content platforms such as Contentful, Jasper, and Omnify to understand data structures, workflows, and optimization opportunities
* Support MCP\-aware workflows where analytics, models, or tools exchange contextual data across systems
* Assist in building and maintaining data analysis pipelines and exploratory models using Python
* Collaborate with cross\-functional teams across E\-Commerce, Data Science, Marketing, and Engineering
* Document analyses, experiments, assumptions, and insights clearly for internal stakeholders
**Essential Skills And Experience**
* Currently pursuing a Bachelor’s or Master’s degree in Computer Science, Data Science, Engineering, Statistics, Economics, Business Analytics, or a related field
* Strong proficiency in Python for data analysis
* Solid understanding of statistics, experimentation, and basic machine learning concepts
* Experience working with structured datasets using tools such as Pandas and NumPy
* Strong analytical and problem\-solving skills
* Ability to communicate findings clearly to both technical and non\-technical audiences
* Prior exposure to e\-commerce, digital retail, or online marketplaces
* Experience with customer segmentation, cohort analysis, and A/B testing methodologies
* Familiarity with AI or ML frameworks such as scikit\-learn, PyTorch, or TensorFlow
* Exposure to content management or AI content tools (e.g., Contentful, Jasper, Omnify)
* Exposure to Model Context Protocols (MCP) or context\-aware, agent\-based workflows
* Understanding of experimentation platforms or conversion optimization frameworks
* Exposure to modern data stacks or cloud environments is a plus
* You are actively enrolled as a full\-time student in an accredited institution and have completed at least one year of education.
* Able to work 40 hours a week onsite throughout the course of the 12\-week summer internship either between (May 27 – August 13 th , 2026 OR June 16 th – September 13 th , 2026\)
* Legally authorized to work in the United States
**Who We Are**
 CORSAIR (NASDAQ: CRSR) is a leading global developer and manufacturer of high\-performance gear and technology for gamers, content creators, and PC enthusiasts. From award\-winning PC components and peripherals, to premium streaming equipment and smart ambient lighting, CORSAIR delivers a full ecosystem of products that work together to enable everyone, from casual gamers to committed professionals, to perform at their very best.
 CORSAIR also includes subsidiary brands Elgato, which provides premium studio equipment and accessories for content creators; SCUF Gaming, which builds custom\-designed controllers for competitive gamers; ORIGIN PC, a builder of custom gaming and workstation desktop PCs and laptops; DROP, a community\-driven brand known for enthusiast keyboards and curated peripherals; and Fanatec, a leading manufacturer of high\-end sim racing hardware.
 This position is onsite in Milpitas, CA and is not open to remote work at this time.
 This internship includes a base pay rate of $30 per hour and holiday pay.
 We have many intern openings in a variety of departments, check them all out to see which suits your interests and professional development the best at corsair.com/careers.</t>
        </is>
      </c>
    </row>
    <row r="5">
      <c r="A5" t="inlineStr">
        <is>
          <t>li-4345717277</t>
        </is>
      </c>
      <c r="B5" t="inlineStr">
        <is>
          <t>Data Scientist</t>
        </is>
      </c>
      <c r="C5" t="inlineStr">
        <is>
          <t>FanDuel</t>
        </is>
      </c>
      <c r="D5" t="inlineStr">
        <is>
          <t>linkedin</t>
        </is>
      </c>
      <c r="E5" t="inlineStr"/>
      <c r="F5" t="inlineStr"/>
      <c r="G5" t="inlineStr">
        <is>
          <t>New York, NY</t>
        </is>
      </c>
      <c r="H5" t="inlineStr"/>
      <c r="I5" t="inlineStr">
        <is>
          <t>**THE POSITION**
 Our roster has an opening with your name on it
 FanDuel is looking for a Data Scientist, to drive our Sportsbook customer generosity distribution and bonus spend optimization. In this role you will be responsible for customer segmentation, modeling, automation, reporting and data analysis across all areas of Sportsbook generosity distribution. Using your numerical and technology capabilities you will play a key role in bonus spend research, optimization and communication of results to CRM and Commercial senior management.
 This is a great opportunity for somebody who wants to work in an environment where curiosity is rewarded, and people are empowered to make decisions. The ideal candidate will have a passion for continual learning and developing innovative solutions to business problems.
**THE GAME PLAN**
 Everyone on our team has a part to play
* Take on data science projects from start to finish, including working with stakeholders to agree project KPIs, and reporting on progress and outcomes throughout projects at agreed cadence
* Deliver high\-quality analysis, customer segmentation and predictive models which help drive incremental revenue through optimal automated bonus spend distribution
* Improve our understanding of customer behaviors, efficiency of promotions, and effectiveness of bonus spend
* Through idea generation and exploratory analysis, develop new and innovative ways to turn behaviors into features for use in analysis, segmentation and predictive modeling
* Create, modify, and evolve models which solve business problems, and show demonstrable improvements to department KPIs
* Demonstrate accurate insights and predictions using easy to interpret visualizations and clear explanations of results, recommendations, methods, biases and limitations
* Work with Data Engineering and Analytics Engineer to optimize data quality and data modeling pipelines
* Take responsibility to learn the necessary skills and techniques, to develop ability to work with independence, integrity and accuracy
* Collaborate with key stakeholders to help in identifying areas for improvement, and support their strategic objectives
* Assist in coaching, developing and performance managing less experienced team members
* Contribute new ideas for data science projects which have demonstrable potential to improve revenue performance or customer experience
**THE STATS**
 What we're looking for in our next teammate
* Minimum of 3\+ years of previous Data Science or Analytics Experience
* Minimum 1\+ years building and deploying complex machine learning models with real world applications
* Have a developed technical skill set which facilitates high\-quality, efficient \&amp; comprehensive quantitative analysis
* Proficient in SQL and experience of manipulating large datasets in Microsoft Excel
* Proficient in statistical or programming software and techniques (e.g. in Python, R, C\#, VBA, etc.)
* Strong communication and presentation skills, experienced in explaining technical projects to non\-technical stakeholders
* Experience working with data visualization tools like Tableau an advantage
* Undergraduate degree in a numerate or technical discipline
* Interest in sports is a plus
* Interest or experience in the Sports betting industry is an advantage
**About Fanduel**
 FanDuel Group is the premier mobile gaming company in the United States.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is>
      </c>
    </row>
    <row r="6">
      <c r="A6" t="inlineStr">
        <is>
          <t>li-4361380141</t>
        </is>
      </c>
      <c r="B6" t="inlineStr">
        <is>
          <t>Data Scientist II</t>
        </is>
      </c>
      <c r="C6" t="inlineStr">
        <is>
          <t>Uber</t>
        </is>
      </c>
      <c r="D6" t="inlineStr">
        <is>
          <t>linkedin</t>
        </is>
      </c>
      <c r="E6" t="inlineStr"/>
      <c r="F6" t="inlineStr"/>
      <c r="G6" t="inlineStr">
        <is>
          <t>New York, NY</t>
        </is>
      </c>
      <c r="H6" t="inlineStr"/>
      <c r="I6" t="inlineStr">
        <is>
          <t>**About The Role**
 The TA Analytics team's goal is to raise the bar for all of Talent Acquisition when it comes to data literacy. A successful candidate is a proactive thinker, flexible with shifting project priorities and pressure. You demonstrate confidence in handling problems, as well as the ability to work with a variety of different people. As a seasoned Data Scientist, you will utilize a variety of tools and approaches to answer complex questions from myriad stakeholders.
 You will also innovate new ways to analyze our data for more efficient and effective decision\-making. You are a highly motivated and energetic self\-starter, directly working with leaders to ensure that they are getting all the support needed to make meaningful, informed decisions (which may not be what they are asking for, but what they need). You will proactively identify new areas of analytical features and enhancements, including AI, that will further increase data quality, reliability, and insightfulness.
 \-\-\-\- What You Will Do \-\-\-\-
* Help build a new analytics suite that helps prove and increase the impact that TA has on the business.
* Innovate new ways to analyze TA/People data that drives incremental business impact.
* Understand business goals and apply appropriate analytics, causal inference, experimentation and machine learning to provide practical insights to partners and stakeholders.
* Work closely with the Engineering teams to create data instrumentation and improve data quality.
* Collaborate with cross\-functional organizations to find opportunities, design, implement and analyze experiments, and perform deep dives for better decision\-making.
* Communicate optimally with non\-technical customers on technical topics.
**Basic Qualifications**
* Undergraduate and/or graduate degree in Math, Economics, Statistics, Engineering, Computer Science, or other quantitative fields.
* 4\+ years experience as a Data Scientist, Product Analyst, Sr. Data Analyst, or other types of data analysis\-focused functions
* Excellent understanding of statistical and scientific principles
* Advanced SQL expertise
* Experience with either Python or R for data analysis
* Proven track record to wrangle large datasets, extract insights from data, and summarize learnings/takeaways.
* Experience with Excel and some dashboarding/data visualization (i.e. Tableau, Looker, or similar)
* Proven aptitude toward Data Storytelling and Root Cause Analysis using data
* Ability to learn and adapt to new methodologies for data collection and analysis
**Preferred Qualifications**
* Advanced experience with experimental design and statistical methods such as causal Inference.
* Experience in utilizing AI features in reporting to enhance reporting products and deliverables.
* Ability to communicate effectively and manage relationships with partners coming from both technical and non\-technical backgrounds
* Excellent judgment, critical thinking, and decision\-making skills
* Proven ability to identify key stakeholders and manage high expectations
 For New York, NY\-based roles: The base salary range for this role is USD$140,000 per year \- USD$156,000 per year. For San Francisco, CA\-based roles: The base salary range for this role is USD$140,000 per year \- USD$156,000 per year. For Seattle, WA\-based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USD$140,000 per year \- USD$156,000 per year. For San Francisco, CA\-based roles: The base salary range for this role is USD$140,000 per year \- USD$156,000 per year. For Seattle, WA\-based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7">
      <c r="A7" t="inlineStr">
        <is>
          <t>li-4361501491</t>
        </is>
      </c>
      <c r="B7" t="inlineStr">
        <is>
          <t>Senior Applied Scientist</t>
        </is>
      </c>
      <c r="C7" t="inlineStr">
        <is>
          <t>LinkedIn</t>
        </is>
      </c>
      <c r="D7" t="inlineStr">
        <is>
          <t>linkedin</t>
        </is>
      </c>
      <c r="E7" t="inlineStr"/>
      <c r="F7" t="inlineStr"/>
      <c r="G7" t="inlineStr">
        <is>
          <t>Mountain View, CA</t>
        </is>
      </c>
      <c r="H7" t="inlineStr"/>
      <c r="I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data science research, model improvement, advanced experiments, observational causal studies to quantify the cause and effect in the ecosystem, identify business opportunities and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3\+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BS and 5\+ years of relevant work experience, MS and 3\+ years of relevant work experience, or Ph.D. and 1\+ years of relevant work/academia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$139,000\.00 to $229,000\.00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8">
      <c r="A8" t="inlineStr">
        <is>
          <t>li-4361550166</t>
        </is>
      </c>
      <c r="B8" t="inlineStr">
        <is>
          <t>Data Scientist, Sr.</t>
        </is>
      </c>
      <c r="C8" t="inlineStr">
        <is>
          <t>Airbnb</t>
        </is>
      </c>
      <c r="D8" t="inlineStr">
        <is>
          <t>linkedin</t>
        </is>
      </c>
      <c r="E8" t="inlineStr"/>
      <c r="F8" t="inlineStr"/>
      <c r="G8" t="inlineStr"/>
      <c r="H8" t="inlineStr"/>
      <c r="I8" t="inlineStr">
        <is>
          <t>**About The Company**
 Airbnb was founded in 2007 when two hosts welcomed three guests to their San Francisco home. Since then, the company has experienced exponential growth and now boasts over 5 million hosts worldwide. Airbnb has facilitated more than 2 billion guest arrivals across nearly every country, creating a global community where travelers can discover unique stays and authentic experiences. The platform connects hosts and guests, fostering meaningful cultural exchanges and enabling travelers to connect with local communities in a more genuine way. With a commitment to innovation, community, and belonging, Airbnb continues to redefine the travel industry by offering personalized, memorable experiences that cater to diverse preferences and needs.
**About The Role**
 We are seeking a highly skilled and innovative Senior Staff Data Scientist to join our Guest Data Science team within the Guest Experience division. This role is pivotal in leveraging artificial intelligence and causal inference methodologies to understand user behavior, detect underlying intent, and develop data\-driven products that enhance the guest journey. The successful candidate will lead efforts to build advanced analytical frameworks that identify guest preferences at every stage of their discovery and booking process. Collaborating closely with product, engineering, and design teams, you will shape in\-product optimization strategies and UX architecture to facilitate seamless navigation and personalized content discovery. Your work will directly influence how guests find relevant inventory, improve engagement, and foster loyalty across Airbnb's diverse offerings, including Homes, Experiences, and Services. This position offers a unique opportunity to make a tangible impact on the guest experience by applying cutting\-edge science and fostering a culture of continuous innovation.
**Qualifications**
* Advanced degree in Computer Science, Statistics, Econometrics, or a related field.
* Minimum of 9 years of industry experience with a PhD or 12\+ years with a Master’s degree.
* Expertise in causal inference techniques with marketplace experience.
* Domain knowledge in search, UX discovery, and personalized evidence systems.
* Proficiency in programming languages such as Python or R for data analysis.
* Familiarity with SQL and developing proof\-of\-concept prototypes.
* Strong communication skills to collaborate effectively with cross\-functional teams.
* Demonstrated success in both collaborative and independent work environments.
* Engagement with the technical community and a passion for AI and emerging systems like large language models.
**Responsibilities**
* Develop a deep understanding of guest navigation patterns and re\-engagement behaviors through analysis and research.
* Partner with product and engineering teams to establish scientific frameworks for detecting revealed preferences and online frictions.
* Design, develop, and iterate prototypes, data frameworks, and models to quantify guest preferences using AI tools.
* Assess the validity and impact of derived guest preferences through rigorous measurement, experimentation, and hypothesis validation.
* Set up experiments and feedback mechanisms to ensure continuous improvement and high impact of data products.
* Present findings, insights, and strategic recommendations to leadership and cross\-functional teams.
* Drive innovation in methodologies for understanding user behavior and enhancing personalization within the Airbnb platform.
**Benefits**
* Competitive salary with performance\-based bonuses.
* Equity options and stock grants.
* Comprehensive health insurance plans including medical, dental, and vision coverage.
* Flexible work arrangements and remote work eligibility.
* Paid time off, holidays, and family leave policies.
* Employee travel credits and discounts.
* Opportunities for professional development and continuous learning.
* Access to a vibrant, innovative, and inclusive workplace culture.
 Equal Opportunity
 Airbnb is an Equal Opportunity Employer. We celebrate diversity and are committed to creating an inclusive environment for all employees. We do not discriminate based on race, religion, color, national origin, gender, gender identity or expression, sexual orientation, age, marital status, veteran status, or disability status. We believe that a diverse team enhances our ability to serve our global community and foster innovation.</t>
        </is>
      </c>
    </row>
    <row r="9">
      <c r="A9" t="inlineStr">
        <is>
          <t>li-4361259143</t>
        </is>
      </c>
      <c r="B9" t="inlineStr">
        <is>
          <t>Data Scientist II</t>
        </is>
      </c>
      <c r="C9" t="inlineStr">
        <is>
          <t>Uber</t>
        </is>
      </c>
      <c r="D9" t="inlineStr">
        <is>
          <t>linkedin</t>
        </is>
      </c>
      <c r="E9" t="inlineStr"/>
      <c r="F9" t="inlineStr"/>
      <c r="G9" t="inlineStr">
        <is>
          <t>San Francisco, CA</t>
        </is>
      </c>
      <c r="H9" t="inlineStr"/>
      <c r="I9" t="inlineStr">
        <is>
          <t>**About The Role**
 The TA Analytics team's goal is to raise the bar for all of Talent Acquisition when it comes to data literacy. A successful candidate is a proactive thinker, flexible with shifting project priorities and pressure. You demonstrate confidence in handling problems, as well as the ability to work with a variety of different people. As a seasoned Data Scientist, you will utilize a variety of tools and approaches to answer complex questions from myriad stakeholders.
 You will also innovate new ways to analyze our data for more efficient and effective decision\-making. You are a highly motivated and energetic self\-starter, directly working with leaders to ensure that they are getting all the support needed to make meaningful, informed decisions (which may not be what they are asking for, but what they need). You will proactively identify new areas of analytical features and enhancements, including AI, that will further increase data quality, reliability, and insightfulness.
 \-\-\-\- What You Will Do \-\-\-\-
* Help build a new analytics suite that helps prove and increase the impact that TA has on the business.
* Innovate new ways to analyze TA/People data that drives incremental business impact.
* Understand business goals and apply appropriate analytics, causal inference, experimentation and machine learning to provide practical insights to partners and stakeholders.
* Work closely with the Engineering teams to create data instrumentation and improve data quality.
* Collaborate with cross\-functional organizations to find opportunities, design, implement and analyze experiments, and perform deep dives for better decision\-making.
* Communicate optimally with non\-technical customers on technical topics.
**Basic Qualifications**
* Undergraduate and/or graduate degree in Math, Economics, Statistics, Engineering, Computer Science, or other quantitative fields.
* 4\+ years experience as a Data Scientist, Product Analyst, Sr. Data Analyst, or other types of data analysis\-focused functions
* Excellent understanding of statistical and scientific principles
* Advanced SQL expertise
* Experience with either Python or R for data analysis
* Proven track record to wrangle large datasets, extract insights from data, and summarize learnings/takeaways.
* Experience with Excel and some dashboarding/data visualization (i.e. Tableau, Looker, or similar)
* Proven aptitude toward Data Storytelling and Root Cause Analysis using data
* Ability to learn and adapt to new methodologies for data collection and analysis
**Preferred Qualifications**
* Advanced experience with experimental design and statistical methods such as causal Inference.
* Experience in utilizing AI features in reporting to enhance reporting products and deliverables.
* Ability to communicate effectively and manage relationships with partners coming from both technical and non\-technical backgrounds
* Excellent judgment, critical thinking, and decision\-making skills
* Proven ability to identify key stakeholders and manage high expectations
 For New York, NY\-based roles: The base salary range for this role is USD$140,000 per year \- USD$156,000 per year. For San Francisco, CA\-based roles: The base salary range for this role is USD$140,000 per year \- USD$156,000 per year. For Seattle, WA\-based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USD$140,000 per year \- USD$156,000 per year. For San Francisco, CA\-based roles: The base salary range for this role is USD$140,000 per year \- USD$156,000 per year. For Seattle, WA\-based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
      <c r="A10" t="inlineStr">
        <is>
          <t>li-4361284631</t>
        </is>
      </c>
      <c r="B10" t="inlineStr">
        <is>
          <t>Staff Applied Scientist</t>
        </is>
      </c>
      <c r="C10" t="inlineStr">
        <is>
          <t>LinkedIn</t>
        </is>
      </c>
      <c r="D10" t="inlineStr">
        <is>
          <t>linkedin</t>
        </is>
      </c>
      <c r="E10" t="inlineStr"/>
      <c r="F10" t="inlineStr"/>
      <c r="G10" t="inlineStr">
        <is>
          <t>Mountain View, CA</t>
        </is>
      </c>
      <c r="H10" t="inlineStr"/>
      <c r="I1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causal analysis and develop causal methodology and machine learning models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5\+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7\+ years of industry or relevant 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1">
      <c r="A11" t="inlineStr">
        <is>
          <t>li-4345925035</t>
        </is>
      </c>
      <c r="B11" t="inlineStr">
        <is>
          <t>Data Scientist</t>
        </is>
      </c>
      <c r="C11" t="inlineStr">
        <is>
          <t>Meta</t>
        </is>
      </c>
      <c r="D11" t="inlineStr">
        <is>
          <t>linkedin</t>
        </is>
      </c>
      <c r="E11" t="inlineStr"/>
      <c r="F11" t="inlineStr"/>
      <c r="G11" t="inlineStr">
        <is>
          <t>Menlo Park, CA</t>
        </is>
      </c>
      <c r="H11" t="inlineStr"/>
      <c r="I11" t="inlineStr">
        <is>
          <t>Meta is seeking a skilled and motivated Data Scientist to join our Infrastructure Data Centers team. As a lead data scientist, you will partner with stakeholders, program managers, and other data science functions to translate Meta’s Infrastructure Data Centers’ data into value. You will have the opportunity to work on a wide range of data science projects, such as developing an analytics program to drive operational efficiency, conducting strategic analysis to facilitate decision making, measuring Machine Learning models and automation to increase predictive accuracy and reduce manual effort, and working with software developers to build analytical solutions.The ideal candidate will have a passion for working in ambiguous environment and creating impact from the ground up in a fast\-paced environment. Additionally, you will have a proven track record of thought leadership and impact in developing similar analytics programs and machine learning solutions. This position is part of the Infrastructure Data Centers organization.
 Data Scientist Responsibilities:
* Collaborate with cross\-functional data and business teams to define problems, analyze impacts, identify opportunities, and develop solutions that improve decision\-making and efficiency
* Translate business challenges into data\-driven problems and design appropriate data science solutions, including metrics and analytics, business intelligence, experimentation
* Identify operational gaps, build analytical models to derive insights, and support decision\-making across organizational leadership
* Design and implement statistical models such as hypothesis testing, forecasting, statistical process control, and simulation to influence critical business decisions and Data Center operations
* Utilize expertise in statistics, machine learning, optimization, and automation to develop analytics solutions
* Work closely with stakeholders, data engineers, and program/product managers to ensure seamless progress
* Educate and influence stakeholders to enhance operational efficiency with empathy
* Recommend process improvements based on operational data and user behavior to boost business performance
* Mentor team members on data science best practices
 Minimum Qualifications:
* Bachelor's degree in Computer Science, Computer Engineering, relevant technical field, or equivalent practical experience
* 6\+ years of experience (2 years\+ of experience post Ph.D.) with advanced SQL in big data environments (e.g., Hive, Presto, Spark) and data modeling
* 6\+ years of experience (2 years\+ of experience post Ph.D.) managing and analyzing large\-scale data using Python, R, or similar languages
* 6\+ years of experience (2 years\+ of experience post Ph.D.) of working with visualization tools such as Tableau, PowerBI, or similar
* 6\+ years experience (2 years\+ of experience post Ph.D.) analyzing and interpreting data, developing metrics, drawing conclusions, recommending actions, and reporting results across stakeholders
* Experience in enhancing data collection procedures, data processing, cleansing, and verifying the integrity of data used for analysis
* Proven track record of managing and leading cross\-functional projects and teams
* Solid understanding of machine learning techniques and algorithms
* Hands\-on programming experience in one or more of: AI/ML, LLM, NLP, Statistical modeling
* Proficient in statistical analysis and experimental design
 Preferred Qualifications:
* Technical knowledge of data center operations
* Masters degree in Computer Science, Engineering, Mathematics, Statistics, Operations Research, or a related analytical field
* Knowledge of simulation and optimization techniques
* Great communication and storytelling skills to influence all organizational levels (engineers, executives and cross functional teams) to drive business decisions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
      <c r="A12" t="inlineStr">
        <is>
          <t>li-4361292745</t>
        </is>
      </c>
      <c r="B12" t="inlineStr">
        <is>
          <t>Senior Staff Data Scientist</t>
        </is>
      </c>
      <c r="C12" t="inlineStr">
        <is>
          <t>LinkedIn</t>
        </is>
      </c>
      <c r="D12" t="inlineStr">
        <is>
          <t>linkedin</t>
        </is>
      </c>
      <c r="E12" t="inlineStr"/>
      <c r="F12" t="inlineStr"/>
      <c r="G12" t="inlineStr">
        <is>
          <t>Mountain View, CA</t>
        </is>
      </c>
      <c r="H12" t="inlineStr"/>
      <c r="I1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looking for a talented and driven technical leader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Partner with cross\-functional teams to initiate, lead and drive to completion large\-scale/complex strategic projects for teams, departments and the company.
* Act as a thought partner to senior leaders to prioritize/scope projects, provide recommendations, and evangelize data\-driven business decisions in support of strategic goals.
* Provide technical guidance and mentorship to junior team members on solution design as well as lead code/design reviews.
* Drive org\-wide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Independently craft compelling stories; make logical recommendations; drive informed actions.
* Engage with technology partners to build, prototype and validate scalable tools/applications end to end (backend, frontend, data) for converting data to insights.
* Mentor junior members of the team.
**Qualifications**
**Basic Qualifications:**
* Bachelor or higher degree in a quantitative discipline: statistics, operations research, computer science, informatics, engineering, applied mathematics, economics, etc.
* 7\+ years of relevant work experience.
* Experience influencing strategy through data\-centric presentations .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Experience with manipulating massive\-scale structured and unstructured data.
* Proven record writing and optimizing code with high levels of craftsmanship, and coaching others to improve technical outputs.
* Working knowledge of Unix command\-line/shell, git and review board.
* Experience leveraging government data or publicly available third\-party APIs.
* Experience mentoring other data scientists in an official or unofficial capacity.
* Excellent communication skills, with the ability to synthesize, simplify and explain complex problems to different types of audience, including executives and compile compelling narratives.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Compensation:
 The pay range for this role is $144,000 \- $236,000\.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3">
      <c r="A13" t="inlineStr">
        <is>
          <t>li-4345954245</t>
        </is>
      </c>
      <c r="B13" t="inlineStr">
        <is>
          <t>Data Scientist</t>
        </is>
      </c>
      <c r="C13" t="inlineStr">
        <is>
          <t>Meta</t>
        </is>
      </c>
      <c r="D13" t="inlineStr">
        <is>
          <t>linkedin</t>
        </is>
      </c>
      <c r="E13" t="inlineStr"/>
      <c r="F13" t="inlineStr"/>
      <c r="G13" t="inlineStr">
        <is>
          <t>Bellevue, WA</t>
        </is>
      </c>
      <c r="H13" t="inlineStr"/>
      <c r="I13" t="inlineStr">
        <is>
          <t>Meta is seeking a skilled and motivated Data Scientist to join our Infrastructure Data Centers team. As a lead data scientist, you will partner with stakeholders, program managers, and other data science functions to translate Meta’s Infrastructure Data Centers’ data into value. You will have the opportunity to work on a wide range of data science projects, such as developing an analytics program to drive operational efficiency, conducting strategic analysis to facilitate decision making, measuring Machine Learning models and automation to increase predictive accuracy and reduce manual effort, and working with software developers to build analytical solutions.The ideal candidate will have a passion for working in ambiguous environment and creating impact from the ground up in a fast\-paced environment. Additionally, you will have a proven track record of thought leadership and impact in developing similar analytics programs and machine learning solutions. This position is part of the Infrastructure Data Centers organization.
 Data Scientist Responsibilities:
* Collaborate with cross\-functional data and business teams to define problems, analyze impacts, identify opportunities, and develop solutions that improve decision\-making and efficiency
* Translate business challenges into data\-driven problems and design appropriate data science solutions, including metrics and analytics, business intelligence, experimentation
* Identify operational gaps, build analytical models to derive insights, and support decision\-making across organizational leadership
* Design and implement statistical models such as hypothesis testing, forecasting, statistical process control, and simulation to influence critical business decisions and Data Center operations
* Utilize expertise in statistics, machine learning, optimization, and automation to develop analytics solutions
* Work closely with stakeholders, data engineers, and program/product managers to ensure seamless progress
* Educate and influence stakeholders to enhance operational efficiency with empathy
* Recommend process improvements based on operational data and user behavior to boost business performance
* Mentor team members on data science best practices
 Minimum Qualifications:
* Bachelor's degree in Computer Science, Computer Engineering, relevant technical field, or equivalent practical experience
* 6\+ years of experience (2 years\+ of experience post Ph.D.) with advanced SQL in big data environments (e.g., Hive, Presto, Spark) and data modeling
* 6\+ years of experience (2 years\+ of experience post Ph.D.) managing and analyzing large\-scale data using Python, R, or similar languages
* 6\+ years of experience (2 years\+ of experience post Ph.D.) of working with visualization tools such as Tableau, PowerBI, or similar
* 6\+ years experience (2 years\+ of experience post Ph.D.) analyzing and interpreting data, developing metrics, drawing conclusions, recommending actions, and reporting results across stakeholders
* Experience in enhancing data collection procedures, data processing, cleansing, and verifying the integrity of data used for analysis
* Proven track record of managing and leading cross\-functional projects and teams
* Solid understanding of machine learning techniques and algorithms
* Hands\-on programming experience in one or more of: AI/ML, LLM, NLP, Statistical modeling
* Proficient in statistical analysis and experimental design
 Preferred Qualifications:
* Technical knowledge of data center operations
* Masters degree in Computer Science, Engineering, Mathematics, Statistics, Operations Research, or a related analytical field
* Knowledge of simulation and optimization techniques
* Great communication and storytelling skills to influence all organizational levels (engineers, executives and cross functional teams) to drive business decisions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
      <c r="A14" t="inlineStr">
        <is>
          <t>li-4313399643</t>
        </is>
      </c>
      <c r="B14" t="inlineStr">
        <is>
          <t>Data Scientist, Product</t>
        </is>
      </c>
      <c r="C14" t="inlineStr">
        <is>
          <t>OpenAI</t>
        </is>
      </c>
      <c r="D14" t="inlineStr">
        <is>
          <t>linkedin</t>
        </is>
      </c>
      <c r="E14" t="inlineStr"/>
      <c r="F14" t="inlineStr"/>
      <c r="G14" t="inlineStr">
        <is>
          <t>San Francisco, CA</t>
        </is>
      </c>
      <c r="H14" t="inlineStr"/>
      <c r="I14" t="inlineStr">
        <is>
          <t>**About The Team**
 Our Applied team brings OpenAI technologies to consumers and businesses around the world. We collaborate across research, engineering, design and business functions to turn cutting\-edge AI advancements into impactful real\-world applications. Our team has been behind notable product launches (ChatGPT, API, Sora), creating tools that help developers write code, enable businesses to operate more efficiently, and empower individuals to learn and create. As AI capabilities rapidly evolve, we focus on ensuring that our products are safe, accessible, and beneficial to all.
**About The Role**
 As a Data Scientist on the Applied Product team, you will contribute to a data\-driven product development culture for consumer and enterprise products at OpenAI. This is critical as our products reach millions of users and businesses worldwide. We are focused on aligning both research and product development to drive measurable impact for these individuals and organizations alike.
 You should expect to define our north\-star metrics, design A/B tests, and establish source\-of\-truth dashboards that the entire company can use to answer their own product questions. Most importantly, you should expect to be a core member of the product development team.
 This role is based in San Francisco, CA or Seattle, WA. We use a hybrid work model of 3 days in the office per week and offer relocation assistance to new employees.
**In This Role, You Will**
* Embed with the product development team as a trusted partner, uncovering new ways to improve the product and drive growth
* Define and interpret A/B tests that help answer critical questions about the impact of model and UX changes to our product
* Establish a data\-driven product development culture by defining, tracking, and operationalizing feature\-, product\-, and company\-level metrics
* Develop and socialize dashboards, reports, and other ways of enabling the team and company to answer product data questions in a self\-serve way
**You Might Thrive In This Role If You Have**
* 5\+ years experience in a quantitative role navigating highly ambiguous environments, ideally as an early data scientist or product analyst at a hyper\-growth product company or research org
* Proposed, designed, and run rigorous experiments with clear insights and product recommendations utilizing SQL and Python
* Defined, implemented, and operationalized new feature and product\-level metrics from scratch
* Excellent communication skills with demonstrated ability to communicate with product managers, engineers, and executives alike
* Strategic insights beyond the paradigm of statistical significance testing
**You could be an especially great fit if you have:**
* Strong programming background, with ability to run simulations and prototype variants
* Experience validating quantitative insights with qualitative methods (e.g. surveys, UXR)
* Demonstrated prior experience in NLP, large language models, or generative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5">
      <c r="A15" t="inlineStr">
        <is>
          <t>li-4354476329</t>
        </is>
      </c>
      <c r="B15" t="inlineStr">
        <is>
          <t>Data Scientist Gen AI</t>
        </is>
      </c>
      <c r="C15" t="inlineStr">
        <is>
          <t>EXL</t>
        </is>
      </c>
      <c r="D15" t="inlineStr">
        <is>
          <t>linkedin</t>
        </is>
      </c>
      <c r="E15" t="inlineStr"/>
      <c r="F15" t="inlineStr"/>
      <c r="G15" t="inlineStr">
        <is>
          <t>Atlanta, GA</t>
        </is>
      </c>
      <c r="H15" t="inlineStr"/>
      <c r="I15" t="inlineStr">
        <is>
          <t>**Job Title: Data Scientist \- GenAI** 
**Location: Atlanta** 
**Work Experience: 5\+ Years** 
**Location: Atlanta** 
 On\-site requirement: 4 days per week at Atlanta office
**Job Summary:** 
 We are looking for a highly capable and innovative Data Scientist with experience in Generative AI to join our Data Science Team. You will lead the development and deployment of GenAI solutions, including LLM\-based applications, prompt engineering, fine\-tuning, embeddings, and retrieval\-augmented generation (RAG) for enterprise use cases.
 The ideal candidate has a strong foundation in machine learning and NLP, with hands\-on experience in modern GenAI tools and frameworks such as OpenAI, LangChain, Hugging Face, Vertex AI, Bedrock, or similar.
**Key Responsibilities:** 
* Design and build Generative AI solutions using Large Language Models (LLMs) for business problems across domains like customer service, document automation, summarization, and knowledge retrieval.
* Fine\-tune or adapt foundation models using domain\-specific data.
* Implement RAG pipelines, embedding models, vector databases (e.g., FAISS, Pinecone, ChromaDB).
* Collaborate with data engineers, MLOps, and product teams to build end\-to\-end AI applications and APIs.
* Develop custom prompts and prompt chains using tools like LangChain, LlamaIndex, PromptFlow, or custom frameworks.
* Evaluate model performance, mitigate bias, and optimize accuracy, latency, and cost.
* Stay up to date with the latest trends in LLMs, transformers, and GenAI architecture.
**Required Skills:** 
* 5\+ years of experience in Data Science / ML, with 1\+ year hands\-on in LLMs / GenAI projects.
* Strong Python programming skills, especially in libraries such as Transformers, LangChain, scikit\-learn, PyTorch, or TensorFlow.
* Experience with OpenAI (GPT\-4\), Claude, Mistral, LLaMA, or similar models.
* Knowledge of vector search, embedding models (e.g., BERT, Sentence Transformers), and semantic search techniques.
* Ability to build scalable AI workflows and deploy them via APIs or web apps (e.g., FastAPI, Streamlit, Flask).
* Familiarity with cloud platforms (AWS/GCP/Azure) and MLOps best practices.
* Excellent communication skills with the ability to translate technical solutions into business impact.
**Preferred Qualifications:** 
* Experience with prompt tuning, few\-shot learning, or LoRA\-based fine\-tuning.
* Knowledge of data privacy and security considerations in GenAI applications.
* Familiarity with enterprise architecture, SDLC, or building GenAI use cases in regulated domains (e.g., finance, insurance, healthcare).
 For more information on benefits and what we offer please visit us at https://www.exlservice.com/us\-careers\-and\-benefits</t>
        </is>
      </c>
    </row>
    <row r="16">
      <c r="A16" t="inlineStr">
        <is>
          <t>li-4313814361</t>
        </is>
      </c>
      <c r="B16" t="inlineStr">
        <is>
          <t>Machine Learning Data Scientist, Forecasting</t>
        </is>
      </c>
      <c r="C16" t="inlineStr">
        <is>
          <t>OpenAI</t>
        </is>
      </c>
      <c r="D16" t="inlineStr">
        <is>
          <t>linkedin</t>
        </is>
      </c>
      <c r="E16" t="inlineStr"/>
      <c r="F16" t="inlineStr"/>
      <c r="G16" t="inlineStr">
        <is>
          <t>San Francisco, CA</t>
        </is>
      </c>
      <c r="H16" t="inlineStr"/>
      <c r="I16" t="inlineStr">
        <is>
          <t>**About The Team**
 The Strategic Finance team at OpenAI plays a critical role in shaping the company’s long\-term trajectory. We partner closely with Product, Engineering, and Go\-To\-Market teams to inform high\-stakes decisions through rigorous data science and economic modeling. As part of our expanding Data Science function, we’re building a best\-in\-class Forecasting capability to drive real\-time, data\-driven decision\-making across user growth, revenue, compute infrastructure, and more.
 We are developing scalable forecasting infrastructure to help us understand and anticipate business dynamics in an increasingly complex, usage\-based world. Our models are foundational to planning, pricing, operational efficiency, and growth strategy \- supporting key investment decisions and unlocking OpenAI’s full potential.
**About The Role**
 We’re looking for a senior Machine Learning Data Scientist to lead our forecasting initiatives. You’ll be one of the founding members of the Forecasting pillar within Strategic Finance Data Science, responsible for building and scaling robust, interpretable, and production\-ready forecasting systems. Your models will power critical business decisions by predicting core metrics such as DAU/WAU, revenue, LTV, compute consumption, and profitability.
 This is a highly cross\-functional role, requiring technical excellence, strong product intuition, and business acumen. You’ll collaborate with product managers, researchers, engineers, and finance leaders to operationalize forecasting insights, influence company\-wide strategy, and build foundational forecasting capabilities at OpenAI.
 This role is based in San Francisco, CA. We use a hybrid work model of 3 days in the office per week and offer relocation assistance to new employees.
**In This Role, You Will**
* Build statistical and machine learning models to solve forecasting needs across product, finance, infrastructure, and GTM domains.
* Own the end\-to\-end modeling lifecycle, including scoping, feature engineering, model development and prototyping, experimentation, deployment, monitoring, and explainability.
* Develop and productionize scalable, interpretable forecasts for user growth, monetization, compute load, customer lifetime value, and profitability.
* Contribute to self\-service forecasting tools and internal platforms, enabling teams across OpenAI to access and act on real\-time predictions.
* Research and evaluate emerging tools and techniques in the forecasting space, such as TimeGPT, large language model extensions, causal forecasting, and hybrid approaches.
* Drive strategic insight generation by translating technical outputs into business\-aligned recommendations and decision frameworks.
* Collaborate closely with cross\-functional teams to ensure forecasts are well\-integrated into planning processes, experimentation workflows, and executive decision\-making.
**You Might Thrive In This Role If You Have**
* Advanced degree (MS or PhD) in a quantitative field (e.g., Statistics, Computer Science, Economics, Operations Research).
* 7\+ years of experience in applied data science, with deep hands\-on exposure to forecasting, predictive modeling, or marketplace systems.
* Expertise in time\-series forecasting techniques and practical understanding of model trade\-offs across performance, explainability, and scalability.
* Proficiency in Python, SQL, and tools such as scikit\-learn, PyTorch/TensorFlow, and forecasting libraries.
* Demonstrated experience with model monitoring, debugging, and long\-term maintenance in production environments.
* Strong communication and storytelling skills \- able to simplify complexity and influence executive stakeholders.
* Self\-directed, intellectually curious, and comfortable leading ambiguous projects from 0→1\.
**Bonus If You Have**
* Experience building or scaling forecasting platforms in a high\-growth company.
* Familiarity with causal inference, Bayesian forecasting
* Passion for AI and a strong point of view on how machine learning should inform strategic decisions in fast\-moving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7">
      <c r="A17" t="inlineStr">
        <is>
          <t>li-4354796251</t>
        </is>
      </c>
      <c r="B17" t="inlineStr">
        <is>
          <t>Data Scientist</t>
        </is>
      </c>
      <c r="C17" t="inlineStr">
        <is>
          <t>Visa</t>
        </is>
      </c>
      <c r="D17" t="inlineStr">
        <is>
          <t>linkedin</t>
        </is>
      </c>
      <c r="E17" t="inlineStr"/>
      <c r="F17" t="inlineStr"/>
      <c r="G17" t="inlineStr">
        <is>
          <t>Atlanta, GA</t>
        </is>
      </c>
      <c r="H17" t="inlineStr"/>
      <c r="I17"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To ensure that Visa’s payment technology is truly available to everyone, everywhere requires the success of our key bank or merchant partners and internal business units. The Global Data Science group supports these partners by using our extraordinarily rich data set that spans more than 3 billion cards globally and captures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looking for Data Scientists who are equally passionate about the opportunity to use Visa’s rich data to tackle meaningful business problems. You will join one of the Data Science focus areas (e.g., banks, merchants \&amp; retailers, digital products, marketing) with an opportunity for rotation within Data Science to gain broad exposure to Visa’s business.
 The role will be based in Atlanta, GA
 Essential Functions:
* Be an out\-of\-the\-box thinker who is passionate about brainstorming innovative ways to use our unique data to answer business problems
* Communicate with clients to understand the challenges they face and convince them with data
* Extract and understand data to form an opinion on how to best help our clients and derive relevant insights
* Develop visualizations to make your complex analyses accessible to a broad audience
* Find opportunities to craft products out of analyses that are suitable for multiple clients
* Work with stakeholders throughout the organization to identify opportunities for leveraging Visa data to drive business solutions.
* Mine and analyze data from company databases to drive optimization and improvement of product, marketing techniques and business strategies for Visa and its clients
* Assess the effectiveness and accuracy of new data sources and data gathering techniques.
* Develop custom data models and algorithms to apply to data sets.
* Use predictive modeling to increase and optimize customer experiences, revenue generation, data insights, advertising targeting and other business outcomes.
* Develop processes and tools to monitor and analyze model performance and data accuracy.
 This is a hybrid position. Expectation of days in office will be confirmed by your hiring manager.
**Qualifications**
**Basic Qualifications:**
* 2 or more years of work experience with a Bachelor’s Degree or an Advanced Degree (e.g. Masters, MBA, JD, MD, or PhD)
**Preferred Qualifications:**
* 3 or more years of work experience with a Bachelor’s Degree or more than 2 years of work experience with an Advanced Degree (e.g. Masters, MBA, JD, MD)
* 2\+ years’ experience in data\-based decision\-making or quantitative analysis
* Bachelor’s degree in an analytical field such as statistics, operations research, economics, computer science or many others (graduate degree is a plus)
* Experience with extracting and aggregating data from large data sets using SQL or other tools
* Competence in Excel, PowerPoint and Tableau
* Experience in understanding and analyzing data using statistical software (e.g., Python, R, Stata or others)
* Previous exposure to financial services, credit cards or merchant analytics is a plus, but not required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116,800\.00 to 180,600\.00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8">
      <c r="A18" t="inlineStr">
        <is>
          <t>li-4361512614</t>
        </is>
      </c>
      <c r="B18" t="inlineStr">
        <is>
          <t>Data Scientist</t>
        </is>
      </c>
      <c r="C18" t="inlineStr">
        <is>
          <t>DeepRec.ai</t>
        </is>
      </c>
      <c r="D18" t="inlineStr">
        <is>
          <t>linkedin</t>
        </is>
      </c>
      <c r="E18" t="inlineStr"/>
      <c r="F18" t="inlineStr"/>
      <c r="G18" t="inlineStr">
        <is>
          <t>Boston, MA</t>
        </is>
      </c>
      <c r="H18" t="inlineStr"/>
      <c r="I18" t="inlineStr">
        <is>
          <t>Hiring a
 **Data Scientist** 
 to build and scale the data pipelines behind advanced
 **chemistry and battery ML models** 
 .
 You will turn
 **raw molecular and electrochemical data** 
 into
 **model\-ready datasets** 
 used by LLMs, graph models and simulation pipelines.
**What you’ll do** 
* Build
 **ETL pipelines** 
 for large molecular, electrochemical and battery datasets
* Deliver
 **APIs and data services** 
 to ML and simulation teams
* Apply
 **QC, schemas and metadata** 
 to ensure ML\-ready data
* Run
 **EDA** 
 to surface gaps and improve model performance
* Work closely with
 **scientists and ML researchers**
**What they want** 
* 2\+ years in
 **data science, data engineering or scientific computing**
* Strong
 **Python \+ SQL**
* Experience with
 **chemical, pharma, energy or materials data**
* **MS/PhD (or equivalent industry experience)** 
 in chemistry, materials or chemical engineering
**Nice to have** 
* **RDKit, OpenBabel, molecular search, LLM data pipelines**
* **Battery or electrochemistry data**
* **Airflow, NoSQL, chemical APIs**</t>
        </is>
      </c>
    </row>
    <row r="19">
      <c r="A19" t="inlineStr">
        <is>
          <t>li-4345910826</t>
        </is>
      </c>
      <c r="B19" t="inlineStr">
        <is>
          <t>Data Scientist (Simulation &amp; Modeling)</t>
        </is>
      </c>
      <c r="C19" t="inlineStr">
        <is>
          <t>Russell Tobin</t>
        </is>
      </c>
      <c r="D19" t="inlineStr">
        <is>
          <t>linkedin</t>
        </is>
      </c>
      <c r="E19" t="inlineStr"/>
      <c r="F19" t="inlineStr"/>
      <c r="G19" t="inlineStr">
        <is>
          <t>Illinois, United States</t>
        </is>
      </c>
      <c r="H19" t="inlineStr"/>
      <c r="I19" t="inlineStr">
        <is>
          <t>Data Scientist (Simulation \&amp; Modeling)
**Simulation Developer \- Buying \&amp; Inventory Optimization** 
**Location:** 
 Fully Remote (EST or CST preferred)
**Contract:** 
 6\-month W2 contract (extension possible; long\-term initiatives)
**Pay Rate:** 
 $55\-$62/hour (W2\)
**Schedule:** 
 Standard business hours
**About the Role** 
 We are supporting a large, well\-known retail organization on a
 **Buying \&amp; Inventory optimization initiative** 
 and are seeking a
 **Data Scientist with strong simulation and modeling expertise** 
 . This role focuses on designing, building, and validating simulation frameworks to support inventory, supply chain, and operational decision\-making.
 The ideal candidate has a solid foundation in
 **probability theory, stochastic modeling, and Python** 
 , with hands\-on experience building scalable simulation solutions in cloud\-based data environments.
 This is a fully remote role, with preference for candidates located in
 **EST or CST time zones** 
 . Candidates should be comfortable with technical interviews, including
 **live Python coding** 
 .
**Key Responsibilities** 
* Design, develop, and deploy simulation models for inventory and operational systems
* Apply probability theory, stochastic processes, and Monte Carlo methods to model uncertainty
* Build and maintain simulation frameworks using
 **Python, SQL, and PySpark**
* Develop solutions within
 **Azure Databricks (ADB)** 
 or similar cloud data platforms
* Collaborate with Data Engineers and Data Scientists to define simulation inputs and data pipelines
* Validate, calibrate, and stress\-test models using historical data and sensitivity analysis
* Follow CI/CD best practices and manage code using
 **GitHub**
* Ensure code quality, scalability, and maintainability in production environments
**Required Qualifications** 
* Minimum
 **2\+ years of experience** 
 in data science, simulation, or modeling roles
* Hands\-on experience with
 **simulation modeling and probability theory**
* Strong
 **Python** 
 coding skills (required during interview process)
* Experience with
 **PySpark** 
 and large\-scale data processing
* Familiarity with
 **Azure Databricks** 
 or similar platforms
* Experience using
 **CI/CD pipelines** 
 and
 **GitHub**
* Ability to work independently in a remote environment
**Preferred Qualifications** 
* Background in
 **retail, inventory, supply chain, or operations research**
* Experience supporting
 **buying, demand planning, or inventory optimization** 
 initiatives
* Exposure to cloud platforms such as
 **Azure, AWS, or GCP**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*\#RTA* 
*\#JD\-E2EProf*</t>
        </is>
      </c>
    </row>
    <row r="20">
      <c r="A20" t="inlineStr">
        <is>
          <t>li-4344659401</t>
        </is>
      </c>
      <c r="B20" t="inlineStr">
        <is>
          <t>Data Scientist</t>
        </is>
      </c>
      <c r="C20" t="inlineStr">
        <is>
          <t>Analytica</t>
        </is>
      </c>
      <c r="D20" t="inlineStr">
        <is>
          <t>linkedin</t>
        </is>
      </c>
      <c r="E20" t="inlineStr"/>
      <c r="F20" t="inlineStr"/>
      <c r="G20" t="inlineStr"/>
      <c r="H20" t="inlineStr"/>
      <c r="I20" t="inlineStr">
        <is>
          <t>Analytica is seeking a
 **Data Scientist** 
 to support long term federal client engagements projects in the DC Metro area. The role will apply statistical programming, modeling, visualization techniques, data mining, and forecasting skills to analyze challenging public sector problems.
 This position is fully remote.
 Analytica has been recognized by Inc. for 3 consecutive years as one of the 250 fastest growing business. We offer competitive compensation with opportunities for bonuses, employer paid health care, training and development funds, and 401k match.
**Responsibilities include:** 
* Pre\-processing \- Demonstrate the skills and experience to collect, clean, and prepare data sets for input into a computational model using Python. Strong candidates will explain various methods you have applied using common pre\-processing functions such as stop word removal, stemming, lemmatization, and tokenization.
* Feature Engineering and Attribute Evaluation \- Candidate must demonstrate experience with NLP feature engineering methods such as TF\-IDF, word2vec, GloVe, and FastText identifying the key determinants for modeling that exist in the business process and within existing data sets as well as selecting evaluation protocols (model techniques).
* Modeling \- Candidates will have practiced skills and experience selecting classification modeling techniques to fit the business problem. Examples will include techniques such as machine learning (ML) supervised and unsupervised learning, regression, neural networks and deep learning, natural language processing, etc.
* Validation \- Strong candidates will describe their experience with investigating, reporting, and justifying model results.
* Visualization\- Experience in presenting the results of their modeling activities, depicting the insights realized, and explaining the relevance of their results to the organization’s business challenges.
**Qualifications:** 
* Master's degree required, and PhD preferred in Statistics, Mathematics, Computer Science, or similar
* High degree of experience utilizing SAS, R, or Python to support NLP use cases such as Document Summarization, Named Entity Recognition, Sentiment Analysis, and/or Topic Modeling
* At least four years of experience developing scalable, production\-ready NLP solutions using sci\-kit learn, Keras, TensorFlow, PyTorch, Spark NLP.
* Experience using git/github to version control source code
* Experience leveraging transformer architecture to develop NLP models
* Experience with open source NLP packages such as Gensim, SpaCy, or NLTK.
* Experience with BERT, GPT\-J, RoBERTa, T5 or other transformers
* Experience with GenAI and Prompt Engineering is a plus
* Experience in Databricks and MLFlow is a plus
* Experience with machine translation and transcription of foreign language documents using Microsoft Azure translation services is a plus
* Experience working in an AWS cloud environment and with related AWS services such as Bedrock and Textract
* Experience coordinating and maintaining user stories
* Must be a US citizen
* Must be able to obtain and maintain a Public trust security clearance
**About Analytica:
 Analytica**
 is a leading consulting and information technology solutions provider to public sector organizations supporting health, civilian, and national security missions. The company is an award\-winning
 **SBA certified 8(a) small business**
 that has been recognized by
 *Inc. Magazine* 
 each of the past three years as one of the 250 fastest\-growing companies in the U.S. Analytica specializes in providing software and systems engineering, information management, analytics \&amp; visualization, agile project management, and management consulting services. The company is appraised by the Software Engineering Institute (SEI) at CMMI® Maturity Level 3 and is an ISO 9001:2008 certified provider.</t>
        </is>
      </c>
    </row>
    <row r="21">
      <c r="A21" t="inlineStr">
        <is>
          <t>li-4354805984</t>
        </is>
      </c>
      <c r="B21" t="inlineStr">
        <is>
          <t>Data Scientist</t>
        </is>
      </c>
      <c r="C21" t="inlineStr">
        <is>
          <t>State Farm</t>
        </is>
      </c>
      <c r="D21" t="inlineStr">
        <is>
          <t>linkedin</t>
        </is>
      </c>
      <c r="E21" t="inlineStr"/>
      <c r="F21" t="inlineStr"/>
      <c r="G21" t="inlineStr">
        <is>
          <t>Atlanta, GA</t>
        </is>
      </c>
      <c r="H21" t="inlineStr"/>
      <c r="I21" t="inlineStr">
        <is>
          <t>**Overview**
 Being good neighbors \- helping people, investing in our communities, and making the world a better place \- is who we are at State Farm. It is at the core of how we operate and the reason for our success. Come join a \#1 team and do some good!
**Office Locations** 
 : Bloomington, Atlanta, Dallas, Phoenix
**HYBRID** 
 : Qualified candidates (in or near hub locations listed below) should plan to spend time working from home and some time working in the office as part of our hybrid work environment.
**Why Join Our Data Science Team?**
 At State Farm, we are dedicated to helping our team members develop to their full potential. As a Data Scientist, you have the unique opportunity to develop both professionally \&amp; analytically. You will strengthen your communication skills through interactions with technical and non\-technical business partners. Our data science teams also embrace staying current with the evolving data science landscape.
* Applicants are required to be eligible to lawfully work in the U.S. immediately; employer will not sponsor applicants for U.S. work authorization (e.g., H\-1B Visa) or future need for this opportunity.
**Responsibilities**
 State Farm's Rating \&amp; Underwriting Modeling Team is seeking Data Scientists to support the growing demand for advanced analytic solutions across the organization. We are looking for talented, motivated individuals who will partner with business areas to help drive results for the enterprise via the development and adoption of analytic solutions.
 Applicants for this posting will be considered for Data Scientist openings in:
* Property \&amp; Casualty Actuarial \&amp; Underwriting Modeling Department (PCM): Develops models that support State Farm’s insurance pricing and underwriting decisions
**Data Science at State Farm** 
 :
 As a Data Scientist at State Farm, you will serve as a subject matter expert and consultant. Through this role, you will share your knowledge and work to increase the use of analytics for decision\-making across the organization. Below are some of the tasks you can expect in the typical day of a Data Scientist:
* Develop and validate advanced analytic models
* Provide input into and/or build datasets to support model development
* Collaborate with other team members on scoping solutions and project decision points
* Present on technical topics to peers, leadership, and other stakeholders, including non\-technical business partners
* Lead/mentor other Data Scientists, interns, and other technical work teams
* Make strategic recommendations on data collection, integration, and retention requirements, incorporating business requirements and knowledge of best practices
* Serve as a peer reviewer to other model development teams
* Work on complex problems of diverse scopes
* Establish and leverage a network of associates with business domain and data expertise
* Instill a business\-oriented mindset that drives the data science \&amp; research agenda
* Build and maintain a relationship with the open\-source community by creating and contributing to open\-source data science software initiatives
**Qualifications**
**Requirements:**
* Completed Masters or other advanced degrees, in an analytical field such as statistics, mathematics, economics, data science, quantitative marketing, operations research, industrial engineering, etc.
* Experience building advanced analytic solutions using generalized linear models and at least one of the following: time series analysis, cluster analysis, tree\-based algorithms, or neural networks
* Experience with at least one statistical programming language: SAS, R, and/or Python
**Other Things We Look For:**
* Experience with cloud\-based environments (e.g., AWS), Linux, and/or SQL
* Strong communication skills and the ability to manage multiple, diverse stakeholders across business areas and leadership levels
**What You Can Expect:**
 Competitive candidates may be invited to participate in pre\-employment testing and/or the interview process. This is where the excitement begins!
* Applicants are required to be eligible to lawfully work in the U.S. immediately; employer will not sponsor applicants for U.S. work authorization (e.g., H\-1B Visa) or future need for this opportunity.
**Our Benefits**
 Because work\-life balance is a priority at State Farm, compensation is based on our standard 38:45\-hour work week!
* Potential starting salary range: $102,000 \- $163,000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22">
      <c r="A22" t="inlineStr">
        <is>
          <t>li-4354475856</t>
        </is>
      </c>
      <c r="B22" t="inlineStr">
        <is>
          <t>Data Scientist</t>
        </is>
      </c>
      <c r="C22" t="inlineStr">
        <is>
          <t>RemoteHunter</t>
        </is>
      </c>
      <c r="D22" t="inlineStr">
        <is>
          <t>linkedin</t>
        </is>
      </c>
      <c r="E22" t="inlineStr"/>
      <c r="F22" t="inlineStr"/>
      <c r="G22" t="inlineStr"/>
      <c r="H22" t="inlineStr"/>
      <c r="I22" t="inlineStr">
        <is>
          <t>About the Organization:
 The organization is building the first super app to simplify car ownership by integrating services such as insurance, buy/sell, registration, loans, safety, repairs, and parking within a $2 trillion U.S. market. Founded in 2019, the company has expanded from insurance to loan refinancing, driving insights, repair marketplace, car diagnostics, and a GenAI\-powered chatbot and voicebot. It has grown to over 5 million customers, raised $240 million in funding, achieved 60X revenue growth, and scaled its team to 225 employees across six countries. The data scientist role supports critical business initiatives and growth strategies by leveraging advanced machine learning and data\-driven decision\-making.
 Responsibilities:
 • Partner with marketing, product, and business development teams to integrate customer performance insights into acquisition strategies
 • Lead the design, execution, and analysis of A/B experiments on new and existing features
 • Define, test, and optimize levers to drive profitable and scalable user acquisition and partnership growth
 • Identify opportunities to automate manual processes and improve operational efficiency
 Requirements:
 • Bachelor’s degree in a quantitatively or intellectually rigorous discipline
 • Minimum 1 year of experience from a top\-tier economic consulting firm (e.g., Analysis Group, Cornerstone Research, Charles River Associates) OR 1 year of management consulting experience from a top firm (e.g., McKinsey, Bain, Boston Consulting Group) OR relevant experience in data science or business analysis
 • Proficient in SQL or Python
 • Strong problem\-solving skills using first principles
 • Effective communication skills across all organizational levels
 • High standards for personal and team performance
 Benefits \&amp; Perks:
 • Health, dental, and vision coverage
 • Paid time off and paid parental leave
 • 401(k) plan with employer matching
 • Wellness benefits
 • Equity opportunities as part of total rewards package
 Compensation:
 • Starting pay will fall within the stated pay range for the role, based on skills, experience, qualifications, work location, and market conditions
 • Compensation may include base salary and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
      <c r="A23" t="inlineStr">
        <is>
          <t>li-4328705005</t>
        </is>
      </c>
      <c r="B23" t="inlineStr">
        <is>
          <t>Data Scientist - Perception Verification and Validation</t>
        </is>
      </c>
      <c r="C23" t="inlineStr">
        <is>
          <t>Zoox</t>
        </is>
      </c>
      <c r="D23" t="inlineStr">
        <is>
          <t>linkedin</t>
        </is>
      </c>
      <c r="E23" t="inlineStr"/>
      <c r="F23" t="inlineStr"/>
      <c r="G23" t="inlineStr">
        <is>
          <t>Boston, MA</t>
        </is>
      </c>
      <c r="H23" t="inlineStr"/>
      <c r="I23"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**Bonus Qualifications**
* Skilled at using AI tools to improve development efficiency and quality.
* Experience with experiment design and statistical comparisons (A/B testing, parametric/non\-parametric statistics, etc.)
* Experience analyzing geospatial data
 $167,000 \- $228,000 a year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
      <c r="A24" t="inlineStr">
        <is>
          <t>li-4335019992</t>
        </is>
      </c>
      <c r="B24" t="inlineStr">
        <is>
          <t>AI Applied Scientist, Code Intelligence</t>
        </is>
      </c>
      <c r="C24" t="inlineStr">
        <is>
          <t>Snowflake</t>
        </is>
      </c>
      <c r="D24" t="inlineStr">
        <is>
          <t>linkedin</t>
        </is>
      </c>
      <c r="E24" t="inlineStr"/>
      <c r="F24" t="inlineStr"/>
      <c r="G24" t="inlineStr">
        <is>
          <t>Bellevue, WA</t>
        </is>
      </c>
      <c r="H24" t="inlineStr"/>
      <c r="I24"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about empowering enterprises to achieve their full potential — and people too. With a culture that’s all in on impact, innovation, and collaboration, Snowflake is the sweet spot for building big, moving fast, and taking technology — and careers — to the next level.
 We’re seeking an AI Applied Scientist to drive Code Intelligence at Snowflake. Your mission: build AI\-powered capabilities that supercharge developer efficiency and elevate developer experience for both Snowflake engineers and our customer developers. You’ll turn cutting\-edge ideas into dependable tools—shipping systems that make coding, reviewing, and testing faster, safer, and more delightful at scale.
 IN THIS ROLE AT SNOWFLAKE, YOU WILL:
* Build AI features that move the needle on developer outcomes—accelerating PR cycle time and time\-to\-first\-commit, reducing review latency and defects, improving test coverage, and raising developer satisfaction.
* Design and deliver systems in three focus areas: automated testing, code review assistance, and coding agents that integrate with repos and workflows.
* Prototype quickly and iterate, then productionize and harden solutions for reliability, performance, and safety, with a strong bias toward shipping impact.
* Develop end\-to\-end ML pipelines: data preparation, training/fine\-tuning, evaluation, and online serving—including experiment design, telemetry, and A/B measurement.
* Collaborate closely with Engineering Systems (our developer productivity team) to integrate into build, test, and deployment workflows.
* Write clear, maintainable Python and work across the stack to design, implement, and debug components from modeling to services and evaluation harnesses.
* Contribute to a culture of high\-quality engineering: code health, documentation, and grounded decision\-making informed by data.
* Write technical blogs and research papers to share your findings.
 WE WOULD LOVE TO HEAR FROM YOU IF YOU HAVE:
* MS or PhD in Computer Science (or related field).
* Strong Python skills and fluency with a commonly used ML stack (e.g., PyTorch and XGBoost or similar).
* Hands\-on experience building ML data pipelines, plus a habit of rigorous evaluation and experiment design.
* Familiarity with serving stacks and vector stores; comfort learning what you don’t know.
* Eagerness to learn build systems and CI/CD. Previous experience with build systems and CI/CD is a plus but not required.
* Bonus (nice to have—not all required): LLMs for code, program analysis/ASTs, retrieval/RAG, prompt engineering \&amp; eval, large\-scale A/B testing, backend/service development, and familiarity with OLAP systems like Snowflake.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25">
      <c r="A25" t="inlineStr">
        <is>
          <t>li-4354805620</t>
        </is>
      </c>
      <c r="B25" t="inlineStr">
        <is>
          <t>Data Scientist</t>
        </is>
      </c>
      <c r="C25" t="inlineStr">
        <is>
          <t>RemoteHunter</t>
        </is>
      </c>
      <c r="D25" t="inlineStr">
        <is>
          <t>linkedin</t>
        </is>
      </c>
      <c r="E25" t="inlineStr"/>
      <c r="F25" t="inlineStr"/>
      <c r="G25" t="inlineStr"/>
      <c r="H25" t="inlineStr"/>
      <c r="I25" t="inlineStr">
        <is>
          <t>About the Opportunity:
 The organization is seeking a Data Scientist to join a growing team that recently achieved profitability and aims to scale from 5 million to 50 million customers while targeting a $10 billion valuation. The role involves championing data\-driven decisions across critical business initiatives such as carrier growth and new product development. The team uses advanced machine learning models to conduct in\-depth analyses that shape growth strategies. The organization is developing a super app to simplify car ownership by integrating services including insurance, vehicle buying and selling, registration, loans, safety, repairs, and parking, addressing a $2 trillion market in the U.S. It has launched multiple features since 2019 and grown to over 5 million customers with $240 million in funding, 60X revenue growth, and a team of 225 across six countries.
 Responsibilities:
 • Collaborate with marketing, product, and business development teams to incorporate customer performance insights into acquisition strategies
 • Lead design, execution, and analysis of A/B tests on new and existing features to inform product and business decisions
 • Define and test factors driving profitable, scalable user acquisition and partnership growth
 • Identify opportunities to automate manual processes and improve operational efficiency
 Requirements:
 • Bachelor’s degree in a quantitatively or intellectually rigorous discipline
 • Minimum 1 year experience at a top\-tier economic consulting firm (e.g., Analysis Group, Cornerstone Research, Charles River Associates) or management consulting firm (e.g., McKinsey, Bain, Boston Consulting Group) or relevant data science/business analysis experience
 • Proficiency in SQL or Python
 • Strong problem\-solving framework with a first principles approach
 • Effective communication skills for audiences ranging from front\-line employees to C\-suite executives
 • High personal and team standards with a drive for excellence
 Benefits \&amp; Perks:
 • Health, dental, and vision insurance
 • Paid time off and paid parental leave
 • 401(k) plan with employer matching
 • Wellness benefits
 • Equity opportunities may be included in total rewards package
 • Note: Part\-time, contract, or freelance roles may not qualify for all benefits
 Compensation:
 • Starting pay within a market\-dependent range based on job\-related factors including skills, experience, qualifications, and work location
 • Potential equity grants as part of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6">
      <c r="A26" t="inlineStr">
        <is>
          <t>li-4354765996</t>
        </is>
      </c>
      <c r="B26" t="inlineStr">
        <is>
          <t>Data Scientist</t>
        </is>
      </c>
      <c r="C26" t="inlineStr">
        <is>
          <t>State Farm</t>
        </is>
      </c>
      <c r="D26" t="inlineStr">
        <is>
          <t>linkedin</t>
        </is>
      </c>
      <c r="E26" t="inlineStr"/>
      <c r="F26" t="inlineStr"/>
      <c r="G26" t="inlineStr">
        <is>
          <t>Tempe, AZ</t>
        </is>
      </c>
      <c r="H26" t="inlineStr"/>
      <c r="I26" t="inlineStr">
        <is>
          <t>**Overview**
 Being good neighbors \- helping people, investing in our communities, and making the world a better place \- is who we are at State Farm. It is at the core of how we operate and the reason for our success. Come join a \#1 team and do some good!
**Office Locations** 
 : Bloomington, Atlanta, Dallas, Phoenix
**HYBRID** 
 : Qualified candidates (in or near hub locations listed below) should plan to spend time working from home and some time working in the office as part of our hybrid work environment.
**Why Join Our Data Science Team?**
 At State Farm, we are dedicated to helping our team members develop to their full potential. As a Data Scientist, you have the unique opportunity to develop both professionally \&amp; analytically. You will strengthen your communication skills through interactions with technical and non\-technical business partners. Our data science teams also embrace staying current with the evolving data science landscape.
* Applicants are required to be eligible to lawfully work in the U.S. immediately; employer will not sponsor applicants for U.S. work authorization (e.g., H\-1B Visa) or future need for this opportunity.
**Responsibilities**
 State Farm's Rating \&amp; Underwriting Modeling Team is seeking Data Scientists to support the growing demand for advanced analytic solutions across the organization. We are looking for talented, motivated individuals who will partner with business areas to help drive results for the enterprise via the development and adoption of analytic solutions.
 Applicants for this posting will be considered for Data Scientist openings in:
* Property \&amp; Casualty Actuarial \&amp; Underwriting Modeling Department (PCM): Develops models that support State Farm’s insurance pricing and underwriting decisions
**Data Science at State Farm** 
 :
 As a Data Scientist at State Farm, you will serve as a subject matter expert and consultant. Through this role, you will share your knowledge and work to increase the use of analytics for decision\-making across the organization. Below are some of the tasks you can expect in the typical day of a Data Scientist:
* Develop and validate advanced analytic models
* Provide input into and/or build datasets to support model development
* Collaborate with other team members on scoping solutions and project decision points
* Present on technical topics to peers, leadership, and other stakeholders, including non\-technical business partners
* Lead/mentor other Data Scientists, interns, and other technical work teams
* Make strategic recommendations on data collection, integration, and retention requirements, incorporating business requirements and knowledge of best practices
* Serve as a peer reviewer to other model development teams
* Work on complex problems of diverse scopes
* Establish and leverage a network of associates with business domain and data expertise
* Instill a business\-oriented mindset that drives the data science \&amp; research agenda
* Build and maintain a relationship with the open\-source community by creating and contributing to open\-source data science software initiatives
**Qualifications**
**Requirements:**
* Completed Masters or other advanced degrees, in an analytical field such as statistics, mathematics, economics, data science, quantitative marketing, operations research, industrial engineering, etc.
* Experience building advanced analytic solutions using generalized linear models and at least one of the following: time series analysis, cluster analysis, tree\-based algorithms, or neural networks
* Experience with at least one statistical programming language: SAS, R, and/or Python
**Other Things We Look For:**
* Experience with cloud\-based environments (e.g., AWS), Linux, and/or SQL
* Strong communication skills and the ability to manage multiple, diverse stakeholders across business areas and leadership levels
**What You Can Expect:**
 Competitive candidates may be invited to participate in pre\-employment testing and/or the interview process. This is where the excitement begins!
* Applicants are required to be eligible to lawfully work in the U.S. immediately; employer will not sponsor applicants for U.S. work authorization (e.g., H\-1B Visa) or future need for this opportunity.
**Our Benefits**
 Because work\-life balance is a priority at State Farm, compensation is based on our standard 38:45\-hour work week!
* Potential starting salary range: $102,000 \- $163,000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27">
      <c r="A27" t="inlineStr">
        <is>
          <t>li-4203559535</t>
        </is>
      </c>
      <c r="B27" t="inlineStr">
        <is>
          <t>Senior Data Scientist (Pricing)</t>
        </is>
      </c>
      <c r="C27" t="inlineStr">
        <is>
          <t>Coinbase</t>
        </is>
      </c>
      <c r="D27" t="inlineStr">
        <is>
          <t>linkedin</t>
        </is>
      </c>
      <c r="E27" t="inlineStr"/>
      <c r="F27" t="inlineStr"/>
      <c r="G27" t="inlineStr"/>
      <c r="H27" t="inlineStr"/>
      <c r="I27"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Specifically, we’re looking for a Staff Data Scientist to join our Retail Trading Team. In this role, you’ll take charge of pricing experimentation and play a pivotal role in determining our pricing strategy: you’ll spearhead testing design and analysis, find opportunities to improve engagement and our bottom line, and communicate your ideas to execs and leaders across the company.
**What you’ll be doing (ie. job duties):** 
* Act as a strategic partner and collaborate with cross\-functional stakeholders to develop pricing vision, roadmap and priorities
* Design and develop pricing models and their evaluation framework to determine optimal pricing strategy
* Develop causal models to help isolate the impact of fee changes using experiments and observational data
* Initiate, develop, and maintain data pipelines and data models with outstanding craftsmanship
* Synthesize findings, and recommendations in a clear and concise manner and communicate to senior leadership
**What we look for in you (ie. job requirements):** 
* Demonstration of our core cultural values: clear communication, positive energy, continuous learning, and efficient execution.
* PhD preferred, or a Master’s degree in a field such as Economics or Statistics with 5\+ years of relevant experience.
* Minimum 5 years of experience in pricing experimentation, data analysis and statistical modeling
* Strong proficiency in SQL, Python, R, or other programming languages used for data analysis and statistical modeling
* Ability to independently create plans for analytics projects and a track record of overseeing large / complex analytical projects spanning multiple teams
* Excellent communication and presentation skills with the ability to explain complex data and analysis to non\-technical stakeholders.
* Strong attention to detail and ability to work under tight deadlines
**Nice to haves:** 
* Experience applying causal inference techniques outside of controlled experiments
* Experience working at or on a Crypto\-focused company or at a crypto exchange
*Disclaimer: Applying for a specific role does not guarantee consideration for that exact position. Leveling and team matching are assessed throughout the interview process.* 
 ID: G2462
 Pay Transparency Notice: Depending on your work location, the target annual salary for this position can range as detailed below. Full time offers from Coinbase also include target bonus \+ target equity \+ benefits (including medical, dental, vision and 401(k)).
 Pay Range: :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28">
      <c r="A28" t="inlineStr">
        <is>
          <t>li-4354446153</t>
        </is>
      </c>
      <c r="B28" t="inlineStr">
        <is>
          <t>Data Scientist</t>
        </is>
      </c>
      <c r="C28" t="inlineStr">
        <is>
          <t>State Farm</t>
        </is>
      </c>
      <c r="D28" t="inlineStr">
        <is>
          <t>linkedin</t>
        </is>
      </c>
      <c r="E28" t="inlineStr"/>
      <c r="F28" t="inlineStr"/>
      <c r="G28" t="inlineStr">
        <is>
          <t>Bloomington, IL</t>
        </is>
      </c>
      <c r="H28" t="inlineStr"/>
      <c r="I28" t="inlineStr">
        <is>
          <t>**Overview**
 Being good neighbors \- helping people, investing in our communities, and making the world a better place \- is who we are at State Farm. It is at the core of how we operate and the reason for our success. Come join a \#1 team and do some good!
**Office Locations** 
 : Bloomington, Atlanta, Dallas, Phoenix
**HYBRID** 
 : Qualified candidates (in or near hub locations listed below) should plan to spend time working from home and some time working in the office as part of our hybrid work environment.
**Why Join Our Data Science Team?**
 At State Farm, we are dedicated to helping our team members develop to their full potential. As a Data Scientist, you have the unique opportunity to develop both professionally \&amp; analytically. You will strengthen your communication skills through interactions with technical and non\-technical business partners. Our data science teams also embrace staying current with the evolving data science landscape.
* Applicants are required to be eligible to lawfully work in the U.S. immediately; employer will not sponsor applicants for U.S. work authorization (e.g., H\-1B Visa) or future need for this opportunity.
**Responsibilities**
 State Farm's Rating \&amp; Underwriting Modeling Team is seeking Data Scientists to support the growing demand for advanced analytic solutions across the organization. We are looking for talented, motivated individuals who will partner with business areas to help drive results for the enterprise via the development and adoption of analytic solutions.
 Applicants for this posting will be considered for Data Scientist openings in:
* Property \&amp; Casualty Actuarial \&amp; Underwriting Modeling Department (PCM): Develops models that support State Farm’s insurance pricing and underwriting decisions
**Data Science at State Farm** 
 :
 As a Data Scientist at State Farm, you will serve as a subject matter expert and consultant. Through this role, you will share your knowledge and work to increase the use of analytics for decision\-making across the organization. Below are some of the tasks you can expect in the typical day of a Data Scientist:
* Develop and validate advanced analytic models
* Provide input into and/or build datasets to support model development
* Collaborate with other team members on scoping solutions and project decision points
* Present on technical topics to peers, leadership, and other stakeholders, including non\-technical business partners
* Lead/mentor other Data Scientists, interns, and other technical work teams
* Make strategic recommendations on data collection, integration, and retention requirements, incorporating business requirements and knowledge of best practices
* Serve as a peer reviewer to other model development teams
* Work on complex problems of diverse scopes
* Establish and leverage a network of associates with business domain and data expertise
* Instill a business\-oriented mindset that drives the data science \&amp; research agenda
* Build and maintain a relationship with the open\-source community by creating and contributing to open\-source data science software initiatives
**Qualifications**
**Requirements:**
* Completed Masters or other advanced degrees, in an analytical field such as statistics, mathematics, economics, data science, quantitative marketing, operations research, industrial engineering, etc.
* Experience building advanced analytic solutions using generalized linear models and at least one of the following: time series analysis, cluster analysis, tree\-based algorithms, or neural networks
* Experience with at least one statistical programming language: SAS, R, and/or Python
**Other Things We Look For:**
* Experience with cloud\-based environments (e.g., AWS), Linux, and/or SQL
* Strong communication skills and the ability to manage multiple, diverse stakeholders across business areas and leadership levels
**What You Can Expect:**
 Competitive candidates may be invited to participate in pre\-employment testing and/or the interview process. This is where the excitement begins!
* Applicants are required to be eligible to lawfully work in the U.S. immediately; employer will not sponsor applicants for U.S. work authorization (e.g., H\-1B Visa) or future need for this opportunity.
**Our Benefits**
 Because work\-life balance is a priority at State Farm, compensation is based on our standard 38:45\-hour work week!
* Potential starting salary range: $102,000 \- $163,000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29">
      <c r="A29" t="inlineStr">
        <is>
          <t>li-4345902038</t>
        </is>
      </c>
      <c r="B29" t="inlineStr">
        <is>
          <t>Senior Data Scientist, Creative Excellence</t>
        </is>
      </c>
      <c r="C29" t="inlineStr">
        <is>
          <t>Ipsos in US</t>
        </is>
      </c>
      <c r="D29" t="inlineStr">
        <is>
          <t>linkedin</t>
        </is>
      </c>
      <c r="E29" t="inlineStr"/>
      <c r="F29" t="inlineStr"/>
      <c r="G29" t="inlineStr">
        <is>
          <t>New York, NY</t>
        </is>
      </c>
      <c r="H29" t="inlineStr"/>
      <c r="I29"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30">
      <c r="A30" t="inlineStr">
        <is>
          <t>li-4345719352</t>
        </is>
      </c>
      <c r="B30" t="inlineStr">
        <is>
          <t>Senior Data Scientist, Creative Excellence</t>
        </is>
      </c>
      <c r="C30" t="inlineStr">
        <is>
          <t>Ipsos in US</t>
        </is>
      </c>
      <c r="D30" t="inlineStr">
        <is>
          <t>linkedin</t>
        </is>
      </c>
      <c r="E30" t="inlineStr"/>
      <c r="F30" t="inlineStr"/>
      <c r="G30" t="inlineStr">
        <is>
          <t>Culver City, CA</t>
        </is>
      </c>
      <c r="H30" t="inlineStr"/>
      <c r="I30"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31">
      <c r="A31" t="inlineStr">
        <is>
          <t>li-4306890003</t>
        </is>
      </c>
      <c r="B31" t="inlineStr">
        <is>
          <t>Applied Scientist, Sponsored Products and Brands</t>
        </is>
      </c>
      <c r="C31" t="inlineStr">
        <is>
          <t>Amazon</t>
        </is>
      </c>
      <c r="D31" t="inlineStr">
        <is>
          <t>linkedin</t>
        </is>
      </c>
      <c r="E31" t="inlineStr"/>
      <c r="F31" t="inlineStr"/>
      <c r="G31" t="inlineStr">
        <is>
          <t>New York, United States</t>
        </is>
      </c>
      <c r="H31" t="inlineStr"/>
      <c r="I31"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Deep curiosity, and basic knowledge on Gen AI
**Preferred Qualifications**
* Experience using Unix/Linux
* Experience in professional software development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A3094891</t>
        </is>
      </c>
    </row>
    <row r="32">
      <c r="A32" t="inlineStr">
        <is>
          <t>li-4318298262</t>
        </is>
      </c>
      <c r="B32" t="inlineStr">
        <is>
          <t>Applied Scientist</t>
        </is>
      </c>
      <c r="C32" t="inlineStr">
        <is>
          <t>Amazon</t>
        </is>
      </c>
      <c r="D32" t="inlineStr">
        <is>
          <t>linkedin</t>
        </is>
      </c>
      <c r="E32" t="inlineStr"/>
      <c r="F32" t="inlineStr"/>
      <c r="G32" t="inlineStr">
        <is>
          <t>New York, United States</t>
        </is>
      </c>
      <c r="H32" t="inlineStr"/>
      <c r="I32"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Job ID: A3106501</t>
        </is>
      </c>
    </row>
    <row r="33">
      <c r="A33" t="inlineStr">
        <is>
          <t>li-4335090761</t>
        </is>
      </c>
      <c r="B33" t="inlineStr">
        <is>
          <t>Applied Scientist, Sponsored Products and Brands</t>
        </is>
      </c>
      <c r="C33" t="inlineStr">
        <is>
          <t>Amazon</t>
        </is>
      </c>
      <c r="D33" t="inlineStr">
        <is>
          <t>linkedin</t>
        </is>
      </c>
      <c r="E33" t="inlineStr"/>
      <c r="F33" t="inlineStr"/>
      <c r="G33" t="inlineStr">
        <is>
          <t>New York, United States</t>
        </is>
      </c>
      <c r="H33" t="inlineStr"/>
      <c r="I33"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A3122617</t>
        </is>
      </c>
    </row>
    <row r="34">
      <c r="A34" t="inlineStr">
        <is>
          <t>li-4352549185</t>
        </is>
      </c>
      <c r="B34" t="inlineStr">
        <is>
          <t>Data Scientist - eBay Live</t>
        </is>
      </c>
      <c r="C34" t="inlineStr">
        <is>
          <t>myGwork - LGBTQ+ Business Community</t>
        </is>
      </c>
      <c r="D34" t="inlineStr">
        <is>
          <t>linkedin</t>
        </is>
      </c>
      <c r="E34" t="inlineStr"/>
      <c r="F34" t="inlineStr"/>
      <c r="G34" t="inlineStr">
        <is>
          <t>San Jose, CA</t>
        </is>
      </c>
      <c r="H34" t="inlineStr"/>
      <c r="I34"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EBay Live**
**eBay Live** 
 is eBay's interactive live shopping experience where sellers and creators stream in real time and buyers engage through chat, bidding, and instant purchases. It blends entertainment, community, and commerce into a dynamic, trust‑backed way to discover and shop. Join us to build the analytics and AI backbone that powers discovery, engagement, and quality moderation across Live. It's a high‑visibility, priority growth initiative with significant runway \- an opportunity to deliver measurable impact at marketplace scale.
**Opportunity**
 As a
 **Senior Data Scientist** 
 , you will independently operate as a trusted Analytics Thought Partner for a specific eBay Live pillar \- leading moderate‑to‑complex analyses end‑to‑end, actively engaging stakeholders, resolving ambiguous problems, and prioritizing the most impactful work.
 Specifically you will be part of the journey to build the Data Science engine powering eBay Live hyper‑growth across pillars such as Seller Product and Success, Buyer Product, Categories/Markets expansion, Trust \&amp; Safety, Data Foundation, and Business Performance; and to deliver measurable impact in product strategy, growth, and marketplace efficiency through causal measurement, experimentation, marketplace and risk modeling, and production‑grade insights/dashboards.
**What You'll Do**
 You will focus on one of the following pillars:
* Buyer Product Analytics: Lead end‑to‑end analyses for live commerce features; define product metrics; build dashboards; run experiments that inform the roadmap and growth. Choose appropriate methods and operate with minimal guidance.
* Seller Product \&amp; Seller Success: Design growth experiments; analyze onboarding, listing quality, conversion, and retention; propose interventions; track impact with rigorous measurement and reporting.
* Categories \&amp; Markets Expansion: Model category\-market dynamics; size opportunities; build selection/expansion frameworks; recommend sequencing and launch decisions; contribute lightweight data engineering (e.g., derived tables) to unblock analyses.
* Trust \&amp; Safety: Analyze marketplace risk signals; partner on guardrail design and monitoring; apply practical ML/AI; refine test designs and metrics to reduce false positives while preserving good‑actor experience.
* Data Foundation \&amp; Instrumentation: Clarify metric taxonomies; ensure instrumentation quality; build curated datasets and dashboards; troubleshoot data issues; automate recurring tasks with a product‑first mindset.
* Business Performance: Own KPIs within scope; synthesize daily/weekly/monthly/quarterly performance narratives; surface opportunities/risks; influence decisions with evidence‑based recommendations and audience‑appropriate storytelling.
**What You Bring**
* Advanced analytics and causal inference (uplift, diff‑in‑diff, CUPED), robust A/B test design, and strong judgment in method selection for ambiguous problems.
* Technical toolkit: SQL/Python, dashboarding (e.g., Tableau/Looker), familiarity with applied ML/AI, and the ability to optimize queries and contribute lightweight data engineering when necessary.
* Quality and rigor: Proactive assumption checks, validation, and troubleshooting; ability to scale insights via self‑serve dashboards and reporting that stakeholders actually use.
* Communication and storytelling: Clear narratives that explain the "so what"; adjust depth for technical vs. non‑technical audiences; confident presentation and on‑the‑fly Q\&amp;A in cross‑functional forums.
* Stakeholder engagement: Proactive partner management; serve as the primary analytics contact for your area; propose data‑driven opportunities beyond explicit requests; consult managers for guidance in high‑stakes discussions as needed.
* Emerging leadership: Lead analyses coordinating with others; mentor junior analysts on technical skills and domain; demonstrate ownership and reliability in delivery and outcomes.
**Qualifications**
* BS/MS in a quantitative field (e.g., Statistics, Economics, CS) or equivalent experience; 4\-7 years in analytics/data science with demonstrated end‑to‑end delivery on moderate‑to‑complex projects.
* Strong SQL/Python; experimentation design; statistical modeling; dashboarding; familiarity with marketplace dynamics and product analytics.
* Executive‑ready communication with the ability to distill complex analysis to actionable recommendations and influence product decisions.
 The base pay range for this position is expected in the range below:
 $149,200 \- $199,200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
 ]]\&gt;</t>
        </is>
      </c>
    </row>
    <row r="35">
      <c r="A35" t="inlineStr">
        <is>
          <t>li-4316355895</t>
        </is>
      </c>
      <c r="B35" t="inlineStr">
        <is>
          <t>Lead Data Scientist</t>
        </is>
      </c>
      <c r="C35" t="inlineStr">
        <is>
          <t>J.D. Power</t>
        </is>
      </c>
      <c r="D35" t="inlineStr">
        <is>
          <t>linkedin</t>
        </is>
      </c>
      <c r="E35" t="inlineStr"/>
      <c r="F35" t="inlineStr"/>
      <c r="G35" t="inlineStr"/>
      <c r="H35" t="inlineStr"/>
      <c r="I35" t="inlineStr">
        <is>
          <t>**Job Description**
**The Role:**
 As part of the Data and Analytics division of JD Power, you will work to understand the features that drive the price of a vehicle and predict what future vehicle values will be, and other critical insights for the sector. Our data science team is accountable for every data point we output and provides accurate, transparent, industry\-leading analytics. We are looking for a Data Scientist who will have the freedom to utilize the latest technologies to solve challenging problems, create innovative machine learning processes from the ground up, deploy them into production. We are a mature and tight\-knit data science team looking to add another top\-shelf team member who is ready to make a difference in the automotive industry. Join us!
**The Impact**
 We make data products and every new data product we output will solve a problem in the auto industry. Every Data Scientist will build models that go into production and directly impact our core products.
**About The Job**
* Daily immersion in automotive industry data
* Involved in strategic planning and decision\-making for data science initiatives.
* Independently create decks to make highly technical predictions relatable to the automotive industry
* Documentation of machine learning processes
* Deep expertise in advanced feature engineering and AI/ML model building.
* Development and consulting expert in SQL, Python, Advanced Excel along with a framework such as AWS SageMaker or Palantir Data Science Integrations.
* Collaborate closely with technology and engineering teams to improve existing processes and build out new ones
* Work with the product team to develop the analytics that will power new products
* Leads PI (Program Increment) planning for activities to be conducted in the next quarter, with limited supervision, for major developmental modules or projects.
* Create visual reports for internal and external clients that summarize findings
* Team environment that encourages the sharing of ideas to build the best predictive algorithms
* Ad\-hoc data analysis and reporting
**What You Need**
* Demonstrated expertise with data analytics and/or statistical concepts such as: regression, logistic regression, time\-series modeling, Bayesian statistics, machine learning, data mining, simulation, optimization, and/or forecasting
* Ability to communicate technical processes to a lay audience
* Presentation experience
* Curiosity and passion for solving problems with data
* 8\+ years of professional experience working with large datasets
* 8\+ years of professional experience and full fluency with statistical programming software (including Python, Spark)
* 8\+ years of professional experience with database software (RedShift, Hive, SQL, MYSQL) – full mastery of some flavor of SQL
* Master’s Degree in Statistics, Data Science, Economics, or a related technical field
**Nice To Have**
* Experience with automotive market data
* Professional expertise deploying cloud\-based ML Ops systems
* Experience working with AWS tools (Sagemaker, Glue, Batch, Lamdba…)
* Some shareable examples of data visualizations you have created
* Experience deploying machine learning models into production with an API
* PhD in Statistics, Data Science, Economics, or related field
**The Career Opportunity**
 Grow as a full\-stack data scientist in a medium\-sized team. You will pipeline data, build models, deploy them in the cloud, and build monitoring suites.
**Company Mission**
 J.D. Power is clear about what we do to ensure our success into the future. We unite industry leading data and insights with world\-class technology to solve our clients’ toughest challenges.
**Our Values**
 At J.D. Power, we strive to be Truth Finders, Change Makers and Team Driven \- the distinct behaviors that, together, define our unique culture.
 J.D. Power is committed to employing a diverse workforce. Qualified applicants will receive consideration without regard to race, color, religion, sex, national origin, age, sexual orientation, gender identity, gender expression, veteran status, or disability.
 Should you require accommodations during the recruitment and selection process, please reach out to tarecruitment@jdpa.com.
 J.D. Power does not disclose your personal data to unauthorized third parties. However, as a global corporation consisting of multiple affiliated companies in various countries, J.D. Power has international sites and J.D. Power uses resources located throughout the world. J.D. Power may from time to time also use third parties to act on J.D. Power’s behalf. You agree to the fact that to the extent necessary your personal data may be transferred and/or disclosed to any company within J.D. Power group of companies as well as to third parties acting on J.D. Power’s behalf, including also transfers to servers and databases outside the country where you provided J.D. Power with your personal data. Such transfers may include for example transfers and/or disclosures outside the European Economic Area and in the United States of America. If you are a California or United Kingdom resident, additional disclosures about the information we collect and how we use that information can be found by clicking here.
 To all recruitment agencies: J.D. Power does not accept unsolicited agency resumes and we are not responsible for any fees related to unsolicited resumes.</t>
        </is>
      </c>
    </row>
    <row r="36">
      <c r="A36" t="inlineStr">
        <is>
          <t>li-4283627729</t>
        </is>
      </c>
      <c r="B36" t="inlineStr">
        <is>
          <t>Data Scientist Engineer</t>
        </is>
      </c>
      <c r="C36" t="inlineStr">
        <is>
          <t>Womble Bond Dickinson (US) LLP</t>
        </is>
      </c>
      <c r="D36" t="inlineStr">
        <is>
          <t>linkedin</t>
        </is>
      </c>
      <c r="E36" t="inlineStr"/>
      <c r="F36" t="inlineStr"/>
      <c r="G36" t="inlineStr">
        <is>
          <t>Nashville, TN</t>
        </is>
      </c>
      <c r="H36" t="inlineStr"/>
      <c r="I36" t="inlineStr">
        <is>
          <t>Womble Bond Dickinson (US) LLP seeks a Data Scientist Engineer. This position is responsible for designing, building, and maintaining a modern, enterprise\-grade business intelligence platform and analytics capabilities using Microsoft technologies. This position will leverage artificial intelligence (AI) and data science/business intelligence tools (including PowerBI, SQL, Python, R) to provide data\-driven insights into strategy and business operations and automate reporting and analytical tasks.
 While this position is heavily focused on data science/analytics, it will also involve data engineering. The candidate will work with on\-premises SQL Server environments (including SSRS and SSAS) while supporting a migration to an Azure environment including Microsoft Fabric, Azure SQL, Synapse, and OneLake architecture. The role also includes collaborating with data engineers to build and maintain ETL pipelines for an enterprise data warehouse, integrate data from third\-party systems, and documenting the structure, flow, and ownership of enterprise data assets.
**Responsibilities**
* Design and build scalable enterprise business intelligence systems and analytics capabilities for lawyers and staff.
* Develop and maintain dimensionally modeled data warehouses to support reporting and advanced analytics across various operational functions.
* Lead innovative AI\-driven approaches to automate workflows and promote data integrity and integration across systems.
* Synthesize and analyze data for reporting (including financial reporting) for complex questions and business problems.
* Collaborate with software/data engineers, analysts, and legal operations stakeholders to define data needs and build structured, governed solutions.
* Participate in data architecture planning and contribute to the firm's overall modernization strategy.
**Requirements**
* Bachelor’s Degree or advanced degree, preferably in Computer Science, Statistics or related field.
* 3\+ years of experience in data science, data analysis or data engineering using Microsoft technologies, preferably within legal and/or professional services industries.
* Strong working knowledge of Microsoft SQL Server BI and Data Science Tools such as T\-SQL, Python/R, PowerBI, SSRS/SSAS, DAX.
* Hands\-on experience with Microsoft Fabric and Microsoft’s OneLake architecture.
* Proficiency with ETL tools including Azure Data Factory, Synapse, Fabric, third\-party APIs / system integration.
* Ability to learn and leverage existing and emerging AI technologies.
* Demonstrated experience in dimensional modeling and enterprise data warehouse design (Kimball).
* Understanding of data governance, compliance, and security requirements in a legal context.
* Experience documenting data models, source mappings, ETL flows.
* Proficiency with Git and Azure DevOps for collaborative development and deployment.
* Understanding of data security best practices (Security\+ or higher certifications desirable).
 Compensation: The national estimated salary range for this position is approximately $96,800 to $165,900\. Starting salary will be determined based on qualifications and location.</t>
        </is>
      </c>
    </row>
    <row r="37">
      <c r="A37" t="inlineStr">
        <is>
          <t>li-4361572267</t>
        </is>
      </c>
      <c r="B37" t="inlineStr">
        <is>
          <t>Graph Data Scientist</t>
        </is>
      </c>
      <c r="C37" t="inlineStr">
        <is>
          <t>KTek Resourcing</t>
        </is>
      </c>
      <c r="D37" t="inlineStr">
        <is>
          <t>linkedin</t>
        </is>
      </c>
      <c r="E37" t="inlineStr"/>
      <c r="F37" t="inlineStr"/>
      <c r="G37" t="inlineStr">
        <is>
          <t>Texas, United States</t>
        </is>
      </c>
      <c r="H37" t="inlineStr"/>
      <c r="I37" t="inlineStr">
        <is>
          <t>**Position** 
 : Managing Data Scientist: Graph Data Science and Graph Databases
**Location** 
 : Remote
 We are looking for a Managing Data Scientist who possesses a combination of strong analytical, problem solving and client facing skills, mixed with a deep technical knowledge of graph data bases and graph data science. You will be a strong communicator and team player who demonstrates passion and curiosity in your approach.
 Qualifications
 • 7\+ years of Data Science experience in model development, model design, and practical application of model deployment into product.
 • 1\+ year of experience in Data Science model development on graph databases and practical working experience on Graphs/Graph Analytics (identity resolution, social networks, device graphs, knowledge graphs, graph neural networks etc.)
 • Strong understanding of graph database concepts and their application in a variety of use cases with hands on experience with a graph database platform such as Neo4j, Tiger Graph, or AWS Neptune
 • Extensive experience in developing graph data models (property or RDF) as well as relational data models
 • Strong familiarity with AI frameworks such as NumPY, Pandas, Scikit\-learn in Python/Pyspark/ or Scala and a strong working knowledge of one graph specific language (Cypher or Gremlin)
 • Familiarity with cloud platforms like AWS, GCP, or Azure and building data science models in cloud environments
 • Excellent verbal and written communication skills
 • Excellent time management and problem\-solving skills
 • Comfortable working in a dynamic, fast\-paced, innovative environment with several ongoing concurrent projects.
 Roles \&amp; Responsibilities:
 • Gathering Business Intelligence/Insights on graph use cases such as Identity Resolution to solve a variety of business problems across our client’s businesses
 • Develop Graph Data Science solutions and supporting roadmaps for our clients transformation agendas
 • Architect, design, and implement scalable and efficient graph database identity resolution solutions tailored to complex data relationships and queries
 • Lead the design of graph data models for identity resolution and ensure optimal performance for querying and analytics
 • Develop and manage graph database solutions such as Neptune, Neo4j or similar graph databases
 • Optimize graph databases for performance, including query optimization, indexing, and schema design
 • Implement best practices for database indexing, partitioning, and clustering to support large\-scale deployments
 • Create and maintain comprehensive data models that effectively represent relationships, hierarchies, and network structures for graph use cases (e.g. identity resolution)
 • Integrate identity resolution graph databases with existing data systems, ensuring seamless data flow and consistency across platforms.
 • Provide technical leadership and mentorship to graph database engineers and developers, fostering best practices in graph database design and development.
 • Collaborate with cross\-functional teams, including data scientists, software engineers, and business analysts, to deliver integrated identity resolution solutions
 Nice to Have
 • Familiarity with the end\-to\-end ecosystem inclusive of LiveRamp (i.e., RampID, Safe Have, Habu, etc.), DV360, The Trade Desk, Kevel, and others
 • Experience in AdOps and digital activation across global platforms
 • Strong understanding of identity, retail and commerce platforms
 • Strong understanding how regulations like CCPA and GDPR are impacting marketing channels</t>
        </is>
      </c>
    </row>
    <row r="38">
      <c r="A38" t="inlineStr">
        <is>
          <t>li-4345738558</t>
        </is>
      </c>
      <c r="B38" t="inlineStr">
        <is>
          <t>Senior Data Scientist, Avail</t>
        </is>
      </c>
      <c r="C38" t="inlineStr">
        <is>
          <t>Realtor.com</t>
        </is>
      </c>
      <c r="D38" t="inlineStr">
        <is>
          <t>linkedin</t>
        </is>
      </c>
      <c r="E38" t="inlineStr"/>
      <c r="F38" t="inlineStr"/>
      <c r="G38" t="inlineStr">
        <is>
          <t>Austin, TX</t>
        </is>
      </c>
      <c r="H38" t="inlineStr"/>
      <c r="I38"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We are seeking a Senior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Bachelor’s degree in a quantitative field (
 *e.g.* 
 , Statistics, Data Science, Applied Mathematics, Economics, Engineering, Computer Science).
* 6\+ years of relevant experience as a Data Scientist, Data Analyst, Product Analyst, or similar role, using SQL and Python (pandas, numpy, scipy).
* SQL \&amp; Python proficiency is a must, with 6\+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Master's or Ph.D. degree in a quantitative field (
 *e.g.* 
 ,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39">
      <c r="A39" t="inlineStr">
        <is>
          <t>li-4313826680</t>
        </is>
      </c>
      <c r="B39" t="inlineStr">
        <is>
          <t>Senior Data Scientist</t>
        </is>
      </c>
      <c r="C39" t="inlineStr">
        <is>
          <t>CubeSmart</t>
        </is>
      </c>
      <c r="D39" t="inlineStr">
        <is>
          <t>linkedin</t>
        </is>
      </c>
      <c r="E39" t="inlineStr"/>
      <c r="F39" t="inlineStr"/>
      <c r="G39" t="inlineStr">
        <is>
          <t>Malvern, PA</t>
        </is>
      </c>
      <c r="H39" t="inlineStr"/>
      <c r="I39" t="inlineStr">
        <is>
          <t>**Overview**
 This is a hybrid role based in the Malvern, PA office. (3 days in office)
 The Senior Data Scientist plays a critical role within the Data Science team, driving advanced analytics, machine learning, and predictive modeling initiatives. This role focuses on developing strategic models and solutions to optimize business operations, enhance customer experience, and maximize revenue. The Senior Data Scientist must possess deep technical expertise as they will play a critical role in shaping the data science strategy. The Senior Data Scientist will collaborate closely with cross\-functional teams, providing leadership in analytical projects while remaining hands\-on with coding and model development.
**Who We Are**
 At CubeSmart, we’re intentional about culture. You can experience it everywhere from our mission statement of “genuine care” to our “It’s What’s Inside That Counts” tagline to calling each other “teammates” rather than employees. This spirit fosters a fun and collaborative environment that has resulted in our rapid growth and being recognized amongst the top in our industry.
 CubeSmart’s award\-winning team is made up of people who genuinely care. Teammates care about our customers and the life events and/or business needs they are facing. Teammates are passionate, responsible, and understanding. The CubeSmart team is made up of people who have a can\-do attitude, are committed to their own success and the success of the company, and lead by example. If this sounds like a team and culture that matches your personal values and motivations, we want to hear from you.
**Responsibilities**
* Advanced Analytics and Modeling
+ Develop and implement advanced analytics and machine learning models to solve complex business problems.
+ Oversee the design and execution of predictive models for customer segmentation, pricing strategies, and inventory management.
+ Provide expert guidance on the theoretical foundations of statistical models and machine learning techniques, ensuring the selection of appropriate methods is grounded in a deep understanding of the problem context, underlying assumptions, and potential trade\-offs.
+ Ensure the accuracy, quality, and scalability of data science solutions.
+ Assist in the creation and evolution of state\-of\-the\-art MLOps implementations.
 Strategic Collaboration
* Work with cross\-functional teams, including marketing, operations, investments, and finance, to identify data\-driven opportunities.
* Provide actionable insights and recommendations to senior leadership based on analytical findings.
* Lead projects aimed at optimizing business operations, improving customer experience, and increasing revenue.
 Experimentation and Testing
* Design and implement testing and experimentation strategies, including A/B testing and controlled experiments.
* Analyze results from experiments to measure the effectiveness of business strategies.
* Develop guidelines and best practices for consistent and reliable experimentation results and monitoring.
 Data Infrastructure and Governance
* Collaborate with IT and data engineering teams to ensure data infrastructure is reliable and scalable.
* Establish and maintain data governance practices to ensure data quality, consistency, and security.
* Advocate for best practices in data management.
 Leadership and Mentorship
* Mentor junior data scientists, providing guidance on best practices and technical problem\-solving.
* Foster a collaborative and innovative team culture, promoting continuous learning and professional development.
 Communication and Stakeholder Management
* Communicate complex analytical concepts and insights to non\-technical stakeholders, including executives.
* Develop and deliver presentations, reports, and dashboards to convey data\-driven.
* Build and maintain strong relationships with internal stakeholders to understand their needs and provide tailored data science solutions.
**Qualifications**
* Master’s degree or Ph.D. in Economics, Data Science, Statistics, Mathematics, or a related field.
* Minimum of 5 years of experience in data science, analytics, or a related field.
* Proven track record in developing and deploying machine learning models and advanced analytics solutions.
* Proficiency in programming languages such as Python and SQL, and big data technologies like Databricks.
* Strong problem\-solving skills and strategic thinking ability.
* Excellent communication skills for explaining technical concepts to non\-technical audiences.
* Strong interpersonal skills for building relationships with stakeholders..</t>
        </is>
      </c>
    </row>
    <row r="40">
      <c r="A40" t="inlineStr">
        <is>
          <t>li-4345738968</t>
        </is>
      </c>
      <c r="B40" t="inlineStr">
        <is>
          <t>Senior Data Scientist, Creative Excellence</t>
        </is>
      </c>
      <c r="C40" t="inlineStr">
        <is>
          <t>Ipsos in US</t>
        </is>
      </c>
      <c r="D40" t="inlineStr">
        <is>
          <t>linkedin</t>
        </is>
      </c>
      <c r="E40" t="inlineStr"/>
      <c r="F40" t="inlineStr"/>
      <c r="G40" t="inlineStr">
        <is>
          <t>Norwalk, CT</t>
        </is>
      </c>
      <c r="H40" t="inlineStr"/>
      <c r="I40"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41">
      <c r="A41" t="inlineStr">
        <is>
          <t>li-4312506540</t>
        </is>
      </c>
      <c r="B41" t="inlineStr">
        <is>
          <t>Applied Scientist, Artificial General Intelligence</t>
        </is>
      </c>
      <c r="C41" t="inlineStr">
        <is>
          <t>Amazon</t>
        </is>
      </c>
      <c r="D41" t="inlineStr">
        <is>
          <t>linkedin</t>
        </is>
      </c>
      <c r="E41" t="inlineStr"/>
      <c r="F41" t="inlineStr"/>
      <c r="G41" t="inlineStr">
        <is>
          <t>Sunnyvale, CA</t>
        </is>
      </c>
      <c r="H41" t="inlineStr"/>
      <c r="I41"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A3104517</t>
        </is>
      </c>
    </row>
    <row r="42">
      <c r="A42" t="inlineStr">
        <is>
          <t>li-4325440028</t>
        </is>
      </c>
      <c r="B42" t="inlineStr">
        <is>
          <t>Lead Data Scientist - AI Implementation</t>
        </is>
      </c>
      <c r="C42" t="inlineStr">
        <is>
          <t>GM Financial</t>
        </is>
      </c>
      <c r="D42" t="inlineStr">
        <is>
          <t>linkedin</t>
        </is>
      </c>
      <c r="E42" t="inlineStr"/>
      <c r="F42" t="inlineStr"/>
      <c r="G42" t="inlineStr">
        <is>
          <t>Fort Worth, TX</t>
        </is>
      </c>
      <c r="H42" t="inlineStr"/>
      <c r="I42"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**Responsibilities**
**About the role:**
 The Lead Data Scientist – AI Focused role is responsible for designing, developing, and deploying advanced AI solutions, including Generative and Agentic AI Agents, to support key business functions. This position emphasizes hands\-on technical leadership in AI and machine learning, ensuring scalable and secure implementations. The role collaborates closely with cross\-functional teams to drive AI adoption and innovation, while maintaining alignment with organizational priorities and compliance standards.
**In This Role, You Will**
* L ead the development and deployment of AI\-driven solutions, with a strong emphasis on Generative and Agentic AI technologies.
* Collaborate with Data Science, IT, and business teams to implement scalable AI solutions.
* Support enterprise AI initiatives under the guidance of senior leadership, focusing on operationalization and adoption.
* Conduct research and experimentation on emerging AI technologies to enhance organizational capabilities.
* Mentor and coach junior data scientists in AI methodologies and best practices.
* Ensure compliance with data privacy, security, and regulatory standards in all AI implementations.
* Monitor and optimize AI model performance; develop dashboards and reporting tools for stakeholders.
* Participate in automation and process improvement initiatives leveraging AI technologies.
**What makes you a dream candidate?**
* Deep understanding of AI/ML concepts, including Generative AI and Agentic AI
* Knowledge of advanced statistical modeling, predictive analytics, and machine learning algorithms
* Familiarity with AI frameworks and platforms such as OpenAI, Claude, LLaMA, LangChain, and AutoGPT
* Understanding of data governance, privacy standards, and compliance requirements
* Solid understanding of IT architectural patterns, system integration, and enterprise technology stacks
* Familiarity with RESTful APIs, microservices, and best practices for secure and scalable API design
* Awareness of data flow, security, and compliance considerations in system implementations
* Hands\-on experience with machine learning and AI platforms (Python, R, SAS) and modern AI frameworks
* Proficiency in programming languages and tools for AI development and integration
* Strong problem\-solving and analytical skills; able to translate business problems into AI\-driven solutions
* Effective communication and presentation skills; able to explain complex AI concepts to non\-technical audiences
* Ability to design and implement API\-driven solutions for seamless integration with enterprise systems
* Experience collaborating with IT and engineering teams to ensure AI/ML solutions align with existing infrastructure
* Proficient in troubleshooting and optimizing data pipelines and system interfaces for robust performance
**Experience**
**QUALIFICATIONS**
* Master’s Degree or PhD in Computer Science, Data Science, Artificial Intelligence, Machine Learning, Applied Mathematics, Computational Science or Engineering Required
* 5\-7 years in related field or function required
* 5\-7 years leading through mentorship in related field preferred
* 5\-7 years leading projects and initiatives through influence preferred
**What We Offer** 
 : Generous benefits package available on day one to include: 401K matching, bonding leave for new parents (12 weeks, 100% paid), tuition assistance, training, GM employee auto discount, community service pay and nine company holidays.
**Our Culture** 
 : Our team members define and shape our culture — an environment that welcomes innovative ideas, fosters integrity, and creates a sense of community and belonging. Here we do more than work — we thrive.
**Compensation** 
 : Competitive pay and bonus eligibility.
**Work Life Balance** 
 : Flexible hybrid work environment, 2 days a week in the office.</t>
        </is>
      </c>
    </row>
    <row r="43">
      <c r="A43" t="inlineStr">
        <is>
          <t>li-4283990466</t>
        </is>
      </c>
      <c r="B43" t="inlineStr">
        <is>
          <t>Applied Scientist, Prime Air</t>
        </is>
      </c>
      <c r="C43" t="inlineStr">
        <is>
          <t>Amazon</t>
        </is>
      </c>
      <c r="D43" t="inlineStr">
        <is>
          <t>linkedin</t>
        </is>
      </c>
      <c r="E43" t="inlineStr"/>
      <c r="F43" t="inlineStr"/>
      <c r="G43" t="inlineStr">
        <is>
          <t>Seattle, WA</t>
        </is>
      </c>
      <c r="H43" t="inlineStr"/>
      <c r="I43" t="inlineStr">
        <is>
          <t>**Description**
 Here at Amazon, we embrace our differences. We are committed to furthering our culture of diversity and inclusion of our teams within the organization.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(https://www.aboutamazon.com/news/transportation/amazon\-prime\-air\-delivery\-drone\-reveal\-photos).
 If you are seeking an iterative environment where you can drive innovation, apply state\-of\-the\-art technologies to solve real world delivery challenges, and provide benefits to customers, Prime Air is the place for you.
 Come work on the Amazon Prime Air Team!
 We're looking for an Applied Scientist with either some background or strong interest in building simulation tools and algorithms for orchestration of a fleet of autonomous delivery drones. Managing a large number of concurrent autonomous drone flights that share airspace with other autonomous or manned aircraft is a challenging problem. Be part of the team building simulation tools and algorithms to solve this at scale.
 This role will contribute to a portfolio of simulation tools managing concurrent airspace traffic for aviation systems. The ideal candidate is comfortable with a degree of risk taking and ambiguity and able to build consensus on the critical path. If you enjoy the process of solving real\-world problems that, quite frankly, haven’t been solved at scale anywhere before, Prime Air could be the place for you. Along the way, we guarantee you’ll get opportunities to be a disruptor, prolific innovator, and a reputed problem solver and directly impact Amazon’s customer’s worldwide.
 Export Control License: This position may require a deemed export control license for compliance with applicable laws and regulations. Placement is contingent on Amazon’s ability to apply for and obtain an export control license on your behalf.
**About The Team**
 Prime air has ambitious goals to offer its service to an increasing number of customers and enabling a large number of concurrent flights is central to achieving this. To this end, the air traffic management team is building algorithms, tools and services for orchestration of prime air's autonomous drone fleet.
**Basic Qualifications**
* PhD, or Master's degree and 4\+ years of science, technology, engineering or related field experience
* Experience programming in Java, C\+\+, Python or related language
* Experience implementing algorithms using both toolkits and self\-developed code
**Preferred Qualifications**
* Experience in professional software development
* Experience in patents or publications at top\-tier peer\-reviewed conferences or journals
* Experience or strong interest in (a) building discrete event simulation tools from first principles (b) air traffic flow management (c) routing algorithms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A3057453</t>
        </is>
      </c>
    </row>
    <row r="44">
      <c r="A44" t="inlineStr">
        <is>
          <t>li-4312510376</t>
        </is>
      </c>
      <c r="B44" t="inlineStr">
        <is>
          <t>Applied Scientist, Artificial General Intelligence</t>
        </is>
      </c>
      <c r="C44" t="inlineStr">
        <is>
          <t>Amazon</t>
        </is>
      </c>
      <c r="D44" t="inlineStr">
        <is>
          <t>linkedin</t>
        </is>
      </c>
      <c r="E44" t="inlineStr"/>
      <c r="F44" t="inlineStr"/>
      <c r="G44" t="inlineStr">
        <is>
          <t>Seattle, WA</t>
        </is>
      </c>
      <c r="H44" t="inlineStr"/>
      <c r="I44"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A3104517</t>
        </is>
      </c>
    </row>
    <row r="45">
      <c r="A45" t="inlineStr">
        <is>
          <t>li-4315143197</t>
        </is>
      </c>
      <c r="B45" t="inlineStr">
        <is>
          <t>Applied Scientist, Artificial General Intelligence</t>
        </is>
      </c>
      <c r="C45" t="inlineStr">
        <is>
          <t>Amazon</t>
        </is>
      </c>
      <c r="D45" t="inlineStr">
        <is>
          <t>linkedin</t>
        </is>
      </c>
      <c r="E45" t="inlineStr"/>
      <c r="F45" t="inlineStr"/>
      <c r="G45" t="inlineStr">
        <is>
          <t>Sunnyvale, CA</t>
        </is>
      </c>
      <c r="H45" t="inlineStr"/>
      <c r="I45"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Bellevue \- 142,800\.00 \- 193,200\.00 USD annually
**Company** 
 \- Amazon.com Services LLC \- A57
 Job ID: A3108888</t>
        </is>
      </c>
    </row>
    <row r="46">
      <c r="A46" t="inlineStr">
        <is>
          <t>li-4305167259</t>
        </is>
      </c>
      <c r="B46" t="inlineStr">
        <is>
          <t>Senior Applied Scientist, Artificial General Intelligence</t>
        </is>
      </c>
      <c r="C46" t="inlineStr">
        <is>
          <t>Amazon</t>
        </is>
      </c>
      <c r="D46" t="inlineStr">
        <is>
          <t>linkedin</t>
        </is>
      </c>
      <c r="E46" t="inlineStr"/>
      <c r="F46" t="inlineStr"/>
      <c r="G46" t="inlineStr">
        <is>
          <t>Seattle, WA</t>
        </is>
      </c>
      <c r="H46" t="inlineStr"/>
      <c r="I46"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A3091494</t>
        </is>
      </c>
    </row>
    <row r="47">
      <c r="A47" t="inlineStr">
        <is>
          <t>li-4249022932</t>
        </is>
      </c>
      <c r="B47" t="inlineStr">
        <is>
          <t>Senior Data Scientist</t>
        </is>
      </c>
      <c r="C47" t="inlineStr">
        <is>
          <t>SAIC</t>
        </is>
      </c>
      <c r="D47" t="inlineStr">
        <is>
          <t>linkedin</t>
        </is>
      </c>
      <c r="E47" t="inlineStr"/>
      <c r="F47" t="inlineStr"/>
      <c r="G47" t="inlineStr">
        <is>
          <t>Fort Meade, MD</t>
        </is>
      </c>
      <c r="H47" t="inlineStr"/>
      <c r="I47" t="inlineStr">
        <is>
          <t>Job ID 2506521
**Location** 
 FORT MEADE, MD, US
**Date Posted** 
 2025\-06\-10
**Category** 
 Information Technology
**Subcategory** 
 Data Scientist
**Schedule** 
 Full\-time
**Shift** 
 Day Job
**Travel** 
 No
**Minimum Clearance Required TS/SCI With Poly**
**Clearance Level Must Be Able to Obtain** 
 None
**Potential for Remote Work** 
 No
**Description**
 SAIC, a leading provider of systems engineering \&amp; integration, systems development \&amp; deployment, intelligence analysis and targeting, and training solutions for the Intelligence Community, is seeking creative and dedicated professionals to fulfill their career goals and objectives while delivering mission excellence on programs of national importance.
 SAIC is seeking a highly motivated Data Scientist to join our team of professionals providing technical and program services to propel the organization forward at a location near Annapolis Junction, MD.
 The Data Scientist understands complex problems, develops solutions, and makes predictions based on collection and analysis which are then interpreted and communicated to assist with making informed organizational decisions. This individual will use statistical techniques and machine learning algorithms to identify patterns within massive amounts of structured and unstructured data, build predictive models, and develop data\-driven solutions. The ideal candidate will utilize their data expertise and apply leadership and analytical skills to the mission, contributing to its success.
 Responsibilities include but are not limited to
* Design and execute advanced data science solutions for technical evaluation and decision support.
* Manage complex technology portfolios across multiple acquisition programs.
* Establish and maintain sophisticated knowledge and portfolio management systems to contribute to complex system integration and architectural design processes.
* Conduct comprehensive technical assessments and feasibility studies and deliver detailed technical documentation and comprehensive reporting.
**Qualifications**
* Active TS/SCI with Polygraph.
* Bachelor’s degree.
* 3\+ years of experience with using data science tools.
* Experience with Exploratory Data Analysis and Anomaly Detection.
* Experience with Cyber and Network domain, including Host and Network data, including Netflow.
* Experience with using Python.
* Experience with the transition of a research capability to an operational product.
**Desired Qualifications**
* Master’s degree in Computer Science or a related quantitative analysis field.
* Experience with SIGINT, CNO, or cybersecurity operations.
* Experience with developing and deploying analytics in a CLI, Web Page, or Web Service Prototype.
* Experience in Java development of analytics and web services, including Java build tools, such as Maven.
* Experience with Distributed Batch and Streaming Analytics.
* Knowledge of strategic planning for increasing the scope and sustainability of Machine Learning.
* Knowledge of Time Series Analysis Graph.
 Target salary range $160,001 \- $200,000\. The estimate displayed represents the typical salary range for this position based on experience and other factors.</t>
        </is>
      </c>
    </row>
    <row r="48">
      <c r="A48" t="inlineStr">
        <is>
          <t>li-4305168235</t>
        </is>
      </c>
      <c r="B48" t="inlineStr">
        <is>
          <t>Senior Applied Scientist, Artificial General Intelligence</t>
        </is>
      </c>
      <c r="C48" t="inlineStr">
        <is>
          <t>Amazon</t>
        </is>
      </c>
      <c r="D48" t="inlineStr">
        <is>
          <t>linkedin</t>
        </is>
      </c>
      <c r="E48" t="inlineStr"/>
      <c r="F48" t="inlineStr"/>
      <c r="G48" t="inlineStr">
        <is>
          <t>Boston, MA</t>
        </is>
      </c>
      <c r="H48" t="inlineStr"/>
      <c r="I48"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A3091494</t>
        </is>
      </c>
    </row>
    <row r="49">
      <c r="A49" t="inlineStr">
        <is>
          <t>li-4298183643</t>
        </is>
      </c>
      <c r="B49" t="inlineStr">
        <is>
          <t>Senior Applied Scientist, Artificial General Intelligence</t>
        </is>
      </c>
      <c r="C49" t="inlineStr">
        <is>
          <t>Amazon</t>
        </is>
      </c>
      <c r="D49" t="inlineStr">
        <is>
          <t>linkedin</t>
        </is>
      </c>
      <c r="E49" t="inlineStr"/>
      <c r="F49" t="inlineStr"/>
      <c r="G49" t="inlineStr">
        <is>
          <t>Seattle, WA</t>
        </is>
      </c>
      <c r="H49" t="inlineStr"/>
      <c r="I49" t="inlineStr">
        <is>
          <t>**Description**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
**Basic Qualifications**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A3078169</t>
        </is>
      </c>
    </row>
    <row r="50">
      <c r="A50" t="inlineStr">
        <is>
          <t>li-4282815552</t>
        </is>
      </c>
      <c r="B50" t="inlineStr">
        <is>
          <t>Principal Applied Scientist (GenAI)</t>
        </is>
      </c>
      <c r="C50" t="inlineStr">
        <is>
          <t>Oracle</t>
        </is>
      </c>
      <c r="D50" t="inlineStr">
        <is>
          <t>linkedin</t>
        </is>
      </c>
      <c r="E50" t="inlineStr"/>
      <c r="F50" t="inlineStr"/>
      <c r="G50" t="inlineStr">
        <is>
          <t>Seattle, WA</t>
        </is>
      </c>
      <c r="H50" t="inlineStr"/>
      <c r="I50" t="inlineStr">
        <is>
          <t>**Job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1">
      <c r="A51" t="inlineStr">
        <is>
          <t>li-4282817462</t>
        </is>
      </c>
      <c r="B51" t="inlineStr">
        <is>
          <t>Principal Applied Scientist (GenAI)</t>
        </is>
      </c>
      <c r="C51" t="inlineStr">
        <is>
          <t>Oracle</t>
        </is>
      </c>
      <c r="D51" t="inlineStr">
        <is>
          <t>linkedin</t>
        </is>
      </c>
      <c r="E51" t="inlineStr"/>
      <c r="F51" t="inlineStr"/>
      <c r="G51" t="inlineStr"/>
      <c r="H51" t="inlineStr"/>
      <c r="I51" t="inlineStr">
        <is>
          <t>**Job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2">
      <c r="A52" t="inlineStr">
        <is>
          <t>li-4282816556</t>
        </is>
      </c>
      <c r="B52" t="inlineStr">
        <is>
          <t>Prinicipal Applied Scientist (GenAI)</t>
        </is>
      </c>
      <c r="C52" t="inlineStr">
        <is>
          <t>Oracle</t>
        </is>
      </c>
      <c r="D52" t="inlineStr">
        <is>
          <t>linkedin</t>
        </is>
      </c>
      <c r="E52" t="inlineStr"/>
      <c r="F52" t="inlineStr"/>
      <c r="G52" t="inlineStr">
        <is>
          <t>San Francisco, CA</t>
        </is>
      </c>
      <c r="H52" t="inlineStr"/>
      <c r="I52" t="inlineStr">
        <is>
          <t>**Job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3">
      <c r="A53" t="inlineStr">
        <is>
          <t>li-4361520957</t>
        </is>
      </c>
      <c r="B53" t="inlineStr">
        <is>
          <t>Principal Data and Applied Scientist</t>
        </is>
      </c>
      <c r="C53" t="inlineStr">
        <is>
          <t>Microsoft</t>
        </is>
      </c>
      <c r="D53" t="inlineStr">
        <is>
          <t>linkedin</t>
        </is>
      </c>
      <c r="E53" t="inlineStr"/>
      <c r="F53" t="inlineStr"/>
      <c r="G53" t="inlineStr">
        <is>
          <t>Redmond, WA</t>
        </is>
      </c>
      <c r="H53" t="inlineStr"/>
      <c r="I53"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Every day, customers stake their business and reputation on our cloud. You can help EngOps keep them secure, resilient, and ready.
 In the new era of AI, this role within Eng Ops Data \&amp; Applied Sciences team will provide you the opportunity to work on cutting\-edge GenAI and ML (Machine Learning) solutions that drive specific, measurable, and impactful improvements to key areas of Azure customer experience. In an environment of high opportunity and impact, we are looking for a Principal Data \&amp; Applied Scientist who can deliver on key initiatives for Security, Reliability and Quality through advanced AI solutions with a cross\-functional team of Product Managers, Designers, Engineers and Data Scientists.
**Responsibilities**
 As a Principal Data and Applied Scientist in our team, you will:
* Engage with product and business groups to drive impact of AI projects throughout the life cycle from idea creation through technology transfers, applied research, experimentation, implementation and finally to worldwide availability.
* Work with large\-scale computing frameworks, data analysis systems, and modeling environments to build and apply models to real products, and then verify effects through iterations.
* Perform rigorous experiments and evaluations to assess the quality and impact of your solutions and improve them based on data and customer feedback.
* Collaborate with cross\-functional teams including researchers, applied scientists, engineers, product managers and designers to build tools and improve the end\-to\-end AI Quality of our production systems.
* Mentor and guide the team, managing project schedules, milestones, KPIs, reviews, and checkpoints.
* Ensure compliance to Microsoft Responsible AI standards throughout the AI system lifecycle
* Stay abreast of the latest advancements in machine learning, Generative AI, information retrieval, and recommendation systems, and contribute to the company's intellectual property through patents and publications.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OR Doctorate in Statistics, Econometrics, Computer Science, Electrical or Computer Engineering, or related field AND 6\+ years related experience (e.g., statistics, predictive analytics, research)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in Python, PyTorch, TensorFlow, langchain, or other machine learning frameworks.
* Experience delivering AI product features, AI Frameworks and AI Skills/plug\-ins
* Relevant prior work experience, e.g., statistics, predictive analytics, research, GenAI.
 \#PRIMOjobs
 \#EngOps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li-4292582054</t>
        </is>
      </c>
      <c r="B54" t="inlineStr">
        <is>
          <t>Sr. Applied Scientist - Privacy, Privacy Engineering</t>
        </is>
      </c>
      <c r="C54" t="inlineStr">
        <is>
          <t>Amazon</t>
        </is>
      </c>
      <c r="D54" t="inlineStr">
        <is>
          <t>linkedin</t>
        </is>
      </c>
      <c r="E54" t="inlineStr"/>
      <c r="F54" t="inlineStr"/>
      <c r="G54" t="inlineStr">
        <is>
          <t>San Francisco, CA</t>
        </is>
      </c>
      <c r="H54" t="inlineStr"/>
      <c r="I54" t="inlineStr">
        <is>
          <t>**Description**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A2997657</t>
        </is>
      </c>
    </row>
    <row r="55">
      <c r="A55" t="inlineStr">
        <is>
          <t>li-4345847773</t>
        </is>
      </c>
      <c r="B55" t="inlineStr">
        <is>
          <t>Senior Applied Scientist, Security Issue Management</t>
        </is>
      </c>
      <c r="C55" t="inlineStr">
        <is>
          <t>Amazon</t>
        </is>
      </c>
      <c r="D55" t="inlineStr">
        <is>
          <t>linkedin</t>
        </is>
      </c>
      <c r="E55" t="inlineStr"/>
      <c r="F55" t="inlineStr"/>
      <c r="G55" t="inlineStr">
        <is>
          <t>Seattle, WA</t>
        </is>
      </c>
      <c r="H55" t="inlineStr"/>
      <c r="I55" t="inlineStr">
        <is>
          <t>**Description**
 We are open to hiring candidates to work out of one of the following locations:
 Seattle, WA, USA
 Are you interested in building Agentic AI solutions that solve complex builder experience challenges with significant global impact? The Security Tooling team designs and builds high\-performance AI systems using LLMs and machine learning that identify builder bottlenecks, automate security workflows, and optimize the software development lifecycle—empowering engineering teams worldwide to ship secure code faster while maintaining the highest security standards.
 As a Senior Applied Scientist on our Security Tooling team, you will focus on building state\-of\-the\-art ML models to enhance builder experience and productivity. You will identify builder bottlenecks and pain points across the software development lifecycle, design and apply experiments to study developer behavior, and measure the downstream impacts of security tooling on engineering velocity and code quality. Our team rewards curiosity while maintaining a laser\-focus on bringing products to market that empower builders while maintaining security excellence. Competitive candidates are responsive, flexible, and able to succeed within an open, collaborative, entrepreneurial, startup\-like environment. At the forefront of both academic and applied research in builder experience and security automation, you have the opportunity to work together with a diverse and talented team of scientists, engineers, and product managers and collaborate with other teams. This role offers a unique opportunity to work on projects that could fundamentally transform how builders interact with security tools and how organizations balance security requirements with developer productivity.
 Key job responsibilities
* Design and implement novel AI/ML solutions for complex security challenges and improve builder experience
* Drive advancements in machine learning and science
* Balance theoretical knowledge with practical implementation
* Navigate ambiguity and create clarity in early\-stage product development
* Collaborate with cross\-functional teams while fostering innovation in a collaborative work environment to deliver impactful solutions
* Design and execute experiments to evaluate the performance of different algorithms and models, and iterate quickly to improve results
* Establish best practices for ML experimentation, evaluation, development and deployment
 You’ll need a strong background in AI/ML, proven leadership skills, and the ability to translate complex concepts into actionable plans. You’ll also need to effectively translate research findings into practical solutions.
 A day in the life
* Integrate ML models into production security tooling with engineering teams
* Build and refine ML models and LLM\-based agentic systems that understand builder intent
* Create agentic AI solutions that reduce security friction while maintaining high security standards
* Prototype LLM\-powered features that automate repetitive security tasks
* Design and conduct experiments (A/B tests, observational studies) to measure downstream impacts of tooling changes on engineering productivity
* Present experimental results and recommendations to leadership and cross\-functional teams
* Gather feedback from builder communities to validate hypotheses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5\+ years of building machine learning models or developing algorithms for business application experience
* PhD, or Master's degree and 6\+ years of applied research experience
* Experience programming in Java, C\+\+, Python or related language
* Experience with neural deep learning methods and machine learning
**Preferred Qualifications**
* Experience with large scale machine learning systems such as profiling and debugging and understanding of system performance and scalability
* Experience with modeling tools such as R, scikit\-learn, Spark MLLib, MxNet, Tensorflow, numpy, scipy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A3147630</t>
        </is>
      </c>
    </row>
    <row r="56">
      <c r="A56" t="inlineStr">
        <is>
          <t>li-4361580577</t>
        </is>
      </c>
      <c r="B56" t="inlineStr">
        <is>
          <t>Principal Associate, Data Scientist - Risk Management Product</t>
        </is>
      </c>
      <c r="C56" t="inlineStr">
        <is>
          <t>Capital One</t>
        </is>
      </c>
      <c r="D56" t="inlineStr">
        <is>
          <t>linkedin</t>
        </is>
      </c>
      <c r="E56" t="inlineStr"/>
      <c r="F56" t="inlineStr"/>
      <c r="G56" t="inlineStr">
        <is>
          <t>Plano, TX</t>
        </is>
      </c>
      <c r="H56" t="inlineStr"/>
      <c r="I56" t="inlineStr">
        <is>
          <t>Principal Associate, Data Scientist \- Risk Management Product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Risk Management Product Data Science team, you will focus on leveraging machine learning to drive efficiencies and better risk management for the company. This team is responsible for:
* Compliance Innovation
* Product intent leadership across Compliance \&amp; Ethics (General Compliance and Corporate Integrity functions)
* Natural Language Processing initiatives
* Generative AI initiatives
 Risk Management Product RISK IQ is a transformation lever using products, analytics, innovation, and data as we advance our Risk Management programs. In addition, we are also in the midst of its own transformation, moving away from traditional data acquisition and basic reporting toward real time business analysis, data science, and Generative AI.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\- 1
* Technical. You’re comfortable with open\-source languages and are passionate about developing further. You have hands\-on experience developing data science solutions using open\-source tools and cloud computing platforms. 2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 At least 2 years’ experience working with generative AI
* At least 2 years’ experience working with NLP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Plano, TX: $147,100 \- $167,900 for Princ Associate, Data Science
 Richmond, VA: $147,100 \- $167,900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7">
      <c r="A57" t="inlineStr">
        <is>
          <t>li-4345930863</t>
        </is>
      </c>
      <c r="B57" t="inlineStr">
        <is>
          <t>Senior Graph Data Scientist</t>
        </is>
      </c>
      <c r="C57" t="inlineStr">
        <is>
          <t>Amida Technology Solutions</t>
        </is>
      </c>
      <c r="D57" t="inlineStr">
        <is>
          <t>linkedin</t>
        </is>
      </c>
      <c r="E57" t="inlineStr"/>
      <c r="F57" t="inlineStr"/>
      <c r="G57" t="inlineStr">
        <is>
          <t>Washington, DC</t>
        </is>
      </c>
      <c r="H57" t="inlineStr"/>
      <c r="I57" t="inlineStr">
        <is>
          <t>Amida Technology Solutions is a DC\-based technology company focused on data interoperability, integrity, governance, and security. We create solutions that collect, reconcile, transform, and standardize data for business intelligence, advanced analytics, decision support, and user transactions. We specialize in taking data from inception to impact.
 Our team is composed of creative, forward\-looking thinkers who are passionate about using cutting\-edge technology to improve lives and generate a positive impact on our country. We offer an entrepreneurial, high\-growth environment that values fresh ideas, candid conversations, and authentic teamwork.
 Amida is seeking a
 **Senior Graph Data Scientist.** 
 The successful candidate will work across our client engagements and internal research projects, helping the company develop graph algorithms and techniques to support advanced data management designs, including dimension\-rich and time\-series\-based decision systems. This role will report to the Director of Solutions The ideal candidate will be motivated by the opportunity to support public agencies, nonprofit organizations, and private companies in transforming their data into actionable insights. Preference will be given to candidates able to work a hybrid schedule in our offices in DC or Richmond, VA.
**What You Will Do**
* Serve as the company's expert in all aspects of graph data modeling, including schema development, tradeoff data connectivity with retrieval/query performance
* Design, implement, and optimize graph algorithms and data structures for applications in decision support, classification
* Supervise, help create, and implement algorithms for encoding and embedding, clustering, outlier detection, community detection, and dimensionality reduction
* Build distributed training pipelines that can handle large graphs (100 M\+ graph element)
* Design and write queries, stored procedures for data loading, migration from existing databases, and retrieval
* Interface with customers and internal resources to ensure alignment of expectations and objective progress towards the application of graph in advanced analytical systems
* Author white papers, technical documentation, patents, and present at conferences
* Mentor and train data scientists on graph theory, graph analytics and graph\-based solution architectures
* Other duties as assigned
**Required Education**
* Master's degree in Computer Science, Mathematics, or Engineering with a strong focus on graph theory, algorithms, and data structures
**Required Experience**
* 5\+ years of recent professional experience in Graph Machine Learning
* 3\+ years of recent professional experience in the development and implementation of graph algorithms and data structures, including heterogeneous graphs for new applications
* 3\+ years leading research initiatives
**Required Skills**
* Proficient with data modeling, schema design, database optimization, performance monitoring
* Proficient in software development using 4GLs
* Familiarity with graph libraries and frameworks, and machine learning libraries (e.g., PyTorch Geometric, DGL, GDS)
* Proficient in at least one Apache Spark based cloud service (e.g., Azure Databricks)
* Commitment to and engagement in building strong and trustful relationships with teammates, business partners, and customers
* Intellectually curious and passionate about exploring new frontiers in graph theory with an emphasis on real\-world applications
* Desire and ability to stay current with both academic and industry literature
* Ability to obtain Public Trust
**Preferred**
* Experience with Neo4j, Cosmos DB, Arango DB
* Experience with cloud services and their database management system
* Ph.D. in Computer Science, Mathematics, or Engineering with a strong focus on graph theory, algorithms, and data structures
**Success at Amida**
 Communication is the key to success at Amida. Our people are known for their can\-do attitude and their ability to work effectively with both internal and client teams. We pride ourselves on having a collegial, multidisciplinary team with diverse backgrounds and experience. Our best team members pay intense attention to detail in all aspects of their work, have great initiative, are opinionated about the best ways of doing things, and align quickly to decisions. A sense of humor is an asset at Amida.
 Full\-time, regular employees at Amida enjoy a robust benefits package that includes a generous 401(k) match with immediate vesting, 4 weeks of PTO, paid parental leave, medical insurance, dental insurance, vision insurance, life/AD\&amp;D insurance, and short\-term disability. We also offer tuition/training assistance and team building opportunities to encourage professional growth and collaboration.
 All qualified applicants will receive consideration without regard to race, color, religion, sex, sexual orientation, gender identity, national origin, disability, protected veteran status, or any other characteristic protected by law.</t>
        </is>
      </c>
    </row>
    <row r="58">
      <c r="A58" t="inlineStr">
        <is>
          <t>li-4361268356</t>
        </is>
      </c>
      <c r="B58" t="inlineStr">
        <is>
          <t>Senior Applied Scientist - Health and Life Sciences</t>
        </is>
      </c>
      <c r="C58" t="inlineStr">
        <is>
          <t>Microsoft</t>
        </is>
      </c>
      <c r="D58" t="inlineStr">
        <is>
          <t>linkedin</t>
        </is>
      </c>
      <c r="E58" t="inlineStr"/>
      <c r="F58" t="inlineStr"/>
      <c r="G58" t="inlineStr">
        <is>
          <t>Burlington, NC</t>
        </is>
      </c>
      <c r="H58" t="inlineStr"/>
      <c r="I58" t="inlineStr">
        <is>
          <t>**Overview**
 Microsoft’s Health and Life Sciences team is dedicated to empowering healthcare organizations to achieve their goals and improve patient care. We aim to create an efficient and connected healthcare ecosystem which empowers everyone across the healthcare journey to collaborate, communicate, and innovate together to provide better experiences for their workforces and patients or members alike.
 We are looking for a
 **Senior Applied Scientist \- Health and Life Sciences** 
 to join our Dragon ASR team. In this role, you will collaborate with a highly motivated, multi\-disciplinary group of scientists and engineers, primarily based in Vienna, Austria. Our team develops interactive and ambient speech recognition technologies powering Health and Life Sciences products such as Dragon Medical One, Dragon Copilot, and PowerScribe One.
 Our Mission Is To Deliver Solutions That Not Only Address Current Challenges But Also Pave The Way For The Future. We Seek a Passionate Scientist Who Thrives On Innovation, Embraces Teamwork, And Is Committed To Excellence. The Ideal Candidate Is
* Deeply engaged with the latest advancements in AI and speech technologies
* Focused on team success, contributing to a collaborative and inclusive environment
* Skilled in delivering high\-quality, production\-ready code that drives real\-world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 new technology and approaches into production by applying long\-term research efforts to solve immediate product needs
* Design, implement, optimize and experimentally evaluate features related to speech recognition and voice\-driven document creation
* Analyze field data, identify problems and provide strategic direction for future\-proof solutions
* Implement and enhance tools, learning algorithms and prototypes to advance speech technology capabilities
* Work closely with speech recognition experts, product managers, and engineering teams, and effectively communicate results and ideas to peers and leadership
**Qualifications**
**Minimum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of software development experience in production environments in C\+\+ and Python
* Experience working with machine learning models in areas such as speech recognition, natural language processing, generative AI
* Proficient communication skills
* Experience with speech recognition algorithms (speech\-to\-text)
* Experience with the Azure ecosystem
* Experience with large\-scale data processing and analytics
 \#hls \#hlssp \#Health\&amp;LifeSciences \#speechrecognition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9">
      <c r="A59" t="inlineStr">
        <is>
          <t>li-4046361850</t>
        </is>
      </c>
      <c r="B59" t="inlineStr">
        <is>
          <t>Principal Applied Scientist, Amazon Stores Economics &amp; Science (SEAS)</t>
        </is>
      </c>
      <c r="C59" t="inlineStr">
        <is>
          <t>Amazon</t>
        </is>
      </c>
      <c r="D59" t="inlineStr">
        <is>
          <t>linkedin</t>
        </is>
      </c>
      <c r="E59" t="inlineStr"/>
      <c r="F59" t="inlineStr"/>
      <c r="G59" t="inlineStr">
        <is>
          <t>Seattle, WA</t>
        </is>
      </c>
      <c r="H59" t="inlineStr"/>
      <c r="I59" t="inlineStr">
        <is>
          <t>**Description**
 Stores Economics and Science (SEAS) is an interdisciplinary science and engineering team in Amazon's Stores organization with a peak\-jumping mission: we apply expertise in science and engineering to move from local to global optima in methods, models, and software. We pursue this mission by leveraging frontier science; collaborating with partner teams; and learning from the tools, experience, and perspective of others. We scale by solving problems, first in the small to prove concepts, and then in the large by building scalable solutions. We also help other teams within Amazon scale by hiring and developing the best and embedding them in other business units. In 2024, we are focused on economics and science in areas related to (1\) improving delivery speed and lowering cost\-to\-serve, (2\) seller fees and incentives, and (3\) emerging machine learning using LLMs. We also have some ongoing and highly leveraged collaborations that help partner teams inside Amazon short\-circuit months of R\&amp;D or otherwise look around corners. We are looking for a seasoned Applied Science leader to build and deliver cutting\-edge science and engineering solutions to improve our Stores business. In this role, you will lead a team of scientists and engineers with backgrounds in machine learning, NLP, IR, statistics, and economics to identify bottlenecks in our business, conceive new ideas to overcome those challenges, and deploy scientific solutions in partnership with product teams. Your responsibilities include developing the scientific models, benchmarks, and services. Graduate education and hands\-on experience in machine learning, optimization, causal inference, Bayesian statistics, deep learning, or other quantitative scientific fields is a must. To be successful in this role, you should be a quick learner and comfortable with a high degree of ambiguity.
 Key job responsibilities
 Knowledge of causal inference and forecasting models are preferred. Practical knowledge of how we can leverage Transformers, LLMs, or other deep learning techniques for a variety of applications is a must.
**Basic Qualifications**
 10\+ years of building machine learning models for business application experience
 PhD, or Master's degree and 10\+ years of applied research experience
 Experience programming in Java, C\+\+, Python or related language
 Experience with neural deep learning methods and machine learning
**Preferred Qualifications**
 Experience with modeling tools such as R, scikit\-learn, Spark MLLib, MxNet, Tensorflow, numpy, scipy etc.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A2799703</t>
        </is>
      </c>
    </row>
    <row r="60">
      <c r="A60" t="inlineStr">
        <is>
          <t>li-4340748547</t>
        </is>
      </c>
      <c r="B60" t="inlineStr">
        <is>
          <t>Sr. Applied Scientist, Amazon Selling Partner Trust &amp; Store Integrity Science</t>
        </is>
      </c>
      <c r="C60" t="inlineStr">
        <is>
          <t>Amazon</t>
        </is>
      </c>
      <c r="D60" t="inlineStr">
        <is>
          <t>linkedin</t>
        </is>
      </c>
      <c r="E60" t="inlineStr"/>
      <c r="F60" t="inlineStr"/>
      <c r="G60" t="inlineStr">
        <is>
          <t>Seattle, WA</t>
        </is>
      </c>
      <c r="H60" t="inlineStr"/>
      <c r="I60" t="inlineStr">
        <is>
          <t>**Description**
 Are you passionate about applying machine learning and advanced statistical techniques to protect one of the world's largest online marketplaces? Do you want to be at the forefront of developing innovative solutions that safeguard Amazon's customers and legitimate sellers while ensuring a fair and trusted shopping experience? Do you thrive in a collaborative environment where diverse perspectives drive breakthrough solutions?
 If yes, we invite you to join the Amazon Risk Intelligence Science Team. We're seeking an exceptional scientist who can revolutionize how we protect our marketplace through intelligent automation. As a key member of our team, you'll develop and deploy state\-of\-the\-art machine learning systems that analyze millions of seller interactions daily, ensuring the integrity and trustworthiness of Amazon's marketplace while scaling our operations to new heights. Your work will directly impact the safety and security of the shopping experience for hundreds of millions of customers worldwide, while supporting the growth of honest entrepreneurs and businesses.
 Key job responsibilities
* Use machine learning and statistical techniques to create scalable abuse detection solutions that identify fraudulent seller behavior, account takeovers, and marketplace manipulation schemes
* Innovate with the latest GenAI technology to build highly automated solutions for efficient seller verification, transaction monitoring, and risk assessment
* Design, develop and deploy end\-to\-end machine learning solutions in the Amazon production environment to prevent and detect sophisticated abuse patterns across the marketplace
* Learn, explore and experiment with the latest machine learning advancements to protect customer trust and maintain marketplace integrity while supporting legitimate selling partners
* Collaborate with cross\-functional teams to develop comprehensive risk models that can adapt to evolving abuse patterns and emerging threats
**About The Team**
 You'll be working closely with business partners and engineering teams to create end\-to\-end scalable machine learning solutions that address real\-world problems. You will build scalable, efficient, and automated processes for large\-scale data analyses, model development, model validation, and model implementation.
 You will also be providing clear and compelling reports for your solutions and contributing to the ongoing innovation and knowledge\-sharing that are central to the team's success.
**Basic Qualifications**
* 4\+ years of building machine learning models for business application experience
* PhD, or Master's degree and 3\+ years of applied research experience
* Experience programming in Java, C\+\+, Python or related language
* Experience with neural deep learning methods and machine learning
* 4\+ years of applied research experience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A3134314</t>
        </is>
      </c>
    </row>
    <row r="61">
      <c r="A61" t="inlineStr">
        <is>
          <t>li-4315150137</t>
        </is>
      </c>
      <c r="B61" t="inlineStr">
        <is>
          <t>Senior Applied Scientist, Delivery Foundation Model</t>
        </is>
      </c>
      <c r="C61" t="inlineStr">
        <is>
          <t>Amazon</t>
        </is>
      </c>
      <c r="D61" t="inlineStr">
        <is>
          <t>linkedin</t>
        </is>
      </c>
      <c r="E61" t="inlineStr"/>
      <c r="F61" t="inlineStr"/>
      <c r="G61" t="inlineStr">
        <is>
          <t>Bellevue, WA</t>
        </is>
      </c>
      <c r="H61" t="inlineStr"/>
      <c r="I61"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
**Preferred Qualifications**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A2998435</t>
        </is>
      </c>
    </row>
    <row r="62">
      <c r="A62" t="inlineStr">
        <is>
          <t>li-4046361849</t>
        </is>
      </c>
      <c r="B62" t="inlineStr">
        <is>
          <t>Principal Applied Scientist, Amazon Stores Economics &amp; Science (SEAS)</t>
        </is>
      </c>
      <c r="C62" t="inlineStr">
        <is>
          <t>Amazon</t>
        </is>
      </c>
      <c r="D62" t="inlineStr">
        <is>
          <t>linkedin</t>
        </is>
      </c>
      <c r="E62" t="inlineStr"/>
      <c r="F62" t="inlineStr"/>
      <c r="G62" t="inlineStr">
        <is>
          <t>Palo Alto, CA</t>
        </is>
      </c>
      <c r="H62" t="inlineStr"/>
      <c r="I62" t="inlineStr">
        <is>
          <t>**Description**
 Stores Economics and Science (SEAS) is an interdisciplinary science and engineering team in Amazon's Stores organization with a peak\-jumping mission: we apply expertise in science and engineering to move from local to global optima in methods, models, and software. We pursue this mission by leveraging frontier science; collaborating with partner teams; and learning from the tools, experience, and perspective of others. We scale by solving problems, first in the small to prove concepts, and then in the large by building scalable solutions. We also help other teams within Amazon scale by hiring and developing the best and embedding them in other business units. In 2024, we are focused on economics and science in areas related to (1\) improving delivery speed and lowering cost\-to\-serve, (2\) seller fees and incentives, and (3\) emerging machine learning using LLMs. We also have some ongoing and highly leveraged collaborations that help partner teams inside Amazon short\-circuit months of R\&amp;D or otherwise look around corners. We are looking for a seasoned Applied Science leader to build and deliver cutting\-edge science and engineering solutions to improve our Stores business. In this role, you will lead a team of scientists and engineers with backgrounds in machine learning, NLP, IR, statistics, and economics to identify bottlenecks in our business, conceive new ideas to overcome those challenges, and deploy scientific solutions in partnership with product teams. Your responsibilities include developing the scientific models, benchmarks, and services. Graduate education and hands\-on experience in machine learning, optimization, causal inference, Bayesian statistics, deep learning, or other quantitative scientific fields is a must. To be successful in this role, you should be a quick learner and comfortable with a high degree of ambiguity.
 Key job responsibilities
 Knowledge of causal inference and forecasting models are preferred. Practical knowledge of how we can leverage Transformers, LLMs, or other deep learning techniques for a variety of applications is a must.
**Basic Qualifications**
 10\+ years of building machine learning models for business application experience
 PhD, or Master's degree and 10\+ years of applied research experience
 Experience programming in Java, C\+\+, Python or related language
 Experience with neural deep learning methods and machine learning
**Preferred Qualifications**
 Experience with modeling tools such as R, scikit\-learn, Spark MLLib, MxNet, Tensorflow, numpy, scipy etc.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A2799703</t>
        </is>
      </c>
    </row>
    <row r="63">
      <c r="A63" t="inlineStr">
        <is>
          <t>li-4346041149</t>
        </is>
      </c>
      <c r="B63" t="inlineStr">
        <is>
          <t>Staff Data Scientist</t>
        </is>
      </c>
      <c r="C63" t="inlineStr">
        <is>
          <t>Blue Yonder</t>
        </is>
      </c>
      <c r="D63" t="inlineStr">
        <is>
          <t>linkedin</t>
        </is>
      </c>
      <c r="E63" t="inlineStr"/>
      <c r="F63" t="inlineStr"/>
      <c r="G63" t="inlineStr">
        <is>
          <t>Coppell, TX</t>
        </is>
      </c>
      <c r="H63" t="inlineStr"/>
      <c r="I63" t="inlineStr">
        <is>
          <t>**Role: Staff Data Scientist ( This is a Senior role)
 Location : Dallas, TX ( Hybrid role , NO Remote option)**
**Overview**
 Join Blue Yonder Data Science and Machine Learning team as a Staff Data Scientist, steering our machine learning platform that processes real\-time data and powers deep learning models, generating billions of predictions daily. Collaborate closely with sales, product, and engineering teams to spearhead the design and implementation of cutting\-edge retail solutions. Helps the team get better technically, mentors junior associates, and keeps customer
**Success In Focus, In Particular**
* Is responsible for designing, developing, and testing new algorithms, models, or solving approaches based on machine learning, operation research, or
* other techniques to solve a Blue Yonder business problem with little or no supervision.
* Develops prototypes and proofs of principles for innovative features.
* Integrates new models and algorithms into a product solution.
* Mentors team with scientific libraries and development tools.
* Develops quality software (including test code) according to clean code principles and Blue Yonder standards.
* Considers operational aspects of machine learning services in early design stages and strives for more automation and self\-service to reduce operational efforts for themselves and the team.
* Empowers team members by sharing knowledge and providing hints so they come up with their own solutions.
* Leads by example.
**Technical Environment**
 Operate within a sophisticated technical landscape, utilizing Python 3\.\* and frameworks such as TensorFlow, PyTorch, BigQuery, Apache Beam,
 Apache Spark, Kubeflow, Dataflow, Kubernetes, Kafka, Pub/Sub, and Flask. Our application architecture follows a scalable, resilient, reactive, event\-driven
 and secure multi\-tenant Microservices design, hosted on Google and Azure Cloud.
**Responsibilities**
* As Staff Data scientist, you will be a guiding the team in the implementation of machine learning models and deep learning tools.
* Collaborate with cross\-functional teams to execute data enrichment, cleansing routines, and feature selection.
* Evaluate candidate models, select the final model, and report on test performance.
* Ensure proper runtime deployment of models and implement runtime monitoring for continued model stability.
* Drive collaboration with product, sales, and engineering teams to shape the final solution.
* Utilize data to understand patterns, formulate and test hypotheses, and iterate as needed.
* Play a key role in preparing sales materials and estimating hardware requirements.
* Lead client meetings, both online and onsite, to discuss new and current functionality.
**Qualifications**
* Bachelor’s Degree in Computer Science or any other related field is required
* Min 8 to 10 years of experience with strong foundation in data science and deep learning principles.
* Proficient in Python programming with a solid understanding of data structures.
* Experience with frameworks and libraries like Pandas, NumPy, Keras, TensorFlow, Jupyter, Matplotlib, etc.
* Expertise in a database query language, preferably SQL.
* Familiarity with deep learning, time series, NLP, reinforcement learning, and combinatorial optimization.
 Familiarity with Big Data technologies like Snowflake, Apache Beam/Spark/Flink, and Databricks.
* Solid experience with major cloud platforms, preferably Azure and/or GCP.
* Knowledge of modern software development tools and best practices, including Git, Github Actions, Jenkins, Docker, Jira, etc.
* Proven experience in team leadership, mentoring junior data scientists in an official or unofficial capacity.
* Desired knowledge of Kafka, Redis, Cassandra, etc.
 Synomym title : Staff Software Engineer
 SR1
 The annual salary range for this position is $130,023\.09 \- $163,976\.90
 The salary range information provided, reflects the anticipated base salary range for this position based on current national data. Minimums and maximums may vary based on location. Individual salary will be commensurate with skills, experience, certifications or licenses and other relevant factors. In addition, this role will be eligible to participate in either the annual performance bonus or commission program, determined by the nature of the position.
**Benefits**
 At Blue Yonder, we care about the wellbeing of our employees and those most important to them. This is reflected in our robust benefits package and options that includes:
* Comprehensive Medical, Dental and Vision
* 401K with Matching
* Flexible Time Off
* Corporate Fitness Program
* A variety of voluntary benefits such as; Legal Plans, Accident and Hospital Indemnity, Pet Insurance and much more
 At Blue Yonder, we are committed to a workplace that genuinely fosters inclusion and belonging in which everyone can share their unique voices and talents in a safe space. We continue to be guided by our core values and are proud of our diverse culture as an equal opportunity employer. We understand that your career search may look different than others, and embrace the professional, personal, educational, and volunteer opportunities through which people gain experience.
**Our Values**
 If you want to know the heart of a company, take a look at their values. Ours unite us. They are what drive our success – and the success of our customers. Does your heart beat like ours? Find out here: Core Values
 All qualified applicants will receive consideration for employment without regard to race, color, religion, sex, sexual orientation, gender identity, national origin, disability or protected veteran status.</t>
        </is>
      </c>
    </row>
    <row r="64">
      <c r="A64" t="inlineStr">
        <is>
          <t>li-4361351620</t>
        </is>
      </c>
      <c r="B64" t="inlineStr">
        <is>
          <t>Senior Data Scientist</t>
        </is>
      </c>
      <c r="C64" t="inlineStr">
        <is>
          <t>LinkedIn</t>
        </is>
      </c>
      <c r="D64" t="inlineStr">
        <is>
          <t>linkedin</t>
        </is>
      </c>
      <c r="E64">
        <f>HYPERLINK("https://www.linkedin.com/jobs/view/4361351620", "https://www.linkedin.com/jobs/view/4361351620")</f>
        <v/>
      </c>
      <c r="F64" t="inlineStr"/>
      <c r="G64" t="inlineStr">
        <is>
          <t>Mountain View, CA</t>
        </is>
      </c>
      <c r="H64" t="inlineStr"/>
      <c r="I6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LinkedIn offers countless ways for an ambitious data engineer to have an impact and transform your career.
 We are now looking for a talented and driven individual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Partner with cross\-functional teams to contribute towards completion of large\-scale/complex strategic projects for teams, departments and the company.
* Drive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 Engage with technology partners to build, prototype and validate scalable tools/applications end to end (backend, frontend, data) for converting data to insights.
* Mentor junior members of the team.
**Qualifications**
 Basic Qualifications
* Bachelor's Degree in a quantitative discipline: Computer Science, Statistics, Operations Research, Informatics, Engineering, Applied Mathematics, Economics, etc.
* 3\+ years of relevant industry or relevant academia experience working with large amounts of data
* Experience influencing strategy through data\-centric presentations.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BS and 5\+ years of relevant work experience, MS and 3\+ years of relevant work experience, or Ph.D. and 1\+ years of relevant work/academia experience working with large amounts of data
* MS or PhD in a quantitative discipline: statistics, operations research, computer science, informatics, engineering, applied mathematics, economics, etc.
* Experience with manipulating massive\-scale structured and unstructured data.
* Working knowledge of Unix command\-line/shell, git and review board.
* Experience leveraging government data or publicly available third\-party APIs.
* Excellent communication skills, with the ability to synthesize, simplify and explain complex problems to different types of audience.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$121,000\.00 to $198,000\.00\.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5">
      <c r="A65" t="inlineStr">
        <is>
          <t>li-4361590525</t>
        </is>
      </c>
      <c r="B65" t="inlineStr">
        <is>
          <t>Staff Data Scientist</t>
        </is>
      </c>
      <c r="C65" t="inlineStr">
        <is>
          <t>LinkedIn</t>
        </is>
      </c>
      <c r="D65" t="inlineStr">
        <is>
          <t>linkedin</t>
        </is>
      </c>
      <c r="E65">
        <f>HYPERLINK("https://www.linkedin.com/jobs/view/4361590525", "https://www.linkedin.com/jobs/view/4361590525")</f>
        <v/>
      </c>
      <c r="F65" t="inlineStr"/>
      <c r="G65" t="inlineStr">
        <is>
          <t>Mountain View, CA</t>
        </is>
      </c>
      <c r="H65" t="inlineStr"/>
      <c r="I6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**Overview:**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looking for a talented and driven technical leader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Partner with cross\-functional teams to initiate, lead and drive to completion large\-scale/complex strategic projects for teams, departments and the company.
* Act as a thought partner to senior leaders to prioritize/scope projects, provide recommendations, and evangelize data\-driven business decisions in support of strategic goals.
* Provide technical guidance and mentorship to junior team members on solution design as well as lead code/design reviews.
* Drive org\-wide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Independently craft compelling stories; make logical recommendations; drive informed actions.
* Engage with technology partners to build, prototype and validate scalable tools/applications end to end (backend, frontend, data) for converting data to insights.
* Mentor junior members of the team.
**Qualifications**
**Basic Qualifications:**
* Bachelor or higher degree in a quantitative discipline: statistics, operations research, computer science, informatics, engineering, applied mathematics, economics, etc.
* 5\+ years of relevant work experience.
* Experience influencing strategy through data\-centric presentations .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Experience with manipulating massive\-scale structured and unstructured data.
* Proven record writing and optimizing code with high levels of craftsmanship, and coaching others to improve technical outputs.
* Working knowledge of Unix command\-line/shell, git and review board.
* Experience leveraging government data or publicly available third\-party APIs.
* Experience mentoring other data scientists in an official or unofficial capacity.
* Excellent communication skills, with the ability to synthesize, simplify and explain complex problems to different types of audience, including executives and compile compelling narratives.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Compensation:
 The pay range for this role is $144,000 \- $236,000\.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6">
      <c r="A66" t="inlineStr">
        <is>
          <t>li-4346050065</t>
        </is>
      </c>
      <c r="B66" t="inlineStr">
        <is>
          <t>Data Scientist - E-commerce</t>
        </is>
      </c>
      <c r="C66" t="inlineStr">
        <is>
          <t>Corsair</t>
        </is>
      </c>
      <c r="D66" t="inlineStr">
        <is>
          <t>linkedin</t>
        </is>
      </c>
      <c r="E66">
        <f>HYPERLINK("https://www.linkedin.com/jobs/view/4346050065", "https://www.linkedin.com/jobs/view/4346050065")</f>
        <v/>
      </c>
      <c r="F66">
        <f>HYPERLINK("https://edix.fa.us2.oraclecloud.com/hcmUI/CandidateExperience/en/job/8654/?utm_medium=jobshare&amp;urlHash=uEz8", "https://edix.fa.us2.oraclecloud.com/hcmUI/CandidateExperience/en/job/8654/?utm_medium=jobshare&amp;urlHash=uEz8")</f>
        <v/>
      </c>
      <c r="G66" t="inlineStr">
        <is>
          <t>Milpitas, CA</t>
        </is>
      </c>
      <c r="H66" t="inlineStr"/>
      <c r="I66" t="inlineStr">
        <is>
          <t>**Job Description**
**Position Summary, Responsibilities and Expectations:**
* Perform customer, product, and behavioral segmentation analysis using transactional, browsing, and content data
* Analyze e\-commerce performance metrics and experiment results to identify trends, opportunities, and optimization levers
* Support AI\-driven use cases such as personalization, merchandising intelligence, and content optimization
* Design and analyze A/B tests to evaluate changes in content, merchandising, or customer experience
* Work with e\-commerce and content platforms such as Contentful, Jasper, and Omnify to understand data structures, workflows, and optimization opportunities
* Support MCP\-aware workflows where analytics, models, or tools exchange contextual data across systems
* Assist in building and maintaining data analysis pipelines and exploratory models using Python
* Collaborate with cross\-functional teams across E\-Commerce, Data Science, Marketing, and Engineering
* Document analyses, experiments, assumptions, and insights clearly for internal stakeholders
**Essential Skills And Experience**
* Currently pursuing a Bachelor’s or Master’s degree in Computer Science, Data Science, Engineering, Statistics, Economics, Business Analytics, or a related field
* Strong proficiency in Python for data analysis
* Solid understanding of statistics, experimentation, and basic machine learning concepts
* Experience working with structured datasets using tools such as Pandas and NumPy
* Strong analytical and problem\-solving skills
* Ability to communicate findings clearly to both technical and non\-technical audiences
* Prior exposure to e\-commerce, digital retail, or online marketplaces
* Experience with customer segmentation, cohort analysis, and A/B testing methodologies
* Familiarity with AI or ML frameworks such as scikit\-learn, PyTorch, or TensorFlow
* Exposure to content management or AI content tools (e.g., Contentful, Jasper, Omnify)
* Exposure to Model Context Protocols (MCP) or context\-aware, agent\-based workflows
* Understanding of experimentation platforms or conversion optimization frameworks
* Exposure to modern data stacks or cloud environments is a plus
* You are actively enrolled as a full\-time student in an accredited institution and have completed at least one year of education.
* Able to work 40 hours a week onsite throughout the course of the 12\-week summer internship either between (May 27 – August 13 th , 2026 OR June 16 th – September 13 th , 2026\)
* Legally authorized to work in the United States
**Who We Are**
 CORSAIR (NASDAQ: CRSR) is a leading global developer and manufacturer of high\-performance gear and technology for gamers, content creators, and PC enthusiasts. From award\-winning PC components and peripherals, to premium streaming equipment and smart ambient lighting, CORSAIR delivers a full ecosystem of products that work together to enable everyone, from casual gamers to committed professionals, to perform at their very best.
 CORSAIR also includes subsidiary brands Elgato, which provides premium studio equipment and accessories for content creators; SCUF Gaming, which builds custom\-designed controllers for competitive gamers; ORIGIN PC, a builder of custom gaming and workstation desktop PCs and laptops; DROP, a community\-driven brand known for enthusiast keyboards and curated peripherals; and Fanatec, a leading manufacturer of high\-end sim racing hardware.
 This position is onsite in Milpitas, CA and is not open to remote work at this time.
 This internship includes a base pay rate of $30 per hour and holiday pay.
 We have many intern openings in a variety of departments, check them all out to see which suits your interests and professional development the best at corsair.com/careers.</t>
        </is>
      </c>
    </row>
    <row r="67">
      <c r="A67" t="inlineStr">
        <is>
          <t>li-4345717277</t>
        </is>
      </c>
      <c r="B67" t="inlineStr">
        <is>
          <t>Data Scientist</t>
        </is>
      </c>
      <c r="C67" t="inlineStr">
        <is>
          <t>FanDuel</t>
        </is>
      </c>
      <c r="D67" t="inlineStr">
        <is>
          <t>linkedin</t>
        </is>
      </c>
      <c r="E67">
        <f>HYPERLINK("https://www.linkedin.com/jobs/view/4345717277", "https://www.linkedin.com/jobs/view/4345717277")</f>
        <v/>
      </c>
      <c r="F67" t="inlineStr"/>
      <c r="G67" t="inlineStr">
        <is>
          <t>New York, NY</t>
        </is>
      </c>
      <c r="H67" t="inlineStr"/>
      <c r="I67" t="inlineStr">
        <is>
          <t>**THE POSITION**
 Our roster has an opening with your name on it
 FanDuel is looking for a Data Scientist, to drive our Sportsbook customer generosity distribution and bonus spend optimization. In this role you will be responsible for customer segmentation, modeling, automation, reporting and data analysis across all areas of Sportsbook generosity distribution. Using your numerical and technology capabilities you will play a key role in bonus spend research, optimization and communication of results to CRM and Commercial senior management.
 This is a great opportunity for somebody who wants to work in an environment where curiosity is rewarded, and people are empowered to make decisions. The ideal candidate will have a passion for continual learning and developing innovative solutions to business problems.
**THE GAME PLAN**
 Everyone on our team has a part to play
* Take on data science projects from start to finish, including working with stakeholders to agree project KPIs, and reporting on progress and outcomes throughout projects at agreed cadence
* Deliver high\-quality analysis, customer segmentation and predictive models which help drive incremental revenue through optimal automated bonus spend distribution
* Improve our understanding of customer behaviors, efficiency of promotions, and effectiveness of bonus spend
* Through idea generation and exploratory analysis, develop new and innovative ways to turn behaviors into features for use in analysis, segmentation and predictive modeling
* Create, modify, and evolve models which solve business problems, and show demonstrable improvements to department KPIs
* Demonstrate accurate insights and predictions using easy to interpret visualizations and clear explanations of results, recommendations, methods, biases and limitations
* Work with Data Engineering and Analytics Engineer to optimize data quality and data modeling pipelines
* Take responsibility to learn the necessary skills and techniques, to develop ability to work with independence, integrity and accuracy
* Collaborate with key stakeholders to help in identifying areas for improvement, and support their strategic objectives
* Assist in coaching, developing and performance managing less experienced team members
* Contribute new ideas for data science projects which have demonstrable potential to improve revenue performance or customer experience
**THE STATS**
 What we're looking for in our next teammate
* Minimum of 3\+ years of previous Data Science or Analytics Experience
* Minimum 1\+ years building and deploying complex machine learning models with real world applications
* Have a developed technical skill set which facilitates high\-quality, efficient \&amp; comprehensive quantitative analysis
* Proficient in SQL and experience of manipulating large datasets in Microsoft Excel
* Proficient in statistical or programming software and techniques (e.g. in Python, R, C\#, VBA, etc.)
* Strong communication and presentation skills, experienced in explaining technical projects to non\-technical stakeholders
* Experience working with data visualization tools like Tableau an advantage
* Undergraduate degree in a numerate or technical discipline
* Interest in sports is a plus
* Interest or experience in the Sports betting industry is an advantage
**About Fanduel**
 FanDuel Group is the premier mobile gaming company in the United States.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is>
      </c>
    </row>
    <row r="68">
      <c r="A68" t="inlineStr">
        <is>
          <t>li-4361380141</t>
        </is>
      </c>
      <c r="B68" t="inlineStr">
        <is>
          <t>Data Scientist II</t>
        </is>
      </c>
      <c r="C68" t="inlineStr">
        <is>
          <t>Uber</t>
        </is>
      </c>
      <c r="D68" t="inlineStr">
        <is>
          <t>linkedin</t>
        </is>
      </c>
      <c r="E68">
        <f>HYPERLINK("https://www.linkedin.com/jobs/view/4361380141", "https://www.linkedin.com/jobs/view/4361380141")</f>
        <v/>
      </c>
      <c r="F68" t="inlineStr"/>
      <c r="G68" t="inlineStr">
        <is>
          <t>New York, NY</t>
        </is>
      </c>
      <c r="H68" t="inlineStr"/>
      <c r="I68" t="inlineStr">
        <is>
          <t>**About The Role**
 The TA Analytics team's goal is to raise the bar for all of Talent Acquisition when it comes to data literacy. A successful candidate is a proactive thinker, flexible with shifting project priorities and pressure. You demonstrate confidence in handling problems, as well as the ability to work with a variety of different people. As a seasoned Data Scientist, you will utilize a variety of tools and approaches to answer complex questions from myriad stakeholders.
 You will also innovate new ways to analyze our data for more efficient and effective decision\-making. You are a highly motivated and energetic self\-starter, directly working with leaders to ensure that they are getting all the support needed to make meaningful, informed decisions (which may not be what they are asking for, but what they need). You will proactively identify new areas of analytical features and enhancements, including AI, that will further increase data quality, reliability, and insightfulness.
 \-\-\-\- What You Will Do \-\-\-\-
* Help build a new analytics suite that helps prove and increase the impact that TA has on the business.
* Innovate new ways to analyze TA/People data that drives incremental business impact.
* Understand business goals and apply appropriate analytics, causal inference, experimentation and machine learning to provide practical insights to partners and stakeholders.
* Work closely with the Engineering teams to create data instrumentation and improve data quality.
* Collaborate with cross\-functional organizations to find opportunities, design, implement and analyze experiments, and perform deep dives for better decision\-making.
* Communicate optimally with non\-technical customers on technical topics.
**Basic Qualifications**
* Undergraduate and/or graduate degree in Math, Economics, Statistics, Engineering, Computer Science, or other quantitative fields.
* 4\+ years experience as a Data Scientist, Product Analyst, Sr. Data Analyst, or other types of data analysis\-focused functions
* Excellent understanding of statistical and scientific principles
* Advanced SQL expertise
* Experience with either Python or R for data analysis
* Proven track record to wrangle large datasets, extract insights from data, and summarize learnings/takeaways.
* Experience with Excel and some dashboarding/data visualization (i.e. Tableau, Looker, or similar)
* Proven aptitude toward Data Storytelling and Root Cause Analysis using data
* Ability to learn and adapt to new methodologies for data collection and analysis
**Preferred Qualifications**
* Advanced experience with experimental design and statistical methods such as causal Inference.
* Experience in utilizing AI features in reporting to enhance reporting products and deliverables.
* Ability to communicate effectively and manage relationships with partners coming from both technical and non\-technical backgrounds
* Excellent judgment, critical thinking, and decision\-making skills
* Proven ability to identify key stakeholders and manage high expectations
 For New York, NY\-based roles: The base salary range for this role is USD$140,000 per year \- USD$156,000 per year. For San Francisco, CA\-based roles: The base salary range for this role is USD$140,000 per year \- USD$156,000 per year. For Seattle, WA\-based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USD$140,000 per year \- USD$156,000 per year. For San Francisco, CA\-based roles: The base salary range for this role is USD$140,000 per year \- USD$156,000 per year. For Seattle, WA\-based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9">
      <c r="A69" t="inlineStr">
        <is>
          <t>li-4361501491</t>
        </is>
      </c>
      <c r="B69" t="inlineStr">
        <is>
          <t>Senior Applied Scientist</t>
        </is>
      </c>
      <c r="C69" t="inlineStr">
        <is>
          <t>LinkedIn</t>
        </is>
      </c>
      <c r="D69" t="inlineStr">
        <is>
          <t>linkedin</t>
        </is>
      </c>
      <c r="E69">
        <f>HYPERLINK("https://www.linkedin.com/jobs/view/4361501491", "https://www.linkedin.com/jobs/view/4361501491")</f>
        <v/>
      </c>
      <c r="F69" t="inlineStr"/>
      <c r="G69" t="inlineStr">
        <is>
          <t>Mountain View, CA</t>
        </is>
      </c>
      <c r="H69" t="inlineStr"/>
      <c r="I6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data science research, model improvement, advanced experiments, observational causal studies to quantify the cause and effect in the ecosystem, identify business opportunities and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3\+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BS and 5\+ years of relevant work experience, MS and 3\+ years of relevant work experience, or Ph.D. and 1\+ years of relevant work/academia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$139,000\.00 to $229,000\.00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0">
      <c r="A70" t="inlineStr">
        <is>
          <t>li-4361550166</t>
        </is>
      </c>
      <c r="B70" t="inlineStr">
        <is>
          <t>Data Scientist, Sr.</t>
        </is>
      </c>
      <c r="C70" t="inlineStr">
        <is>
          <t>Airbnb</t>
        </is>
      </c>
      <c r="D70" t="inlineStr">
        <is>
          <t>linkedin</t>
        </is>
      </c>
      <c r="E70">
        <f>HYPERLINK("https://www.linkedin.com/jobs/view/4361550166", "https://www.linkedin.com/jobs/view/4361550166")</f>
        <v/>
      </c>
      <c r="F70" t="inlineStr"/>
      <c r="G70" t="inlineStr"/>
      <c r="H70" t="inlineStr"/>
      <c r="I70" t="inlineStr">
        <is>
          <t>**About The Company**
 Airbnb was founded in 2007 when two hosts welcomed three guests to their San Francisco home. Since then, the company has experienced exponential growth and now boasts over 5 million hosts worldwide. Airbnb has facilitated more than 2 billion guest arrivals across nearly every country, creating a global community where travelers can discover unique stays and authentic experiences. The platform connects hosts and guests, fostering meaningful cultural exchanges and enabling travelers to connect with local communities in a more genuine way. With a commitment to innovation, community, and belonging, Airbnb continues to redefine the travel industry by offering personalized, memorable experiences that cater to diverse preferences and needs.
**About The Role**
 We are seeking a highly skilled and innovative Senior Staff Data Scientist to join our Guest Data Science team within the Guest Experience division. This role is pivotal in leveraging artificial intelligence and causal inference methodologies to understand user behavior, detect underlying intent, and develop data\-driven products that enhance the guest journey. The successful candidate will lead efforts to build advanced analytical frameworks that identify guest preferences at every stage of their discovery and booking process. Collaborating closely with product, engineering, and design teams, you will shape in\-product optimization strategies and UX architecture to facilitate seamless navigation and personalized content discovery. Your work will directly influence how guests find relevant inventory, improve engagement, and foster loyalty across Airbnb's diverse offerings, including Homes, Experiences, and Services. This position offers a unique opportunity to make a tangible impact on the guest experience by applying cutting\-edge science and fostering a culture of continuous innovation.
**Qualifications**
* Advanced degree in Computer Science, Statistics, Econometrics, or a related field.
* Minimum of 9 years of industry experience with a PhD or 12\+ years with a Master’s degree.
* Expertise in causal inference techniques with marketplace experience.
* Domain knowledge in search, UX discovery, and personalized evidence systems.
* Proficiency in programming languages such as Python or R for data analysis.
* Familiarity with SQL and developing proof\-of\-concept prototypes.
* Strong communication skills to collaborate effectively with cross\-functional teams.
* Demonstrated success in both collaborative and independent work environments.
* Engagement with the technical community and a passion for AI and emerging systems like large language models.
**Responsibilities**
* Develop a deep understanding of guest navigation patterns and re\-engagement behaviors through analysis and research.
* Partner with product and engineering teams to establish scientific frameworks for detecting revealed preferences and online frictions.
* Design, develop, and iterate prototypes, data frameworks, and models to quantify guest preferences using AI tools.
* Assess the validity and impact of derived guest preferences through rigorous measurement, experimentation, and hypothesis validation.
* Set up experiments and feedback mechanisms to ensure continuous improvement and high impact of data products.
* Present findings, insights, and strategic recommendations to leadership and cross\-functional teams.
* Drive innovation in methodologies for understanding user behavior and enhancing personalization within the Airbnb platform.
**Benefits**
* Competitive salary with performance\-based bonuses.
* Equity options and stock grants.
* Comprehensive health insurance plans including medical, dental, and vision coverage.
* Flexible work arrangements and remote work eligibility.
* Paid time off, holidays, and family leave policies.
* Employee travel credits and discounts.
* Opportunities for professional development and continuous learning.
* Access to a vibrant, innovative, and inclusive workplace culture.
 Equal Opportunity
 Airbnb is an Equal Opportunity Employer. We celebrate diversity and are committed to creating an inclusive environment for all employees. We do not discriminate based on race, religion, color, national origin, gender, gender identity or expression, sexual orientation, age, marital status, veteran status, or disability status. We believe that a diverse team enhances our ability to serve our global community and foster innovation.</t>
        </is>
      </c>
    </row>
    <row r="71">
      <c r="A71" t="inlineStr">
        <is>
          <t>li-4361259143</t>
        </is>
      </c>
      <c r="B71" t="inlineStr">
        <is>
          <t>Data Scientist II</t>
        </is>
      </c>
      <c r="C71" t="inlineStr">
        <is>
          <t>Uber</t>
        </is>
      </c>
      <c r="D71" t="inlineStr">
        <is>
          <t>linkedin</t>
        </is>
      </c>
      <c r="E71">
        <f>HYPERLINK("https://www.linkedin.com/jobs/view/4361259143", "https://www.linkedin.com/jobs/view/4361259143")</f>
        <v/>
      </c>
      <c r="F71" t="inlineStr"/>
      <c r="G71" t="inlineStr">
        <is>
          <t>San Francisco, CA</t>
        </is>
      </c>
      <c r="H71" t="inlineStr"/>
      <c r="I71" t="inlineStr">
        <is>
          <t>**About The Role**
 The TA Analytics team's goal is to raise the bar for all of Talent Acquisition when it comes to data literacy. A successful candidate is a proactive thinker, flexible with shifting project priorities and pressure. You demonstrate confidence in handling problems, as well as the ability to work with a variety of different people. As a seasoned Data Scientist, you will utilize a variety of tools and approaches to answer complex questions from myriad stakeholders.
 You will also innovate new ways to analyze our data for more efficient and effective decision\-making. You are a highly motivated and energetic self\-starter, directly working with leaders to ensure that they are getting all the support needed to make meaningful, informed decisions (which may not be what they are asking for, but what they need). You will proactively identify new areas of analytical features and enhancements, including AI, that will further increase data quality, reliability, and insightfulness.
 \-\-\-\- What You Will Do \-\-\-\-
* Help build a new analytics suite that helps prove and increase the impact that TA has on the business.
* Innovate new ways to analyze TA/People data that drives incremental business impact.
* Understand business goals and apply appropriate analytics, causal inference, experimentation and machine learning to provide practical insights to partners and stakeholders.
* Work closely with the Engineering teams to create data instrumentation and improve data quality.
* Collaborate with cross\-functional organizations to find opportunities, design, implement and analyze experiments, and perform deep dives for better decision\-making.
* Communicate optimally with non\-technical customers on technical topics.
**Basic Qualifications**
* Undergraduate and/or graduate degree in Math, Economics, Statistics, Engineering, Computer Science, or other quantitative fields.
* 4\+ years experience as a Data Scientist, Product Analyst, Sr. Data Analyst, or other types of data analysis\-focused functions
* Excellent understanding of statistical and scientific principles
* Advanced SQL expertise
* Experience with either Python or R for data analysis
* Proven track record to wrangle large datasets, extract insights from data, and summarize learnings/takeaways.
* Experience with Excel and some dashboarding/data visualization (i.e. Tableau, Looker, or similar)
* Proven aptitude toward Data Storytelling and Root Cause Analysis using data
* Ability to learn and adapt to new methodologies for data collection and analysis
**Preferred Qualifications**
* Advanced experience with experimental design and statistical methods such as causal Inference.
* Experience in utilizing AI features in reporting to enhance reporting products and deliverables.
* Ability to communicate effectively and manage relationships with partners coming from both technical and non\-technical backgrounds
* Excellent judgment, critical thinking, and decision\-making skills
* Proven ability to identify key stakeholders and manage high expectations
 For New York, NY\-based roles: The base salary range for this role is USD$140,000 per year \- USD$156,000 per year. For San Francisco, CA\-based roles: The base salary range for this role is USD$140,000 per year \- USD$156,000 per year. For Seattle, WA\-based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USD$140,000 per year \- USD$156,000 per year. For San Francisco, CA\-based roles: The base salary range for this role is USD$140,000 per year \- USD$156,000 per year. For Seattle, WA\-based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72">
      <c r="A72" t="inlineStr">
        <is>
          <t>li-4361284631</t>
        </is>
      </c>
      <c r="B72" t="inlineStr">
        <is>
          <t>Staff Applied Scientist</t>
        </is>
      </c>
      <c r="C72" t="inlineStr">
        <is>
          <t>LinkedIn</t>
        </is>
      </c>
      <c r="D72" t="inlineStr">
        <is>
          <t>linkedin</t>
        </is>
      </c>
      <c r="E72">
        <f>HYPERLINK("https://www.linkedin.com/jobs/view/4361284631", "https://www.linkedin.com/jobs/view/4361284631")</f>
        <v/>
      </c>
      <c r="F72" t="inlineStr"/>
      <c r="G72" t="inlineStr">
        <is>
          <t>Mountain View, CA</t>
        </is>
      </c>
      <c r="H72" t="inlineStr"/>
      <c r="I7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causal analysis and develop causal methodology and machine learning models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5\+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7\+ years of industry or relevant 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3">
      <c r="A73" t="inlineStr">
        <is>
          <t>li-4345925035</t>
        </is>
      </c>
      <c r="B73" t="inlineStr">
        <is>
          <t>Data Scientist</t>
        </is>
      </c>
      <c r="C73" t="inlineStr">
        <is>
          <t>Meta</t>
        </is>
      </c>
      <c r="D73" t="inlineStr">
        <is>
          <t>linkedin</t>
        </is>
      </c>
      <c r="E73">
        <f>HYPERLINK("https://www.linkedin.com/jobs/view/4345925035", "https://www.linkedin.com/jobs/view/4345925035")</f>
        <v/>
      </c>
      <c r="F73" t="inlineStr"/>
      <c r="G73" t="inlineStr">
        <is>
          <t>Menlo Park, CA</t>
        </is>
      </c>
      <c r="H73" t="inlineStr"/>
      <c r="I73" t="inlineStr">
        <is>
          <t>Meta is seeking a skilled and motivated Data Scientist to join our Infrastructure Data Centers team. As a lead data scientist, you will partner with stakeholders, program managers, and other data science functions to translate Meta’s Infrastructure Data Centers’ data into value. You will have the opportunity to work on a wide range of data science projects, such as developing an analytics program to drive operational efficiency, conducting strategic analysis to facilitate decision making, measuring Machine Learning models and automation to increase predictive accuracy and reduce manual effort, and working with software developers to build analytical solutions.The ideal candidate will have a passion for working in ambiguous environment and creating impact from the ground up in a fast\-paced environment. Additionally, you will have a proven track record of thought leadership and impact in developing similar analytics programs and machine learning solutions. This position is part of the Infrastructure Data Centers organization.
 Data Scientist Responsibilities:
* Collaborate with cross\-functional data and business teams to define problems, analyze impacts, identify opportunities, and develop solutions that improve decision\-making and efficiency
* Translate business challenges into data\-driven problems and design appropriate data science solutions, including metrics and analytics, business intelligence, experimentation
* Identify operational gaps, build analytical models to derive insights, and support decision\-making across organizational leadership
* Design and implement statistical models such as hypothesis testing, forecasting, statistical process control, and simulation to influence critical business decisions and Data Center operations
* Utilize expertise in statistics, machine learning, optimization, and automation to develop analytics solutions
* Work closely with stakeholders, data engineers, and program/product managers to ensure seamless progress
* Educate and influence stakeholders to enhance operational efficiency with empathy
* Recommend process improvements based on operational data and user behavior to boost business performance
* Mentor team members on data science best practices
 Minimum Qualifications:
* Bachelor's degree in Computer Science, Computer Engineering, relevant technical field, or equivalent practical experience
* 6\+ years of experience (2 years\+ of experience post Ph.D.) with advanced SQL in big data environments (e.g., Hive, Presto, Spark) and data modeling
* 6\+ years of experience (2 years\+ of experience post Ph.D.) managing and analyzing large\-scale data using Python, R, or similar languages
* 6\+ years of experience (2 years\+ of experience post Ph.D.) of working with visualization tools such as Tableau, PowerBI, or similar
* 6\+ years experience (2 years\+ of experience post Ph.D.) analyzing and interpreting data, developing metrics, drawing conclusions, recommending actions, and reporting results across stakeholders
* Experience in enhancing data collection procedures, data processing, cleansing, and verifying the integrity of data used for analysis
* Proven track record of managing and leading cross\-functional projects and teams
* Solid understanding of machine learning techniques and algorithms
* Hands\-on programming experience in one or more of: AI/ML, LLM, NLP, Statistical modeling
* Proficient in statistical analysis and experimental design
 Preferred Qualifications:
* Technical knowledge of data center operations
* Masters degree in Computer Science, Engineering, Mathematics, Statistics, Operations Research, or a related analytical field
* Knowledge of simulation and optimization techniques
* Great communication and storytelling skills to influence all organizational levels (engineers, executives and cross functional teams) to drive business decisions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4">
      <c r="A74" t="inlineStr">
        <is>
          <t>li-4361292745</t>
        </is>
      </c>
      <c r="B74" t="inlineStr">
        <is>
          <t>Senior Staff Data Scientist</t>
        </is>
      </c>
      <c r="C74" t="inlineStr">
        <is>
          <t>LinkedIn</t>
        </is>
      </c>
      <c r="D74" t="inlineStr">
        <is>
          <t>linkedin</t>
        </is>
      </c>
      <c r="E74">
        <f>HYPERLINK("https://www.linkedin.com/jobs/view/4361292745", "https://www.linkedin.com/jobs/view/4361292745")</f>
        <v/>
      </c>
      <c r="F74" t="inlineStr"/>
      <c r="G74" t="inlineStr">
        <is>
          <t>Mountain View, CA</t>
        </is>
      </c>
      <c r="H74" t="inlineStr"/>
      <c r="I7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looking for a talented and driven technical leader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Partner with cross\-functional teams to initiate, lead and drive to completion large\-scale/complex strategic projects for teams, departments and the company.
* Act as a thought partner to senior leaders to prioritize/scope projects, provide recommendations, and evangelize data\-driven business decisions in support of strategic goals.
* Provide technical guidance and mentorship to junior team members on solution design as well as lead code/design reviews.
* Drive org\-wide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Independently craft compelling stories; make logical recommendations; drive informed actions.
* Engage with technology partners to build, prototype and validate scalable tools/applications end to end (backend, frontend, data) for converting data to insights.
* Mentor junior members of the team.
**Qualifications**
**Basic Qualifications:**
* Bachelor or higher degree in a quantitative discipline: statistics, operations research, computer science, informatics, engineering, applied mathematics, economics, etc.
* 7\+ years of relevant work experience.
* Experience influencing strategy through data\-centric presentations .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Experience with manipulating massive\-scale structured and unstructured data.
* Proven record writing and optimizing code with high levels of craftsmanship, and coaching others to improve technical outputs.
* Working knowledge of Unix command\-line/shell, git and review board.
* Experience leveraging government data or publicly available third\-party APIs.
* Experience mentoring other data scientists in an official or unofficial capacity.
* Excellent communication skills, with the ability to synthesize, simplify and explain complex problems to different types of audience, including executives and compile compelling narratives.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Compensation:
 The pay range for this role is $144,000 \- $236,000\.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5">
      <c r="A75" t="inlineStr">
        <is>
          <t>li-4345954245</t>
        </is>
      </c>
      <c r="B75" t="inlineStr">
        <is>
          <t>Data Scientist</t>
        </is>
      </c>
      <c r="C75" t="inlineStr">
        <is>
          <t>Meta</t>
        </is>
      </c>
      <c r="D75" t="inlineStr">
        <is>
          <t>linkedin</t>
        </is>
      </c>
      <c r="E75">
        <f>HYPERLINK("https://www.linkedin.com/jobs/view/4345954245", "https://www.linkedin.com/jobs/view/4345954245")</f>
        <v/>
      </c>
      <c r="F75">
        <f>HYPERLINK("https://jsv3.recruitics.com/redirect?rx_cid=3239&amp;rx_jobId=a1KDp00000CZKOOMA5&amp;rx_url=https%3A%2F%2Fwww.metacareers.com%2Fjobs%2F1786238001864108%2F%3Frx_campaign%3DLinkedin1%26rx_ch%3Dconnector%26rx_group%3D126320%26rx_id%3D306d0e86-df95-11f0-93b8-05a795890c00%26rx_job%3Da1KDp00000CZKOOMA5%26rx_medium%3Dpost%26rx_r%3Dnone%26rx_source%3DLinkedin%26rx_ts%3D20260113T121202Z%26rx_vp%3Dslots%26utm_campaign%3DJob%252Bboard%26utm_medium%3Djobs%26utm_source%3DLIpaid&amp;urlHash=aF54", "https://jsv3.recruitics.com/redirect?rx_cid=3239&amp;rx_jobId=a1KDp00000CZKOOMA5&amp;rx_url=https%3A%2F%2Fwww.metacareers.com%2Fjobs%2F1786238001864108%2F%3Frx_campaign%3DLinkedin1%26rx_ch%3Dconnector%26rx_group%3D126320%26rx_id%3D306d0e86-df95-11f0-93b8-05a795890c00%26rx_job%3Da1KDp00000CZKOOMA5%26rx_medium%3Dpost%26rx_r%3Dnone%26rx_source%3DLinkedin%26rx_ts%3D20260113T121202Z%26rx_vp%3Dslots%26utm_campaign%3DJob%252Bboard%26utm_medium%3Djobs%26utm_source%3DLIpaid&amp;urlHash=aF54")</f>
        <v/>
      </c>
      <c r="G75" t="inlineStr">
        <is>
          <t>Bellevue, WA</t>
        </is>
      </c>
      <c r="H75" t="inlineStr"/>
      <c r="I75" t="inlineStr">
        <is>
          <t>Meta is seeking a skilled and motivated Data Scientist to join our Infrastructure Data Centers team. As a lead data scientist, you will partner with stakeholders, program managers, and other data science functions to translate Meta’s Infrastructure Data Centers’ data into value. You will have the opportunity to work on a wide range of data science projects, such as developing an analytics program to drive operational efficiency, conducting strategic analysis to facilitate decision making, measuring Machine Learning models and automation to increase predictive accuracy and reduce manual effort, and working with software developers to build analytical solutions.The ideal candidate will have a passion for working in ambiguous environment and creating impact from the ground up in a fast\-paced environment. Additionally, you will have a proven track record of thought leadership and impact in developing similar analytics programs and machine learning solutions. This position is part of the Infrastructure Data Centers organization.
 Data Scientist Responsibilities:
* Collaborate with cross\-functional data and business teams to define problems, analyze impacts, identify opportunities, and develop solutions that improve decision\-making and efficiency
* Translate business challenges into data\-driven problems and design appropriate data science solutions, including metrics and analytics, business intelligence, experimentation
* Identify operational gaps, build analytical models to derive insights, and support decision\-making across organizational leadership
* Design and implement statistical models such as hypothesis testing, forecasting, statistical process control, and simulation to influence critical business decisions and Data Center operations
* Utilize expertise in statistics, machine learning, optimization, and automation to develop analytics solutions
* Work closely with stakeholders, data engineers, and program/product managers to ensure seamless progress
* Educate and influence stakeholders to enhance operational efficiency with empathy
* Recommend process improvements based on operational data and user behavior to boost business performance
* Mentor team members on data science best practices
 Minimum Qualifications:
* Bachelor's degree in Computer Science, Computer Engineering, relevant technical field, or equivalent practical experience
* 6\+ years of experience (2 years\+ of experience post Ph.D.) with advanced SQL in big data environments (e.g., Hive, Presto, Spark) and data modeling
* 6\+ years of experience (2 years\+ of experience post Ph.D.) managing and analyzing large\-scale data using Python, R, or similar languages
* 6\+ years of experience (2 years\+ of experience post Ph.D.) of working with visualization tools such as Tableau, PowerBI, or similar
* 6\+ years experience (2 years\+ of experience post Ph.D.) analyzing and interpreting data, developing metrics, drawing conclusions, recommending actions, and reporting results across stakeholders
* Experience in enhancing data collection procedures, data processing, cleansing, and verifying the integrity of data used for analysis
* Proven track record of managing and leading cross\-functional projects and teams
* Solid understanding of machine learning techniques and algorithms
* Hands\-on programming experience in one or more of: AI/ML, LLM, NLP, Statistical modeling
* Proficient in statistical analysis and experimental design
 Preferred Qualifications:
* Technical knowledge of data center operations
* Masters degree in Computer Science, Engineering, Mathematics, Statistics, Operations Research, or a related analytical field
* Knowledge of simulation and optimization techniques
* Great communication and storytelling skills to influence all organizational levels (engineers, executives and cross functional teams) to drive business decisions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6">
      <c r="A76" t="inlineStr">
        <is>
          <t>li-4313399643</t>
        </is>
      </c>
      <c r="B76" t="inlineStr">
        <is>
          <t>Data Scientist, Product</t>
        </is>
      </c>
      <c r="C76" t="inlineStr">
        <is>
          <t>OpenAI</t>
        </is>
      </c>
      <c r="D76" t="inlineStr">
        <is>
          <t>linkedin</t>
        </is>
      </c>
      <c r="E76">
        <f>HYPERLINK("https://www.linkedin.com/jobs/view/4313399643", "https://www.linkedin.com/jobs/view/4313399643")</f>
        <v/>
      </c>
      <c r="F76" t="inlineStr"/>
      <c r="G76" t="inlineStr">
        <is>
          <t>San Francisco, CA</t>
        </is>
      </c>
      <c r="H76" t="inlineStr"/>
      <c r="I76" t="inlineStr">
        <is>
          <t>**About The Team**
 Our Applied team brings OpenAI technologies to consumers and businesses around the world. We collaborate across research, engineering, design and business functions to turn cutting\-edge AI advancements into impactful real\-world applications. Our team has been behind notable product launches (ChatGPT, API, Sora), creating tools that help developers write code, enable businesses to operate more efficiently, and empower individuals to learn and create. As AI capabilities rapidly evolve, we focus on ensuring that our products are safe, accessible, and beneficial to all.
**About The Role**
 As a Data Scientist on the Applied Product team, you will contribute to a data\-driven product development culture for consumer and enterprise products at OpenAI. This is critical as our products reach millions of users and businesses worldwide. We are focused on aligning both research and product development to drive measurable impact for these individuals and organizations alike.
 You should expect to define our north\-star metrics, design A/B tests, and establish source\-of\-truth dashboards that the entire company can use to answer their own product questions. Most importantly, you should expect to be a core member of the product development team.
 This role is based in San Francisco, CA or Seattle, WA. We use a hybrid work model of 3 days in the office per week and offer relocation assistance to new employees.
**In This Role, You Will**
* Embed with the product development team as a trusted partner, uncovering new ways to improve the product and drive growth
* Define and interpret A/B tests that help answer critical questions about the impact of model and UX changes to our product
* Establish a data\-driven product development culture by defining, tracking, and operationalizing feature\-, product\-, and company\-level metrics
* Develop and socialize dashboards, reports, and other ways of enabling the team and company to answer product data questions in a self\-serve way
**You Might Thrive In This Role If You Have**
* 5\+ years experience in a quantitative role navigating highly ambiguous environments, ideally as an early data scientist or product analyst at a hyper\-growth product company or research org
* Proposed, designed, and run rigorous experiments with clear insights and product recommendations utilizing SQL and Python
* Defined, implemented, and operationalized new feature and product\-level metrics from scratch
* Excellent communication skills with demonstrated ability to communicate with product managers, engineers, and executives alike
* Strategic insights beyond the paradigm of statistical significance testing
**You could be an especially great fit if you have:**
* Strong programming background, with ability to run simulations and prototype variants
* Experience validating quantitative insights with qualitative methods (e.g. surveys, UXR)
* Demonstrated prior experience in NLP, large language models, or generative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77">
      <c r="A77" t="inlineStr">
        <is>
          <t>li-4354476329</t>
        </is>
      </c>
      <c r="B77" t="inlineStr">
        <is>
          <t>Data Scientist Gen AI</t>
        </is>
      </c>
      <c r="C77" t="inlineStr">
        <is>
          <t>EXL</t>
        </is>
      </c>
      <c r="D77" t="inlineStr">
        <is>
          <t>linkedin</t>
        </is>
      </c>
      <c r="E77">
        <f>HYPERLINK("https://www.linkedin.com/jobs/view/4354476329", "https://www.linkedin.com/jobs/view/4354476329")</f>
        <v/>
      </c>
      <c r="F77" t="inlineStr"/>
      <c r="G77" t="inlineStr">
        <is>
          <t>Atlanta, GA</t>
        </is>
      </c>
      <c r="H77" t="inlineStr"/>
      <c r="I77" t="inlineStr">
        <is>
          <t>**Job Title: Data Scientist \- GenAI** 
**Location: Atlanta** 
**Work Experience: 5\+ Years** 
**Location: Atlanta** 
 On\-site requirement: 4 days per week at Atlanta office
**Job Summary:** 
 We are looking for a highly capable and innovative Data Scientist with experience in Generative AI to join our Data Science Team. You will lead the development and deployment of GenAI solutions, including LLM\-based applications, prompt engineering, fine\-tuning, embeddings, and retrieval\-augmented generation (RAG) for enterprise use cases.
 The ideal candidate has a strong foundation in machine learning and NLP, with hands\-on experience in modern GenAI tools and frameworks such as OpenAI, LangChain, Hugging Face, Vertex AI, Bedrock, or similar.
**Key Responsibilities:** 
* Design and build Generative AI solutions using Large Language Models (LLMs) for business problems across domains like customer service, document automation, summarization, and knowledge retrieval.
* Fine\-tune or adapt foundation models using domain\-specific data.
* Implement RAG pipelines, embedding models, vector databases (e.g., FAISS, Pinecone, ChromaDB).
* Collaborate with data engineers, MLOps, and product teams to build end\-to\-end AI applications and APIs.
* Develop custom prompts and prompt chains using tools like LangChain, LlamaIndex, PromptFlow, or custom frameworks.
* Evaluate model performance, mitigate bias, and optimize accuracy, latency, and cost.
* Stay up to date with the latest trends in LLMs, transformers, and GenAI architecture.
**Required Skills:** 
* 5\+ years of experience in Data Science / ML, with 1\+ year hands\-on in LLMs / GenAI projects.
* Strong Python programming skills, especially in libraries such as Transformers, LangChain, scikit\-learn, PyTorch, or TensorFlow.
* Experience with OpenAI (GPT\-4\), Claude, Mistral, LLaMA, or similar models.
* Knowledge of vector search, embedding models (e.g., BERT, Sentence Transformers), and semantic search techniques.
* Ability to build scalable AI workflows and deploy them via APIs or web apps (e.g., FastAPI, Streamlit, Flask).
* Familiarity with cloud platforms (AWS/GCP/Azure) and MLOps best practices.
* Excellent communication skills with the ability to translate technical solutions into business impact.
**Preferred Qualifications:** 
* Experience with prompt tuning, few\-shot learning, or LoRA\-based fine\-tuning.
* Knowledge of data privacy and security considerations in GenAI applications.
* Familiarity with enterprise architecture, SDLC, or building GenAI use cases in regulated domains (e.g., finance, insurance, healthcare).
 For more information on benefits and what we offer please visit us at https://www.exlservice.com/us\-careers\-and\-benefits</t>
        </is>
      </c>
    </row>
    <row r="78">
      <c r="A78" t="inlineStr">
        <is>
          <t>li-4313814361</t>
        </is>
      </c>
      <c r="B78" t="inlineStr">
        <is>
          <t>Machine Learning Data Scientist, Forecasting</t>
        </is>
      </c>
      <c r="C78" t="inlineStr">
        <is>
          <t>OpenAI</t>
        </is>
      </c>
      <c r="D78" t="inlineStr">
        <is>
          <t>linkedin</t>
        </is>
      </c>
      <c r="E78">
        <f>HYPERLINK("https://www.linkedin.com/jobs/view/4313814361", "https://www.linkedin.com/jobs/view/4313814361")</f>
        <v/>
      </c>
      <c r="F78" t="inlineStr"/>
      <c r="G78" t="inlineStr">
        <is>
          <t>San Francisco, CA</t>
        </is>
      </c>
      <c r="H78" t="inlineStr"/>
      <c r="I78" t="inlineStr">
        <is>
          <t>**About The Team**
 The Strategic Finance team at OpenAI plays a critical role in shaping the company’s long\-term trajectory. We partner closely with Product, Engineering, and Go\-To\-Market teams to inform high\-stakes decisions through rigorous data science and economic modeling. As part of our expanding Data Science function, we’re building a best\-in\-class Forecasting capability to drive real\-time, data\-driven decision\-making across user growth, revenue, compute infrastructure, and more.
 We are developing scalable forecasting infrastructure to help us understand and anticipate business dynamics in an increasingly complex, usage\-based world. Our models are foundational to planning, pricing, operational efficiency, and growth strategy \- supporting key investment decisions and unlocking OpenAI’s full potential.
**About The Role**
 We’re looking for a senior Machine Learning Data Scientist to lead our forecasting initiatives. You’ll be one of the founding members of the Forecasting pillar within Strategic Finance Data Science, responsible for building and scaling robust, interpretable, and production\-ready forecasting systems. Your models will power critical business decisions by predicting core metrics such as DAU/WAU, revenue, LTV, compute consumption, and profitability.
 This is a highly cross\-functional role, requiring technical excellence, strong product intuition, and business acumen. You’ll collaborate with product managers, researchers, engineers, and finance leaders to operationalize forecasting insights, influence company\-wide strategy, and build foundational forecasting capabilities at OpenAI.
 This role is based in San Francisco, CA. We use a hybrid work model of 3 days in the office per week and offer relocation assistance to new employees.
**In This Role, You Will**
* Build statistical and machine learning models to solve forecasting needs across product, finance, infrastructure, and GTM domains.
* Own the end\-to\-end modeling lifecycle, including scoping, feature engineering, model development and prototyping, experimentation, deployment, monitoring, and explainability.
* Develop and productionize scalable, interpretable forecasts for user growth, monetization, compute load, customer lifetime value, and profitability.
* Contribute to self\-service forecasting tools and internal platforms, enabling teams across OpenAI to access and act on real\-time predictions.
* Research and evaluate emerging tools and techniques in the forecasting space, such as TimeGPT, large language model extensions, causal forecasting, and hybrid approaches.
* Drive strategic insight generation by translating technical outputs into business\-aligned recommendations and decision frameworks.
* Collaborate closely with cross\-functional teams to ensure forecasts are well\-integrated into planning processes, experimentation workflows, and executive decision\-making.
**You Might Thrive In This Role If You Have**
* Advanced degree (MS or PhD) in a quantitative field (e.g., Statistics, Computer Science, Economics, Operations Research).
* 7\+ years of experience in applied data science, with deep hands\-on exposure to forecasting, predictive modeling, or marketplace systems.
* Expertise in time\-series forecasting techniques and practical understanding of model trade\-offs across performance, explainability, and scalability.
* Proficiency in Python, SQL, and tools such as scikit\-learn, PyTorch/TensorFlow, and forecasting libraries.
* Demonstrated experience with model monitoring, debugging, and long\-term maintenance in production environments.
* Strong communication and storytelling skills \- able to simplify complexity and influence executive stakeholders.
* Self\-directed, intellectually curious, and comfortable leading ambiguous projects from 0→1\.
**Bonus If You Have**
* Experience building or scaling forecasting platforms in a high\-growth company.
* Familiarity with causal inference, Bayesian forecasting
* Passion for AI and a strong point of view on how machine learning should inform strategic decisions in fast\-moving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79">
      <c r="A79" t="inlineStr">
        <is>
          <t>li-4354796251</t>
        </is>
      </c>
      <c r="B79" t="inlineStr">
        <is>
          <t>Data Scientist</t>
        </is>
      </c>
      <c r="C79" t="inlineStr">
        <is>
          <t>Visa</t>
        </is>
      </c>
      <c r="D79" t="inlineStr">
        <is>
          <t>linkedin</t>
        </is>
      </c>
      <c r="E79">
        <f>HYPERLINK("https://www.linkedin.com/jobs/view/4354796251", "https://www.linkedin.com/jobs/view/4354796251")</f>
        <v/>
      </c>
      <c r="F79" t="inlineStr"/>
      <c r="G79" t="inlineStr">
        <is>
          <t>Atlanta, GA</t>
        </is>
      </c>
      <c r="H79" t="inlineStr"/>
      <c r="I79"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To ensure that Visa’s payment technology is truly available to everyone, everywhere requires the success of our key bank or merchant partners and internal business units. The Global Data Science group supports these partners by using our extraordinarily rich data set that spans more than 3 billion cards globally and captures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looking for Data Scientists who are equally passionate about the opportunity to use Visa’s rich data to tackle meaningful business problems. You will join one of the Data Science focus areas (e.g., banks, merchants \&amp; retailers, digital products, marketing) with an opportunity for rotation within Data Science to gain broad exposure to Visa’s business.
 The role will be based in Atlanta, GA
 Essential Functions:
* Be an out\-of\-the\-box thinker who is passionate about brainstorming innovative ways to use our unique data to answer business problems
* Communicate with clients to understand the challenges they face and convince them with data
* Extract and understand data to form an opinion on how to best help our clients and derive relevant insights
* Develop visualizations to make your complex analyses accessible to a broad audience
* Find opportunities to craft products out of analyses that are suitable for multiple clients
* Work with stakeholders throughout the organization to identify opportunities for leveraging Visa data to drive business solutions.
* Mine and analyze data from company databases to drive optimization and improvement of product, marketing techniques and business strategies for Visa and its clients
* Assess the effectiveness and accuracy of new data sources and data gathering techniques.
* Develop custom data models and algorithms to apply to data sets.
* Use predictive modeling to increase and optimize customer experiences, revenue generation, data insights, advertising targeting and other business outcomes.
* Develop processes and tools to monitor and analyze model performance and data accuracy.
 This is a hybrid position. Expectation of days in office will be confirmed by your hiring manager.
**Qualifications**
**Basic Qualifications:**
* 2 or more years of work experience with a Bachelor’s Degree or an Advanced Degree (e.g. Masters, MBA, JD, MD, or PhD)
**Preferred Qualifications:**
* 3 or more years of work experience with a Bachelor’s Degree or more than 2 years of work experience with an Advanced Degree (e.g. Masters, MBA, JD, MD)
* 2\+ years’ experience in data\-based decision\-making or quantitative analysis
* Bachelor’s degree in an analytical field such as statistics, operations research, economics, computer science or many others (graduate degree is a plus)
* Experience with extracting and aggregating data from large data sets using SQL or other tools
* Competence in Excel, PowerPoint and Tableau
* Experience in understanding and analyzing data using statistical software (e.g., Python, R, Stata or others)
* Previous exposure to financial services, credit cards or merchant analytics is a plus, but not required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116,800\.00 to 180,600\.00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80">
      <c r="A80" t="inlineStr">
        <is>
          <t>li-4361512614</t>
        </is>
      </c>
      <c r="B80" t="inlineStr">
        <is>
          <t>Data Scientist</t>
        </is>
      </c>
      <c r="C80" t="inlineStr">
        <is>
          <t>DeepRec.ai</t>
        </is>
      </c>
      <c r="D80" t="inlineStr">
        <is>
          <t>linkedin</t>
        </is>
      </c>
      <c r="E80">
        <f>HYPERLINK("https://www.linkedin.com/jobs/view/4361512614", "https://www.linkedin.com/jobs/view/4361512614")</f>
        <v/>
      </c>
      <c r="F80" t="inlineStr"/>
      <c r="G80" t="inlineStr">
        <is>
          <t>Boston, MA</t>
        </is>
      </c>
      <c r="H80" t="inlineStr"/>
      <c r="I80" t="inlineStr">
        <is>
          <t>Hiring a
 **Data Scientist** 
 to build and scale the data pipelines behind advanced
 **chemistry and battery ML models** 
 .
 You will turn
 **raw molecular and electrochemical data** 
 into
 **model\-ready datasets** 
 used by LLMs, graph models and simulation pipelines.
**What you’ll do** 
* Build
 **ETL pipelines** 
 for large molecular, electrochemical and battery datasets
* Deliver
 **APIs and data services** 
 to ML and simulation teams
* Apply
 **QC, schemas and metadata** 
 to ensure ML\-ready data
* Run
 **EDA** 
 to surface gaps and improve model performance
* Work closely with
 **scientists and ML researchers**
**What they want** 
* 2\+ years in
 **data science, data engineering or scientific computing**
* Strong
 **Python \+ SQL**
* Experience with
 **chemical, pharma, energy or materials data**
* **MS/PhD (or equivalent industry experience)** 
 in chemistry, materials or chemical engineering
**Nice to have** 
* **RDKit, OpenBabel, molecular search, LLM data pipelines**
* **Battery or electrochemistry data**
* **Airflow, NoSQL, chemical APIs**</t>
        </is>
      </c>
    </row>
    <row r="81">
      <c r="A81" t="inlineStr">
        <is>
          <t>li-4361573174</t>
        </is>
      </c>
      <c r="B81" t="inlineStr">
        <is>
          <t>Data Scientist</t>
        </is>
      </c>
      <c r="C81" t="inlineStr">
        <is>
          <t>Known</t>
        </is>
      </c>
      <c r="D81" t="inlineStr">
        <is>
          <t>linkedin</t>
        </is>
      </c>
      <c r="E81">
        <f>HYPERLINK("https://www.linkedin.com/jobs/view/4361573174", "https://www.linkedin.com/jobs/view/4361573174")</f>
        <v/>
      </c>
      <c r="F81" t="inlineStr"/>
      <c r="G81" t="inlineStr">
        <is>
          <t>New York, NY</t>
        </is>
      </c>
      <c r="H81" t="inlineStr"/>
      <c r="I81" t="inlineStr">
        <is>
          <t>**WE HAVE CREATED A WORLD WHERE ART AND SCIENCE ARE BEST FRIENDS** 
 Known is a modern marketing company engineered for the unprecedented opportunities and challenges facing marketers today. We are about 200\+ people strong, pairing PhD data scientists with award\-winning creatives, strategists, engineers and expert research teams to produce some of the most innovative and cutting\-edge creative work in culture. We believe that when creative truly collaborates with science, strategy, and technology, amazing things can happen. 
*Ad Age* 
 touted that “Known may be the ultimate example of a full\-service agency,” and honored us with two prestigious recognitions this year: \#3 on
 *The A\-List* 
 as one of the top agencies in the world, and
 *Ad Age’s* 
 Data \&amp; Insights Agency of the year for the second year in a row. Without our incredible partnerships with our clients, spanning across the leading brands in finance, technology, entertainment, media, CPG, real estate, and many other categories, honors like this could not be possible, and also have helped us earn additional awards and recognitions over the years like:
 *Emmys, Clios Entertainment and Sports Awards, Effies, Cannes Lions Awards, ProMax Agency of the Year,* 
 and
 *Digiday’s Most Innovative Media Agency* 
 to name a few.
 We couldn’t create this award\-winning work without seeking out and hiring the best talent. What does it mean to be a Knowner? We are curious innovators, knowledge\-hunters who are constantly challenging ourselves to do better and be better for our clients, for our team and for our world at large. Our offices around the U.S. are open and while most of our people work in a hybrid setting, we are a distributed workforce with a number of Knowners working remotely.
**BUT ENOUGH ABOUT US, LET'S TALK ABOUT YOU** 
 About the role: 
 Known’s Marketing Science team embeds data scientists directly within our media buying and activation operations. You will be at the forefront of creating innovative analytical approaches to analyze and improve media buying strategies and outcomes for our diverse clientele. A key responsibility will be to design, develop, and deploy data\-driven applications and tools that empower our media activation teams, streamlining their workflows and enhancing their effectiveness. Furthermore, you will contribute your expertise to our media consulting practice, providing data\-backed insights and strategic solutions to external clients.
 We are seeking a Data Scientist who can understand the core business objectives of our internal teams and our clients, and ideate, design, and develop innovative solutions using advanced statistical modeling, machine learning, optimization, and potentially Generative AI techniques. While direct experience in media is a strong plus, a passion for applying cutting\-edge data science to solve complex marketing and media challenges is crucial. This role offers a unique opportunity to blend deep analytical skills with practical marketing acumen to drive significant impact.
 In this role more generally, you will work with, and guide (for senior levels), other data scientists on a variety of projects, interface with our other teams at Known, and drive forward some of our most difficult and innovative data science projects, using advanced methods to revolutionize media buying and activation.
**WHAT YOU’LL DO** 
* Analyze complex media buying data to identify trends, insights, and opportunities for performance improvement and optimization.
* Develop, implement, and refine innovative analytical models, algorithms, and frameworks to enhance media buying strategies, targeting, and ROI.
* Design, build, test, and deploy robust data\-driven applications and tools to automate processes, improve efficiency, and support decision\-making for the media activation team.
* Collaborate closely with media buyers, strategists, engineers, and account teams to understand their challenges and translate business needs into effective data science solutions.
* Contribute to media consulting engagements by delivering data analysis, predictive modeling, strategic recommendations, and client\-facing presentations.
* Develop and apply a range of techniques to improve Known IP and create valuable tools for Known's internal teams and clients.
* Work with other data scientists and engineers to productionalize new tools and analytical solutions, ensuring scalability and reliability.
* Stay current with advancements in Data Science, AI, media analytics, and ad technology, identifying opportunities for their application in the marketing domain.
**WHO YOU ARE AND WHAT YOU HAVE** 
* A Bachelors, Masters or PhD in a STEM field, or equivalent practical experience.
* Hands\-on experience doing quantitative analysis, statistical modeling, optimization and/or machine learning.
* Proven ability to translate complex data into actionable business insights, particularly within a marketing or media context.
* Strong understanding of marketing principles and media buying/activation processes. Direct experience in media analytics, ad\-tech, or a similar marketing\-focused data science role is highly desirable.
* Experience utilizing Python and SQL for data manipulation, analysis, and model building.
* Experience building data science software, analytical workflows, or data\-driven applications.
* 2\+ years (with Masters/PhD) or 3\+ years (with Bachelors) of relevant experience in data science or analytics.
* 1\+ years of experience building data science software or applications, ideally including those leveraging AI/ML models.
* Academic projects, internships, or personal projects demonstrating application of modeling techniques to solve real\-world problems are preferred.
**Skills, abilities, and knowledge:** 
* Superb communication and presentation skills, with an ability to convey complex technical concepts to non\-technical audiences (including media teams and clients).
* An ability to translate business challenges from the media buying, activation, and consulting domains into quantitative problems, and solve them effectively using appropriate data science methodologies and tools.
* A strong blend of data science expertise and marketing/media acumen
* Proven ownership of projects taken from ideation to completion and impact.
* A commitment to managing the quality \&amp; accuracy of analytics, ensuring high standards with your and others’ work.
* Experience working collaboratively on a tech team, with familiarity in cloud technologies (e.g., AWS, GCP, Azure), version control (e.g., Git), etc.
**Competencies:** 
* Ability to prioritize time, work and effort while multitasking on multiple projects.
* Desire to mentor and teach others.
* Collaborative attitude.
* Self motivated and exhibits initiative.
* Willing \&amp; able to learn quickly.
* Abundant intellectual curiosity and integrity.
**SOME OF OUR PERKS** 
* Unlimited paid time off
* 401k with company matching and no vesting period
* Annual bonuses
* Generous medical plan
* Paid parental leave
**ONE LAST THING TO ASK YOURSELF** 
 All this might sound great, but you’re probably still wondering, “Would I be a good fit for Known?” or “Would Known be a good fit for me?” Our culture is propped up by four values that we aspire to every day: We are one team. We see the good. We never stop learning. There’s always a better way. At Known we are setting out to build something more than just a company. We are building a legacy filled with exceptionally talented people with a kaleidoscope of backgrounds, experiences, and origin stories who feel encouraged and empowered to bring their whole selves to work, and to partner with us in molding and shaping our culture through our values.
*Known is an equal opportunity employer and does not discriminate against employees or qualified job applicants on the basis of race, color, sex, age, national origin, religion, sexual orientation, gender identity and/or expression, status as a veteran, and basis of disability or any other federal, state or locally protected class.* 
***The base salary for this position is $110K\-$130K.***
***This range is posted in compliance with state and municipal Pay Transparency laws. In addition to base compensation, this role is eligible to receive additional Known benefits.***</t>
        </is>
      </c>
    </row>
    <row r="82">
      <c r="A82" t="inlineStr">
        <is>
          <t>li-4345910826</t>
        </is>
      </c>
      <c r="B82" t="inlineStr">
        <is>
          <t>Data Scientist (Simulation &amp; Modeling)</t>
        </is>
      </c>
      <c r="C82" t="inlineStr">
        <is>
          <t>Russell Tobin</t>
        </is>
      </c>
      <c r="D82" t="inlineStr">
        <is>
          <t>linkedin</t>
        </is>
      </c>
      <c r="E82">
        <f>HYPERLINK("https://www.linkedin.com/jobs/view/4345910826", "https://www.linkedin.com/jobs/view/4345910826")</f>
        <v/>
      </c>
      <c r="F82" t="inlineStr"/>
      <c r="G82" t="inlineStr">
        <is>
          <t>Illinois, United States</t>
        </is>
      </c>
      <c r="H82" t="inlineStr"/>
      <c r="I82" t="inlineStr">
        <is>
          <t>Data Scientist (Simulation \&amp; Modeling)
**Simulation Developer \- Buying \&amp; Inventory Optimization** 
**Location:** 
 Fully Remote (EST or CST preferred)
**Contract:** 
 6\-month W2 contract (extension possible; long\-term initiatives)
**Pay Rate:** 
 $55\-$62/hour (W2\)
**Schedule:** 
 Standard business hours
**About the Role** 
 We are supporting a large, well\-known retail organization on a
 **Buying \&amp; Inventory optimization initiative** 
 and are seeking a
 **Data Scientist with strong simulation and modeling expertise** 
 . This role focuses on designing, building, and validating simulation frameworks to support inventory, supply chain, and operational decision\-making.
 The ideal candidate has a solid foundation in
 **probability theory, stochastic modeling, and Python** 
 , with hands\-on experience building scalable simulation solutions in cloud\-based data environments.
 This is a fully remote role, with preference for candidates located in
 **EST or CST time zones** 
 . Candidates should be comfortable with technical interviews, including
 **live Python coding** 
 .
**Key Responsibilities** 
* Design, develop, and deploy simulation models for inventory and operational systems
* Apply probability theory, stochastic processes, and Monte Carlo methods to model uncertainty
* Build and maintain simulation frameworks using
 **Python, SQL, and PySpark**
* Develop solutions within
 **Azure Databricks (ADB)** 
 or similar cloud data platforms
* Collaborate with Data Engineers and Data Scientists to define simulation inputs and data pipelines
* Validate, calibrate, and stress\-test models using historical data and sensitivity analysis
* Follow CI/CD best practices and manage code using
 **GitHub**
* Ensure code quality, scalability, and maintainability in production environments
**Required Qualifications** 
* Minimum
 **2\+ years of experience** 
 in data science, simulation, or modeling roles
* Hands\-on experience with
 **simulation modeling and probability theory**
* Strong
 **Python** 
 coding skills (required during interview process)
* Experience with
 **PySpark** 
 and large\-scale data processing
* Familiarity with
 **Azure Databricks** 
 or similar platforms
* Experience using
 **CI/CD pipelines** 
 and
 **GitHub**
* Ability to work independently in a remote environment
**Preferred Qualifications** 
* Background in
 **retail, inventory, supply chain, or operations research**
* Experience supporting
 **buying, demand planning, or inventory optimization** 
 initiatives
* Exposure to cloud platforms such as
 **Azure, AWS, or GCP**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*\#RTA* 
*\#JD\-E2EProf*</t>
        </is>
      </c>
    </row>
    <row r="83">
      <c r="A83" t="inlineStr">
        <is>
          <t>li-4354805984</t>
        </is>
      </c>
      <c r="B83" t="inlineStr">
        <is>
          <t>Data Scientist</t>
        </is>
      </c>
      <c r="C83" t="inlineStr">
        <is>
          <t>State Farm</t>
        </is>
      </c>
      <c r="D83" t="inlineStr">
        <is>
          <t>linkedin</t>
        </is>
      </c>
      <c r="E83">
        <f>HYPERLINK("https://www.linkedin.com/jobs/view/4354805984", "https://www.linkedin.com/jobs/view/4354805984")</f>
        <v/>
      </c>
      <c r="F83" t="inlineStr"/>
      <c r="G83" t="inlineStr">
        <is>
          <t>Atlanta, GA</t>
        </is>
      </c>
      <c r="H83" t="inlineStr"/>
      <c r="I83" t="inlineStr">
        <is>
          <t>**Overview**
 Being good neighbors \- helping people, investing in our communities, and making the world a better place \- is who we are at State Farm. It is at the core of how we operate and the reason for our success. Come join a \#1 team and do some good!
**Office Locations** 
 : Bloomington, Atlanta, Dallas, Phoenix
**HYBRID** 
 : Qualified candidates (in or near hub locations listed below) should plan to spend time working from home and some time working in the office as part of our hybrid work environment.
**Why Join Our Data Science Team?**
 At State Farm, we are dedicated to helping our team members develop to their full potential. As a Data Scientist, you have the unique opportunity to develop both professionally \&amp; analytically. You will strengthen your communication skills through interactions with technical and non\-technical business partners. Our data science teams also embrace staying current with the evolving data science landscape.
* Applicants are required to be eligible to lawfully work in the U.S. immediately; employer will not sponsor applicants for U.S. work authorization (e.g., H\-1B Visa) or future need for this opportunity.
**Responsibilities**
 State Farm's Rating \&amp; Underwriting Modeling Team is seeking Data Scientists to support the growing demand for advanced analytic solutions across the organization. We are looking for talented, motivated individuals who will partner with business areas to help drive results for the enterprise via the development and adoption of analytic solutions.
 Applicants for this posting will be considered for Data Scientist openings in:
* Property \&amp; Casualty Actuarial \&amp; Underwriting Modeling Department (PCM): Develops models that support State Farm’s insurance pricing and underwriting decisions
**Data Science at State Farm** 
 :
 As a Data Scientist at State Farm, you will serve as a subject matter expert and consultant. Through this role, you will share your knowledge and work to increase the use of analytics for decision\-making across the organization. Below are some of the tasks you can expect in the typical day of a Data Scientist:
* Develop and validate advanced analytic models
* Provide input into and/or build datasets to support model development
* Collaborate with other team members on scoping solutions and project decision points
* Present on technical topics to peers, leadership, and other stakeholders, including non\-technical business partners
* Lead/mentor other Data Scientists, interns, and other technical work teams
* Make strategic recommendations on data collection, integration, and retention requirements, incorporating business requirements and knowledge of best practices
* Serve as a peer reviewer to other model development teams
* Work on complex problems of diverse scopes
* Establish and leverage a network of associates with business domain and data expertise
* Instill a business\-oriented mindset that drives the data science \&amp; research agenda
* Build and maintain a relationship with the open\-source community by creating and contributing to open\-source data science software initiatives
**Qualifications**
**Requirements:**
* Completed Masters or other advanced degrees, in an analytical field such as statistics, mathematics, economics, data science, quantitative marketing, operations research, industrial engineering, etc.
* Experience building advanced analytic solutions using generalized linear models and at least one of the following: time series analysis, cluster analysis, tree\-based algorithms, or neural networks
* Experience with at least one statistical programming language: SAS, R, and/or Python
**Other Things We Look For:**
* Experience with cloud\-based environments (e.g., AWS), Linux, and/or SQL
* Strong communication skills and the ability to manage multiple, diverse stakeholders across business areas and leadership levels
**What You Can Expect:**
 Competitive candidates may be invited to participate in pre\-employment testing and/or the interview process. This is where the excitement begins!
* Applicants are required to be eligible to lawfully work in the U.S. immediately; employer will not sponsor applicants for U.S. work authorization (e.g., H\-1B Visa) or future need for this opportunity.
**Our Benefits**
 Because work\-life balance is a priority at State Farm, compensation is based on our standard 38:45\-hour work week!
* Potential starting salary range: $102,000 \- $163,000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84">
      <c r="A84" t="inlineStr">
        <is>
          <t>li-4354475856</t>
        </is>
      </c>
      <c r="B84" t="inlineStr">
        <is>
          <t>Data Scientist</t>
        </is>
      </c>
      <c r="C84" t="inlineStr">
        <is>
          <t>RemoteHunter</t>
        </is>
      </c>
      <c r="D84" t="inlineStr">
        <is>
          <t>linkedin</t>
        </is>
      </c>
      <c r="E84">
        <f>HYPERLINK("https://www.linkedin.com/jobs/view/4354475856", "https://www.linkedin.com/jobs/view/4354475856")</f>
        <v/>
      </c>
      <c r="F84">
        <f>HYPERLINK("https://www.remotehunter.com/apply-with-ai/f38a5525-ff57-4380-9923-24f497b3460d?utm_medium=job_posting&amp;utm_source=linkedin&amp;utm_campaign=data_scientist_remote&amp;utm_category=data_scientist&amp;utm_term=data_scientist&amp;urlHash=ZgDL", "https://www.remotehunter.com/apply-with-ai/f38a5525-ff57-4380-9923-24f497b3460d?utm_medium=job_posting&amp;utm_source=linkedin&amp;utm_campaign=data_scientist_remote&amp;utm_category=data_scientist&amp;utm_term=data_scientist&amp;urlHash=ZgDL")</f>
        <v/>
      </c>
      <c r="G84" t="inlineStr"/>
      <c r="H84" t="inlineStr"/>
      <c r="I84" t="inlineStr">
        <is>
          <t>About the Organization:
 The organization is building the first super app to simplify car ownership by integrating services such as insurance, buy/sell, registration, loans, safety, repairs, and parking within a $2 trillion U.S. market. Founded in 2019, the company has expanded from insurance to loan refinancing, driving insights, repair marketplace, car diagnostics, and a GenAI\-powered chatbot and voicebot. It has grown to over 5 million customers, raised $240 million in funding, achieved 60X revenue growth, and scaled its team to 225 employees across six countries. The data scientist role supports critical business initiatives and growth strategies by leveraging advanced machine learning and data\-driven decision\-making.
 Responsibilities:
 • Partner with marketing, product, and business development teams to integrate customer performance insights into acquisition strategies
 • Lead the design, execution, and analysis of A/B experiments on new and existing features
 • Define, test, and optimize levers to drive profitable and scalable user acquisition and partnership growth
 • Identify opportunities to automate manual processes and improve operational efficiency
 Requirements:
 • Bachelor’s degree in a quantitatively or intellectually rigorous discipline
 • Minimum 1 year of experience from a top\-tier economic consulting firm (e.g., Analysis Group, Cornerstone Research, Charles River Associates) OR 1 year of management consulting experience from a top firm (e.g., McKinsey, Bain, Boston Consulting Group) OR relevant experience in data science or business analysis
 • Proficient in SQL or Python
 • Strong problem\-solving skills using first principles
 • Effective communication skills across all organizational levels
 • High standards for personal and team performance
 Benefits \&amp; Perks:
 • Health, dental, and vision coverage
 • Paid time off and paid parental leave
 • 401(k) plan with employer matching
 • Wellness benefits
 • Equity opportunities as part of total rewards package
 Compensation:
 • Starting pay will fall within the stated pay range for the role, based on skills, experience, qualifications, work location, and market conditions
 • Compensation may include base salary and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5">
      <c r="A85" t="inlineStr">
        <is>
          <t>li-4328705005</t>
        </is>
      </c>
      <c r="B85" t="inlineStr">
        <is>
          <t>Data Scientist - Perception Verification and Validation</t>
        </is>
      </c>
      <c r="C85" t="inlineStr">
        <is>
          <t>Zoox</t>
        </is>
      </c>
      <c r="D85" t="inlineStr">
        <is>
          <t>linkedin</t>
        </is>
      </c>
      <c r="E85">
        <f>HYPERLINK("https://www.linkedin.com/jobs/view/4328705005", "https://www.linkedin.com/jobs/view/4328705005")</f>
        <v/>
      </c>
      <c r="F85">
        <f>HYPERLINK("https://jobs.lever.co/zoox/9ab192af-3480-40a7-9ff3-f81061ac6301/apply?source=LinkedIn&amp;urlHash=ypLR", "https://jobs.lever.co/zoox/9ab192af-3480-40a7-9ff3-f81061ac6301/apply?source=LinkedIn&amp;urlHash=ypLR")</f>
        <v/>
      </c>
      <c r="G85" t="inlineStr">
        <is>
          <t>Boston, MA</t>
        </is>
      </c>
      <c r="H85" t="inlineStr"/>
      <c r="I85"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**Bonus Qualifications**
* Skilled at using AI tools to improve development efficiency and quality.
* Experience with experiment design and statistical comparisons (A/B testing, parametric/non\-parametric statistics, etc.)
* Experience analyzing geospatial data
 $167,000 \- $228,000 a year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6">
      <c r="A86" t="inlineStr">
        <is>
          <t>li-4335019992</t>
        </is>
      </c>
      <c r="B86" t="inlineStr">
        <is>
          <t>AI Applied Scientist, Code Intelligence</t>
        </is>
      </c>
      <c r="C86" t="inlineStr">
        <is>
          <t>Snowflake</t>
        </is>
      </c>
      <c r="D86" t="inlineStr">
        <is>
          <t>linkedin</t>
        </is>
      </c>
      <c r="E86">
        <f>HYPERLINK("https://www.linkedin.com/jobs/view/4335019992", "https://www.linkedin.com/jobs/view/4335019992")</f>
        <v/>
      </c>
      <c r="F86" t="inlineStr"/>
      <c r="G86" t="inlineStr">
        <is>
          <t>Bellevue, WA</t>
        </is>
      </c>
      <c r="H86" t="inlineStr"/>
      <c r="I86"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about empowering enterprises to achieve their full potential — and people too. With a culture that’s all in on impact, innovation, and collaboration, Snowflake is the sweet spot for building big, moving fast, and taking technology — and careers — to the next level.
 We’re seeking an AI Applied Scientist to drive Code Intelligence at Snowflake. Your mission: build AI\-powered capabilities that supercharge developer efficiency and elevate developer experience for both Snowflake engineers and our customer developers. You’ll turn cutting\-edge ideas into dependable tools—shipping systems that make coding, reviewing, and testing faster, safer, and more delightful at scale.
 IN THIS ROLE AT SNOWFLAKE, YOU WILL:
* Build AI features that move the needle on developer outcomes—accelerating PR cycle time and time\-to\-first\-commit, reducing review latency and defects, improving test coverage, and raising developer satisfaction.
* Design and deliver systems in three focus areas: automated testing, code review assistance, and coding agents that integrate with repos and workflows.
* Prototype quickly and iterate, then productionize and harden solutions for reliability, performance, and safety, with a strong bias toward shipping impact.
* Develop end\-to\-end ML pipelines: data preparation, training/fine\-tuning, evaluation, and online serving—including experiment design, telemetry, and A/B measurement.
* Collaborate closely with Engineering Systems (our developer productivity team) to integrate into build, test, and deployment workflows.
* Write clear, maintainable Python and work across the stack to design, implement, and debug components from modeling to services and evaluation harnesses.
* Contribute to a culture of high\-quality engineering: code health, documentation, and grounded decision\-making informed by data.
* Write technical blogs and research papers to share your findings.
 WE WOULD LOVE TO HEAR FROM YOU IF YOU HAVE:
* MS or PhD in Computer Science (or related field).
* Strong Python skills and fluency with a commonly used ML stack (e.g., PyTorch and XGBoost or similar).
* Hands\-on experience building ML data pipelines, plus a habit of rigorous evaluation and experiment design.
* Familiarity with serving stacks and vector stores; comfort learning what you don’t know.
* Eagerness to learn build systems and CI/CD. Previous experience with build systems and CI/CD is a plus but not required.
* Bonus (nice to have—not all required): LLMs for code, program analysis/ASTs, retrieval/RAG, prompt engineering \&amp; eval, large\-scale A/B testing, backend/service development, and familiarity with OLAP systems like Snowflake.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87">
      <c r="A87" t="inlineStr">
        <is>
          <t>li-4354805620</t>
        </is>
      </c>
      <c r="B87" t="inlineStr">
        <is>
          <t>Data Scientist</t>
        </is>
      </c>
      <c r="C87" t="inlineStr">
        <is>
          <t>RemoteHunter</t>
        </is>
      </c>
      <c r="D87" t="inlineStr">
        <is>
          <t>linkedin</t>
        </is>
      </c>
      <c r="E87">
        <f>HYPERLINK("https://www.linkedin.com/jobs/view/4354805620", "https://www.linkedin.com/jobs/view/4354805620")</f>
        <v/>
      </c>
      <c r="F87">
        <f>HYPERLINK("https://www.remotehunter.com/apply-with-ai/358a2575-9d9e-41cb-85d7-040594822b51?utm_medium=job_posting&amp;utm_source=linkedin&amp;utm_campaign=data_scientist_remote&amp;utm_category=data_scientist&amp;utm_term=data_scientist&amp;urlHash=B7oH", "https://www.remotehunter.com/apply-with-ai/358a2575-9d9e-41cb-85d7-040594822b51?utm_medium=job_posting&amp;utm_source=linkedin&amp;utm_campaign=data_scientist_remote&amp;utm_category=data_scientist&amp;utm_term=data_scientist&amp;urlHash=B7oH")</f>
        <v/>
      </c>
      <c r="G87" t="inlineStr"/>
      <c r="H87" t="inlineStr"/>
      <c r="I87" t="inlineStr">
        <is>
          <t>About the Opportunity:
 The organization is seeking a Data Scientist to join a growing team that recently achieved profitability and aims to scale from 5 million to 50 million customers while targeting a $10 billion valuation. The role involves championing data\-driven decisions across critical business initiatives such as carrier growth and new product development. The team uses advanced machine learning models to conduct in\-depth analyses that shape growth strategies. The organization is developing a super app to simplify car ownership by integrating services including insurance, vehicle buying and selling, registration, loans, safety, repairs, and parking, addressing a $2 trillion market in the U.S. It has launched multiple features since 2019 and grown to over 5 million customers with $240 million in funding, 60X revenue growth, and a team of 225 across six countries.
 Responsibilities:
 • Collaborate with marketing, product, and business development teams to incorporate customer performance insights into acquisition strategies
 • Lead design, execution, and analysis of A/B tests on new and existing features to inform product and business decisions
 • Define and test factors driving profitable, scalable user acquisition and partnership growth
 • Identify opportunities to automate manual processes and improve operational efficiency
 Requirements:
 • Bachelor’s degree in a quantitatively or intellectually rigorous discipline
 • Minimum 1 year experience at a top\-tier economic consulting firm (e.g., Analysis Group, Cornerstone Research, Charles River Associates) or management consulting firm (e.g., McKinsey, Bain, Boston Consulting Group) or relevant data science/business analysis experience
 • Proficiency in SQL or Python
 • Strong problem\-solving framework with a first principles approach
 • Effective communication skills for audiences ranging from front\-line employees to C\-suite executives
 • High personal and team standards with a drive for excellence
 Benefits \&amp; Perks:
 • Health, dental, and vision insurance
 • Paid time off and paid parental leave
 • 401(k) plan with employer matching
 • Wellness benefits
 • Equity opportunities may be included in total rewards package
 • Note: Part\-time, contract, or freelance roles may not qualify for all benefits
 Compensation:
 • Starting pay within a market\-dependent range based on job\-related factors including skills, experience, qualifications, and work location
 • Potential equity grants as part of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8">
      <c r="A88" t="inlineStr">
        <is>
          <t>li-4354765996</t>
        </is>
      </c>
      <c r="B88" t="inlineStr">
        <is>
          <t>Data Scientist</t>
        </is>
      </c>
      <c r="C88" t="inlineStr">
        <is>
          <t>State Farm</t>
        </is>
      </c>
      <c r="D88" t="inlineStr">
        <is>
          <t>linkedin</t>
        </is>
      </c>
      <c r="E88">
        <f>HYPERLINK("https://www.linkedin.com/jobs/view/4354765996", "https://www.linkedin.com/jobs/view/4354765996")</f>
        <v/>
      </c>
      <c r="F88" t="inlineStr"/>
      <c r="G88" t="inlineStr">
        <is>
          <t>Tempe, AZ</t>
        </is>
      </c>
      <c r="H88" t="inlineStr"/>
      <c r="I88" t="inlineStr">
        <is>
          <t>**Overview**
 Being good neighbors \- helping people, investing in our communities, and making the world a better place \- is who we are at State Farm. It is at the core of how we operate and the reason for our success. Come join a \#1 team and do some good!
**Office Locations** 
 : Bloomington, Atlanta, Dallas, Phoenix
**HYBRID** 
 : Qualified candidates (in or near hub locations listed below) should plan to spend time working from home and some time working in the office as part of our hybrid work environment.
**Why Join Our Data Science Team?**
 At State Farm, we are dedicated to helping our team members develop to their full potential. As a Data Scientist, you have the unique opportunity to develop both professionally \&amp; analytically. You will strengthen your communication skills through interactions with technical and non\-technical business partners. Our data science teams also embrace staying current with the evolving data science landscape.
* Applicants are required to be eligible to lawfully work in the U.S. immediately; employer will not sponsor applicants for U.S. work authorization (e.g., H\-1B Visa) or future need for this opportunity.
**Responsibilities**
 State Farm's Rating \&amp; Underwriting Modeling Team is seeking Data Scientists to support the growing demand for advanced analytic solutions across the organization. We are looking for talented, motivated individuals who will partner with business areas to help drive results for the enterprise via the development and adoption of analytic solutions.
 Applicants for this posting will be considered for Data Scientist openings in:
* Property \&amp; Casualty Actuarial \&amp; Underwriting Modeling Department (PCM): Develops models that support State Farm’s insurance pricing and underwriting decisions
**Data Science at State Farm** 
 :
 As a Data Scientist at State Farm, you will serve as a subject matter expert and consultant. Through this role, you will share your knowledge and work to increase the use of analytics for decision\-making across the organization. Below are some of the tasks you can expect in the typical day of a Data Scientist:
* Develop and validate advanced analytic models
* Provide input into and/or build datasets to support model development
* Collaborate with other team members on scoping solutions and project decision points
* Present on technical topics to peers, leadership, and other stakeholders, including non\-technical business partners
* Lead/mentor other Data Scientists, interns, and other technical work teams
* Make strategic recommendations on data collection, integration, and retention requirements, incorporating business requirements and knowledge of best practices
* Serve as a peer reviewer to other model development teams
* Work on complex problems of diverse scopes
* Establish and leverage a network of associates with business domain and data expertise
* Instill a business\-oriented mindset that drives the data science \&amp; research agenda
* Build and maintain a relationship with the open\-source community by creating and contributing to open\-source data science software initiatives
**Qualifications**
**Requirements:**
* Completed Masters or other advanced degrees, in an analytical field such as statistics, mathematics, economics, data science, quantitative marketing, operations research, industrial engineering, etc.
* Experience building advanced analytic solutions using generalized linear models and at least one of the following: time series analysis, cluster analysis, tree\-based algorithms, or neural networks
* Experience with at least one statistical programming language: SAS, R, and/or Python
**Other Things We Look For:**
* Experience with cloud\-based environments (e.g., AWS), Linux, and/or SQL
* Strong communication skills and the ability to manage multiple, diverse stakeholders across business areas and leadership levels
**What You Can Expect:**
 Competitive candidates may be invited to participate in pre\-employment testing and/or the interview process. This is where the excitement begins!
* Applicants are required to be eligible to lawfully work in the U.S. immediately; employer will not sponsor applicants for U.S. work authorization (e.g., H\-1B Visa) or future need for this opportunity.
**Our Benefits**
 Because work\-life balance is a priority at State Farm, compensation is based on our standard 38:45\-hour work week!
* Potential starting salary range: $102,000 \- $163,000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89">
      <c r="A89" t="inlineStr">
        <is>
          <t>li-4316543088</t>
        </is>
      </c>
      <c r="B89" t="inlineStr">
        <is>
          <t>Principal Data Scientist - Rentals Machine Learning Team</t>
        </is>
      </c>
      <c r="C89" t="inlineStr">
        <is>
          <t>Zillow</t>
        </is>
      </c>
      <c r="D89" t="inlineStr">
        <is>
          <t>linkedin</t>
        </is>
      </c>
      <c r="E89">
        <f>HYPERLINK("https://www.linkedin.com/jobs/view/4316543088", "https://www.linkedin.com/jobs/view/4316543088")</f>
        <v/>
      </c>
      <c r="F89">
        <f>HYPERLINK("https://zillow.wd5.myworkdayjobs.com/Zillow_Group_External/job/Remote-USA/Principal-Data-Scientist\u002d\u002d-Rentals-Machine-Learning-Team_P747959-1?source=LinkedIn&amp;urlHash=VF1q", "https://zillow.wd5.myworkdayjobs.com/Zillow_Group_External/job/Remote-USA/Principal-Data-Scientist\u002d\u002d-Rentals-Machine-Learning-Team_P747959-1?source=LinkedIn&amp;urlHash=VF1q")</f>
        <v/>
      </c>
      <c r="G89" t="inlineStr"/>
      <c r="H89" t="inlineStr"/>
      <c r="I89" t="inlineStr">
        <is>
          <t>**About The Team**
 Zillow Group’s mission is to give people the power to unlock life's next chapter. In pursuit of this mission, we are actively seeking a highly skilled and experienced Principal Data Scientist to join our innovative Rentals Machine Learning team! We are passionately dedicated to rigorous research, deep analysis of complex datasets, and ultimately, the implementation of sophisticated model and data\-driven solutions that are instrumental in powering a wide array of workflows and product experiences across Zillow’s rapidly expanding Rentals business.
**About The Role**
 In this high\-impact role, you will work closely with cross\-functional partners including machine learning engineers, product managers, data scientists, and engineers. In this collaborative environment, you will gain a deep and comprehensive understanding of our customer segments, diverse product offerings, and the varied mechanisms through which we monetize and deliver value to all of the users of the Zillow Rentals marketplace. You will design and implement testing and measurement techniques that improve understanding of the efficiency and effectiveness of not only our existing marketplace solutions, but also the effects of the many innovations we’re making in the space. Your data\-driven insights will guide critical decision making discussions with business leaders and be used to improve outcomes and satisfaction for our marketplace customers. This role offers an unparalleled opportunity to shape the future of the Rentals marketplace and business through cutting\-edge data science.
**More specifically, you will:**
* Work with cross\-functional stakeholders to answer questions related to model\-driven listing performance
* Design and implement innovative measurement and communication techniques and tools that provide insight into our marketplace value\-delivery mechanisms
* Partner with Machine Learning Engineers to develop and refine marketplace management, valuation, and recommendation models
* Lead discussions with business partners and leaders to create clarity, evaluate trade\-offs, and drive decision making
* Ensure data excellence of Machine Learning experimentation data pipelines and A/B testing framework integrations
* Provide predictive insights into anticipated marketplace responses to changes in inventory prioritization methods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 In Colorado, Hawaii, Illinois, Minnesota, Nevada, Ohio, Rhode Island, and Vermont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a curious and passionate problem\-solver who does not shy away from complexity or uncertainty! Come join us and use your expertise to help us find opportunities and guide our business into the future with powerful insights and recommendations.
**We're searching for a Data Scientist who has:**
* A Ph.D or Master's degree in a quantitative field (e.g. science, engineering, economics, quantitative finance, operations research, statistics, or similar)
* 8\+ years of work experience involving quantitative data analysis, experimentation and complex problem\-solving
* Experience modeling 2\-sided marketplace dynamics (inventory optimization, advertising management, supply/demand prediction, etc.)
* Strong understanding of statistical concepts, measurement methods, A/B testing, and causal inference techniques
* Experience designing and analyzing tests in online marketplace settings
* Mastery of SQL and Python, with experience with Tableau, Databricks, or other visualization software
* Superb verbal and written communication skills with the ability to distill sophisticated issues and detailed analysis into simple, structured frameworks with concrete action plans
* Ability to work cross\-functionally and influence business partners to set realistic goals and focus on data\-driven solutions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90">
      <c r="A90" t="inlineStr">
        <is>
          <t>li-4345902038</t>
        </is>
      </c>
      <c r="B90" t="inlineStr">
        <is>
          <t>Senior Data Scientist, Creative Excellence</t>
        </is>
      </c>
      <c r="C90" t="inlineStr">
        <is>
          <t>Ipsos in US</t>
        </is>
      </c>
      <c r="D90" t="inlineStr">
        <is>
          <t>linkedin</t>
        </is>
      </c>
      <c r="E90">
        <f>HYPERLINK("https://www.linkedin.com/jobs/view/4345902038", "https://www.linkedin.com/jobs/view/4345902038")</f>
        <v/>
      </c>
      <c r="F90" t="inlineStr"/>
      <c r="G90" t="inlineStr">
        <is>
          <t>New York, NY</t>
        </is>
      </c>
      <c r="H90" t="inlineStr"/>
      <c r="I90"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91">
      <c r="A91" t="inlineStr">
        <is>
          <t>li-4345719352</t>
        </is>
      </c>
      <c r="B91" t="inlineStr">
        <is>
          <t>Senior Data Scientist, Creative Excellence</t>
        </is>
      </c>
      <c r="C91" t="inlineStr">
        <is>
          <t>Ipsos in US</t>
        </is>
      </c>
      <c r="D91" t="inlineStr">
        <is>
          <t>linkedin</t>
        </is>
      </c>
      <c r="E91">
        <f>HYPERLINK("https://www.linkedin.com/jobs/view/4345719352", "https://www.linkedin.com/jobs/view/4345719352")</f>
        <v/>
      </c>
      <c r="F91" t="inlineStr"/>
      <c r="G91" t="inlineStr">
        <is>
          <t>Culver City, CA</t>
        </is>
      </c>
      <c r="H91" t="inlineStr"/>
      <c r="I91"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92">
      <c r="A92" t="inlineStr">
        <is>
          <t>li-4306890003</t>
        </is>
      </c>
      <c r="B92" t="inlineStr">
        <is>
          <t>Applied Scientist, Sponsored Products and Brands</t>
        </is>
      </c>
      <c r="C92" t="inlineStr">
        <is>
          <t>Amazon</t>
        </is>
      </c>
      <c r="D92" t="inlineStr">
        <is>
          <t>linkedin</t>
        </is>
      </c>
      <c r="E92">
        <f>HYPERLINK("https://www.linkedin.com/jobs/view/4306890003", "https://www.linkedin.com/jobs/view/4306890003")</f>
        <v/>
      </c>
      <c r="F92">
        <f>HYPERLINK("https://www.amazon.jobs/jobs/3094891/applied-scientist-sponsored-products-and-brands?cmpid=SPLICX0248M&amp;utm_source=linkedin.com&amp;utm_campaign=cxro&amp;utm_medium=social_media&amp;utm_content=job_posting&amp;ss=paid&amp;urlHash=6dqV", "https://www.amazon.jobs/jobs/3094891/applied-scientist-sponsored-products-and-brands?cmpid=SPLICX0248M&amp;utm_source=linkedin.com&amp;utm_campaign=cxro&amp;utm_medium=social_media&amp;utm_content=job_posting&amp;ss=paid&amp;urlHash=6dqV")</f>
        <v/>
      </c>
      <c r="G92" t="inlineStr">
        <is>
          <t>New York, United States</t>
        </is>
      </c>
      <c r="H92" t="inlineStr"/>
      <c r="I92"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Deep curiosity, and basic knowledge on Gen AI
**Preferred Qualifications**
* Experience using Unix/Linux
* Experience in professional software development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A3094891</t>
        </is>
      </c>
    </row>
    <row r="93">
      <c r="A93" t="inlineStr">
        <is>
          <t>li-4318298262</t>
        </is>
      </c>
      <c r="B93" t="inlineStr">
        <is>
          <t>Applied Scientist</t>
        </is>
      </c>
      <c r="C93" t="inlineStr">
        <is>
          <t>Amazon</t>
        </is>
      </c>
      <c r="D93" t="inlineStr">
        <is>
          <t>linkedin</t>
        </is>
      </c>
      <c r="E93">
        <f>HYPERLINK("https://www.linkedin.com/jobs/view/4318298262", "https://www.linkedin.com/jobs/view/4318298262")</f>
        <v/>
      </c>
      <c r="F93" t="inlineStr"/>
      <c r="G93" t="inlineStr">
        <is>
          <t>New York, United States</t>
        </is>
      </c>
      <c r="H93" t="inlineStr"/>
      <c r="I93"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Job ID: A3106501</t>
        </is>
      </c>
    </row>
    <row r="94">
      <c r="A94" t="inlineStr">
        <is>
          <t>li-4335090761</t>
        </is>
      </c>
      <c r="B94" t="inlineStr">
        <is>
          <t>Applied Scientist, Sponsored Products and Brands</t>
        </is>
      </c>
      <c r="C94" t="inlineStr">
        <is>
          <t>Amazon</t>
        </is>
      </c>
      <c r="D94" t="inlineStr">
        <is>
          <t>linkedin</t>
        </is>
      </c>
      <c r="E94">
        <f>HYPERLINK("https://www.linkedin.com/jobs/view/4335090761", "https://www.linkedin.com/jobs/view/4335090761")</f>
        <v/>
      </c>
      <c r="F94" t="inlineStr"/>
      <c r="G94" t="inlineStr">
        <is>
          <t>New York, United States</t>
        </is>
      </c>
      <c r="H94" t="inlineStr"/>
      <c r="I94"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A3122617</t>
        </is>
      </c>
    </row>
    <row r="95">
      <c r="A95" t="inlineStr">
        <is>
          <t>li-4352549185</t>
        </is>
      </c>
      <c r="B95" t="inlineStr">
        <is>
          <t>Data Scientist - eBay Live</t>
        </is>
      </c>
      <c r="C95" t="inlineStr">
        <is>
          <t>myGwork - LGBTQ+ Business Community</t>
        </is>
      </c>
      <c r="D95" t="inlineStr">
        <is>
          <t>linkedin</t>
        </is>
      </c>
      <c r="E95">
        <f>HYPERLINK("https://www.linkedin.com/jobs/view/4352549185", "https://www.linkedin.com/jobs/view/4352549185")</f>
        <v/>
      </c>
      <c r="F95">
        <f>HYPERLINK("https://mygwork.com/jobs/ebay-data-scientist-ebay-live-1?src=linkedin&amp;utm_source=linkedin&amp;utm_medium=referral&amp;utm_campaign=jobs&amp;urlHash=JnoC", "https://mygwork.com/jobs/ebay-data-scientist-ebay-live-1?src=linkedin&amp;utm_source=linkedin&amp;utm_medium=referral&amp;utm_campaign=jobs&amp;urlHash=JnoC")</f>
        <v/>
      </c>
      <c r="G95" t="inlineStr">
        <is>
          <t>San Jose, CA</t>
        </is>
      </c>
      <c r="H95" t="inlineStr"/>
      <c r="I95"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EBay Live**
**eBay Live** 
 is eBay's interactive live shopping experience where sellers and creators stream in real time and buyers engage through chat, bidding, and instant purchases. It blends entertainment, community, and commerce into a dynamic, trust‑backed way to discover and shop. Join us to build the analytics and AI backbone that powers discovery, engagement, and quality moderation across Live. It's a high‑visibility, priority growth initiative with significant runway \- an opportunity to deliver measurable impact at marketplace scale.
**Opportunity**
 As a
 **Senior Data Scientist** 
 , you will independently operate as a trusted Analytics Thought Partner for a specific eBay Live pillar \- leading moderate‑to‑complex analyses end‑to‑end, actively engaging stakeholders, resolving ambiguous problems, and prioritizing the most impactful work.
 Specifically you will be part of the journey to build the Data Science engine powering eBay Live hyper‑growth across pillars such as Seller Product and Success, Buyer Product, Categories/Markets expansion, Trust \&amp; Safety, Data Foundation, and Business Performance; and to deliver measurable impact in product strategy, growth, and marketplace efficiency through causal measurement, experimentation, marketplace and risk modeling, and production‑grade insights/dashboards.
**What You'll Do**
 You will focus on one of the following pillars:
* Buyer Product Analytics: Lead end‑to‑end analyses for live commerce features; define product metrics; build dashboards; run experiments that inform the roadmap and growth. Choose appropriate methods and operate with minimal guidance.
* Seller Product \&amp; Seller Success: Design growth experiments; analyze onboarding, listing quality, conversion, and retention; propose interventions; track impact with rigorous measurement and reporting.
* Categories \&amp; Markets Expansion: Model category\-market dynamics; size opportunities; build selection/expansion frameworks; recommend sequencing and launch decisions; contribute lightweight data engineering (e.g., derived tables) to unblock analyses.
* Trust \&amp; Safety: Analyze marketplace risk signals; partner on guardrail design and monitoring; apply practical ML/AI; refine test designs and metrics to reduce false positives while preserving good‑actor experience.
* Data Foundation \&amp; Instrumentation: Clarify metric taxonomies; ensure instrumentation quality; build curated datasets and dashboards; troubleshoot data issues; automate recurring tasks with a product‑first mindset.
* Business Performance: Own KPIs within scope; synthesize daily/weekly/monthly/quarterly performance narratives; surface opportunities/risks; influence decisions with evidence‑based recommendations and audience‑appropriate storytelling.
**What You Bring**
* Advanced analytics and causal inference (uplift, diff‑in‑diff, CUPED), robust A/B test design, and strong judgment in method selection for ambiguous problems.
* Technical toolkit: SQL/Python, dashboarding (e.g., Tableau/Looker), familiarity with applied ML/AI, and the ability to optimize queries and contribute lightweight data engineering when necessary.
* Quality and rigor: Proactive assumption checks, validation, and troubleshooting; ability to scale insights via self‑serve dashboards and reporting that stakeholders actually use.
* Communication and storytelling: Clear narratives that explain the "so what"; adjust depth for technical vs. non‑technical audiences; confident presentation and on‑the‑fly Q\&amp;A in cross‑functional forums.
* Stakeholder engagement: Proactive partner management; serve as the primary analytics contact for your area; propose data‑driven opportunities beyond explicit requests; consult managers for guidance in high‑stakes discussions as needed.
* Emerging leadership: Lead analyses coordinating with others; mentor junior analysts on technical skills and domain; demonstrate ownership and reliability in delivery and outcomes.
**Qualifications**
* BS/MS in a quantitative field (e.g., Statistics, Economics, CS) or equivalent experience; 4\-7 years in analytics/data science with demonstrated end‑to‑end delivery on moderate‑to‑complex projects.
* Strong SQL/Python; experimentation design; statistical modeling; dashboarding; familiarity with marketplace dynamics and product analytics.
* Executive‑ready communication with the ability to distill complex analysis to actionable recommendations and influence product decisions.
 The base pay range for this position is expected in the range below:
 $149,200 \- $199,200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
 ]]\&gt;</t>
        </is>
      </c>
    </row>
    <row r="96">
      <c r="A96" t="inlineStr">
        <is>
          <t>li-4316355895</t>
        </is>
      </c>
      <c r="B96" t="inlineStr">
        <is>
          <t>Lead Data Scientist</t>
        </is>
      </c>
      <c r="C96" t="inlineStr">
        <is>
          <t>J.D. Power</t>
        </is>
      </c>
      <c r="D96" t="inlineStr">
        <is>
          <t>linkedin</t>
        </is>
      </c>
      <c r="E96">
        <f>HYPERLINK("https://www.linkedin.com/jobs/view/4316355895", "https://www.linkedin.com/jobs/view/4316355895")</f>
        <v/>
      </c>
      <c r="F96">
        <f>HYPERLINK("https://jdpa.wd501.myworkdayjobs.com/JDPower/job/Remote-USA/Lead-Data-Scientist_R-100130?source=LinkedIn&amp;urlHash=sfIW", "https://jdpa.wd501.myworkdayjobs.com/JDPower/job/Remote-USA/Lead-Data-Scientist_R-100130?source=LinkedIn&amp;urlHash=sfIW")</f>
        <v/>
      </c>
      <c r="G96" t="inlineStr"/>
      <c r="H96" t="inlineStr"/>
      <c r="I96" t="inlineStr">
        <is>
          <t>**Job Description**
**The Role:**
 As part of the Data and Analytics division of JD Power, you will work to understand the features that drive the price of a vehicle and predict what future vehicle values will be, and other critical insights for the sector. Our data science team is accountable for every data point we output and provides accurate, transparent, industry\-leading analytics. We are looking for a Data Scientist who will have the freedom to utilize the latest technologies to solve challenging problems, create innovative machine learning processes from the ground up, deploy them into production. We are a mature and tight\-knit data science team looking to add another top\-shelf team member who is ready to make a difference in the automotive industry. Join us!
**The Impact**
 We make data products and every new data product we output will solve a problem in the auto industry. Every Data Scientist will build models that go into production and directly impact our core products.
**About The Job**
* Daily immersion in automotive industry data
* Involved in strategic planning and decision\-making for data science initiatives.
* Independently create decks to make highly technical predictions relatable to the automotive industry
* Documentation of machine learning processes
* Deep expertise in advanced feature engineering and AI/ML model building.
* Development and consulting expert in SQL, Python, Advanced Excel along with a framework such as AWS SageMaker or Palantir Data Science Integrations.
* Collaborate closely with technology and engineering teams to improve existing processes and build out new ones
* Work with the product team to develop the analytics that will power new products
* Leads PI (Program Increment) planning for activities to be conducted in the next quarter, with limited supervision, for major developmental modules or projects.
* Create visual reports for internal and external clients that summarize findings
* Team environment that encourages the sharing of ideas to build the best predictive algorithms
* Ad\-hoc data analysis and reporting
**What You Need**
* Demonstrated expertise with data analytics and/or statistical concepts such as: regression, logistic regression, time\-series modeling, Bayesian statistics, machine learning, data mining, simulation, optimization, and/or forecasting
* Ability to communicate technical processes to a lay audience
* Presentation experience
* Curiosity and passion for solving problems with data
* 8\+ years of professional experience working with large datasets
* 8\+ years of professional experience and full fluency with statistical programming software (including Python, Spark)
* 8\+ years of professional experience with database software (RedShift, Hive, SQL, MYSQL) – full mastery of some flavor of SQL
* Master’s Degree in Statistics, Data Science, Economics, or a related technical field
**Nice To Have**
* Experience with automotive market data
* Professional expertise deploying cloud\-based ML Ops systems
* Experience working with AWS tools (Sagemaker, Glue, Batch, Lamdba…)
* Some shareable examples of data visualizations you have created
* Experience deploying machine learning models into production with an API
* PhD in Statistics, Data Science, Economics, or related field
**The Career Opportunity**
 Grow as a full\-stack data scientist in a medium\-sized team. You will pipeline data, build models, deploy them in the cloud, and build monitoring suites.
**Company Mission**
 J.D. Power is clear about what we do to ensure our success into the future. We unite industry leading data and insights with world\-class technology to solve our clients’ toughest challenges.
**Our Values**
 At J.D. Power, we strive to be Truth Finders, Change Makers and Team Driven \- the distinct behaviors that, together, define our unique culture.
 J.D. Power is committed to employing a diverse workforce. Qualified applicants will receive consideration without regard to race, color, religion, sex, national origin, age, sexual orientation, gender identity, gender expression, veteran status, or disability.
 Should you require accommodations during the recruitment and selection process, please reach out to tarecruitment@jdpa.com.
 J.D. Power does not disclose your personal data to unauthorized third parties. However, as a global corporation consisting of multiple affiliated companies in various countries, J.D. Power has international sites and J.D. Power uses resources located throughout the world. J.D. Power may from time to time also use third parties to act on J.D. Power’s behalf. You agree to the fact that to the extent necessary your personal data may be transferred and/or disclosed to any company within J.D. Power group of companies as well as to third parties acting on J.D. Power’s behalf, including also transfers to servers and databases outside the country where you provided J.D. Power with your personal data. Such transfers may include for example transfers and/or disclosures outside the European Economic Area and in the United States of America. If you are a California or United Kingdom resident, additional disclosures about the information we collect and how we use that information can be found by clicking here.
 To all recruitment agencies: J.D. Power does not accept unsolicited agency resumes and we are not responsible for any fees related to unsolicited resumes.</t>
        </is>
      </c>
    </row>
    <row r="97">
      <c r="A97" t="inlineStr">
        <is>
          <t>li-4283627729</t>
        </is>
      </c>
      <c r="B97" t="inlineStr">
        <is>
          <t>Data Scientist Engineer</t>
        </is>
      </c>
      <c r="C97" t="inlineStr">
        <is>
          <t>Womble Bond Dickinson (US) LLP</t>
        </is>
      </c>
      <c r="D97" t="inlineStr">
        <is>
          <t>linkedin</t>
        </is>
      </c>
      <c r="E97">
        <f>HYPERLINK("https://www.linkedin.com/jobs/view/4283627729", "https://www.linkedin.com/jobs/view/4283627729")</f>
        <v/>
      </c>
      <c r="F97" t="inlineStr"/>
      <c r="G97" t="inlineStr">
        <is>
          <t>Nashville, TN</t>
        </is>
      </c>
      <c r="H97" t="inlineStr"/>
      <c r="I97" t="inlineStr">
        <is>
          <t>Womble Bond Dickinson (US) LLP seeks a Data Scientist Engineer. This position is responsible for designing, building, and maintaining a modern, enterprise\-grade business intelligence platform and analytics capabilities using Microsoft technologies. This position will leverage artificial intelligence (AI) and data science/business intelligence tools (including PowerBI, SQL, Python, R) to provide data\-driven insights into strategy and business operations and automate reporting and analytical tasks.
 While this position is heavily focused on data science/analytics, it will also involve data engineering. The candidate will work with on\-premises SQL Server environments (including SSRS and SSAS) while supporting a migration to an Azure environment including Microsoft Fabric, Azure SQL, Synapse, and OneLake architecture. The role also includes collaborating with data engineers to build and maintain ETL pipelines for an enterprise data warehouse, integrate data from third\-party systems, and documenting the structure, flow, and ownership of enterprise data assets.
**Responsibilities**
* Design and build scalable enterprise business intelligence systems and analytics capabilities for lawyers and staff.
* Develop and maintain dimensionally modeled data warehouses to support reporting and advanced analytics across various operational functions.
* Lead innovative AI\-driven approaches to automate workflows and promote data integrity and integration across systems.
* Synthesize and analyze data for reporting (including financial reporting) for complex questions and business problems.
* Collaborate with software/data engineers, analysts, and legal operations stakeholders to define data needs and build structured, governed solutions.
* Participate in data architecture planning and contribute to the firm's overall modernization strategy.
**Requirements**
* Bachelor’s Degree or advanced degree, preferably in Computer Science, Statistics or related field.
* 3\+ years of experience in data science, data analysis or data engineering using Microsoft technologies, preferably within legal and/or professional services industries.
* Strong working knowledge of Microsoft SQL Server BI and Data Science Tools such as T\-SQL, Python/R, PowerBI, SSRS/SSAS, DAX.
* Hands\-on experience with Microsoft Fabric and Microsoft’s OneLake architecture.
* Proficiency with ETL tools including Azure Data Factory, Synapse, Fabric, third\-party APIs / system integration.
* Ability to learn and leverage existing and emerging AI technologies.
* Demonstrated experience in dimensional modeling and enterprise data warehouse design (Kimball).
* Understanding of data governance, compliance, and security requirements in a legal context.
* Experience documenting data models, source mappings, ETL flows.
* Proficiency with Git and Azure DevOps for collaborative development and deployment.
* Understanding of data security best practices (Security\+ or higher certifications desirable).
 Compensation: The national estimated salary range for this position is approximately $96,800 to $165,900\. Starting salary will be determined based on qualifications and location.</t>
        </is>
      </c>
    </row>
    <row r="98">
      <c r="A98" t="inlineStr">
        <is>
          <t>li-4345738558</t>
        </is>
      </c>
      <c r="B98" t="inlineStr">
        <is>
          <t>Senior Data Scientist, Avail</t>
        </is>
      </c>
      <c r="C98" t="inlineStr">
        <is>
          <t>Realtor.com</t>
        </is>
      </c>
      <c r="D98" t="inlineStr">
        <is>
          <t>linkedin</t>
        </is>
      </c>
      <c r="E98">
        <f>HYPERLINK("https://www.linkedin.com/jobs/view/4345738558", "https://www.linkedin.com/jobs/view/4345738558")</f>
        <v/>
      </c>
      <c r="F98">
        <f>HYPERLINK("https://grnh.se/swz4vhuu3us?source=LinkedIn&amp;urlHash=-Kbw", "https://grnh.se/swz4vhuu3us?source=LinkedIn&amp;urlHash=-Kbw")</f>
        <v/>
      </c>
      <c r="G98" t="inlineStr">
        <is>
          <t>Austin, TX</t>
        </is>
      </c>
      <c r="H98" t="inlineStr"/>
      <c r="I98"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We are seeking a Senior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Bachelor’s degree in a quantitative field (
 *e.g.* 
 , Statistics, Data Science, Applied Mathematics, Economics, Engineering, Computer Science).
* 6\+ years of relevant experience as a Data Scientist, Data Analyst, Product Analyst, or similar role, using SQL and Python (pandas, numpy, scipy).
* SQL \&amp; Python proficiency is a must, with 6\+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Master's or Ph.D. degree in a quantitative field (
 *e.g.* 
 ,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99">
      <c r="A99" t="inlineStr">
        <is>
          <t>li-4313826680</t>
        </is>
      </c>
      <c r="B99" t="inlineStr">
        <is>
          <t>Senior Data Scientist</t>
        </is>
      </c>
      <c r="C99" t="inlineStr">
        <is>
          <t>CubeSmart</t>
        </is>
      </c>
      <c r="D99" t="inlineStr">
        <is>
          <t>linkedin</t>
        </is>
      </c>
      <c r="E99">
        <f>HYPERLINK("https://www.linkedin.com/jobs/view/4313826680", "https://www.linkedin.com/jobs/view/4313826680")</f>
        <v/>
      </c>
      <c r="F99">
        <f>HYPERLINK("https://click.appcast.io/t/wLgDaI50_W9Q1QJXPbt4sO0_LN8gxjXg8uZpJeWR_A7GGprB1CduadPzCAY9G3z4?mode=apply&amp;iis=LinkedIn&amp;urlHash=_6Yk", "https://click.appcast.io/t/wLgDaI50_W9Q1QJXPbt4sO0_LN8gxjXg8uZpJeWR_A7GGprB1CduadPzCAY9G3z4?mode=apply&amp;iis=LinkedIn&amp;urlHash=_6Yk")</f>
        <v/>
      </c>
      <c r="G99" t="inlineStr">
        <is>
          <t>Malvern, PA</t>
        </is>
      </c>
      <c r="H99" t="inlineStr"/>
      <c r="I99" t="inlineStr">
        <is>
          <t>**Overview**
 This is a hybrid role based in the Malvern, PA office. (3 days in office)
 The Senior Data Scientist plays a critical role within the Data Science team, driving advanced analytics, machine learning, and predictive modeling initiatives. This role focuses on developing strategic models and solutions to optimize business operations, enhance customer experience, and maximize revenue. The Senior Data Scientist must possess deep technical expertise as they will play a critical role in shaping the data science strategy. The Senior Data Scientist will collaborate closely with cross\-functional teams, providing leadership in analytical projects while remaining hands\-on with coding and model development.
**Who We Are**
 At CubeSmart, we’re intentional about culture. You can experience it everywhere from our mission statement of “genuine care” to our “It’s What’s Inside That Counts” tagline to calling each other “teammates” rather than employees. This spirit fosters a fun and collaborative environment that has resulted in our rapid growth and being recognized amongst the top in our industry.
 CubeSmart’s award\-winning team is made up of people who genuinely care. Teammates care about our customers and the life events and/or business needs they are facing. Teammates are passionate, responsible, and understanding. The CubeSmart team is made up of people who have a can\-do attitude, are committed to their own success and the success of the company, and lead by example. If this sounds like a team and culture that matches your personal values and motivations, we want to hear from you.
**Responsibilities**
* Advanced Analytics and Modeling
+ Develop and implement advanced analytics and machine learning models to solve complex business problems.
+ Oversee the design and execution of predictive models for customer segmentation, pricing strategies, and inventory management.
+ Provide expert guidance on the theoretical foundations of statistical models and machine learning techniques, ensuring the selection of appropriate methods is grounded in a deep understanding of the problem context, underlying assumptions, and potential trade\-offs.
+ Ensure the accuracy, quality, and scalability of data science solutions.
+ Assist in the creation and evolution of state\-of\-the\-art MLOps implementations.
 Strategic Collaboration
* Work with cross\-functional teams, including marketing, operations, investments, and finance, to identify data\-driven opportunities.
* Provide actionable insights and recommendations to senior leadership based on analytical findings.
* Lead projects aimed at optimizing business operations, improving customer experience, and increasing revenue.
 Experimentation and Testing
* Design and implement testing and experimentation strategies, including A/B testing and controlled experiments.
* Analyze results from experiments to measure the effectiveness of business strategies.
* Develop guidelines and best practices for consistent and reliable experimentation results and monitoring.
 Data Infrastructure and Governance
* Collaborate with IT and data engineering teams to ensure data infrastructure is reliable and scalable.
* Establish and maintain data governance practices to ensure data quality, consistency, and security.
* Advocate for best practices in data management.
 Leadership and Mentorship
* Mentor junior data scientists, providing guidance on best practices and technical problem\-solving.
* Foster a collaborative and innovative team culture, promoting continuous learning and professional development.
 Communication and Stakeholder Management
* Communicate complex analytical concepts and insights to non\-technical stakeholders, including executives.
* Develop and deliver presentations, reports, and dashboards to convey data\-driven.
* Build and maintain strong relationships with internal stakeholders to understand their needs and provide tailored data science solutions.
**Qualifications**
* Master’s degree or Ph.D. in Economics, Data Science, Statistics, Mathematics, or a related field.
* Minimum of 5 years of experience in data science, analytics, or a related field.
* Proven track record in developing and deploying machine learning models and advanced analytics solutions.
* Proficiency in programming languages such as Python and SQL, and big data technologies like Databricks.
* Strong problem\-solving skills and strategic thinking ability.
* Excellent communication skills for explaining technical concepts to non\-technical audiences.
* Strong interpersonal skills for building relationships with stakeholders..</t>
        </is>
      </c>
    </row>
    <row r="100">
      <c r="A100" t="inlineStr">
        <is>
          <t>li-4354415864</t>
        </is>
      </c>
      <c r="B100" t="inlineStr">
        <is>
          <t>Senior Data Scientist - Remote</t>
        </is>
      </c>
      <c r="C100" t="inlineStr">
        <is>
          <t>City of Hope</t>
        </is>
      </c>
      <c r="D100" t="inlineStr">
        <is>
          <t>linkedin</t>
        </is>
      </c>
      <c r="E100">
        <f>HYPERLINK("https://www.linkedin.com/jobs/view/4354415864", "https://www.linkedin.com/jobs/view/4354415864")</f>
        <v/>
      </c>
      <c r="F100" t="inlineStr"/>
      <c r="G100" t="inlineStr"/>
      <c r="H100" t="inlineStr"/>
      <c r="I100" t="inlineStr">
        <is>
          <t>Join the transformative team at City of Hope, where we're changing lives and making a real difference in the fight against cancer, diabetes, and other life\-threatening illnesses. City of Hope’s growing national system includes its Los Angeles campus, a network of clinical care locations across Southern California, a new cancer center in Orange County, California, and treatment facilities in Atlanta, Chicago and Phoenix. Our dedicated and compassionate employees are driven by a common mission: To deliver the cures of tomorrow to the people who need them today.
**\*\* This is a Fully Remote Opportunity within the United States\*\***
**As a successful candidate, you will:**
* Collaborate with administrative and business leaders, clinicians and IT specialists
* Query large datasets from multiple systems
* Build machine learning and AI solutions and deploy them to production
* Design and implementation of pilots for validation and optimization of models
* Produce technical documentation, visualizations and presentations
* Lead projects with multiple work streams or complex tasks
* Project management for complex tasks
* Complete individual or collaborative projects independently
* Provide key subject matter expertise and leadership in applying data science and AI technologies for business, administrative, and clinical decision support
* Provide mentorship and guidance to more junior staff
* Performs other related duties as assigned or requested.
**Your qualifications should include:**
**Your qualifications should include:**
* PhD degree in computer science, engineering, statistics, mathematics, physics, or fields related to data science with 0\+ years of experience as a data scientist, Master’s degree with 3\+ years of experience; or Bachelor’s degree with 5\+ years of experience
**Preferred Experience**
* Familiarity with a health care environment and EHR data
* Experienced using time series analysis to model temporal data to solve complex problems
* Proficient designing, training, testing, deploying, and monitoring machine learning models to solve a wide array of problems
* Experienced using linear regression, boosted trees, deep learning and other techniques as needed to build models that support daily operations
* Experienced using LLMs and agentic frameworks to create production\-level applications
* Cloud services platforms like Amazon AWS and Microsoft Azure
* Awareness of the most recent trends and developments in the Data Science and Machine Learning field
* Data expert with measurable track record within industry or academic environment, developing and successfully implementing statistical and machine learning models for classification, regression and clustering
* Experience with relational databases and SQL queries.
* Skilled in Python and well\-versed in its machine learning libraries, such as pandas, scikit\-learn, TensorFlow, PyTorch, LangChain, and more.
* Solid experience in machine learning techniques: linear regression, boosted trees, clustering, and deep learning (CNNs, RNNs, Transformers, Large Language Models, embeddings)
* Proficient in implementing the machine learning lifecycle, including feature selection, model training, validation, testing, deployment, and ongoing monitoring.
* Advanced knowledge of probability, statistics, and scientific computing
* Ability to work independently and use creative approaches to problem\-solving
* Capable of turning questions into testable hypotheses, extracting data from complex databases, creating, and evaluating statistical models
* Ability to turn users’ requirements into a production\-level applications
* Experience in data visualization and ability to communicate results to a non\-technical audience
* Experience in completing end\-to\-end projects with minimal to no supervision
* Experience in being a part of big projects with many internal and external teams involved
* Experience managing collaborative data science projects
* Experience mentoring or leading teams of data scientists
* Track record of academic publications, or extensive experience in developing and implementing production\-grade models.
**City of Hope employees pay is based on the following criteria: work experience, qualifications, and work location.**
**City of Hope is an equal opportunity employer.**
**To learn more about our Comprehensive Benefits, please** 
**CLICK HERE** 
**.**</t>
        </is>
      </c>
    </row>
    <row r="101">
      <c r="A101" t="inlineStr">
        <is>
          <t>li-4345738968</t>
        </is>
      </c>
      <c r="B101" t="inlineStr">
        <is>
          <t>Senior Data Scientist, Creative Excellence</t>
        </is>
      </c>
      <c r="C101" t="inlineStr">
        <is>
          <t>Ipsos in US</t>
        </is>
      </c>
      <c r="D101" t="inlineStr">
        <is>
          <t>linkedin</t>
        </is>
      </c>
      <c r="E101">
        <f>HYPERLINK("https://www.linkedin.com/jobs/view/4345738968", "https://www.linkedin.com/jobs/view/4345738968")</f>
        <v/>
      </c>
      <c r="F101" t="inlineStr"/>
      <c r="G101" t="inlineStr">
        <is>
          <t>Norwalk, CT</t>
        </is>
      </c>
      <c r="H101" t="inlineStr"/>
      <c r="I101"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102">
      <c r="A102" t="inlineStr">
        <is>
          <t>li-4312506540</t>
        </is>
      </c>
      <c r="B102" t="inlineStr">
        <is>
          <t>Applied Scientist, Artificial General Intelligence</t>
        </is>
      </c>
      <c r="C102" t="inlineStr">
        <is>
          <t>Amazon</t>
        </is>
      </c>
      <c r="D102" t="inlineStr">
        <is>
          <t>linkedin</t>
        </is>
      </c>
      <c r="E102">
        <f>HYPERLINK("https://www.linkedin.com/jobs/view/4312506540", "https://www.linkedin.com/jobs/view/4312506540")</f>
        <v/>
      </c>
      <c r="F102" t="inlineStr"/>
      <c r="G102" t="inlineStr">
        <is>
          <t>Sunnyvale, CA</t>
        </is>
      </c>
      <c r="H102" t="inlineStr"/>
      <c r="I102"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A3104517</t>
        </is>
      </c>
    </row>
    <row r="103">
      <c r="A103" t="inlineStr">
        <is>
          <t>li-4325440028</t>
        </is>
      </c>
      <c r="B103" t="inlineStr">
        <is>
          <t>Lead Data Scientist - AI Implementation</t>
        </is>
      </c>
      <c r="C103" t="inlineStr">
        <is>
          <t>GM Financial</t>
        </is>
      </c>
      <c r="D103" t="inlineStr">
        <is>
          <t>linkedin</t>
        </is>
      </c>
      <c r="E103">
        <f>HYPERLINK("https://www.linkedin.com/jobs/view/4325440028", "https://www.linkedin.com/jobs/view/4325440028")</f>
        <v/>
      </c>
      <c r="F103" t="inlineStr"/>
      <c r="G103" t="inlineStr">
        <is>
          <t>Fort Worth, TX</t>
        </is>
      </c>
      <c r="H103" t="inlineStr"/>
      <c r="I103"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**Responsibilities**
**About the role:**
 The Lead Data Scientist – AI Focused role is responsible for designing, developing, and deploying advanced AI solutions, including Generative and Agentic AI Agents, to support key business functions. This position emphasizes hands\-on technical leadership in AI and machine learning, ensuring scalable and secure implementations. The role collaborates closely with cross\-functional teams to drive AI adoption and innovation, while maintaining alignment with organizational priorities and compliance standards.
**In This Role, You Will**
* L ead the development and deployment of AI\-driven solutions, with a strong emphasis on Generative and Agentic AI technologies.
* Collaborate with Data Science, IT, and business teams to implement scalable AI solutions.
* Support enterprise AI initiatives under the guidance of senior leadership, focusing on operationalization and adoption.
* Conduct research and experimentation on emerging AI technologies to enhance organizational capabilities.
* Mentor and coach junior data scientists in AI methodologies and best practices.
* Ensure compliance with data privacy, security, and regulatory standards in all AI implementations.
* Monitor and optimize AI model performance; develop dashboards and reporting tools for stakeholders.
* Participate in automation and process improvement initiatives leveraging AI technologies.
**What makes you a dream candidate?**
* Deep understanding of AI/ML concepts, including Generative AI and Agentic AI
* Knowledge of advanced statistical modeling, predictive analytics, and machine learning algorithms
* Familiarity with AI frameworks and platforms such as OpenAI, Claude, LLaMA, LangChain, and AutoGPT
* Understanding of data governance, privacy standards, and compliance requirements
* Solid understanding of IT architectural patterns, system integration, and enterprise technology stacks
* Familiarity with RESTful APIs, microservices, and best practices for secure and scalable API design
* Awareness of data flow, security, and compliance considerations in system implementations
* Hands\-on experience with machine learning and AI platforms (Python, R, SAS) and modern AI frameworks
* Proficiency in programming languages and tools for AI development and integration
* Strong problem\-solving and analytical skills; able to translate business problems into AI\-driven solutions
* Effective communication and presentation skills; able to explain complex AI concepts to non\-technical audiences
* Ability to design and implement API\-driven solutions for seamless integration with enterprise systems
* Experience collaborating with IT and engineering teams to ensure AI/ML solutions align with existing infrastructure
* Proficient in troubleshooting and optimizing data pipelines and system interfaces for robust performance
**Experience**
**QUALIFICATIONS**
* Master’s Degree or PhD in Computer Science, Data Science, Artificial Intelligence, Machine Learning, Applied Mathematics, Computational Science or Engineering Required
* 5\-7 years in related field or function required
* 5\-7 years leading through mentorship in related field preferred
* 5\-7 years leading projects and initiatives through influence preferred
**What We Offer** 
 : Generous benefits package available on day one to include: 401K matching, bonding leave for new parents (12 weeks, 100% paid), tuition assistance, training, GM employee auto discount, community service pay and nine company holidays.
**Our Culture** 
 : Our team members define and shape our culture — an environment that welcomes innovative ideas, fosters integrity, and creates a sense of community and belonging. Here we do more than work — we thrive.
**Compensation** 
 : Competitive pay and bonus eligibility.
**Work Life Balance** 
 : Flexible hybrid work environment, 2 days a week in the office.</t>
        </is>
      </c>
    </row>
    <row r="104">
      <c r="A104" t="inlineStr">
        <is>
          <t>li-4283990466</t>
        </is>
      </c>
      <c r="B104" t="inlineStr">
        <is>
          <t>Applied Scientist, Prime Air</t>
        </is>
      </c>
      <c r="C104" t="inlineStr">
        <is>
          <t>Amazon</t>
        </is>
      </c>
      <c r="D104" t="inlineStr">
        <is>
          <t>linkedin</t>
        </is>
      </c>
      <c r="E104">
        <f>HYPERLINK("https://www.linkedin.com/jobs/view/4283990466", "https://www.linkedin.com/jobs/view/4283990466")</f>
        <v/>
      </c>
      <c r="F104" t="inlineStr"/>
      <c r="G104" t="inlineStr">
        <is>
          <t>Seattle, WA</t>
        </is>
      </c>
      <c r="H104" t="inlineStr"/>
      <c r="I104" t="inlineStr">
        <is>
          <t>**Description**
 Here at Amazon, we embrace our differences. We are committed to furthering our culture of diversity and inclusion of our teams within the organization.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(https://www.aboutamazon.com/news/transportation/amazon\-prime\-air\-delivery\-drone\-reveal\-photos).
 If you are seeking an iterative environment where you can drive innovation, apply state\-of\-the\-art technologies to solve real world delivery challenges, and provide benefits to customers, Prime Air is the place for you.
 Come work on the Amazon Prime Air Team!
 We're looking for an Applied Scientist with either some background or strong interest in building simulation tools and algorithms for orchestration of a fleet of autonomous delivery drones. Managing a large number of concurrent autonomous drone flights that share airspace with other autonomous or manned aircraft is a challenging problem. Be part of the team building simulation tools and algorithms to solve this at scale.
 This role will contribute to a portfolio of simulation tools managing concurrent airspace traffic for aviation systems. The ideal candidate is comfortable with a degree of risk taking and ambiguity and able to build consensus on the critical path. If you enjoy the process of solving real\-world problems that, quite frankly, haven’t been solved at scale anywhere before, Prime Air could be the place for you. Along the way, we guarantee you’ll get opportunities to be a disruptor, prolific innovator, and a reputed problem solver and directly impact Amazon’s customer’s worldwide.
 Export Control License: This position may require a deemed export control license for compliance with applicable laws and regulations. Placement is contingent on Amazon’s ability to apply for and obtain an export control license on your behalf.
**About The Team**
 Prime air has ambitious goals to offer its service to an increasing number of customers and enabling a large number of concurrent flights is central to achieving this. To this end, the air traffic management team is building algorithms, tools and services for orchestration of prime air's autonomous drone fleet.
**Basic Qualifications**
* PhD, or Master's degree and 4\+ years of science, technology, engineering or related field experience
* Experience programming in Java, C\+\+, Python or related language
* Experience implementing algorithms using both toolkits and self\-developed code
**Preferred Qualifications**
* Experience in professional software development
* Experience in patents or publications at top\-tier peer\-reviewed conferences or journals
* Experience or strong interest in (a) building discrete event simulation tools from first principles (b) air traffic flow management (c) routing algorithms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A3057453</t>
        </is>
      </c>
    </row>
    <row r="105">
      <c r="A105" t="inlineStr">
        <is>
          <t>li-4312510376</t>
        </is>
      </c>
      <c r="B105" t="inlineStr">
        <is>
          <t>Applied Scientist, Artificial General Intelligence</t>
        </is>
      </c>
      <c r="C105" t="inlineStr">
        <is>
          <t>Amazon</t>
        </is>
      </c>
      <c r="D105" t="inlineStr">
        <is>
          <t>linkedin</t>
        </is>
      </c>
      <c r="E105">
        <f>HYPERLINK("https://www.linkedin.com/jobs/view/4312510376", "https://www.linkedin.com/jobs/view/4312510376")</f>
        <v/>
      </c>
      <c r="F105">
        <f>HYPERLINK("https://www.amazon.jobs/jobs/3104517/applied-scientist-artificial-general-intelligence?cmpid=SPLICX0248M&amp;utm_source=linkedin.com&amp;utm_campaign=cxro&amp;utm_medium=social_media&amp;utm_content=job_posting&amp;ss=paid&amp;urlHash=vwof", "https://www.amazon.jobs/jobs/3104517/applied-scientist-artificial-general-intelligence?cmpid=SPLICX0248M&amp;utm_source=linkedin.com&amp;utm_campaign=cxro&amp;utm_medium=social_media&amp;utm_content=job_posting&amp;ss=paid&amp;urlHash=vwof")</f>
        <v/>
      </c>
      <c r="G105" t="inlineStr">
        <is>
          <t>Seattle, WA</t>
        </is>
      </c>
      <c r="H105" t="inlineStr"/>
      <c r="I105"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A3104517</t>
        </is>
      </c>
    </row>
    <row r="106">
      <c r="A106" t="inlineStr">
        <is>
          <t>li-4261600192</t>
        </is>
      </c>
      <c r="B106" t="inlineStr">
        <is>
          <t>Senior Applied Scientist, Artificial General Intelligence</t>
        </is>
      </c>
      <c r="C106" t="inlineStr">
        <is>
          <t>Amazon</t>
        </is>
      </c>
      <c r="D106" t="inlineStr">
        <is>
          <t>linkedin</t>
        </is>
      </c>
      <c r="E106">
        <f>HYPERLINK("https://www.linkedin.com/jobs/view/4261600192", "https://www.linkedin.com/jobs/view/4261600192")</f>
        <v/>
      </c>
      <c r="F106" t="inlineStr"/>
      <c r="G106" t="inlineStr">
        <is>
          <t>Boston, MA</t>
        </is>
      </c>
      <c r="H106" t="inlineStr"/>
      <c r="I106" t="inlineStr">
        <is>
          <t>**Description**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A3029958</t>
        </is>
      </c>
    </row>
    <row r="107">
      <c r="A107" t="inlineStr">
        <is>
          <t>li-4305167259</t>
        </is>
      </c>
      <c r="B107" t="inlineStr">
        <is>
          <t>Senior Applied Scientist, Artificial General Intelligence</t>
        </is>
      </c>
      <c r="C107" t="inlineStr">
        <is>
          <t>Amazon</t>
        </is>
      </c>
      <c r="D107" t="inlineStr">
        <is>
          <t>linkedin</t>
        </is>
      </c>
      <c r="E107">
        <f>HYPERLINK("https://www.linkedin.com/jobs/view/4305167259", "https://www.linkedin.com/jobs/view/4305167259")</f>
        <v/>
      </c>
      <c r="F107" t="inlineStr"/>
      <c r="G107" t="inlineStr">
        <is>
          <t>Seattle, WA</t>
        </is>
      </c>
      <c r="H107" t="inlineStr"/>
      <c r="I107"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A3091494</t>
        </is>
      </c>
    </row>
    <row r="108">
      <c r="A108" t="inlineStr">
        <is>
          <t>li-4261198267</t>
        </is>
      </c>
      <c r="B108" t="inlineStr">
        <is>
          <t>Senior Applied Scientist, Artificial General Intelligence</t>
        </is>
      </c>
      <c r="C108" t="inlineStr">
        <is>
          <t>Amazon</t>
        </is>
      </c>
      <c r="D108" t="inlineStr">
        <is>
          <t>linkedin</t>
        </is>
      </c>
      <c r="E108">
        <f>HYPERLINK("https://www.linkedin.com/jobs/view/4261198267", "https://www.linkedin.com/jobs/view/4261198267")</f>
        <v/>
      </c>
      <c r="F108">
        <f>HYPERLINK("https://www.amazon.jobs/jobs/3029958/senior-applied-scientist-artificial-general-intelligence?cmpid=SPLICX0248M&amp;utm_source=linkedin.com&amp;utm_campaign=cxro&amp;utm_medium=social_media&amp;utm_content=job_posting&amp;ss=paid&amp;urlHash=amdd", "https://www.amazon.jobs/jobs/3029958/senior-applied-scientist-artificial-general-intelligence?cmpid=SPLICX0248M&amp;utm_source=linkedin.com&amp;utm_campaign=cxro&amp;utm_medium=social_media&amp;utm_content=job_posting&amp;ss=paid&amp;urlHash=amdd")</f>
        <v/>
      </c>
      <c r="G108" t="inlineStr">
        <is>
          <t>Seattle, WA</t>
        </is>
      </c>
      <c r="H108" t="inlineStr"/>
      <c r="I108" t="inlineStr">
        <is>
          <t>**Description**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A3029958</t>
        </is>
      </c>
    </row>
    <row r="109">
      <c r="A109" t="inlineStr">
        <is>
          <t>li-4249022932</t>
        </is>
      </c>
      <c r="B109" t="inlineStr">
        <is>
          <t>Senior Data Scientist</t>
        </is>
      </c>
      <c r="C109" t="inlineStr">
        <is>
          <t>SAIC</t>
        </is>
      </c>
      <c r="D109" t="inlineStr">
        <is>
          <t>linkedin</t>
        </is>
      </c>
      <c r="E109">
        <f>HYPERLINK("https://www.linkedin.com/jobs/view/4249022932", "https://www.linkedin.com/jobs/view/4249022932")</f>
        <v/>
      </c>
      <c r="F109" t="inlineStr"/>
      <c r="G109" t="inlineStr">
        <is>
          <t>Fort Meade, MD</t>
        </is>
      </c>
      <c r="H109" t="inlineStr"/>
      <c r="I109" t="inlineStr">
        <is>
          <t>Job ID 2506521
**Location** 
 FORT MEADE, MD, US
**Date Posted** 
 2025\-06\-10
**Category** 
 Information Technology
**Subcategory** 
 Data Scientist
**Schedule** 
 Full\-time
**Shift** 
 Day Job
**Travel** 
 No
**Minimum Clearance Required TS/SCI With Poly**
**Clearance Level Must Be Able to Obtain** 
 None
**Potential for Remote Work** 
 No
**Description**
 SAIC, a leading provider of systems engineering \&amp; integration, systems development \&amp; deployment, intelligence analysis and targeting, and training solutions for the Intelligence Community, is seeking creative and dedicated professionals to fulfill their career goals and objectives while delivering mission excellence on programs of national importance.
 SAIC is seeking a highly motivated Data Scientist to join our team of professionals providing technical and program services to propel the organization forward at a location near Annapolis Junction, MD.
 The Data Scientist understands complex problems, develops solutions, and makes predictions based on collection and analysis which are then interpreted and communicated to assist with making informed organizational decisions. This individual will use statistical techniques and machine learning algorithms to identify patterns within massive amounts of structured and unstructured data, build predictive models, and develop data\-driven solutions. The ideal candidate will utilize their data expertise and apply leadership and analytical skills to the mission, contributing to its success.
 Responsibilities include but are not limited to
* Design and execute advanced data science solutions for technical evaluation and decision support.
* Manage complex technology portfolios across multiple acquisition programs.
* Establish and maintain sophisticated knowledge and portfolio management systems to contribute to complex system integration and architectural design processes.
* Conduct comprehensive technical assessments and feasibility studies and deliver detailed technical documentation and comprehensive reporting.
**Qualifications**
* Active TS/SCI with Polygraph.
* Bachelor’s degree.
* 3\+ years of experience with using data science tools.
* Experience with Exploratory Data Analysis and Anomaly Detection.
* Experience with Cyber and Network domain, including Host and Network data, including Netflow.
* Experience with using Python.
* Experience with the transition of a research capability to an operational product.
**Desired Qualifications**
* Master’s degree in Computer Science or a related quantitative analysis field.
* Experience with SIGINT, CNO, or cybersecurity operations.
* Experience with developing and deploying analytics in a CLI, Web Page, or Web Service Prototype.
* Experience in Java development of analytics and web services, including Java build tools, such as Maven.
* Experience with Distributed Batch and Streaming Analytics.
* Knowledge of strategic planning for increasing the scope and sustainability of Machine Learning.
* Knowledge of Time Series Analysis Graph.
 Target salary range $160,001 \- $200,000\. The estimate displayed represents the typical salary range for this position based on experience and other factors.</t>
        </is>
      </c>
    </row>
    <row r="110">
      <c r="A110" t="inlineStr">
        <is>
          <t>li-4305168235</t>
        </is>
      </c>
      <c r="B110" t="inlineStr">
        <is>
          <t>Senior Applied Scientist, Artificial General Intelligence</t>
        </is>
      </c>
      <c r="C110" t="inlineStr">
        <is>
          <t>Amazon</t>
        </is>
      </c>
      <c r="D110" t="inlineStr">
        <is>
          <t>linkedin</t>
        </is>
      </c>
      <c r="E110">
        <f>HYPERLINK("https://www.linkedin.com/jobs/view/4305168235", "https://www.linkedin.com/jobs/view/4305168235")</f>
        <v/>
      </c>
      <c r="F110" t="inlineStr"/>
      <c r="G110" t="inlineStr">
        <is>
          <t>Boston, MA</t>
        </is>
      </c>
      <c r="H110" t="inlineStr"/>
      <c r="I110"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A3091494</t>
        </is>
      </c>
    </row>
    <row r="111">
      <c r="A111" t="inlineStr">
        <is>
          <t>li-4298183643</t>
        </is>
      </c>
      <c r="B111" t="inlineStr">
        <is>
          <t>Senior Applied Scientist, Artificial General Intelligence</t>
        </is>
      </c>
      <c r="C111" t="inlineStr">
        <is>
          <t>Amazon</t>
        </is>
      </c>
      <c r="D111" t="inlineStr">
        <is>
          <t>linkedin</t>
        </is>
      </c>
      <c r="E111">
        <f>HYPERLINK("https://www.linkedin.com/jobs/view/4298183643", "https://www.linkedin.com/jobs/view/4298183643")</f>
        <v/>
      </c>
      <c r="F111">
        <f>HYPERLINK("https://www.amazon.jobs/jobs/3078169/senior-applied-scientist-artificial-general-intelligence?cmpid=SPLICX0248M&amp;utm_source=linkedin.com&amp;utm_campaign=cxro&amp;utm_medium=social_media&amp;utm_content=job_posting&amp;ss=paid&amp;urlHash=Xph4", "https://www.amazon.jobs/jobs/3078169/senior-applied-scientist-artificial-general-intelligence?cmpid=SPLICX0248M&amp;utm_source=linkedin.com&amp;utm_campaign=cxro&amp;utm_medium=social_media&amp;utm_content=job_posting&amp;ss=paid&amp;urlHash=Xph4")</f>
        <v/>
      </c>
      <c r="G111" t="inlineStr">
        <is>
          <t>Seattle, WA</t>
        </is>
      </c>
      <c r="H111" t="inlineStr"/>
      <c r="I111" t="inlineStr">
        <is>
          <t>**Description**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
**Basic Qualifications**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A3078169</t>
        </is>
      </c>
    </row>
    <row r="112">
      <c r="A112" t="inlineStr">
        <is>
          <t>li-4282815552</t>
        </is>
      </c>
      <c r="B112" t="inlineStr">
        <is>
          <t>Principal Applied Scientist (GenAI)</t>
        </is>
      </c>
      <c r="C112" t="inlineStr">
        <is>
          <t>Oracle</t>
        </is>
      </c>
      <c r="D112" t="inlineStr">
        <is>
          <t>linkedin</t>
        </is>
      </c>
      <c r="E112">
        <f>HYPERLINK("https://www.linkedin.com/jobs/view/4282815552", "https://www.linkedin.com/jobs/view/4282815552")</f>
        <v/>
      </c>
      <c r="F112" t="inlineStr"/>
      <c r="G112" t="inlineStr">
        <is>
          <t>Seattle, WA</t>
        </is>
      </c>
      <c r="H112" t="inlineStr"/>
      <c r="I112" t="inlineStr">
        <is>
          <t>**Job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3">
      <c r="A113" t="inlineStr">
        <is>
          <t>li-4282817462</t>
        </is>
      </c>
      <c r="B113" t="inlineStr">
        <is>
          <t>Principal Applied Scientist (GenAI)</t>
        </is>
      </c>
      <c r="C113" t="inlineStr">
        <is>
          <t>Oracle</t>
        </is>
      </c>
      <c r="D113" t="inlineStr">
        <is>
          <t>linkedin</t>
        </is>
      </c>
      <c r="E113">
        <f>HYPERLINK("https://www.linkedin.com/jobs/view/4282817462", "https://www.linkedin.com/jobs/view/4282817462")</f>
        <v/>
      </c>
      <c r="F113">
        <f>HYPERLINK("https://eeho.fa.us2.oraclecloud.com/hcmUI/CandidateExperience/en/job/304371/?utm_medium=jobboard&amp;utm_source=LinkedIn&amp;urlHash=Jqbt", "https://eeho.fa.us2.oraclecloud.com/hcmUI/CandidateExperience/en/job/304371/?utm_medium=jobboard&amp;utm_source=LinkedIn&amp;urlHash=Jqbt")</f>
        <v/>
      </c>
      <c r="G113" t="inlineStr"/>
      <c r="H113" t="inlineStr"/>
      <c r="I113" t="inlineStr">
        <is>
          <t>**Job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4">
      <c r="A114" t="inlineStr">
        <is>
          <t>li-4361268356</t>
        </is>
      </c>
      <c r="B114" t="inlineStr">
        <is>
          <t>Senior Applied Scientist - Health and Life Sciences</t>
        </is>
      </c>
      <c r="C114" t="inlineStr">
        <is>
          <t>Microsoft</t>
        </is>
      </c>
      <c r="D114" t="inlineStr">
        <is>
          <t>linkedin</t>
        </is>
      </c>
      <c r="E114">
        <f>HYPERLINK("https://www.linkedin.com/jobs/view/4361268356", "https://www.linkedin.com/jobs/view/4361268356")</f>
        <v/>
      </c>
      <c r="F114" t="inlineStr"/>
      <c r="G114" t="inlineStr">
        <is>
          <t>Burlington, NC</t>
        </is>
      </c>
      <c r="H114" t="inlineStr"/>
      <c r="I114" t="inlineStr">
        <is>
          <t>**Overview**
 Microsoft’s Health and Life Sciences team is dedicated to empowering healthcare organizations to achieve their goals and improve patient care. We aim to create an efficient and connected healthcare ecosystem which empowers everyone across the healthcare journey to collaborate, communicate, and innovate together to provide better experiences for their workforces and patients or members alike.
 We are looking for a
 **Senior Applied Scientist \- Health and Life Sciences** 
 to join our Dragon ASR team. In this role, you will collaborate with a highly motivated, multi\-disciplinary group of scientists and engineers, primarily based in Vienna, Austria. Our team develops interactive and ambient speech recognition technologies powering Health and Life Sciences products such as Dragon Medical One, Dragon Copilot, and PowerScribe One.
 Our Mission Is To Deliver Solutions That Not Only Address Current Challenges But Also Pave The Way For The Future. We Seek a Passionate Scientist Who Thrives On Innovation, Embraces Teamwork, And Is Committed To Excellence. The Ideal Candidate Is
* Deeply engaged with the latest advancements in AI and speech technologies
* Focused on team success, contributing to a collaborative and inclusive environment
* Skilled in delivering high\-quality, production\-ready code that drives real\-world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 new technology and approaches into production by applying long\-term research efforts to solve immediate product needs
* Design, implement, optimize and experimentally evaluate features related to speech recognition and voice\-driven document creation
* Analyze field data, identify problems and provide strategic direction for future\-proof solutions
* Implement and enhance tools, learning algorithms and prototypes to advance speech technology capabilities
* Work closely with speech recognition experts, product managers, and engineering teams, and effectively communicate results and ideas to peers and leadership
**Qualifications**
**Minimum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of software development experience in production environments in C\+\+ and Python
* Experience working with machine learning models in areas such as speech recognition, natural language processing, generative AI
* Proficient communication skills
* Experience with speech recognition algorithms (speech\-to\-text)
* Experience with the Azure ecosystem
* Experience with large\-scale data processing and analytics
 \#hls \#hlssp \#Health\&amp;LifeSciences \#speechrecognition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5">
      <c r="A115" t="inlineStr">
        <is>
          <t>li-4292582054</t>
        </is>
      </c>
      <c r="B115" t="inlineStr">
        <is>
          <t>Sr. Applied Scientist - Privacy, Privacy Engineering</t>
        </is>
      </c>
      <c r="C115" t="inlineStr">
        <is>
          <t>Amazon</t>
        </is>
      </c>
      <c r="D115" t="inlineStr">
        <is>
          <t>linkedin</t>
        </is>
      </c>
      <c r="E115">
        <f>HYPERLINK("https://www.linkedin.com/jobs/view/4292582054", "https://www.linkedin.com/jobs/view/4292582054")</f>
        <v/>
      </c>
      <c r="F115">
        <f>HYPERLINK("https://www.amazon.jobs/jobs/2997657/sr-applied-scientist\u002d\u002dprivacy-privacy-engineering?cmpid=SPLICX0248M&amp;utm_source=linkedin.com&amp;utm_campaign=cxro&amp;utm_medium=social_media&amp;utm_content=job_posting&amp;ss=paid&amp;urlHash=P282", "https://www.amazon.jobs/jobs/2997657/sr-applied-scientist\u002d\u002dprivacy-privacy-engineering?cmpid=SPLICX0248M&amp;utm_source=linkedin.com&amp;utm_campaign=cxro&amp;utm_medium=social_media&amp;utm_content=job_posting&amp;ss=paid&amp;urlHash=P282")</f>
        <v/>
      </c>
      <c r="G115" t="inlineStr">
        <is>
          <t>San Francisco, CA</t>
        </is>
      </c>
      <c r="H115" t="inlineStr"/>
      <c r="I115" t="inlineStr">
        <is>
          <t>**Description**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A2997657</t>
        </is>
      </c>
    </row>
    <row r="116">
      <c r="A116" t="inlineStr">
        <is>
          <t>li-4345847773</t>
        </is>
      </c>
      <c r="B116" t="inlineStr">
        <is>
          <t>Senior Applied Scientist, Security Issue Management</t>
        </is>
      </c>
      <c r="C116" t="inlineStr">
        <is>
          <t>Amazon</t>
        </is>
      </c>
      <c r="D116" t="inlineStr">
        <is>
          <t>linkedin</t>
        </is>
      </c>
      <c r="E116">
        <f>HYPERLINK("https://www.linkedin.com/jobs/view/4345847773", "https://www.linkedin.com/jobs/view/4345847773")</f>
        <v/>
      </c>
      <c r="F116">
        <f>HYPERLINK("https://www.amazon.jobs/jobs/3147630/senior-applied-scientist-security-issue-management?cmpid=SPLICX0248M&amp;utm_source=linkedin.com&amp;utm_campaign=cxro&amp;utm_medium=social_media&amp;utm_content=job_posting&amp;ss=paid&amp;urlHash=-Yo2", "https://www.amazon.jobs/jobs/3147630/senior-applied-scientist-security-issue-management?cmpid=SPLICX0248M&amp;utm_source=linkedin.com&amp;utm_campaign=cxro&amp;utm_medium=social_media&amp;utm_content=job_posting&amp;ss=paid&amp;urlHash=-Yo2")</f>
        <v/>
      </c>
      <c r="G116" t="inlineStr">
        <is>
          <t>Seattle, WA</t>
        </is>
      </c>
      <c r="H116" t="inlineStr"/>
      <c r="I116" t="inlineStr">
        <is>
          <t>**Description**
 We are open to hiring candidates to work out of one of the following locations:
 Seattle, WA, USA
 Are you interested in building Agentic AI solutions that solve complex builder experience challenges with significant global impact? The Security Tooling team designs and builds high\-performance AI systems using LLMs and machine learning that identify builder bottlenecks, automate security workflows, and optimize the software development lifecycle—empowering engineering teams worldwide to ship secure code faster while maintaining the highest security standards.
 As a Senior Applied Scientist on our Security Tooling team, you will focus on building state\-of\-the\-art ML models to enhance builder experience and productivity. You will identify builder bottlenecks and pain points across the software development lifecycle, design and apply experiments to study developer behavior, and measure the downstream impacts of security tooling on engineering velocity and code quality. Our team rewards curiosity while maintaining a laser\-focus on bringing products to market that empower builders while maintaining security excellence. Competitive candidates are responsive, flexible, and able to succeed within an open, collaborative, entrepreneurial, startup\-like environment. At the forefront of both academic and applied research in builder experience and security automation, you have the opportunity to work together with a diverse and talented team of scientists, engineers, and product managers and collaborate with other teams. This role offers a unique opportunity to work on projects that could fundamentally transform how builders interact with security tools and how organizations balance security requirements with developer productivity.
 Key job responsibilities
* Design and implement novel AI/ML solutions for complex security challenges and improve builder experience
* Drive advancements in machine learning and science
* Balance theoretical knowledge with practical implementation
* Navigate ambiguity and create clarity in early\-stage product development
* Collaborate with cross\-functional teams while fostering innovation in a collaborative work environment to deliver impactful solutions
* Design and execute experiments to evaluate the performance of different algorithms and models, and iterate quickly to improve results
* Establish best practices for ML experimentation, evaluation, development and deployment
 You’ll need a strong background in AI/ML, proven leadership skills, and the ability to translate complex concepts into actionable plans. You’ll also need to effectively translate research findings into practical solutions.
 A day in the life
* Integrate ML models into production security tooling with engineering teams
* Build and refine ML models and LLM\-based agentic systems that understand builder intent
* Create agentic AI solutions that reduce security friction while maintaining high security standards
* Prototype LLM\-powered features that automate repetitive security tasks
* Design and conduct experiments (A/B tests, observational studies) to measure downstream impacts of tooling changes on engineering productivity
* Present experimental results and recommendations to leadership and cross\-functional teams
* Gather feedback from builder communities to validate hypotheses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5\+ years of building machine learning models or developing algorithms for business application experience
* PhD, or Master's degree and 6\+ years of applied research experience
* Experience programming in Java, C\+\+, Python or related language
* Experience with neural deep learning methods and machine learning
**Preferred Qualifications**
* Experience with large scale machine learning systems such as profiling and debugging and understanding of system performance and scalability
* Experience with modeling tools such as R, scikit\-learn, Spark MLLib, MxNet, Tensorflow, numpy, scipy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A3147630</t>
        </is>
      </c>
    </row>
    <row r="117">
      <c r="A117" t="inlineStr">
        <is>
          <t>li-4361580577</t>
        </is>
      </c>
      <c r="B117" t="inlineStr">
        <is>
          <t>Principal Associate, Data Scientist - Risk Management Product</t>
        </is>
      </c>
      <c r="C117" t="inlineStr">
        <is>
          <t>Capital One</t>
        </is>
      </c>
      <c r="D117" t="inlineStr">
        <is>
          <t>linkedin</t>
        </is>
      </c>
      <c r="E117">
        <f>HYPERLINK("https://www.linkedin.com/jobs/view/4361580577", "https://www.linkedin.com/jobs/view/4361580577")</f>
        <v/>
      </c>
      <c r="F117" t="inlineStr"/>
      <c r="G117" t="inlineStr">
        <is>
          <t>Plano, TX</t>
        </is>
      </c>
      <c r="H117" t="inlineStr"/>
      <c r="I117" t="inlineStr">
        <is>
          <t>Principal Associate, Data Scientist \- Risk Management Product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Risk Management Product Data Science team, you will focus on leveraging machine learning to drive efficiencies and better risk management for the company. This team is responsible for:
* Compliance Innovation
* Product intent leadership across Compliance \&amp; Ethics (General Compliance and Corporate Integrity functions)
* Natural Language Processing initiatives
* Generative AI initiatives
 Risk Management Product RISK IQ is a transformation lever using products, analytics, innovation, and data as we advance our Risk Management programs. In addition, we are also in the midst of its own transformation, moving away from traditional data acquisition and basic reporting toward real time business analysis, data science, and Generative AI.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\- 1
* Technical. You’re comfortable with open\-source languages and are passionate about developing further. You have hands\-on experience developing data science solutions using open\-source tools and cloud computing platforms. 2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 At least 2 years’ experience working with generative AI
* At least 2 years’ experience working with NLP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Plano, TX: $147,100 \- $167,900 for Princ Associate, Data Science
 Richmond, VA: $147,100 \- $167,900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8">
      <c r="A118" t="inlineStr">
        <is>
          <t>li-4345930863</t>
        </is>
      </c>
      <c r="B118" t="inlineStr">
        <is>
          <t>Senior Graph Data Scientist</t>
        </is>
      </c>
      <c r="C118" t="inlineStr">
        <is>
          <t>Amida Technology Solutions</t>
        </is>
      </c>
      <c r="D118" t="inlineStr">
        <is>
          <t>linkedin</t>
        </is>
      </c>
      <c r="E118">
        <f>HYPERLINK("https://www.linkedin.com/jobs/view/4345930863", "https://www.linkedin.com/jobs/view/4345930863")</f>
        <v/>
      </c>
      <c r="F118">
        <f>HYPERLINK("https://amida.isolvedhire.com/jobs/1672419?scr=LinkedIn&amp;urlHash=lNM5", "https://amida.isolvedhire.com/jobs/1672419?scr=LinkedIn&amp;urlHash=lNM5")</f>
        <v/>
      </c>
      <c r="G118" t="inlineStr">
        <is>
          <t>Washington, DC</t>
        </is>
      </c>
      <c r="H118" t="inlineStr"/>
      <c r="I118" t="inlineStr">
        <is>
          <t>Amida Technology Solutions is a DC\-based technology company focused on data interoperability, integrity, governance, and security. We create solutions that collect, reconcile, transform, and standardize data for business intelligence, advanced analytics, decision support, and user transactions. We specialize in taking data from inception to impact.
 Our team is composed of creative, forward\-looking thinkers who are passionate about using cutting\-edge technology to improve lives and generate a positive impact on our country. We offer an entrepreneurial, high\-growth environment that values fresh ideas, candid conversations, and authentic teamwork.
 Amida is seeking a
 **Senior Graph Data Scientist.** 
 The successful candidate will work across our client engagements and internal research projects, helping the company develop graph algorithms and techniques to support advanced data management designs, including dimension\-rich and time\-series\-based decision systems. This role will report to the Director of Solutions The ideal candidate will be motivated by the opportunity to support public agencies, nonprofit organizations, and private companies in transforming their data into actionable insights. Preference will be given to candidates able to work a hybrid schedule in our offices in DC or Richmond, VA.
**What You Will Do**
* Serve as the company's expert in all aspects of graph data modeling, including schema development, tradeoff data connectivity with retrieval/query performance
* Design, implement, and optimize graph algorithms and data structures for applications in decision support, classification
* Supervise, help create, and implement algorithms for encoding and embedding, clustering, outlier detection, community detection, and dimensionality reduction
* Build distributed training pipelines that can handle large graphs (100 M\+ graph element)
* Design and write queries, stored procedures for data loading, migration from existing databases, and retrieval
* Interface with customers and internal resources to ensure alignment of expectations and objective progress towards the application of graph in advanced analytical systems
* Author white papers, technical documentation, patents, and present at conferences
* Mentor and train data scientists on graph theory, graph analytics and graph\-based solution architectures
* Other duties as assigned
**Required Education**
* Master's degree in Computer Science, Mathematics, or Engineering with a strong focus on graph theory, algorithms, and data structures
**Required Experience**
* 5\+ years of recent professional experience in Graph Machine Learning
* 3\+ years of recent professional experience in the development and implementation of graph algorithms and data structures, including heterogeneous graphs for new applications
* 3\+ years leading research initiatives
**Required Skills**
* Proficient with data modeling, schema design, database optimization, performance monitoring
* Proficient in software development using 4GLs
* Familiarity with graph libraries and frameworks, and machine learning libraries (e.g., PyTorch Geometric, DGL, GDS)
* Proficient in at least one Apache Spark based cloud service (e.g., Azure Databricks)
* Commitment to and engagement in building strong and trustful relationships with teammates, business partners, and customers
* Intellectually curious and passionate about exploring new frontiers in graph theory with an emphasis on real\-world applications
* Desire and ability to stay current with both academic and industry literature
* Ability to obtain Public Trust
**Preferred**
* Experience with Neo4j, Cosmos DB, Arango DB
* Experience with cloud services and their database management system
* Ph.D. in Computer Science, Mathematics, or Engineering with a strong focus on graph theory, algorithms, and data structures
**Success at Amida**
 Communication is the key to success at Amida. Our people are known for their can\-do attitude and their ability to work effectively with both internal and client teams. We pride ourselves on having a collegial, multidisciplinary team with diverse backgrounds and experience. Our best team members pay intense attention to detail in all aspects of their work, have great initiative, are opinionated about the best ways of doing things, and align quickly to decisions. A sense of humor is an asset at Amida.
 Full\-time, regular employees at Amida enjoy a robust benefits package that includes a generous 401(k) match with immediate vesting, 4 weeks of PTO, paid parental leave, medical insurance, dental insurance, vision insurance, life/AD\&amp;D insurance, and short\-term disability. We also offer tuition/training assistance and team building opportunities to encourage professional growth and collaboration.
 All qualified applicants will receive consideration without regard to race, color, religion, sex, sexual orientation, gender identity, national origin, disability, protected veteran status, or any other characteristic protected by law.</t>
        </is>
      </c>
    </row>
    <row r="119">
      <c r="A119" t="inlineStr">
        <is>
          <t>li-4046361850</t>
        </is>
      </c>
      <c r="B119" t="inlineStr">
        <is>
          <t>Principal Applied Scientist, Amazon Stores Economics &amp; Science (SEAS)</t>
        </is>
      </c>
      <c r="C119" t="inlineStr">
        <is>
          <t>Amazon</t>
        </is>
      </c>
      <c r="D119" t="inlineStr">
        <is>
          <t>linkedin</t>
        </is>
      </c>
      <c r="E119">
        <f>HYPERLINK("https://www.linkedin.com/jobs/view/4046361850", "https://www.linkedin.com/jobs/view/4046361850")</f>
        <v/>
      </c>
      <c r="F119" t="inlineStr"/>
      <c r="G119" t="inlineStr">
        <is>
          <t>Seattle, WA</t>
        </is>
      </c>
      <c r="H119" t="inlineStr"/>
      <c r="I119" t="inlineStr">
        <is>
          <t>**Description**
 Stores Economics and Science (SEAS) is an interdisciplinary science and engineering team in Amazon's Stores organization with a peak\-jumping mission: we apply expertise in science and engineering to move from local to global optima in methods, models, and software. We pursue this mission by leveraging frontier science; collaborating with partner teams; and learning from the tools, experience, and perspective of others. We scale by solving problems, first in the small to prove concepts, and then in the large by building scalable solutions. We also help other teams within Amazon scale by hiring and developing the best and embedding them in other business units. In 2024, we are focused on economics and science in areas related to (1\) improving delivery speed and lowering cost\-to\-serve, (2\) seller fees and incentives, and (3\) emerging machine learning using LLMs. We also have some ongoing and highly leveraged collaborations that help partner teams inside Amazon short\-circuit months of R\&amp;D or otherwise look around corners. We are looking for a seasoned Applied Science leader to build and deliver cutting\-edge science and engineering solutions to improve our Stores business. In this role, you will lead a team of scientists and engineers with backgrounds in machine learning, NLP, IR, statistics, and economics to identify bottlenecks in our business, conceive new ideas to overcome those challenges, and deploy scientific solutions in partnership with product teams. Your responsibilities include developing the scientific models, benchmarks, and services. Graduate education and hands\-on experience in machine learning, optimization, causal inference, Bayesian statistics, deep learning, or other quantitative scientific fields is a must. To be successful in this role, you should be a quick learner and comfortable with a high degree of ambiguity.
 Key job responsibilities
 Knowledge of causal inference and forecasting models are preferred. Practical knowledge of how we can leverage Transformers, LLMs, or other deep learning techniques for a variety of applications is a must.
**Basic Qualifications**
 10\+ years of building machine learning models for business application experience
 PhD, or Master's degree and 10\+ years of applied research experience
 Experience programming in Java, C\+\+, Python or related language
 Experience with neural deep learning methods and machine learning
**Preferred Qualifications**
 Experience with modeling tools such as R, scikit\-learn, Spark MLLib, MxNet, Tensorflow, numpy, scipy etc.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A2799703</t>
        </is>
      </c>
    </row>
    <row r="120">
      <c r="A120" t="inlineStr">
        <is>
          <t>li-4340748547</t>
        </is>
      </c>
      <c r="B120" t="inlineStr">
        <is>
          <t>Sr. Applied Scientist, Amazon Selling Partner Trust &amp; Store Integrity Science</t>
        </is>
      </c>
      <c r="C120" t="inlineStr">
        <is>
          <t>Amazon</t>
        </is>
      </c>
      <c r="D120" t="inlineStr">
        <is>
          <t>linkedin</t>
        </is>
      </c>
      <c r="E120">
        <f>HYPERLINK("https://www.linkedin.com/jobs/view/4340748547", "https://www.linkedin.com/jobs/view/4340748547")</f>
        <v/>
      </c>
      <c r="F120" t="inlineStr"/>
      <c r="G120" t="inlineStr">
        <is>
          <t>Seattle, WA</t>
        </is>
      </c>
      <c r="H120" t="inlineStr"/>
      <c r="I120" t="inlineStr">
        <is>
          <t>**Description**
 Are you passionate about applying machine learning and advanced statistical techniques to protect one of the world's largest online marketplaces? Do you want to be at the forefront of developing innovative solutions that safeguard Amazon's customers and legitimate sellers while ensuring a fair and trusted shopping experience? Do you thrive in a collaborative environment where diverse perspectives drive breakthrough solutions?
 If yes, we invite you to join the Amazon Risk Intelligence Science Team. We're seeking an exceptional scientist who can revolutionize how we protect our marketplace through intelligent automation. As a key member of our team, you'll develop and deploy state\-of\-the\-art machine learning systems that analyze millions of seller interactions daily, ensuring the integrity and trustworthiness of Amazon's marketplace while scaling our operations to new heights. Your work will directly impact the safety and security of the shopping experience for hundreds of millions of customers worldwide, while supporting the growth of honest entrepreneurs and businesses.
 Key job responsibilities
* Use machine learning and statistical techniques to create scalable abuse detection solutions that identify fraudulent seller behavior, account takeovers, and marketplace manipulation schemes
* Innovate with the latest GenAI technology to build highly automated solutions for efficient seller verification, transaction monitoring, and risk assessment
* Design, develop and deploy end\-to\-end machine learning solutions in the Amazon production environment to prevent and detect sophisticated abuse patterns across the marketplace
* Learn, explore and experiment with the latest machine learning advancements to protect customer trust and maintain marketplace integrity while supporting legitimate selling partners
* Collaborate with cross\-functional teams to develop comprehensive risk models that can adapt to evolving abuse patterns and emerging threats
**About The Team**
 You'll be working closely with business partners and engineering teams to create end\-to\-end scalable machine learning solutions that address real\-world problems. You will build scalable, efficient, and automated processes for large\-scale data analyses, model development, model validation, and model implementation.
 You will also be providing clear and compelling reports for your solutions and contributing to the ongoing innovation and knowledge\-sharing that are central to the team's success.
**Basic Qualifications**
* 4\+ years of building machine learning models for business application experience
* PhD, or Master's degree and 3\+ years of applied research experience
* Experience programming in Java, C\+\+, Python or related language
* Experience with neural deep learning methods and machine learning
* 4\+ years of applied research experience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A3134314</t>
        </is>
      </c>
    </row>
    <row r="121">
      <c r="A121" t="inlineStr">
        <is>
          <t>li-4315150137</t>
        </is>
      </c>
      <c r="B121" t="inlineStr">
        <is>
          <t>Senior Applied Scientist, Delivery Foundation Model</t>
        </is>
      </c>
      <c r="C121" t="inlineStr">
        <is>
          <t>Amazon</t>
        </is>
      </c>
      <c r="D121" t="inlineStr">
        <is>
          <t>linkedin</t>
        </is>
      </c>
      <c r="E121">
        <f>HYPERLINK("https://www.linkedin.com/jobs/view/4315150137", "https://www.linkedin.com/jobs/view/4315150137")</f>
        <v/>
      </c>
      <c r="F121">
        <f>HYPERLINK("https://www.amazon.jobs/jobs/2998435/senior-applied-scientist-delivery-foundation-model-?cmpid=SPLICX0248M&amp;utm_source=linkedin.com&amp;utm_campaign=cxro&amp;utm_medium=social_media&amp;utm_content=job_posting&amp;ss=paid&amp;urlHash=vrzT", "https://www.amazon.jobs/jobs/2998435/senior-applied-scientist-delivery-foundation-model-?cmpid=SPLICX0248M&amp;utm_source=linkedin.com&amp;utm_campaign=cxro&amp;utm_medium=social_media&amp;utm_content=job_posting&amp;ss=paid&amp;urlHash=vrzT")</f>
        <v/>
      </c>
      <c r="G121" t="inlineStr">
        <is>
          <t>Bellevue, WA</t>
        </is>
      </c>
      <c r="H121" t="inlineStr"/>
      <c r="I121"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
**Preferred Qualifications**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A2998435</t>
        </is>
      </c>
    </row>
    <row r="122">
      <c r="A122" t="inlineStr">
        <is>
          <t>li-4046361849</t>
        </is>
      </c>
      <c r="B122" t="inlineStr">
        <is>
          <t>Principal Applied Scientist, Amazon Stores Economics &amp; Science (SEAS)</t>
        </is>
      </c>
      <c r="C122" t="inlineStr">
        <is>
          <t>Amazon</t>
        </is>
      </c>
      <c r="D122" t="inlineStr">
        <is>
          <t>linkedin</t>
        </is>
      </c>
      <c r="E122">
        <f>HYPERLINK("https://www.linkedin.com/jobs/view/4046361849", "https://www.linkedin.com/jobs/view/4046361849")</f>
        <v/>
      </c>
      <c r="F122" t="inlineStr"/>
      <c r="G122" t="inlineStr">
        <is>
          <t>Palo Alto, CA</t>
        </is>
      </c>
      <c r="H122" t="inlineStr"/>
      <c r="I122" t="inlineStr">
        <is>
          <t>**Description**
 Stores Economics and Science (SEAS) is an interdisciplinary science and engineering team in Amazon's Stores organization with a peak\-jumping mission: we apply expertise in science and engineering to move from local to global optima in methods, models, and software. We pursue this mission by leveraging frontier science; collaborating with partner teams; and learning from the tools, experience, and perspective of others. We scale by solving problems, first in the small to prove concepts, and then in the large by building scalable solutions. We also help other teams within Amazon scale by hiring and developing the best and embedding them in other business units. In 2024, we are focused on economics and science in areas related to (1\) improving delivery speed and lowering cost\-to\-serve, (2\) seller fees and incentives, and (3\) emerging machine learning using LLMs. We also have some ongoing and highly leveraged collaborations that help partner teams inside Amazon short\-circuit months of R\&amp;D or otherwise look around corners. We are looking for a seasoned Applied Science leader to build and deliver cutting\-edge science and engineering solutions to improve our Stores business. In this role, you will lead a team of scientists and engineers with backgrounds in machine learning, NLP, IR, statistics, and economics to identify bottlenecks in our business, conceive new ideas to overcome those challenges, and deploy scientific solutions in partnership with product teams. Your responsibilities include developing the scientific models, benchmarks, and services. Graduate education and hands\-on experience in machine learning, optimization, causal inference, Bayesian statistics, deep learning, or other quantitative scientific fields is a must. To be successful in this role, you should be a quick learner and comfortable with a high degree of ambiguity.
 Key job responsibilities
 Knowledge of causal inference and forecasting models are preferred. Practical knowledge of how we can leverage Transformers, LLMs, or other deep learning techniques for a variety of applications is a must.
**Basic Qualifications**
 10\+ years of building machine learning models for business application experience
 PhD, or Master's degree and 10\+ years of applied research experience
 Experience programming in Java, C\+\+, Python or related language
 Experience with neural deep learning methods and machine learning
**Preferred Qualifications**
 Experience with modeling tools such as R, scikit\-learn, Spark MLLib, MxNet, Tensorflow, numpy, scipy etc.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A2799703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2026-01-13T15:39:05Z</dcterms:created>
  <dcterms:modified xsi:type="dcterms:W3CDTF">2026-01-13T15:39:05Z</dcterms:modified>
</cp:coreProperties>
</file>