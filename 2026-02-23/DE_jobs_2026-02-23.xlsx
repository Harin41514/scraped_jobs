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6"/>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in-69e580b6cbc61d55</t>
        </is>
      </c>
      <c r="B2" t="inlineStr">
        <is>
          <t>Decision Management Data Engineer</t>
        </is>
      </c>
      <c r="C2" t="inlineStr">
        <is>
          <t>Strategic Link Consulting</t>
        </is>
      </c>
      <c r="D2" t="inlineStr">
        <is>
          <t>indeed</t>
        </is>
      </c>
      <c r="E2" t="inlineStr"/>
      <c r="F2" t="inlineStr"/>
      <c r="G2" t="inlineStr">
        <is>
          <t>Kennesaw, GA, US</t>
        </is>
      </c>
      <c r="H2" s="1" t="n">
        <v>46076</v>
      </c>
      <c r="I2" t="inlineStr">
        <is>
          <t>**Position Summary:**
The candidate will be responsible for developing, implementing, optimizing, and maintaining policies related to all underwriting, collections, portfolio management and decision engine development, build, and rollout activities. Utilize project management skills to develop and implement technical processes required to execute strategies in a production environment to positively influence company metrics and profitable growth. This role requires individuals with several years of credit risk management experience, strong statistical and data analysis skills, SAS skills, and the ability to derive rigorous segmentation results based on business knowledge and objective judgment of the balance between risk and reward for the portfolio.
**Key Responsibilities:**
* Analyze credit risk and financial data to develop, test, and optimize risk factors related to credit policies.
* Leverage SQL and SAS skills to perform risk, financial and data analysis including profiling, reconciliation, and quality testing.
* Prepare risk reports for senior management that include analytics of risk, performance, emerging trends, and opportunities.
* Validate and test risk management strategies. Evaluate statistical scoring, segmentation, and third\-party products for effective risk mitigation solutions.
* Work with cross functional teams to develop and execute on strategic initiatives.
* Implement initiatives to ensure consistency and compliance with credit policies and liaise with cross functional business counterparts to develop and implement risk strategies and third\-party platform integration.
* Implement and modify JavaScript and other coding required within Decision Engine/Tools to support introduction of new risk models, campaigns, and underwriting rules as appropriate.
**Essential Functions:**
* Project Management: Oversee project lifecycle of data studies, new technology interrogation, or any other projects related to risk or analytics. Deliver written project
plans to set expectations and gain strategic Interface with systems personnel and third\-party vendors for timely accurate implementation of underwriting solutions. Gather requirements for new or modified software systems enhancements and/or integration solutions. Conduct and analyze business and information technology processes anti prepare essential groundwork. Make recommendations for necessary changes on projects that come from other departments.
* Support: At as liaison to general counsel, marketing department, operations department, financial department, financial department, and Work with portfolio and merchant representatives to execute current and emerging business strategies. Interact internally to determine involvement, data requirements, and analysis. Research and evaluate new technology trends, data providers and analytics opportunities.
* Oversight: Maximize the success of existing credit bureaus, data verification sources and decision engine tools and their Validate that business and technical processes are followed1 troubleshoot problems with underwriting, deploy and promote decision engine changes and identify new component innovations. Suggest changes to better optimize customer acceptance against risk exposure.
* Insight: Maintain thorough understanding of risk, operational, and management concepts to manage major portfolio risk factors. Investigate escalated incidents in reports for further review. Suggest risk management solutions, credit policy changes, and action Turn business requirements into functional and technical specs for inclusion in the development process and in business planning. Define and develop business reports that support project assignments.
**Skills:**
* Active Listening \- Giving full attention to what other people are saying, taking time to understand the points being made, asking questions as appropriate, and not interrupting at inappropriate times.
* Writing \- Communicating effectively in writing as appropriate for the needs of the audience.
* Speaking \- Talking to others to convey information effectively.
* Problem Solving \- Identifies and resolves problems in a timely manner; Gather and analyzes information skillfully; Develops alternative solutions.
* Project Management \- Coordinates projects; communicates changes in progress; Completes projects on time.
* Technical Skills \- Pursues training and development opportunities, Shares expertise with others.
* Analytical \- Synthesizes complex or diverse information; collects and researches data.
* Critical Thinking \- Using logic and reasoning to identify the strengths and weaknesses of alternative solutions, conclusions, or approaches to problems.
* Credit Scoring \&amp; Modeling \- Understanding of predictive modeling and credit scoring methodologies.
* Reading Comprehension \- Understanding written sentences and paragraphs in work related documents.
* Social Perceptiveness \- Being aware of others' reactions and understanding why they react as they do.
* Modeling \- Understanding of predictive modeling and credit scoring methodologies.
**Attributes:**
* Oral Expression \- The ability to communicate information and ideas in speaking so others will understand.
* Written Communication: Writes clearly and informatively; Varies writing style to meet needs; presents numerical data effectively.
* Speech Clarity \- The ability to speak clearly so others can understand you.
* Oral Comprehension – The ability to listen to and understand information and ideas presented through spoken words and sentences.
* Written Comprehension – The ability to read and understand information and ideas presented in writing.
* Writing Expression – The ability to communicate information and ideas in writing so others will understand.
**Experience \&amp; Education Qualifications:**
* Bachelor's degree in economics, mathematics, statistics, or related field
* 3\+ years' experience, risk, and financial services
**Location/Travel:**
* Work is in the office in Kennesaw, GA.
* Required Travel: Infrequent/Not applicable.
**Computer Software/Hardware Knowledge:**
* 3\+ years SAS and SQL experience required
* Advanced Microsoft Excel, MS Word, PowerPoint
* Outlook Exchange
* Access and Crystal Reporting
* Underwriting Software, General Database Programming (VBA, Lua, SQL)
**Physical Requirements/Work Environment:**
* Must be able to stand and sit for prolonged periods of time, talking \&amp; hearing constantly.
* Occasionally lift up to 10 lbs.
* Must be able to sit in front of computer monitor(s) daily.
* Noise level: moderate noise level daily in an office atmosphere.</t>
        </is>
      </c>
    </row>
    <row r="3">
      <c r="A3" t="inlineStr">
        <is>
          <t>in-c7d45a5d2a2c9d19</t>
        </is>
      </c>
      <c r="B3" t="inlineStr">
        <is>
          <t>Azure Data Engineer</t>
        </is>
      </c>
      <c r="C3" t="inlineStr">
        <is>
          <t>Freudenberg Group</t>
        </is>
      </c>
      <c r="D3" t="inlineStr">
        <is>
          <t>indeed</t>
        </is>
      </c>
      <c r="E3" t="inlineStr"/>
      <c r="F3" t="inlineStr"/>
      <c r="G3" t="inlineStr">
        <is>
          <t>Plymouth, MI, US</t>
        </is>
      </c>
      <c r="H3" s="1" t="n">
        <v>46075</v>
      </c>
      <c r="I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**Sustainability \&amp; Social Commitment**
**Sustainability \&amp; Social Commitment:** We support social and sustainable projects and encourage employee involvement.
#### **Vacation**
**Vacation:** We offer time off to refresh and recharge.
#### **Paid Holidays**
**Paid Holidays:** With paid\-time off, local holidays are all the way more relaxing.
 Plymouth, MI
On\-Site
 Freudenberg\-NOK General Partnership
**Azure Data Engineer**
=======================
### **Responsibilities**
* Design and Build Data Pipelines: Develop, implement, and maintain robust, scalable data pipelines and ETL processes to integrate data from diverse sources.
* Cloud Data Infrastructure: Collaborate with IT and business teams to set up and optimize advanced cloud\-based data infrastructure, supporting AI\-driven models and analytics.
* Data Transformation \&amp; Modeling: Create algorithms and data models to convert raw data into actionable insights, aligning with business objectives.
* Data Quality \&amp; Security: Ensure data integrity, quality, and security across all systems, implementing validation, backup, recovery, and disaster recovery plans.
* Pipeline Optimization: Continuously evaluate and enhance data systems and processes for improved efficiency, reliability, and performance (including query tuning and indexing).
* Migration \&amp; Modernization: Lead migration of on\-premises data systems to cloud solutions, focusing on Azure and modern data architectures (e.g., real\-time processing, data warehousing).
* Collaboration: Work closely with data scientists, analysts, and other stakeholders to meet organizational data needs and drive strategic data management projects
### **Qualifications**
* Bachelor’s or Master’s degree in Computer Science, Data Engineering, or a related field.
* Proficiency in Python and SQL; experience with both relational and non\-relational databases (MS SQL, Azure SQL Database).
* Hands\-on experience with Databricks, Azure Data Factory, and modern data warehouse tools.
* Familiarity with real\-time data processing tools (e.g., Kafka, Flink) is a plus.
* Experience with CI/CD pipelines, automation for data deployments, and infrastructure as code (e.g., Terraform).
* Strong understanding of data security, backup, and recovery best practices.
* Knowledge of cloud infrastructure management, particularly on the Azure platform.
* Domain Knowledge: Experience in automotive and/or chemical data domains is a plus.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row>
    <row r="4">
      <c r="A4" t="inlineStr">
        <is>
          <t>in-f810dfe008fdce47</t>
        </is>
      </c>
      <c r="B4" t="inlineStr">
        <is>
          <t>Data Engineer II , UTR PLanning Tech</t>
        </is>
      </c>
      <c r="C4" t="inlineStr">
        <is>
          <t>Amazon.com</t>
        </is>
      </c>
      <c r="D4" t="inlineStr">
        <is>
          <t>indeed</t>
        </is>
      </c>
      <c r="E4" t="inlineStr"/>
      <c r="F4" t="inlineStr"/>
      <c r="G4" t="inlineStr">
        <is>
          <t>Nashville, TN, US</t>
        </is>
      </c>
      <c r="H4" s="1" t="n">
        <v>46070</v>
      </c>
      <c r="I4"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5">
      <c r="A5" t="inlineStr">
        <is>
          <t>in-78f4fe2e03407790</t>
        </is>
      </c>
      <c r="B5" t="inlineStr">
        <is>
          <t>Data Engineer II , UTR PLanning Tech</t>
        </is>
      </c>
      <c r="C5" t="inlineStr">
        <is>
          <t>Amazon.com</t>
        </is>
      </c>
      <c r="D5" t="inlineStr">
        <is>
          <t>indeed</t>
        </is>
      </c>
      <c r="E5" t="inlineStr"/>
      <c r="F5" t="inlineStr"/>
      <c r="G5" t="inlineStr">
        <is>
          <t>Austin, TX, US</t>
        </is>
      </c>
      <c r="H5" s="1" t="n">
        <v>46070</v>
      </c>
      <c r="I5"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6">
      <c r="A6" t="inlineStr">
        <is>
          <t>in-4e1d21a3ede65d8c</t>
        </is>
      </c>
      <c r="B6" t="inlineStr">
        <is>
          <t>Data Engineer II , UTR PLanning Tech</t>
        </is>
      </c>
      <c r="C6" t="inlineStr">
        <is>
          <t>Amazon.com</t>
        </is>
      </c>
      <c r="D6" t="inlineStr">
        <is>
          <t>indeed</t>
        </is>
      </c>
      <c r="E6" t="inlineStr"/>
      <c r="F6" t="inlineStr"/>
      <c r="G6" t="inlineStr">
        <is>
          <t>Bellevue, WA, US</t>
        </is>
      </c>
      <c r="H6" s="1" t="n">
        <v>46070</v>
      </c>
      <c r="I6"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7">
      <c r="A7" t="inlineStr">
        <is>
          <t>in-b62718b7eac31a99</t>
        </is>
      </c>
      <c r="B7" t="inlineStr">
        <is>
          <t>Data Engineer II, UTR PLanning Tech</t>
        </is>
      </c>
      <c r="C7" t="inlineStr">
        <is>
          <t>Amazon.com</t>
        </is>
      </c>
      <c r="D7" t="inlineStr">
        <is>
          <t>indeed</t>
        </is>
      </c>
      <c r="E7" t="inlineStr"/>
      <c r="F7" t="inlineStr"/>
      <c r="G7" t="inlineStr">
        <is>
          <t>Nashville, TN, US</t>
        </is>
      </c>
      <c r="H7" s="1" t="n">
        <v>46065</v>
      </c>
      <c r="I7"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8">
      <c r="A8" t="inlineStr">
        <is>
          <t>in-3844892bfe17f883</t>
        </is>
      </c>
      <c r="B8" t="inlineStr">
        <is>
          <t>Data Engineer II, UTR PLanning Tech</t>
        </is>
      </c>
      <c r="C8" t="inlineStr">
        <is>
          <t>Amazon.com</t>
        </is>
      </c>
      <c r="D8" t="inlineStr">
        <is>
          <t>indeed</t>
        </is>
      </c>
      <c r="E8" t="inlineStr"/>
      <c r="F8" t="inlineStr"/>
      <c r="G8" t="inlineStr">
        <is>
          <t>Austin, TX, US</t>
        </is>
      </c>
      <c r="H8" s="1" t="n">
        <v>46065</v>
      </c>
      <c r="I8"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9">
      <c r="A9" t="inlineStr">
        <is>
          <t>in-25078dd6bc136318</t>
        </is>
      </c>
      <c r="B9" t="inlineStr">
        <is>
          <t>Data Engineer I, UTR PLanning Tech</t>
        </is>
      </c>
      <c r="C9" t="inlineStr">
        <is>
          <t>Amazon.com</t>
        </is>
      </c>
      <c r="D9" t="inlineStr">
        <is>
          <t>indeed</t>
        </is>
      </c>
      <c r="E9" t="inlineStr"/>
      <c r="F9" t="inlineStr"/>
      <c r="G9" t="inlineStr">
        <is>
          <t>Nashville, TN, US</t>
        </is>
      </c>
      <c r="H9" s="1" t="n">
        <v>46065</v>
      </c>
      <c r="I9"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0">
      <c r="A10" t="inlineStr">
        <is>
          <t>in-209db35baf3943ac</t>
        </is>
      </c>
      <c r="B10" t="inlineStr">
        <is>
          <t>Data Engineer I, UTR PLanning Tech</t>
        </is>
      </c>
      <c r="C10" t="inlineStr">
        <is>
          <t>Amazon.com</t>
        </is>
      </c>
      <c r="D10" t="inlineStr">
        <is>
          <t>indeed</t>
        </is>
      </c>
      <c r="E10" t="inlineStr"/>
      <c r="F10" t="inlineStr"/>
      <c r="G10" t="inlineStr">
        <is>
          <t>Austin, TX, US</t>
        </is>
      </c>
      <c r="H10" s="1" t="n">
        <v>46065</v>
      </c>
      <c r="I10"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1">
      <c r="A11" t="inlineStr">
        <is>
          <t>in-e949462a40f17e84</t>
        </is>
      </c>
      <c r="B11" t="inlineStr">
        <is>
          <t>Data Engineer I, UTR PLanning Tech</t>
        </is>
      </c>
      <c r="C11" t="inlineStr">
        <is>
          <t>Amazon.com</t>
        </is>
      </c>
      <c r="D11" t="inlineStr">
        <is>
          <t>indeed</t>
        </is>
      </c>
      <c r="E11" t="inlineStr"/>
      <c r="F11" t="inlineStr"/>
      <c r="G11" t="inlineStr">
        <is>
          <t>Bellevue, WA, US</t>
        </is>
      </c>
      <c r="H11" s="1" t="n">
        <v>46065</v>
      </c>
      <c r="I11"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2">
      <c r="A12" t="inlineStr">
        <is>
          <t>in-90ca57276d4a981d</t>
        </is>
      </c>
      <c r="B12" t="inlineStr">
        <is>
          <t>Data Engineer II, UTR PLanning Tech</t>
        </is>
      </c>
      <c r="C12" t="inlineStr">
        <is>
          <t>Amazon.com</t>
        </is>
      </c>
      <c r="D12" t="inlineStr">
        <is>
          <t>indeed</t>
        </is>
      </c>
      <c r="E12" t="inlineStr"/>
      <c r="F12" t="inlineStr"/>
      <c r="G12" t="inlineStr">
        <is>
          <t>Bellevue, WA, US</t>
        </is>
      </c>
      <c r="H12" s="1" t="n">
        <v>46065</v>
      </c>
      <c r="I12"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3">
      <c r="A13" t="inlineStr">
        <is>
          <t>in-08ee50f212f730f2</t>
        </is>
      </c>
      <c r="B13" t="inlineStr">
        <is>
          <t>Data Engineer, AMZL Orbit Data Engineering</t>
        </is>
      </c>
      <c r="C13" t="inlineStr">
        <is>
          <t>Amazon.com</t>
        </is>
      </c>
      <c r="D13" t="inlineStr">
        <is>
          <t>indeed</t>
        </is>
      </c>
      <c r="E13" t="inlineStr"/>
      <c r="F13" t="inlineStr"/>
      <c r="G13" t="inlineStr">
        <is>
          <t>Bellevue, WA, US</t>
        </is>
      </c>
      <c r="H13" s="1" t="n">
        <v>46054</v>
      </c>
      <c r="I13"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4">
      <c r="A14" t="inlineStr">
        <is>
          <t>in-5c06554ac7370d8b</t>
        </is>
      </c>
      <c r="B14" t="inlineStr">
        <is>
          <t>Data Engineer, AMZL Orbit Data Engineering</t>
        </is>
      </c>
      <c r="C14" t="inlineStr">
        <is>
          <t>Amazon.com</t>
        </is>
      </c>
      <c r="D14" t="inlineStr">
        <is>
          <t>indeed</t>
        </is>
      </c>
      <c r="E14" t="inlineStr"/>
      <c r="F14" t="inlineStr"/>
      <c r="G14" t="inlineStr">
        <is>
          <t>Nashville, TN, US</t>
        </is>
      </c>
      <c r="H14" s="1" t="n">
        <v>46054</v>
      </c>
      <c r="I14"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5">
      <c r="A15" t="inlineStr">
        <is>
          <t>in-3d253ef0135b9465</t>
        </is>
      </c>
      <c r="B15" t="inlineStr">
        <is>
          <t>Data Engineer, AMZL Orbit Data Engineering</t>
        </is>
      </c>
      <c r="C15" t="inlineStr">
        <is>
          <t>Amazon.com</t>
        </is>
      </c>
      <c r="D15" t="inlineStr">
        <is>
          <t>indeed</t>
        </is>
      </c>
      <c r="E15" t="inlineStr"/>
      <c r="F15" t="inlineStr"/>
      <c r="G15" t="inlineStr">
        <is>
          <t>Austin, TX, US</t>
        </is>
      </c>
      <c r="H15" s="1" t="n">
        <v>46054</v>
      </c>
      <c r="I15"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6">
      <c r="A16" t="inlineStr">
        <is>
          <t>in-a4446978674e9450</t>
        </is>
      </c>
      <c r="B16" t="inlineStr">
        <is>
          <t>Data Engineer</t>
        </is>
      </c>
      <c r="C16" t="inlineStr">
        <is>
          <t>Amazon.com</t>
        </is>
      </c>
      <c r="D16" t="inlineStr">
        <is>
          <t>indeed</t>
        </is>
      </c>
      <c r="E16" t="inlineStr"/>
      <c r="F16" t="inlineStr"/>
      <c r="G16" t="inlineStr">
        <is>
          <t>San Francisco, CA, US</t>
        </is>
      </c>
      <c r="H16" s="1" t="n">
        <v>46001</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17">
      <c r="A17" t="inlineStr">
        <is>
          <t>in-bdfc972189e626d2</t>
        </is>
      </c>
      <c r="B17" t="inlineStr">
        <is>
          <t>Data Engineer</t>
        </is>
      </c>
      <c r="C17" t="inlineStr">
        <is>
          <t>Amazon.com</t>
        </is>
      </c>
      <c r="D17" t="inlineStr">
        <is>
          <t>indeed</t>
        </is>
      </c>
      <c r="E17" t="inlineStr"/>
      <c r="F17" t="inlineStr"/>
      <c r="G17" t="inlineStr">
        <is>
          <t>Seattle, WA, US</t>
        </is>
      </c>
      <c r="H17" s="1" t="n">
        <v>46001</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18">
      <c r="A18" t="inlineStr">
        <is>
          <t>in-012bacb5fe848397</t>
        </is>
      </c>
      <c r="B18" t="inlineStr">
        <is>
          <t>Senior Data Engineer (1043) - DataSF</t>
        </is>
      </c>
      <c r="C18" t="inlineStr">
        <is>
          <t>City and County of San Francisco</t>
        </is>
      </c>
      <c r="D18" t="inlineStr">
        <is>
          <t>indeed</t>
        </is>
      </c>
      <c r="E18" t="inlineStr"/>
      <c r="F18" t="inlineStr"/>
      <c r="G18" t="inlineStr">
        <is>
          <t>San Francisco, CA, US</t>
        </is>
      </c>
      <c r="H18" s="1" t="n">
        <v>46076</v>
      </c>
      <c r="I18" t="inlineStr">
        <is>
          <t>**Company Description** **Department:** DataSF  
**Job class:** 1043 Senior Data Engineer  
**Salary range:** $153,686/year \- $193,388/year  
**Role type:** Permanent Exempt  
**Hours:** Full\-time. The department has a hybrid work schedule.
**About:**  
Permanent Exempt: This is an Exempt position excluded by the Charter from the competitive Civil Service examination process, pursuant to the City and County of San Francisco, Charter Section 10\.104\. It is considered "at will" and shall serve at the discretion of the Appointing Officer.  
Application Opening: **Monday, February 23, 2026**  
Application Closing: Interested candidates are encouraged to apply as soon as possible, as this job announcement will close at any time, but not earlier than **Sunday, March 2, 2026 at 11:59pm PST**
**As part of the application process, you must also complete a Supplemental Questionnaire using this link by the filing deadline:** **https://forms.office.com/g/PgvQyRjYdX**
**The Office of the City Administrator** and its 25\+ divisions and departments operate core internal and public\-facing services in San Francisco.  
**The Office of the City Administrator’s Mission and Vision**  
Our vision is to lead the nation in public administration and to enable City departments to effectively deliver critical public services. We aim to help the city run better, to connect San Francisco residents and constituents to the vital public services they seek, and to create a meaningful and diverse work culture that is the place of choice for people who are invested in a career in public service.
We are committed to ensuring that City services are inclusive, efficient, equitable, and culturally competent for San Franciscans of all races, ethnic backgrounds, religions, and sextual orientations. This commitment requires comprehensive review and thorough analysis of existing practices and policies to remove barriers to real inclusion. We are also committed to ensuring that we have a safe, equitable, and inclusive workplace for individuals of all races. This includes creating opportunities for hiring, promotion, training, and development, for all employees, including but not limited to, Black, Indigenous, and people of color (BIPOC).
To learn more about our departments, divisions, and programs, visit: https://sf.gov/departments/city\-administrator
**About DataSF:**
Want to build robust and scalable data infrastructure to power data\-driven City services? Join the DataSF team to empower and expand the use of data in government!
**Company Description**
DataSF’s mission is to transform the way San Francisco works with data. We believe that data, when harnessed effectively, can improve transparency, resident engagement, and government performance. We are committed to removing barriers and making it easier for all people to access services and knowledge, and we actively seek team members whose diverse life experiences reflect the residents we serve.
 **Job Description**  
DataSF is seeking a Senior Data Engineer with 3\+ years of experience to join our growing team. Reporting to the Principal Data Engineer, you will be instrumental in designing, building, and maintaining the City's data infrastructure, enabling robust data pipelines and reliable data access for analytical and operational needs. This is an exciting position for someone eager to apply advanced data engineering techniques to complex urban challenges, contributing directly to San Francisco's commitment to efficient, equitable, and ethical service delivery.
Learn more about DataSF’s recent work on our blog. If you are an entrepreneurial and passionate data enthusiast, join our team to improve government through good use of data!
**Essential duties include, but are not limited to, the following:**
* **Platform Administration**: Manage our central Snowflake data warehouse, including access control, security policies, resource monitoring, performance tuning, and cost optimization. Administer our platform with a focus on data democratization and accessibility, while protecting privacy and security.
* **Pipeline Developmen**t: Build and maintain scalable and resilient pipelines to ingest and structure data from diverse sources. Design infrastructure to support both streaming and batch processes, and both structured and unstructured data sources.
* **Infrastructure as Code (IaC)**: Use Terraform to define, deploy, and manage data infrastructure, ensuring our pipelines are reproducible, version\-controlled, and production\-ready.
* **Best Practices \&amp; Innovation**: Champion and implement best practices for documentation, data modeling, warehouse architecture, SQL optimization, and testing. Think creatively to find new ways to improve our data platform's capabilities and efficiency. Provide guidance to department partners on data engineering best practices.
* **Collaboration**: Work closely with data scientists, analysts, product managers, software engineers, and nontechnical stakeholders in diverse domains to understand data requirements and build solutions that meet their needs.
* **Monitoring \&amp; Support**: Proactively monitor the health of the data platform and pipelines, troubleshoot issues, and ensure high standards of data quality and availability.
**Desirable Qualifications**
* **Technical Knowledge**
	+ Hands\-on experience administering and developing on managed cloud data platforms such as Snowflake, BigQuery, or Databricks.
	+ Demonstrated expertise in writing advanced, performant SQL, and using tools like dbt for SQL\-based data transformation and modeling.
	+ Strong programming skills in Python (with libraries like pandas, PySpark) for data processing and automation.
	+ Proficiency with an Infrastructure as Code tool, with a preference for Terraform.
	+ Experience building and deploying data pipelines using orchestration tools like Azure Data Factory, Airflow, Dagster, or similar technologies.
	+ Deep understanding of data warehousing concepts, data modeling, and modern ELT principles.
	+ Understanding of data governance, data security, and data privacy principles.
	+ Experience with real\-time data streaming technologies (e.g., Kafka, Kinesis, Snowpipe).
	+ Experience deploying and managing data pipelines for machine learning models.
* **Collaboration and Communication Skills**
	+ Strong problem\-solving skills with ability to design practical and effective data solutions
	+ Excellent verbal and written communication skills, includingthe ability to explain technical concepts to non\-technical stakeholders
	+ A collaborative mindset with enthusiasm to work across diverse, cross\-functional teams
* **Mission Alignment**
	+ Commitment to equity, transparency, and ethical data use
	+ Passion for public service and using data to improve government services
	+ Empathy for San Francisco’s diverse communities and a drive to make data and services and more accessible for SF residents
	+ Interest or experience in public sector data or social impact work
**Qualifications** **Education**:  
An associate degree in computer science, computer engineering, information systems, or a closely related field from an accredited college or university OR its equivalent in terms of total course credits/units \[i.e., at least sixty (60\) semester or ninety (90\) quarter credits/units with a minimum of twenty (20\) semester or thirty (30\) quarter credits/units in one of the fields above or a closely\-related field].
**Experience**:  
Three (3\) years of experience analyzing, installing, configuring, enhancing, and/or maintaining the components of an enterprise network.
**Substitution**:  
Additional experience as described above may be substituted for the required degree on a year\-for\-year basis (up to a maximum of two (2\) years). One (1\) year is equivalent to thirty (30\) semester units/ forty\-five (45\) quarter units with a minimum of 10 semester / 15 quarter units in one of the fields above or a closely related field.
Completion of the 1010 Information Systems Trainee Program may be substituted for the required degree.
**Verification:**  
**Please make sure it is clear in your application exactly how you meet the minimum qualifications.** Applicants will be required to submit verification of qualifying education and experience during the recruitment and selection process. For information on how to verify experience and/or education requirements, including verifying foreign education credits or degree equivalency, please visit Verification of Experience and/or Education.
**Note:** Falsifying one’s education, training, or work experience or attempted deception on the application may result in disqualification for this and future job opportunities with the City and County of San Francisco.
*Applicants must meet the minimum qualification requirement by the final application deadline unless otherwise noted.*
 **Additional Information** **Selection Procedures**  
The selection process will include evaluation of applications in relation to minimum requirements and assessment of candidates’ job\-related knowledge, skills and abilities. Depending on the number of applicants, the Department may establish and implement additional screening mechanisms to evaluate candidate qualifications. This typically includes an oral interview and/or a written or performance exercise.
If this becomes necessary, only those applicants whose qualifications most closely meet the Department needs will be invited to continue in the selection process. Applicants meeting the minimum requirements are not guaranteed advancement in the selection process.  
To find Departments which use this classification, please see: https://sfdhr.org/sites/default/files/documents/Forms\-Documents/Position\-Counts\-by\-Job\-Codes\-and\-Department\-FY\-2022\-23\.pdf.
**Additional Information Regarding Employment with the City and County of San Francisco:**
* Information About The Hiring Process
* Conviction History
* Employee Benefits Overview
* Equal Employment Opportunity
* Disaster Service Worker
* ADA Accommodation
* Veterans Preference
* Right to Work
* Copies of Application Documents
* Diversity Statement
**How to Apply:**
**Applications for City and County of San Francisco jobs are only accepted through an online process.** Visit https://careers.sf.gov and begin the application process.
* Interested candidates are encouraged to apply as soon as possible, as this job announcement will close at any time, but not before **Sunday, March 1, 2026** (11:59 PM, PST)
* Select the **"Apply Now"** button and follow instructions on the screen
* **You MUST include a cover letter.**
* **As part of the application process, you must also complete a Supplemental Questionnaire using this link:** **https://forms.office.com/g/PgvQyRjYdX**
For best practices on the application process, please visit Apply for Jobs in the City and County of San Francisco Best Practices Guide. Applicants may be contacted by email about this announcement and, therefore, it is their responsibility to ensure that their registered email address is accurate and kept up\-to\-date. Also, applicants must ensure that email from CCSF is not blocked on their computer by a spam filter. To prevent blocking, applicants should set up their email to accept CCSF mail from the following addresses @sfgov.org, @sfdpw.org, @sfport.com, @flysfo.com, @sfwater.org, @sfdph.org, @asianart.org, @sfmta.com, @sfpl.org, @dcyf.org, @first5sf.org, @famsf.org, @ccsf.edu, @smartalerts.info, and @smartrecruiters.com).
Applicants will receive a confirmation email that their online application has been received in response to every announcement for which they file. Applicants should retain this confirmation email for their records. **Failure to receive this email means that the online application was not submitted or received.**
All your information will be kept confidential according to EEO guidelines.
**HR Analyst Information:** If you have any questions regarding this recruitment or application process, please contact Connie Poon at Connie.Poon@SFGov.org
**Condition of Employment:**
The City and County of San Francisco encourages women, minorities and persons with disabilities to apply. Applicants will be considered regardless of their sex, race, age, religion, color, national origin, ancestry, physical disability, mental disability, medical condition (associated with cancer, a history of cancer, or genetic characteristics), HIV/AIDS status, genetic information, marital status, sexual orientation, gender, gender identity, gender expression, military and veteran status, or other protected category under the law.
The City and County of San Francisco encourages women, minorities and persons with disabilities to apply. Applicants will be considered regardless of their sex, race, age, religion, color, national origin, ancestry, physical disability, mental disability, medical condition (associated with cancer, a history of cancer, or genetic characteristics), HIV/AIDS status, genetic information, marital status, sexual orientation, gender, gender identity, gender expression, military and veteran status, or other protected category under the law.
The City and County of San Francisco encourages women, minorities and persons with disabilities to apply. Applicants will be considered regardless of their sex, race, age, religion, color, national origin, ancestry, physical disability, mental disability, medical condition (associated with cancer, a history of cancer, or genetic characteristics), HIV/AIDS status, genetic information, marital status, sexual orientation, gender, gender identity, gender expression, military and veteran status, or other protected category under the law.</t>
        </is>
      </c>
    </row>
    <row r="19">
      <c r="A19" t="inlineStr">
        <is>
          <t>in-68db2c37ad6b9984</t>
        </is>
      </c>
      <c r="B19" t="inlineStr">
        <is>
          <t>Analytics Engineer</t>
        </is>
      </c>
      <c r="C19" t="inlineStr">
        <is>
          <t>RollKall</t>
        </is>
      </c>
      <c r="D19" t="inlineStr">
        <is>
          <t>indeed</t>
        </is>
      </c>
      <c r="E19" t="inlineStr"/>
      <c r="F19" t="inlineStr"/>
      <c r="G19" t="inlineStr">
        <is>
          <t>Irving, TX, US</t>
        </is>
      </c>
      <c r="H19" s="1" t="n">
        <v>46076</v>
      </c>
      <c r="I19" t="inlineStr">
        <is>
          <t>RollKall was founded by a retired police officer with one goal in mind: help public safety professionals—police, firefighters, EMTs—connect with their communities through something called off\-duty work. These are extra\-duty jobs that enhance local safety while putting some extra cash in first responders’ pockets.
We built the platform that makes it easy, efficient, and trusted—for departments, officers, and the organizations that need them.
 **POSITION OVERVIEW**
RollKall is seeking an experienced Analytics Engineer to join our Business Intelligence team and shape the foundation of our analytics infrastructure. You'll build and maintain high\-quality data pipelines, establish best practices for data transformation and validation, and drive adoption of AI\-powered tools — all while building the dashboards and reports our stakeholders depend on. This role bridges data engineering and business intelligence, with a tech stack that includes Domo (cloud data warehouse and visualization), SQL Server, and Azure Logic Apps for third\-party integrations.
This position offers the opportunity to shape RollKall's analytics infrastructure — you won't just be building reports, you'll be driving enhancements to quality standards, documentation practices, and AI strategy that will scale our BI capabilities as we grow. The ideal candidate sees data quality as a strategic advantage, not a compliance checkbox, and is excited about building systems that make reliable data accessible to the entire organization and RollKall's customer base.
 **WHAT YOU’LL BE DOING**
*Data Quality \&amp; Governance*
* Design and implement data quality frameworks, including validation rules, testing procedures, and monitoring systems to ensure data accuracy and reliability
* Build and maintain comprehensive technical documentation for all data assets, including data dictionaries, transformation logic, business rules, and data lineage
* Enforce analytics engineering best practices and standards across the BI environment
* Proactively identify and resolve data quality issues, conduct root cause analysis, and implement preventive measures
* Champion data governance initiatives and serve as the quality advocate for the BI team
*Analytics Engineering \&amp; BI Development*
* Design, develop, and optimize data transformations using Domo's Magic ETL (both visual dataflows and SQL)
* Build scalable, performant data models that serve as the foundation for reporting and analytics
* Create and maintain Domo dashboards, cards, and visualizations based on business requirements
* Manage Domo platform administration, including user access, dataset schedules, and dataflow performance optimization
* Develop and automate reports and scheduled deliveries to support business operations
* Collaborate with stakeholders to gather requirements, translate business needs into technical solutions, and deliver actionable insights
* Troubleshoot data discrepancies and performance issues across the analytics stack
*AI Strategy \&amp; Innovation*
* Evaluate Domo's AI capabilities and help develop a roadmap for adopting AI\-powered features that enhance data quality, self\-service analytics, and business insights
* Leverage existing AI tools (eg, Claude Code) to accelerate documentation creation and improve data discovery
* Champion the strategic use of AI within the BI environment to drive efficiency and innovation
* Stay current with emerging analytics engineering trends and Domo platform developments
### **WHAT WE’RE LOOKING FOR**
* Demonstrated experience owning data quality initiatives and implementing validation frameworks
* Proven track record of building technical documentation and establishing process standards
* Experience working independently and taking full ownership of projects from requirements through delivery
* 5\-7 years of hands\-on experience in analytics engineering, business intelligence, data analytics, or related roles.
*Technical Skills*
* BI Platform Experience: Strong experience with at least one modern BI platform (Domo strongly preferred; Tableau, Power BI, or similar platforms acceptable)
* ETL/Data Transformation: Hands\-on experience building and maintaining ETL/ELT pipelines and data transformation workflows
* Data Modeling: Solid understanding of dimensional modeling, data warehousing concepts, and analytics\-ready data structure
* Version Control: Experience with GitHub for code repository management
* SQL Expertise: Advanced SQL skills, including query optimization, performance tuning, complex joins, and window function optimization
*Business \&amp; Communication Skills*
* Excellent communication skills with the ability to translate technical concepts for non\-technical audiences
* Strong analytical and problem\-solving abilities
* Ability to work effectively with remote team members and collaborate across departments
* Self\-motivated with the ability to identify and drive process improvements proactively
* Experience balancing multiple priorities and managing stakeholder expectations
*Preferred Qualifications*
* Direct experience with Domo platform (Magic ETL, Dataflows, Beast Modes, Domo administration)
* Familiarity with Azure cloud services and Logic Apps
* Experience with AI/ML tools in analytics contexts
* Background in SaaS, municipal government, or public safety sectors
* Proficiency with object\-oriented programming (Python, .NET, or similar)
* Knowledge of JSON and YAML
* Bachelor’s degree in Computer Science, Engineering, Information Systems, or related field
 **OUR CULTURE**
RollKall is built on four core values: One Team (people first, trust, care, diversity, and inclusion), Servant Leadership (do the right thing, question authority), Humbition (humility, ambition, and empathy for our users), and Deliver Results (bias for action, innovate, embrace change). We're looking for someone who doesn't just fit our culture — but strengthens it.
**LOCATION \&amp; WORK SCHEDULE**
This position is preferred to work out of our Las Colinas (DFW) office, though remote candidates will be considered. RollKall employees are required to work in the office two days per week unless otherwise authorized — our office serves as the hub for innovation, collaboration, and idea sharing across our diverse, global team.
**COMPENSATION \&amp; BENEFITS**
Along with a competitive salary and bonus structure, you'll be eligible for healthcare (medical, dental, vision, prescription drugs, FSA/HSA \&amp; Teladoc), Employee Assistance Program, Maternity and Parental Leave, 401(k), and Sick, Vacation, and Paid Holiday time.
RollKall Technologies is an equal opportunity employer committed to a diverse and inclusive workplace. We do not discriminate on the basis of race, national origin, gender, gender identity, sexual orientation, protected veteran status, disability, age, or other legally protected status.</t>
        </is>
      </c>
    </row>
    <row r="20">
      <c r="A20" t="inlineStr">
        <is>
          <t>in-e66d91d3f28df4f5</t>
        </is>
      </c>
      <c r="B20" t="inlineStr">
        <is>
          <t>System Data Engineer</t>
        </is>
      </c>
      <c r="C20" t="inlineStr">
        <is>
          <t>Bryant and Stratton College</t>
        </is>
      </c>
      <c r="D20" t="inlineStr">
        <is>
          <t>indeed</t>
        </is>
      </c>
      <c r="E20" t="inlineStr"/>
      <c r="F20" t="inlineStr"/>
      <c r="G20" t="inlineStr">
        <is>
          <t>Orchard Park, NY, US</t>
        </is>
      </c>
      <c r="H20" s="1" t="n">
        <v>46076</v>
      </c>
      <c r="I20" t="inlineStr">
        <is>
          <t>**Position Status**: Exempt
**Work Hours:** Mon–Fri, 8am\-5pm. Hours may vary for project needs. Saturdays and secondary holidays may be a scheduled workday. Limited travel may be required.
**Reports To**: IT Director
**Location**: Western New York
**Position Summary:**
Bryant \&amp; Stratton College is seeking a motivated and reliable Data Engineer to serve as a steward and technical lead of a mission\-critical data warehouse that primarily supports analytical and research functions across the College. This role is ideal for a career focused candidate who demonstrates strong ownership, integrity, and a desire to continuously improve data systems through thoughtful use of automation, low\-code tools, and light programming.
**Essential Duties and Responsibilities:**
* Work in concert with the College’s Institutional Research and Analytics Team to ensure the reliability, accuracy, and long\-term sustainability of the Data Warehouse.
* Provide primary support for the data management needs of the College by:
* Working with existing datasets and data models
* Developing and maintaining new data feeds and integrations
* Improving data availability and usability for reporting and analysis
* Design, build, and maintain data pipelines using a combination of low\-code tools and scripting/programming where appropriate
* Use programming and automation (e.g., Python, PowerShell, SQL) to reduce manual processes, improve data quality, and enable repeatable workflows
* Collaborate closely with analysts, researchers, and business stakeholders to understand evolving data needs and translate them into practical data solutions
* Monitor both database systems and data health, investigate anomalies, and proactively resolve issues before they impact downstream users
* Create and maintain clear documentation and diagrams to support transparency, continuity, and knowledge sharing
* Identify opportunities to incrementally modernize the data platform while avoiding unnecessary complexity
* Other tasks as assigned by your manager
**College Competencies:**
* Accountability—Takes ownership
* Brand Ambassadorship—Understands our brand and messages it to the students
* Embracing Change—Adapts to changing circumstances by accepting and responding positively to different ideas and approaches.
* Values—Recognizes the impact of the position on others and acts consistent with BSC core values to ensure positive outcomes
* Technology Application – Identify, research and learn new technologies.
* Client Services—Understands interrelationships and interdependencies between service management processes.
* Technical Management—Demonstrates a detailed knowledge of several programming environments and good working knowledge of hardware and software interfaces.
**Key Competencies and Skills****:**
* Verbal and written communication skills
* Listening skills
* Problem analysis and problem solving
* Customer service orientation
* Organizational skills
* Attention to detail
* Judgment
* Adaptability
* Teamwork
* Stress tolerance
* Resilience
**Qualifications:**
* Bachelor's degree or higher in Computer Science, Engineering, Information Systems, or certification in Azure Data platforms.
* 2\+ years of professional experience in data engineering, data architecture, or a related domain.
* Experience with SQL and relational databases.
* Understanding of basic data warehousing concepts.
* Demonstrated sense of ownership and stewardship over systems and outcomes.
* Demonstrated ability to learn new technical platforms and concepts independently and apply them pragmatically.
* Experience with data integration tools (e.g., Azure Data Factory, Azure Synapse Analytics, Azure Fabric).
* Highly coachable and receptive to feedback, with the ability to rapidly incorporate new concepts and continuously improve performance.
* Comfort leveraging modern tools, including AI\-assisted workflows, to accelerate learning, improve documentation, and increase efficiency while exercising sound judgment and data responsibility.
* Comfort using basic programming or scripting to automate tasks and solve problems.
* Strong analytical thinking and attention to detail, especially regarding data accuracy and consistency.
* Excellent written and verbal communication skills.
**Preferred Qualifications:**
* Exposure to Python, PowerShell, or similar scripting languages.
* Familiarity with cloud platforms (Azure preferred).
* Familiarity with Business Intelligence platforms such as Qlik or PowerBIExperience supporting analytics, research, or reporting teams.
* Interest in data security, auditability, and responsible data stewardship.
**What Success Looks Like in This Role**
* Takes personal responsibility for the health and reliability of data systems.
* Anticipates issues and addresses them proactively rather than reactively.
* Continuous Improvement: Stay current with emerging trends and technologies in data engineering, suggesting and implementing innovative solutions to enhance the data platform. Learns the data environment deeply and documents it thoroughly.
* Builds trust with stakeholders through consistency, discretion, and follow\-through.
* Improves systems incrementally with a long\-term stewardship mindset.
* Gradually takes on broader responsibility as skills and confidence grow.
**Physical Demands and Work Environment****:**
* Position requires standing or sitting in a stationary position as well as the occasional need to lift, carry, push, and/or move objects up to 50 pounds.
* Position also requires the use of computer technology/equipment.
* Position requires the ability to receive information in person and over the telephone.
* Position requires the ability to convey detailed and important instructions or ideas accurately.
* Travel may be required.
**Salary Range:**
$75,000 to $85,000 per year
*Please note that the compensation information is a good faith estimate of the base pay for this position. The selected candidate’s actual base pay* for this role will take into account a wide range of non\-discriminatory factors including but not limited to skill sets, experience and training, licensure and certifications, and other business and organizational needs. At Bryant \&amp; Stratton College, it is not typical for an individual to be hired at or near the top of the range for their role and compensation decisions are dependent on the facts and circumstances of each case. *Information about the total compensation package for this position will be provided during the interview process.*
All qualified applicants will receive consideration for employment without regard to race, color, religion, sex, sexual orientation, gender identity, national origin, age, disability or protected veteran status, or any other legally protected basis, in accordance with applicable law. Bryant \&amp; Stratton College is an Equal Opportunity Employer.</t>
        </is>
      </c>
    </row>
    <row r="21">
      <c r="A21" t="inlineStr">
        <is>
          <t>in-4da5376ea9ed63ff</t>
        </is>
      </c>
      <c r="B21" t="inlineStr">
        <is>
          <t>IT Data Platform Engineer</t>
        </is>
      </c>
      <c r="C21" t="inlineStr">
        <is>
          <t>National Retail Systems, Inc</t>
        </is>
      </c>
      <c r="D21" t="inlineStr">
        <is>
          <t>indeed</t>
        </is>
      </c>
      <c r="E21" t="inlineStr"/>
      <c r="F21" t="inlineStr"/>
      <c r="G21" t="inlineStr">
        <is>
          <t>Lyndhurst, NJ, US</t>
        </is>
      </c>
      <c r="H21" s="1" t="n">
        <v>46076</v>
      </c>
      <c r="I21" t="inlineStr">
        <is>
          <t>**Company Overview:**
NRS is a leading provider of transportation \&amp; supply chain solutions. As a family\-owned and operated company, NRS has delivered smart logistics solutions to numerous Fortune 500 companies spanning over 70 years. Whether it’s NRT, Keystone, Keystone Fresh, or Keystone Capacity, our innovative energy drives us towards new and valuable solutions for our clients, even as we continuously grow and strengthen our network. We are dedicated to creating a culture that empowers the individual and offers our associates the opportunity to apply their unique skill to the challenges facing our clients. In the office, the warehouse, or on the road, it is this commitment to our innovative spirit that unites us in common mission to push boundaries in the logistics industry.
**Job Overview:**
As a member of the Data \&amp; Analytics team within the Information Technology organization, reporting to the Manager of Data \&amp; Analytics, the Data Platform Engineer is directly responsible for building, operating, and automating internal platforms that abstract infrastructure, tooling, and operational complexity into reliable, self\-service capabilities for data engineers, analysts, and data scientists. This individual will play a critical role in scaling enterprise data platforms and tools, standardizing CI/CD processes, ML Ops and deployment frameworks, monitoring and optimizing systems to ensure performance and reduce costs, as well as streamlining data management activities for our data owners and stewards, such as data quality and metadata management automations within the platform.
**Why this job’s a big deal:**
As part of a small Data and Analytics team you will have the opportunity to perform a wide range of tasks and manage a modern data technology stack including Snowflake on AWS, Fivetran, dbt, Github, Power BI, and related integrations. You will be the point person for the configuration and operation of all the data platforms and tools, responsible for security administration, cost management, integration, monitoring, resiliency, DataOps processes, MLOps processes, and automations using Python and SQL scripts. You’ll also wear multiple hats on the team, backing up team members in their responsibilities including data engineering tasks and helping translate business needs into technical solutions consistent with enterprise architecture best practices. We value ownership and accountability while building our external products to be the best in the world for our customers. We need an innovator that will solve complex technical problems, drive new data initiatives and introduce positive change in a highly engaged, collaborative environment, helping us leverage the value of data for our customers, partners, and employees.
**Job Description:**
**Lead, Manage, and hold Accountable**
* Support and promote the company values, culture, and HR processes
* Establish technical standards, best practices, and architectural guidelines for data and analytics
* Provide thought leadership on emerging technologies, tools, and methodologies in data engineering, platform engineering, and analytics.
* Mentor and develop team members in good data engineering principles and platform features, fostering technical growth and career development.
* Ensure adherence to data governance, security, and compliance policies across all data and platform initiatives.
* Champion a culture of collaboration, innovation, and high\-quality engineering practices.
**Data \&amp; Analytics Related Functions**
* Architect and maintain enterprise\-scale data pipelines, ingestion, storage, and transformation processes using Fivetran, dbt, and Github.
* Implement and enforce data quality, lineage, observability, and certification processes with the platform.
* Integrate metadata from across the platform to support data quality, metadata management, and end\-to\-end observability.
* Integrate and automate activities and processes to help data architects and owners manage security approvals, retention, master data, metadata, and reference data policies.
* Oversee deployment and operationalization of analytics, reporting, and machine learning platforms.
* Monitor, support, and troubleshoot issues with data platforms, tools, connections, pipelines, security, and data users.
* Drive adoption of modern data engineering and machine learning practices, including CI/CD, testing, ML Ops, and platform automation.
**Deliver Innovative Solutions**
* Identify opportunities to leverage data and analytics for business impact and operational efficiency.
* Design and deliver scalable, reusable data products and platforms that enable self\-service analytics.
* Prototype and evaluate emerging technologies, frameworks, and tools for adoption in enterprise data platforms.
* Automate manual processes and standardize workflows to reduce friction and improve agility.
* Ensure solutions are secure, compliant, and optimized for performance and cost.
**Business Stakeholder \&amp; Relationship Management**
* Collaborate with business and team to understand data needs, translate requirements, and prioritize initiatives.
* Serve as a trusted advisor for analytics strategy and platform capabilities.
* Communicate progress, challenges, and risks to leadership and business stakeholders in a clear and actionable manner.
* Foster strong partnerships with cross\-functional teams, including IT, finance, and operations.
* Advocate for data\-driven decision\-making across the organization.
* Backup teammates in their duties and perform other tasks as assigned.
**What success looks like:**
* In the first 15 months:
* Decrease data product development time by 25% through automation of manual processes
* Automate platform administration tasks by 80% through integrations and stored procedures
* Decrease data ingestion and compute costs by 20% through optimization and improved ingestion processes
* Automate capture of 10 data quality metrics in Snowflake for all data products
* Standardize 7 data quality test package in dbt for data engineers to add to all data products
* Implement end\-to\-end monitoring and real\-time notifications for 90% of failures across Fivetran, Snowflake, and dbt
**Qualifications:**
* Bachelor’s degree in Computer Science, or a related field, or equivalent practical experience.
* 5\+ years of experience in platform engineering, database administration, or related technical roles.
* 3\+ years of experience in data engineering
* 5\+ years of Python.
* 5\+ years of SQL.
* 2\+ years of dbt, with demonstrated ability to design modular, decoupled, and reusable systems using sound software engineering principles.
* 2\+ years of AWS experience, including Lambda, S3, Step Functions, Glue, Athena, SNS, EventBridge, or other relevant data\-related services.
* Exposure to machine learning platforms or advanced analytics use cases (preferred).
* Familiarity with Power BI tenant administration and security (preferred).
* Experience with Jira and agile delivery principles (preferred).
**Required Skills:**
* Design and operate enterprise\-scale data platforms (data warehouses, lakehouses, or hybrid architectures); proficiency with Snowflake is a plus.
* Build self\-service platforms, reusable frameworks, or internal developer tools.
* Strong understanding of distributed systems, columnar performance tuning, and scalability considerations.
* Familiarity with security best practices, including IAM, secrets management, and least\-privileged access.
* Conceptual understanding of networking and server infrastructure (enough to integrate with networking/infrastructure teams).
* Excellent written documentation and code commenting.
* Excellent verbal communication and interpersonal skills.
* Understanding of data governance and management principles.
* Continuous learning mindset; stays updated with emerging data analytics technologies and techniques.
* Willingness to travel 10–25% depending on remote/onsite work arrangements.
***EEO Statement:***
***NRS is an equal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\#NRSIND</t>
        </is>
      </c>
    </row>
    <row r="22">
      <c r="A22" t="inlineStr">
        <is>
          <t>in-7ebcb46c242d9ea2</t>
        </is>
      </c>
      <c r="B22" t="inlineStr">
        <is>
          <t>Python Data Engineer</t>
        </is>
      </c>
      <c r="C22" t="inlineStr">
        <is>
          <t>CovetIT Inc.</t>
        </is>
      </c>
      <c r="D22" t="inlineStr">
        <is>
          <t>indeed</t>
        </is>
      </c>
      <c r="E22" t="inlineStr"/>
      <c r="F22" t="inlineStr"/>
      <c r="G22" t="inlineStr">
        <is>
          <t>Dallas, TX, US</t>
        </is>
      </c>
      <c r="H22" s="1" t="n">
        <v>46076</v>
      </c>
      <c r="I22" t="inlineStr">
        <is>
          <t>**Title\- Python Data Engineer**  
 **Location\- Plano, TX\- Fully Onsite**  
 **Type\- Contract\- 18\+ Months**  
**3\-5 years of experience**  
**OPT Consultants are eligible to apply.**  
**Job Description**
 We are seeking 3\-5 years’ experience Data Engineer with strong expertise in Python and distributed data processing to build and maintain scalable batch and real\-time data pipelines.
**Key Responsibilities**
* Develop and optimize data pipelines using Python and PySpark
* Implement batch and real\-time processing using Spark and Structured Streaming
* Write and optimize complex SQL queries
* Work with Databricks for development, deployment, and performance tuning
* Develop RESTful APIs using Python (for applicable roles)
* Ensure data quality, reliability, and performance
**Required Skills**
* Python
* Spark \&amp; PySpark
* Structured Streaming
* SQL
* Databricks
* API development with Python</t>
        </is>
      </c>
    </row>
    <row r="23">
      <c r="A23" t="inlineStr">
        <is>
          <t>in-21773e4843c1203d</t>
        </is>
      </c>
      <c r="B23" t="inlineStr">
        <is>
          <t>Senior Data Engineer (VPUR)</t>
        </is>
      </c>
      <c r="C23" t="inlineStr">
        <is>
          <t>University of Maryland University College</t>
        </is>
      </c>
      <c r="D23" t="inlineStr">
        <is>
          <t>indeed</t>
        </is>
      </c>
      <c r="E23" t="inlineStr"/>
      <c r="F23" t="inlineStr"/>
      <c r="G23" t="inlineStr">
        <is>
          <t>College Park, MD, US</t>
        </is>
      </c>
      <c r="H23" s="1" t="n">
        <v>46075</v>
      </c>
      <c r="I23" t="inlineStr">
        <is>
          <t>**Job Description Summary**
===========================
Organization's Summary Statement:
University Relations is undergoing a major data modernization initiative driven by the implementation of Salesforce CRM and the migration from an on\-premise SQL Server data warehouse to Azure and Microsoft Fabric. The current environment contains complex, layered SQL Server logic developed over many years, limited documentation, and fragmented integration patterns.
At the same time, technical capacity is constrained due to an impending DBA retirement and overlapping modernization efforts. Without additional senior\-level data engineering capacity, there is increased operational risk related to data quality, system reliability, integration ownership, and long\-term sustainability of the analytics platform.
This position provides senior, hands\-on technical execution required to stabilize existing systems, migrate data and transformation logic to Azure and Microsoft Fabric, implement data governance practices, and ensure continuity during this transition.
The Senior Data Engineer is responsible for maintaining and modernizing the data platform, including designing and supporting cloud\-based data pipelines, managing data lakes and lakehouse structures, supporting Power BI reporting, and implementing governance controls to ensure data quality, lineage, transparency, and trust across enterprise data assets.
The role works closely with the Director of Data Management, Salesforce implementation teams, and other technical team members within Business Intelligence, as well as business stakeholders, to ensure reliable integrations, governed data, and accurate analytics supporting advancement operations.
Preferences:
* Strong Preference for experience migrating data platforms or logic from on\-prem environments to Azure and Microsoft Fabric.
* Strong preference for experience designing and maintaining data pipelines in Azure and/or Fabric
* Strong preference for experience developing and supporting Power BI reports and semantic models
* Experience integrating Salesforce or other enterprise CRM systems with analytics platforms
* Experience using data governance or cataloging tools (e.g., Microsoft Purview or equivalent)
* Experience supporting limited DBA responsibilities during platform transitions
* Deep understanding of relational database design, performance tuning, and query optimization
* Strong knowledge of Microsoft Fabric architecture, including lakehouses, pipelines, and data connectors
* Familiarity with Fabric data connectors, including connecting to external systems such as Salesforce
* Demonstrated ability to implement data governance practices within data engineering workflows
* Ability to analyze complex systems independently and deliver reliable, maintainable solutions
* Strong collaboration skills across technical and business teams
Physical Demands:
* Work is performed in an office environment and requires the ability to operate standard office equipment and keyboards.
Licenses/Certifications: N/A
* All applications should include a resume and cover letter.
This position does not provide visa sponsorship now or in the future. Candidates must be able to provide proof of ongoing eligibility to work in the USA.
**Minimum Qualifications**
==========================
Education: Bachelor’s degree from an accredited college or university.
Experience: Five (5\) years of professional experience supporting the operations, maintenance, and administration of information technology infrastructure.
Other: Additional work experience as defined above may be substituted on a year for year basis for up to four (4\) years of the required education.
Knowledge, Skills, Abilities:
Knowledge of multiple RDBMS platform such as Oracle, SQL Server, Amazon Redshift, etc.
Skill in ETL platforms or tools (ex.Informatica, AWS Glue, Talend, etc.)
Skill in writing SQL queries and building ETL processes
Skill in conducting user interviews, facilitating design walk through and guiding customers in developing business and technical requirements
Skill in the use of office productivity software such as Office 365 or Google Workspaces.
Strong written and oral communication skills.
Ability to lead presentations with small to medium sized groups.
Able to organize and provide direction to junior staff members.
A demonstrated commitment to customer service.
Provides leadership and helps bridge the gap between team manager and team members on technical topics.
Ability to effectively manage workload and delivery assignments on time.
**Additional Job Details**
==========================
**Preferences:**
**Required Application Materials: Resume and Cover Letter**
**Best Consideration Date: March 9, 2026**
**Posting Close Date: NA**
**Open Until Filled: Yes**
**Job Risks**
=============
Not Applicable to This Position
**Financial Disclosure Required**
=================================
No
For more information on Financial Disclosure, please visit Maryland's State Ethics Commission website .
**Department**
==============
VPUR\-Advancement Services
**Worker Sub\-Type**
====================
Staff Regular
**Salary Range**
================
$112,808\-$134,496
**Benefits Summary**
====================
 .
**Background Checks**
=====================
Offers of employment are contingent on completion of a background check. Information reported by the background check will not automatically disqualify anyone from employment. Before any adverse decision, the finalist will have an opportunity to provide information to the University regarding disclosable background check information. The University reserves the right to rescind the offer of employment or otherwise decline or terminate employment if the information reported by the background check is deemed incompatible with the position, regardless of when the background check is completed.
**Employment Eligibility**
==========================
The successful candidate must complete employment eligibility verification (on Form I\-9\) by presenting documents that establish identity and work authorization within the timeframe required by federal immigration law, and where applicable, to demonstrate renewed employment authorization. Failure to complete employment eligibility verification or reverification within the timeframe set forth by law may result in suspension or termination of employment.
**EEO Statement**
=================
The University of Maryland, College Park is an Equal Opportunity Employer. All qualified applicants will receive equal consideration for employment. Please read the University’s Equal Employment Opportunity Statement of Policy.
**Title IX Non\-Discrimination Notice**
=======================================
**Resources**
=============
* Learn how military skills translate to civilian opportunities with O\*Net Online
**Search Firm Managed Recruitment**
===================================
There are some positions that are not advertised on this career site as the search is being managed by a Search Firm.</t>
        </is>
      </c>
    </row>
    <row r="24">
      <c r="A24" t="inlineStr">
        <is>
          <t>in-b711a454bfec6c6f</t>
        </is>
      </c>
      <c r="B24" t="inlineStr">
        <is>
          <t>Senior Data Engineer</t>
        </is>
      </c>
      <c r="C24" t="inlineStr">
        <is>
          <t>LTIMindtree</t>
        </is>
      </c>
      <c r="D24" t="inlineStr">
        <is>
          <t>indeed</t>
        </is>
      </c>
      <c r="E24" t="inlineStr"/>
      <c r="F24" t="inlineStr"/>
      <c r="G24" t="inlineStr">
        <is>
          <t>Irving, TX, US</t>
        </is>
      </c>
      <c r="H24" s="1" t="n">
        <v>46075</v>
      </c>
      <c r="I24" t="inlineStr">
        <is>
          <t>**Role description** **Job Title: Big data Developer**  
**Work Location : Irving,Texas**
**Job Description**
* At least 3plus years of development work experience in Hadoop programming HDFS using pysparkHive based Data warehouse projects and with good Shell Scripting experience
* Experience in Big Data technologies including Pyspark Hive and Hadoop
* Experience in Pyspark programming languages
* You have a good understanding of organizational strategy architecture patterns Microservices Event Driven and technology choices and coaching the team in execution in alignment to these guidelines
* You can apply organizational technology patterns effectively in projects and make recommendations on alternate options
* You have handson experience working with large volumes of data including different patterns of data ingestion processing batch realtime movement storage and access for both internal and external to BU and ability to make independent decisions within scope of project
* You have a good understanding of data structures and algorithms
* You can test debug and fix issues within established SLAs
* You can design software that is easily testable and observable
* You understand how teams goals fit a business need
* You can identify business problems at the project level and provide solutions
* You understand data access patterns streaming technology data validation data performance cost optimization
* Strong SQL skills
**Skills** **Mandatory Skills :** Apache Spark, Big Data Hadoop Ecosystem, Python, Python for DATA, SparkSQL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$79,851\.00 to $107,720\.00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25">
      <c r="A25" t="inlineStr">
        <is>
          <t>in-b323e62a0e984c31</t>
        </is>
      </c>
      <c r="B25" t="inlineStr">
        <is>
          <t>Senior Lead, Data Platform Engineer - Data Governance</t>
        </is>
      </c>
      <c r="C25" t="inlineStr">
        <is>
          <t>Salesforce</t>
        </is>
      </c>
      <c r="D25" t="inlineStr">
        <is>
          <t>indeed</t>
        </is>
      </c>
      <c r="E25" t="inlineStr"/>
      <c r="F25" t="inlineStr"/>
      <c r="G25" t="inlineStr">
        <is>
          <t>Seattle, WA, US</t>
        </is>
      </c>
      <c r="H25" s="1" t="n">
        <v>46075</v>
      </c>
      <c r="I2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 **Senior Lead Data Platform Engineer** to drive the technical implementation of **Trust and Data Governance** within our Customer Success Data Platform. In this role, you will architect systems that ensure our product and customer data—both structured and unstructured—is **reliable, compliant, and AI\-ready** . You’ll work at the intersection of **data engineering, metadata management, and AI** , building frameworks that empower our enterprise to innovate with confidence.
Our ideal candidate has extensive **engineering experience** , a strong track record of implementing **data governance at scale** , and a passion for enabling AI\-ready data platforms.
What You’ll Do
**1\. Architect Governance for AI Readiness**
* Define and execute the technical strategy for **data trust** , ensuring both structured metrics and unstructured datasets are AI\-ready.
* Build and scale **discovery capabilities and metadata frameworks** so users can find and apply trusted datasets efficiently.
* Improve **data quality** through well\-governed instrumentation and schema practices across the platform.
**2\. Metadata \&amp; Semantic Engineering**
* Design and implement **automated ways to expose data quality and usability metadata** through knowledge graphs.
* Enable **semantic understanding and automated reasoning** to accelerate AI\-powered application development.
* Manage **metadata as a product** , leveraging Graph Databases or ontology management tools to bridge raw data and AI agents.
**3\. Frameworks \&amp; Compliance**
* Establish and maintain **quality assessment frameworks, benchmarks, and automated reporting** to align with global data standards.
* Implement **technical controls** for data retention, access, and classification.
* Ensure the platform meets rigorous **external regulatory requirements** , including GDPR, CCPA, and SOX.
**4\. Champion the Data Marketplace**
* Operate the platform as a **two\-sided marketplace** , supporting both data engineers producing data and application developers consuming it.
* Partner with users to understand pain points in **data usability** and build solutions that reduce time\-to\-find and time\-to\-use.
What We’re Looking For
**Engineering Expertise**
* 8\+ years in **data platform or infrastructure engineering** , with experience in data streaming, telemetry, or observability domains.
**Governance Mastery**
* Proven track record implementing **internal data policies** (classification, access) and **external regulations** (GDPR, CCPA).
**Technical Proficiency**
* Deep knowledge of **event\-driven architectures, instrumentation schemas, Kafka, and real\-time data pipelines** .
* Hands\-on experience with **Graph Databases or Ontology management** to support AI consumption.
* Experience in the **Salesforce ecosystem** (Data360, Agentforce, Service Cloud, etc.) is a plus.
**Strategic Execution**
* Ability to align **technical roadmaps with industry trends** and deliver high\-impact features in complex enterprise environments.
**Communication**
* Exceptional skill in **distilling technical complexity** for diverse audiences and driving functional alignment.
Why Join This Team?
At **Salesforce** , we are shaping the future of business at the intersection of **AI \+ Data \+ CRM** . You will be at the heart of this mission, building the **foundation of trust** that enables our global customers to innovate and succeed. Join us to empower enterprise\-scale AI initiatives with **data you can trust** .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regions.\&amp;\#xa;\&amp;\#xa;The typical base salary range for this position is $172,500 \- $260,100 annually. \&amp;\#xa;\&amp;\#xa;The range represents base salary only, and does not include company bonus, incentive for sales roles, equity or benefits, as applicable.</t>
        </is>
      </c>
    </row>
    <row r="26">
      <c r="A26" t="inlineStr">
        <is>
          <t>in-d3bd2134994ec718</t>
        </is>
      </c>
      <c r="B26" t="inlineStr">
        <is>
          <t>Data Engineer</t>
        </is>
      </c>
      <c r="C26" t="inlineStr">
        <is>
          <t>NATIONAL ASSOCIATION OF REALTORS®</t>
        </is>
      </c>
      <c r="D26" t="inlineStr">
        <is>
          <t>indeed</t>
        </is>
      </c>
      <c r="E26" t="inlineStr"/>
      <c r="F26" t="inlineStr"/>
      <c r="G26" t="inlineStr">
        <is>
          <t>Chicago, IL, US</t>
        </is>
      </c>
      <c r="H26" s="1" t="n">
        <v>46075</v>
      </c>
      <c r="I26" t="inlineStr">
        <is>
          <t>**Position Summary:**  
NAR is seeking a Data Engineer to help build and operate the data infrastructure that supports analytics, reporting, and machine learning across the organization. This role focuses on turning complex, often fragmented data into reliable, production\-ready pipelines and platforms that data scientists, analysts, and business teams can trust and use at scale. The emphasis is on operational data engineering rather than experimentation, with strong expectations around governance, data quality, security, and performance.
The Data Engineer will design, implement, and maintain cloud\-native data pipelines and storage architectures primarily within the Microsoft Azure ecosystem, with increasing alignment to Microsoft Fabric. The role works closely with research, IT, security, and product teams to ensure data is accessible, well\-modeled, and production\-ready while meeting compliance and governance standards common in regulated environments.
This position plays a critical role in bridging data science prototypes to operational systems, ensuring models, dashboards, and analytics products are supported by robust, scalable data foundations. The ideal candidate is comfortable working across engineering, analytics, and governance concerns, with a practical focus on building systems that are stable, explainable, and actually used by the business.
**Duties and Responsibilities:**  
* Lead architectural efforts for implementing the Data Science team's models and solutions
* Design, implement, and manage data pipelines using Azure Data Factory to efficiently and securely extract, transform, and load data from various sources
* Develop and optimize storage solutions on Microsoft Azure, ensuring data availability, scalability, and reliability
* Automate data\-related jobs, processes, and workflows to streamline data delivery and processing using Azure services and tools
* Collaborate closely with cross\-functional teams, including data scientists, analysts, and developers, to understand data requirements and support their data\-related needs
* Design and maintain data architecture and data models to enable efficient data consumption by business applications and analytical tools
* Ensure data quality, integrity, and security throughout the data lifecycle. Troubleshoot and resolve data\-related issues, performance bottlenecks, and system failures promptly
* Stay up to date with the latest trends and best practices in data engineering and cloud computing, particularly in the Azure ecosystem
* Research new data sources, third\-party platforms, and data engineering best practices
* Assist Data Scientists and the larger IT team with general analyses and dashboards, as needed
* Other duties, as assigned
**Qualifications:**  
* Bachelor's degree in computer science, Engineering, or related field (or equivalent experience).
* 6–8\+ years of experience in data engineering with a strong focus on Microsoft Azure services.
* Proven expertise in designing and implementing ETL/ELT pipelines using Azure Data Factory (ADF).
* Hands‑on experience with Azure Data Lake Storage (ADLS Gen2\), Blob storage, and scalable cloud storage patterns.
* Strong skills in data modeling, including dimensional modeling and Lakehouse architectures.
* Advanced proficiency in SQL (Azure SQL / MS‑SQL), including query optimization and performance tuning.
* Experience automating data workflows using ADF, Azure Functions, Logic Apps, or other Azure\-native automation tools.
* Ability to ensure data quality, integrity, lineage, and security throughout the data lifecycle.
* Strong problem‑solving skills for diagnosing pipeline failures, performance bottlenecks, and system issues.
* Effective collaboration with cross‑functional teams including data scientists, analysts, and engineering teams.
* Experience with Microsoft Fabric, Power BI, and analytics‑ready data design (optional but preferred).
**Compensation:** $130,000\- $160,000, depending on office location.
NAR is currently on a hybrid schedule, with 3 days per week in office.
NAR provides comprehensive benefits including health/dental/vision insurance.
**Organizational Overview:**  
The National Association of REALTORS® (NAR) is a team of professionals dedicated to providing world\-class service to approximately 1\.5 million REALTORS® working in the United States and around the world. The real estate industry is fast\-paced and fast\-changing\-\-each year, our members participate in the sale, lease, and management of real estate. As in every industry, our members' value proposition is constantly being challenged by innovation.
It is our mission to empower REALTORS® as they preserve, protect and advance the right to real property for all. We cannot do that without the ideas, passion, and commitment from our talented employees. As our greatest assets, employees are offered their pick of competitive benefits/perks and flexible work options.</t>
        </is>
      </c>
    </row>
    <row r="27">
      <c r="A27" t="inlineStr">
        <is>
          <t>in-2bc134f4a56cf053</t>
        </is>
      </c>
      <c r="B27" t="inlineStr">
        <is>
          <t>Senior Data Engineer (Public Trust)</t>
        </is>
      </c>
      <c r="C27" t="inlineStr">
        <is>
          <t>Praescient Analytics</t>
        </is>
      </c>
      <c r="D27" t="inlineStr">
        <is>
          <t>indeed</t>
        </is>
      </c>
      <c r="E27" t="inlineStr"/>
      <c r="F27" t="inlineStr"/>
      <c r="G27" t="inlineStr">
        <is>
          <t>Bethesda, MD, US</t>
        </is>
      </c>
      <c r="H27" s="1" t="n">
        <v>46075</v>
      </c>
      <c r="I27" t="inlineStr">
        <is>
          <t>**Location:** Bethesda, MD (Hybrid)
**Clearance:** Public Trust (Role may require additional background investigations)
**Employment Type:** Full\-Time
US Citizenship is Required
**Position Overview:**  
Praescient Analytics is seeking an experienced Senior Data Engineer to support a major federal data modernization and analytics program. This role is responsible for the design, development, optimization, and operational support of scalable, secure, and high\-quality data pipelines that enable advanced analytics, machine learning, and AI\-driven decision support in a regulated government environment.
The Senior Data Engineer plays a critical role in the client's transition from legacy, on\-premises systems to a cloud\-native, open\-source analytics ecosystem built on Microsoft Azure. This position ensures that data is reliable, performant, well\-governed, and readily consumable by data scientists, analysts, and AI/ML engineers supporting mission\-critical use cases.
**Key Responsibilities:**  
* Design, build, and maintain production\-grade ETL/ELT pipelines to ingest, transform, and curate large volumes of structured and unstructured data.
* Develop data workflows using Python\-based frameworks and Microsoft Azure services, ensuring scalability, reliability, and fault tolerance.
* Optimize data pipelines for performance, cost efficiency, and maintainability.
* Architect and implement data solutions within Microsoft Azure, including:
* Azure Data Lake Storage (ADLS Gen2\)
* Azure SQL and related data services
* Azure Synapse Analytics
* Design and manage workflow orchestration using Azure Data Factory (or equivalent) for scheduling, monitoring, and automation.
* Build and maintain Python\-based data services and utilities using open\-source libraries such as Pandas, NumPy, and related frameworks.
* Implement logging, monitoring, alerting, and performance tuning to support operational reliability.
* Apply data governance best practices, including data lineage, reproducibility, auditability, and compliance with federal standards.
* Maintain comprehensive documentation, including data dictionaries, pipeline designs, and process flows.
* Work closely with data scientists, AI/ML engineers, analysts, architects, and Agile project managers to ensure data pipelines meet analytical and operational requirements.
**Required Qualifications:**  
Experience
* Minimum of 5\+ years of experience designing, building, and operating data pipelines supporting analytics and/or machine learning.
* Demonstrated experience working with large\-scale datasets in production environments.
* Proven experience supporting cloud\-based data platforms.
* Bachelor's degree in Data Science, Computer Science, Engineering, Statistics, or related field — or equivalent professional experience.
Technical Skills
* Strong proficiency in Python (Pandas required; NumPy, scikit\-learn, and related libraries preferred).
* Advanced SQL skills and experience integrating relational data sources.
* Hands\-on experience with Microsoft Azure, including Azure Data Lake Storage and Azure SQL.
* Experience with workflow orchestration tools such as Azure Data Factory.
* Familiarity with open\-source data processing and ETL frameworks.
* Experience with logging, monitoring, and performance optimization for data systems.
* Proficiency with Git\-based version control and collaborative development practices.
**Clearance:** Minimum of a Public Trust (U.S. Citizenship is Required)
**Preferred Qualifications:**  
* Master's degree or higher in Data Science, Computer Science, Engineering, Statistics, or related field — or equivalent professional experience.
* Microsoft Azure certifications (e.g., Azure Data Engineer Associate) strongly preferred.
* Experience working in federal, public\-sector, or other regulated environments.
* Familiarity with data engineering patterns for secure, scalable systems.
* Experience supporting AI/ML workloads, feature engineering pipelines, or near\-real\-time analytics.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healthcare for you (We pay your premiums and deductibles)
* 401(k) with company match
* Travel \&amp; performance incentives
* 3 weeks paid time off (plus Federal Holidays)
* $5K annual training allowance
* $500 book allowance
Praescient Analytics is a Certified Woman\-Owned Small Business (WOSB) with over a decade of expertise in advanced analytics, engineering, and DevOps, specializing in transforming complex data into actionable intelligence for informed decision\-making. Since 2011, we have supported over 40 organizations across diverse domains, including military intelligence operations, financial and fraud investigations, and insider threat detection.
Our team of experts—skilled in cloud computing, artificial intelligence, machine learning, data science, DevOps, and engineering—brings deep experience in solving complex challenges. With a proven track record in federal contracting, we deliver tailored, high\-impact solutions designed to enhance operational efficiency, ensure mission success, and address the evolving needs of our clients. Praescient's innovative and adaptive approach makes us a trusted partner in delivering data\-driven insights and technological excellence for critical missions.
Applicants selected will be subject to a government security investigation and must meet eligibility requirements for access to classified information.
US Citizenship Required
**Interested Candidates:** Please forward your resume to recruiting@praescientanalytics.com and please visit our website to apply online at www.praescientanalytics.applicantstack.com/x/openings.</t>
        </is>
      </c>
    </row>
    <row r="28">
      <c r="A28" t="inlineStr">
        <is>
          <t>in-326b602342da8867</t>
        </is>
      </c>
      <c r="B28" t="inlineStr">
        <is>
          <t>Associate - Data Engineer - Global Master Data</t>
        </is>
      </c>
      <c r="C28" t="inlineStr">
        <is>
          <t>Eli Lilly</t>
        </is>
      </c>
      <c r="D28" t="inlineStr">
        <is>
          <t>indeed</t>
        </is>
      </c>
      <c r="E28" t="inlineStr"/>
      <c r="F28" t="inlineStr"/>
      <c r="G28" t="inlineStr">
        <is>
          <t>Indianapolis, IN, US</t>
        </is>
      </c>
      <c r="H28" s="1" t="n">
        <v>46075</v>
      </c>
      <c r="I28"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**What You Will Do**
As a Data Engineer you will be located in **Indianapolis, IN** and responsible for designing, developing, and maintaining the data solutions that ensure the availability and quality of data for analysis and/or business transactions. They design and implement efficient data storage, processing and retrieval solutions for datasets and build data pipelines, optimize database designs, and work closely with data scientists, architects, and analysts to ensure data quality and accessibility. Data engineers require strong skillsets in data integration, acquisition, cleansing, harmonization, and transforming data. They play a crucial role in transforming raw data into datasets designed for analysis which enable organizations to unlock valuable insights for decision making.
* Design, build, and maintain scalable and reliable data pipelines for batch and real\-time processing.
* Own **incident response and resolution**, including root cause analysis and post\-mortem reporting for data failures and performance issues.
* Develop and optimize data models, ETL/ELT workflows, and data integration across multiple systems and platforms.
* Collaborate with data scientists, analysts, and business stakeholders to understand data requirements and deliver solutions.
* Implement data governance, security, and quality standards across data assets.
* Lead end\-to\-end data engineering projects and contribute to architectural decisions.
* Design and implement cloud\-native solutions on AWS (preferred) using tools such as AWS Glue, EMR, and Databricks. Experience with Azure or GCP is a plus.
* Promote best practices in coding, testing, and deployment.
* Monitor, troubleshoot, and improve performance and reliability of data infrastructure.
* Automate manual processes and identify opportunities to optimize data workflows and reduce costs.
**How You Will Succeed:**
* **Deliver scalable solutions** by designing robust data pipelines and architectures that meet performance and reliability standards.
* **Collaborate effectively** with cross\-functional teams to turn business needs into technical outcomes.
* **Lead with expertise**, mentoring peers and driving adoption of best practices in data engineering and cloud technologies.
* **Continuously improve systems** through automation, performance tuning, and proactive issue resolution.
* **Communicate with clarity** to ensure alignment across technical and non\-technical stakeholders.
**Your Basic Qualifications**
* Bachelor’s degree in Computer Science, Information Technology, Management Information Systems or similar stem fields
* At least 2 years of experience in data engineering
* 1\+ years of experience using GitHub and CI/CD pipelines for code deployment.
* Proven experience in architecting and building high\-performance, scalable data pipelines following Data Lakehouse, Data Warehouse, and Data Mart standards.
* Strong expertise in data modelling (both OLTP and OLAP), managing large datasets, and implementing secure, compliant data governance practices.
* ***Qualified applicants must be authorized to work in the United States on a full\-time basis. Lilly will not provide support for or sponsor work authorization or visas for this role, including but not limited to F\-1 CPT, F\-1 OPT, F\-1 STEM OPT, J\-1, H\-1B, TN, O\-1, E\-3, H\-1B1, or L\-1\.***
***Remote candidates will not be considered***
**What You Should Bring:**
* Strong proficiency in **SQL and** Python.
* Hands\-on experience with **cloud platforms** (AWS, Azure, or GCP) and tools like Glue, EMR, Redshift, Lambda, or Databricks.
* Deep understanding of **ETL/ELT workflows**, data modelling, and data warehousing concepts.
* Familiarity with **big data and streaming frameworks** (e.g., Apache Spark, Kafka, Flink).
* Knowledge of **data governance, security, and quality practices**.
* Working knowledge of Databricks for building and optimizing scalable data pipelines and analytics workflows.
* Experience with **CI/CD, version control (Git)**, and infrastructure\-as\-code tools is a plus.
* A **problem\-solving mindset**, attention to detail, and a passion for clean, maintainable code.
* Strong **communication and collaboration** skills to work with both technical and non\-technical stakeholders.
* Domain experience in healthcare, pharmaceutical (Customer Master, Product Master, Alignment Master, Activity, Consent), or regulated industries is a plus.
* Partner with and influence vendor resources on solution development to ensure understanding of data and technical direction for solutions as well as delivery
* AWS Certified
* Databricks Certified
* Familiarity with AI/ML workflows and integrating machine learning models into data pipelines
* Experience in leading a small team of data engineers and providing technical mentorship.
* Ability to collaborate with business stakeholders to translate key business requirements into scalable technical solutions.
* Familiarity with security models and developing solutions on large\-scale, distributed data systems.
**About the Tech at Lilly Organization:**
Tech at Lilly builds and maintains capabilities using cutting edge technologies like most prominent tech companies. What differentiates Tech at Lilly is that we create new possibilities through tech to advance our purpose – creating medicines that make life better for people around the world, like data driven drug discovery and connected clinical trials. We hire the best technology professionals from a variety of backgrounds, so they can bring an assortment of knowledge, skills, and diverse thinking to deliver innovative solutions in every area of the enterprise.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$64,500 \- $184,800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29">
      <c r="A29" t="inlineStr">
        <is>
          <t>in-e6e5d8911683670b</t>
        </is>
      </c>
      <c r="B29" t="inlineStr">
        <is>
          <t>Senior Data Engineer</t>
        </is>
      </c>
      <c r="C29" t="inlineStr">
        <is>
          <t>Genmab</t>
        </is>
      </c>
      <c r="D29" t="inlineStr">
        <is>
          <t>indeed</t>
        </is>
      </c>
      <c r="E29" t="inlineStr"/>
      <c r="F29" t="inlineStr"/>
      <c r="G29" t="inlineStr">
        <is>
          <t>Princeton, NJ, US</t>
        </is>
      </c>
      <c r="H29" s="1" t="n">
        <v>46075</v>
      </c>
      <c r="I29" t="inlineStr">
        <is>
          <t>At Genmab, we are dedicated to building extra\[not]ordinary® futures, together, by developing antibody products and groundbreaking, knock\-your\-socks\-off KYSO antibody medicines® that change lives and the future of cancer treatment and serious diseases. We strive to create, champion and maintain a global workplace where individuals’ unique contributions are valued and drive innovative solutions to meet the needs of our patients, care partners, families and employees.
Our people are compassionate, candid, and purposeful, and our business is innovative and rooted in science. We believe that being proudly authentic and determined to be our best is essential to fulfilling our purpose. Yes, our work is incredibly serious and impactful, but we have big ambitions, bring a ton of care to pursuing them, and have a lot of fun while doing so.
Does this inspire you and feel like a fit? Then we would love to have you join us!
Genmab US, Inc.
**Senior Data Engineer**
**Location:**
 Plainsboro, NJ**Job Description**
The Senior Data Engineer will collaborate with business analysts and data scientists to implement data\-driven solutions for business challenges. Design, implement and manage ETL data pipelines that ingest vast amounts of commercial and scientific data from public, internal and partner sources into various repositories on a cloud platform (AWS). Enhance end\-to\-end workflows with automation that rapidly accelerate data flow with pipeline management tools. Implement and maintain databases for raw and processed commercial and scientific data. Innovate and advise on the latest technologies and standard methodologies in Data Engineering and identify software solutions that can address hurdles in data enablement. Develop and maintain accurate and reliable data pipelines using Python and SQL. Define and contribute to data engineering practices for the group, establish templates and frameworks, and determine the best usage of specific cloud services and tools. Transform data using Python on challenges varying from complex aggregations, wrangling, quality control, and calculations. Collaborate with data scientist leads to determine best\-suited data enablement methods to optimize the interpretation of the data, including creating presentations and leading tutorials on data usage. Participate in code reviews and contribute to best practices in data engineering. Apply value\-balanced approaches to the development of the data ecosystem and pipeline initiatives. Proactively communicate data ecosystem and pipeline value propositions to partnering scientific collaborators. Share expertise of Python and related libraries throughout the group. This position requires only little domestic travel. Position allows working from home within commuting distance of worksite location. Annual salary between: $167,835\.00\-$199,080\.00\.
**Job Requirements**
Requires at least a Bachelor’s degree or foreign equivalent in Information Technology, Bioinformatics, or a closely related field. Employer will accept candidates with any suitable combination of education and experience. Must possess at least 5 years of experience with each of the following: (a) developing and managing large\-scale ETL data pipelines on AWS; (b) developing and maintaining data pipelines using Python and SQL; (c) designing and implementing ETL solutions for processing data using Kinesis; (d) utilizing all of the following: AWS Glue; AWS Step Functions; CI/CD; Redshift; Lambda; Docker; Linux Shell Scripting; Pandas; Pyspark; Numpy; software development methodologies; and Batch and Elastic Load Balancing. This position requires only little domestic travel. Position allows working from home within commuting distance of worksite location.
\#LI\-DNI
For US based candidates, the proposed salary band for this position is as follows:
$0\.00\-$0\.00
The actual salary offer will carefully consider a wide range of factors, including your skills, qualifications, experience, and location. Also, certain positions are eligible for additional forms of compensation, such as discretionary bonuses and long\-term incentives.
When you join Genmab, you’re joining a culture that supports your physical, financial, social, and emotional wellness. Within the first year, regular full\-time U.S. employees are eligible for:
* **401(k) Plan:** 100% match on the first 6% of contributions
* **Health Benefits:** Two medical plan options (including HDHP with HSA), dental, and vision insurance
* **Voluntary Plans:** Critical illness, accident, and hospital indemnity insurance
* **Time Off:** Paid vacation, sick leave, holidays, and 12 weeks of discretionary paid parental leave
* **Support Resources:** Access to child and adult backup care, family support programs, financial wellness tools, and emotional well\-being support
* **Additional Perks:** Commuter benefits, tuition reimbursement, and a Lifestyle Spending Account for wellness and personal expenses
**About You**
* You are genuinely passionate about our purpose
* You bring precision and excellence to all that you do
* You believe in our rooted\-in\-science approach to problem\-solving
* You are a generous collaborator who can work in teams with a broad spectrum of backgrounds
* You take pride in enabling the best work of others on the team
* You can grapple with the unknown and be innovative
* You have experience working in a fast\-growing, dynamic company (or a strong desire to)
* You work hard and are not afraid to have a little fun while you do so!
**Locations**
Genmab maximizes the efficiency of an agile working environment, when possible, for the betterment of employee work\-life balance. Our offices are crafted as open, community\-based spaces that work to connect employees while being immersed in our powerful laboratories. Whether you’re in one of our office spaces or working remotely, we thrive on connecting with each other to innovate.
**About Genmab**
Genmab is an international biotechnology company with a core purpose to improve the lives of patients through innovative and differentiated antibody therapeutics. For 25 years, its hard\-working, innovative and collaborative team has invented next\-generation antibody technology platforms and harnessed translational, quantitative and data sciences, resulting in a proprietary pipeline including bispecific T\-cell engagers, antibody\-drug conjugates, next\-generation immune checkpoint modulators and effector function\-enhanced antibodies. By 2030, Genmab’s vision is to transform the lives of people with cancer and other serious diseases with Knock\-Your\-Socks\-Off (KYSO®) antibody medicines.
Established in 1999, Genmab is headquartered in Copenhagen, Denmark with international presence across North America, Europe and Asia Pacific. For more information, please visit Genmab.com and follow us on LinkedIn and X.
Genmab is committed to protecting your personal data and privacy. Please see our privacy policy for handling your data in connection with your application on our website Job Applicant Privacy Notice (genmab.com).
Please note that if you are applying for a position in the Netherlands, Genmab’s policy for all permanently budgeted hires in NL is initially to offer a fixed\-term employment contract for a year, if the employee performs well and if the business conditions do not change, renewal for an indefinite term may be considered after the fixed\-term employment contract.</t>
        </is>
      </c>
    </row>
    <row r="30">
      <c r="A30" t="inlineStr">
        <is>
          <t>in-260b8ef7d6cdf47a</t>
        </is>
      </c>
      <c r="B30" t="inlineStr">
        <is>
          <t>Oracle Golden Gate Administrator / Data Engineer</t>
        </is>
      </c>
      <c r="C30" t="inlineStr">
        <is>
          <t>Realign</t>
        </is>
      </c>
      <c r="D30" t="inlineStr">
        <is>
          <t>indeed</t>
        </is>
      </c>
      <c r="E30" t="inlineStr"/>
      <c r="F30" t="inlineStr"/>
      <c r="G30" t="inlineStr">
        <is>
          <t>Seattle, WA, US</t>
        </is>
      </c>
      <c r="H30" s="1" t="n">
        <v>46075</v>
      </c>
      <c r="I30" t="inlineStr">
        <is>
          <t>Seattle, Washington 98039 Posted February 23rd, 2026
 Looking for more job opportunities? Click here!
Job Type: Full Time
Job Category: IT
Job Description
**Role:** Oracle Golden Gate Administrator / Data Engineer**Location:** Seattle, WA  
**FTE**  
Job Description
Must Have Technical/Functional Skills
Oracle Golden Gate Classic architecture(text based) and administration – Mandatory* Oracle Golden Gate New architecture(GUI based) \- Plus
* Data extract/transfer experience from Non\-Oracle Databases
(Teradata, Amazon S3,SQL. Azure, GCP etc.)* HVR(High Value Replicator),FiveTran product administration and Data Engineering – is a Plus
* Linux skill, PL/SQL , Jenkins job execution \&amp; Java awareness
* Familiarity with couple of database systems
 **Responsibilities*** Extract data and data replication in Oracle GG product
* Building and maintaining ETL pipelines with Oracle Goldengate ( HVR also is a plus)
* System administration and Tuning
* Daily Systems Monitoring
* Patching and software upgrades for product and servers
* Break fix all production issues
* Incident management and service requests
* Upgrades/migrations/customizations
* On\-call Support
Required Skills
DEVOPS ENGINEER
 SENIOR EMAIL SECURITY ENGINEER</t>
        </is>
      </c>
    </row>
    <row r="31">
      <c r="A31" t="inlineStr">
        <is>
          <t>in-80c5da94b3c88b58</t>
        </is>
      </c>
      <c r="B31" t="inlineStr">
        <is>
          <t>Principal Data Platform Engineer</t>
        </is>
      </c>
      <c r="C31" t="inlineStr">
        <is>
          <t>MedRisk LLC</t>
        </is>
      </c>
      <c r="D31" t="inlineStr">
        <is>
          <t>indeed</t>
        </is>
      </c>
      <c r="E31" t="inlineStr"/>
      <c r="F31" t="inlineStr"/>
      <c r="G31" t="inlineStr">
        <is>
          <t>Conshohocken, PA, US</t>
        </is>
      </c>
      <c r="H31" s="1" t="n">
        <v>46075</v>
      </c>
      <c r="I31" t="inlineStr">
        <is>
          <t>**Position Summary**
The Principal Data Platform Engineer is a senior individual contributor who defines and owns the technical vision, architecture, and evolution of the enterprise data platform. This role is responsible for platform\-wide design decisions that enable trusted analytics, business intelligence, and AI/ML use cases at scale.
Serving as the technical leader for data platform and data engineering capabilities, this role designs and governs scalable, reliable, and well\-modeled data assets that support analytics, data science, and AI workloads. The Principal Data Platform Engineer partners closely with delivery leadership and hands\-on practitioners across the Data and AI organization to ensure the platform balances near\-term delivery needs with long\-term scalability, reliability, and maintainability.
Operating across multiple scrum teams, this role acts as a force multiplier by establishing standards, reusable patterns, and self\-service capabilities that improve data quality, accelerate delivery, and increase the overall effectiveness of analytics and AI initiatives.
 **Primary Duties \&amp; Responsibilities**
* Own the technical architecture and long\-term roadmap of the enterprise data platform supporting both Analytics/BI and AI/ML workloads.
* Design and evolve data ingestion, transformation, and orchestration patterns that support scalable, reliable, and auditable data pipelines.
* Define and enforce standards for data modeling, including curated analytical datasets, semantic models, and ML\-ready / feature\-ready datasets.
* Lead platform and architectural design reviews across multiple cross\-functional scrum teams, influencing solutions without direct authority.
* Establish platform patterns for data quality, observability, lineage, and reliability to ensure trust in downstream analytics and AI systems.
* Partner with AI Engineers and Data Scientists to enable efficient feature engineering, model training, and inference through well\-designed data assets.
* Serve as the technical authority for Microsoft Fabric, Power BI, and associated data platform components, ensuring best practices are consistently applied.
* Enable self\-service analytics and data science by delivering reusable data products, documentation, and clear consumption contracts.
* Mentor data engineering team members, raising the overall technical maturity of the organization.
* Balance immediate delivery needs with long\-term platform scalability, performance, and maintainability considerations.
* Evaluate and recommend new platform capabilities, tools, and architectural approaches aligned with organizational strategy.
 **Qualifications**
* Bachelor’s degree in Computer Science, Engineering, Data Science, or a related field, or equivalent practical experience.
* 10\+ years of experience designing and building modern data platforms in production environments.
* Deep expertise in data architecture, data modeling, and distributed data processing for analytics and AI/ML use cases.
* Strong experience with modern cloud data platforms, including managing and optimizing compute, storage, networking, security, and cost governance; Microsoft Fabric and Power BI experience is highly valued.
* Proven ability to design platforms that support both BI/analytics workloads and ML/AI pipelines at scale.
* Experience influencing architecture and standards across multiple teams without direct people management responsibility.
* Strong understanding of data quality, observability, governance, and reliability practices in enterprise environments.
* Adept at partnering with CloudOps, Security, IT, AI Engineering, and Data Engineering teams to ensure the cloud platform supports both current and future needs.
* Excellent communication skills with the ability to engage both technical and non\-technical stakeholders.</t>
        </is>
      </c>
    </row>
    <row r="32">
      <c r="A32" t="inlineStr">
        <is>
          <t>in-4039258228c615d0</t>
        </is>
      </c>
      <c r="B32" t="inlineStr">
        <is>
          <t>Principal Data Platform Engineer</t>
        </is>
      </c>
      <c r="C32" t="inlineStr">
        <is>
          <t>MedRisk LLC</t>
        </is>
      </c>
      <c r="D32" t="inlineStr">
        <is>
          <t>indeed</t>
        </is>
      </c>
      <c r="E32" t="inlineStr"/>
      <c r="F32" t="inlineStr"/>
      <c r="G32" t="inlineStr">
        <is>
          <t>US</t>
        </is>
      </c>
      <c r="H32" s="1" t="n">
        <v>46075</v>
      </c>
      <c r="I32" t="inlineStr">
        <is>
          <t>**Position Summary**
The Principal Data Platform Engineer is a senior individual contributor who defines and owns the technical vision, architecture, and evolution of the enterprise data platform. This role is responsible for platform\-wide design decisions that enable trusted analytics, business intelligence, and AI/ML use cases at scale.
Serving as the technical leader for data platform and data engineering capabilities, this role designs and governs scalable, reliable, and well\-modeled data assets that support analytics, data science, and AI workloads. The Principal Data Platform Engineer partners closely with delivery leadership and hands\-on practitioners across the Data and AI organization to ensure the platform balances near\-term delivery needs with long\-term scalability, reliability, and maintainability.
Operating across multiple scrum teams, this role acts as a force multiplier by establishing standards, reusable patterns, and self\-service capabilities that improve data quality, accelerate delivery, and increase the overall effectiveness of analytics and AI initiatives.
 **Primary Duties \&amp; Responsibilities**
* Own the technical architecture and long\-term roadmap of the enterprise data platform supporting both Analytics/BI and AI/ML workloads.
* Design and evolve data ingestion, transformation, and orchestration patterns that support scalable, reliable, and auditable data pipelines.
* Define and enforce standards for data modeling, including curated analytical datasets, semantic models, and ML\-ready / feature\-ready datasets.
* Lead platform and architectural design reviews across multiple cross\-functional scrum teams, influencing solutions without direct authority.
* Establish platform patterns for data quality, observability, lineage, and reliability to ensure trust in downstream analytics and AI systems.
* Partner with AI Engineers and Data Scientists to enable efficient feature engineering, model training, and inference through well\-designed data assets.
* Serve as the technical authority for Microsoft Fabric, Power BI, and associated data platform components, ensuring best practices are consistently applied.
* Enable self\-service analytics and data science by delivering reusable data products, documentation, and clear consumption contracts.
* Mentor data engineering team members, raising the overall technical maturity of the organization.
* Balance immediate delivery needs with long\-term platform scalability, performance, and maintainability considerations.
* Evaluate and recommend new platform capabilities, tools, and architectural approaches aligned with organizational strategy.
 **Qualifications**
* Bachelor’s degree in Computer Science, Engineering, Data Science, or a related field, or equivalent practical experience.
* 10\+ years of experience designing and building modern data platforms in production environments.
* Deep expertise in data architecture, data modeling, and distributed data processing for analytics and AI/ML use cases.
* Strong experience with modern cloud data platforms, including managing and optimizing compute, storage, networking, security, and cost governance; Microsoft Fabric and Power BI experience is highly valued.
* Proven ability to design platforms that support both BI/analytics workloads and ML/AI pipelines at scale.
* Experience influencing architecture and standards across multiple teams without direct people management responsibility.
* Strong understanding of data quality, observability, governance, and reliability practices in enterprise environments.
* Adept at partnering with CloudOps, Security, IT, AI Engineering, and Data Engineering teams to ensure the cloud platform supports both current and future needs.
* Excellent communication skills with the ability to engage both technical and non\-technical stakeholders.</t>
        </is>
      </c>
    </row>
    <row r="33">
      <c r="A33" t="inlineStr">
        <is>
          <t>in-5de8c682197eafe8</t>
        </is>
      </c>
      <c r="B33" t="inlineStr">
        <is>
          <t>Principal Data Platform Engineer</t>
        </is>
      </c>
      <c r="C33" t="inlineStr">
        <is>
          <t>MedRisk LLC</t>
        </is>
      </c>
      <c r="D33" t="inlineStr">
        <is>
          <t>indeed</t>
        </is>
      </c>
      <c r="E33" t="inlineStr"/>
      <c r="F33" t="inlineStr"/>
      <c r="G33" t="inlineStr">
        <is>
          <t>CA, US</t>
        </is>
      </c>
      <c r="H33" s="1" t="n">
        <v>46075</v>
      </c>
      <c r="I33" t="inlineStr">
        <is>
          <t>**Position Summary**
The Principal Data Platform Engineer is a senior individual contributor who defines and owns the technical vision, architecture, and evolution of the enterprise data platform. This role is responsible for platform\-wide design decisions that enable trusted analytics, business intelligence, and AI/ML use cases at scale.
Serving as the technical leader for data platform and data engineering capabilities, this role designs and governs scalable, reliable, and well\-modeled data assets that support analytics, data science, and AI workloads. The Principal Data Platform Engineer partners closely with delivery leadership and hands\-on practitioners across the Data and AI organization to ensure the platform balances near\-term delivery needs with long\-term scalability, reliability, and maintainability.
Operating across multiple scrum teams, this role acts as a force multiplier by establishing standards, reusable patterns, and self\-service capabilities that improve data quality, accelerate delivery, and increase the overall effectiveness of analytics and AI initiatives.
 **Primary Duties \&amp; Responsibilities**
* Own the technical architecture and long\-term roadmap of the enterprise data platform supporting both Analytics/BI and AI/ML workloads.
* Design and evolve data ingestion, transformation, and orchestration patterns that support scalable, reliable, and auditable data pipelines.
* Define and enforce standards for data modeling, including curated analytical datasets, semantic models, and ML\-ready / feature\-ready datasets.
* Lead platform and architectural design reviews across multiple cross\-functional scrum teams, influencing solutions without direct authority.
* Establish platform patterns for data quality, observability, lineage, and reliability to ensure trust in downstream analytics and AI systems.
* Partner with AI Engineers and Data Scientists to enable efficient feature engineering, model training, and inference through well\-designed data assets.
* Serve as the technical authority for Microsoft Fabric, Power BI, and associated data platform components, ensuring best practices are consistently applied.
* Enable self\-service analytics and data science by delivering reusable data products, documentation, and clear consumption contracts.
* Mentor data engineering team members, raising the overall technical maturity of the organization.
* Balance immediate delivery needs with long\-term platform scalability, performance, and maintainability considerations.
* Evaluate and recommend new platform capabilities, tools, and architectural approaches aligned with organizational strategy.
 **Qualifications**
* Bachelor’s degree in Computer Science, Engineering, Data Science, or a related field, or equivalent practical experience.
* 10\+ years of experience designing and building modern data platforms in production environments.
* Deep expertise in data architecture, data modeling, and distributed data processing for analytics and AI/ML use cases.
* Strong experience with modern cloud data platforms, including managing and optimizing compute, storage, networking, security, and cost governance; Microsoft Fabric and Power BI experience is highly valued.
* Proven ability to design platforms that support both BI/analytics workloads and ML/AI pipelines at scale.
* Experience influencing architecture and standards across multiple teams without direct people management responsibility.
* Strong understanding of data quality, observability, governance, and reliability practices in enterprise environments.
* Adept at partnering with CloudOps, Security, IT, AI Engineering, and Data Engineering teams to ensure the cloud platform supports both current and future needs.
* Excellent communication skills with the ability to engage both technical and non\-technical stakeholders.</t>
        </is>
      </c>
    </row>
    <row r="34">
      <c r="A34" t="inlineStr">
        <is>
          <t>in-84bbb3c9d11dfa7f</t>
        </is>
      </c>
      <c r="B34" t="inlineStr">
        <is>
          <t>Data Engineer II</t>
        </is>
      </c>
      <c r="C34" t="inlineStr">
        <is>
          <t>Corteva Agriscience</t>
        </is>
      </c>
      <c r="D34" t="inlineStr">
        <is>
          <t>indeed</t>
        </is>
      </c>
      <c r="E34" t="inlineStr"/>
      <c r="F34" t="inlineStr"/>
      <c r="G34" t="inlineStr">
        <is>
          <t>Indianapolis, IN, US</t>
        </is>
      </c>
      <c r="H34" s="1" t="n">
        <v>46075</v>
      </c>
      <c r="I34" t="inlineStr">
        <is>
          <t>Corteva Agriscience LLC seeks a full\-time Data Engineer II based in Indianapolis, IN. The Data Engineer II is responsible for leveraging expertise in data engineering and machine learning to implement advanced data analytics and artificial intelligence (AI) technologies to address scientific and complex business problems and drive innovation for Corteva. This position enhances data accessibility and quality, enabling seamless integration of large\-scale datasets into data products, machine learning models, and artificial intelligence applications. Requirements: Master’s degree or equivalent in Information Management, Computer Science, or a related field and 1 year related agriculture exp. Must also have 12 months of exp. with: (1\) develop ETL pipelines using modern data stack (spark, trino, dagster, dbt, iceberg); (2\) data modelling, storage and processing of life sciences/agriculture data (genomics, satellite imagery, geospatial, biological); (3\) support and develop PowerBI, Rshiny, spotfire dashboards that utilize Lakehouse Data; (4\) use dagster for data orchestration for scheduling data pipelines and use Gitlab for code version control, and Docker, Kubernetes for deployment; and (5\) utilize the following technologies: Python (PySpark), Trino/SparkSQL, AWS (S3, RDS, EC2, ECS, EKS), Azure (Data Factory, ADLS, PowerBI, Databricks), DBT, Dagster, Docker, Kubernetes, Kafka, FastAPI, and Django. Will accept experience gained before, during or after Master’s program. Employer will accept experience gained concurrently. Position includes a telecommute benefit within commuting distance to Indianapolis, IN Corteva office, as directed. Salary: $117,104 to $141,000/year. Please apply online at https://apply.corteva.com/careers/.
**Benefits – How We’ll Support You:**
* Numerous development opportunities offered to build your skills
* Be part of a company with a higher purpose and contribute to making the world a better place
* Health benefits for you and your family on your first day of employment
* Four weeks of paid time off and two weeks of well\-being pay per year, plus paid holidays
* Excellent parental leave which includes a minimum of 16 weeks for mother and father
* Future planning with our competitive retirement savings plan and tuition reimbursement program
* 
* Check out life at Corteva! www.linkedin.com/company/corteva/life
Are you a good match? Apply today! We seek applicants from all backgrounds to ensure we get the best, most creative talent on our team.
Corteva Agriscience is an equal opportunity employer. We are committed to embracing our differences to enrich lives, advance innovation, and boost company performance. Qualified applicants will be considered without regard to race, color, religion, creed, sex, sexual orientation, gender identity, marital status, national origin, age, military or veteran status, pregnancy related conditions (including pregnancy, childbirth, or related medical conditions), disability or any other protected status in accordance with federal, state, or local laws.</t>
        </is>
      </c>
    </row>
    <row r="35">
      <c r="A35" t="inlineStr">
        <is>
          <t>in-2c35efe0ac89a054</t>
        </is>
      </c>
      <c r="B35" t="inlineStr">
        <is>
          <t>Data Engineer (5061)</t>
        </is>
      </c>
      <c r="C35" t="inlineStr">
        <is>
          <t>SMX</t>
        </is>
      </c>
      <c r="D35" t="inlineStr">
        <is>
          <t>indeed</t>
        </is>
      </c>
      <c r="E35" t="inlineStr"/>
      <c r="F35" t="inlineStr"/>
      <c r="G35" t="inlineStr">
        <is>
          <t>Naval Air Station Patuxent River, MD, US</t>
        </is>
      </c>
      <c r="H35" s="1" t="n">
        <v>46075</v>
      </c>
      <c r="I35" t="inlineStr">
        <is>
          <t>SMX is seeking a **Data Engineer** to provide support for the NAWCAD Readiness \&amp; Fleet Analytics (R\&amp;FA) Division's Advanced Analytics and Innovation (AA\&amp;I) Branch at Patuxent River Naval Air Station in Lexington Park, MD.
This Data Engineer will primarily involve migrating code for data science projects from Cloudera Data Science Workbench (CDSW) to Databricks. The candidate will design, build, and maintain robust data pipelines and architectures that support advanced analytics and decision\-making across the Naval Aviation Enterprise. The candidate will focus on data engineering tasks, including data extraction, transformation, and loading (ETL), database management, and optimizing data workflows. Your work will directly support Program Management Air (PMA) offices, Air Systems Group, Command, Fleet Readiness Centers, and other Department of Defense (DoD) services.
As a Data Engineer, you will leverage Python, SQL, and cloud\-based platforms to ensure the seamless flow of data between systems and applications. You will play a critical role in enabling data\-driven solutions by ensuring data integrity, scalability, and accessibility for analytics teams and stakeholders. This is a full\-time position with telework as the standard arrangement, complemented by occasional in\-office requirements.
**Essential Duties \&amp; Responsibilities**
* Code Migration \&amp; Translation  
	+ Migrate existing HiveQL and Python\-based workflows from Cloudera Data Science Workbench (CDSW) to Databricks.
	+ Translate existing workflows to the new environment while ensuring results are consistent or improved in terms of performance, scalability, and data quality.
	+ Refactor and optimize code to leverage Databricks features and capabilities effectively.
	+ Collaborate with analytics teams to validate migrated workflows and ensure functionality aligns with project requirements.
* Cloud\-Based Data Engineering  
	+ Leverage cloud platforms such as AWS, Databricks, or similar tools to manage and process large\-scale datasets.
	+ Implement CI/CD workflows for data engineering projects to streamline development and deployment.
* Data Pipeline Development  
	+ Design, develop, and maintain ETL pipelines to extract, transform, and load data from various sources into centralized databases or data warehouses.
	+ Automate data workflows and processes to ensure efficient and reliable data delivery.
	+ Optimize data pipelines for scalability, performance, and fault tolerance.
* Database Management  
	+ Build and manage relational and non\-relational databases to support analytics and reporting needs.
	+ Write and optimize complex SQL queries for data extraction and manipulation.
	+ Ensure data integrity, security, and accessibility across all systems.
* Collaboration \&amp; Support  
	+ Work closely with stakeholders, including product owners and analytics teams, to understand data requirements and deliver solutions that meet business needs.
	+ Provide technical guidance and support to team members on data engineering best practices.
**Required Skills \&amp; Experience**
* Clearance Required: Secret
	+ US Citizenship is required for work on DoD contract
* A Bachelor's degree in Computer Science, Data Engineering, Information Systems, or a related field
* 5\+ years of related academic or professional experience
* Proficiency in Python and SQL, with hands\-on experience in developing ETL pipelines and managing databases.
* Experience with cloud platforms such as AWS, Databricks, or similar tools.
* Strong understanding of relational and non\-relational database systems.
* Proven experience migrating workflows and code from legacy platforms (e.g., CDSW) to modern cloud\-based environments (e.g., Databricks).
* Ability to translate existing workflows to new environments while ensuring results are consistent or improved in terms of performance and data quality.
* Proficiency in HiveQL and Python for data engineering tasks.
* Proficiency in GitLab and JIRA for project management and version control.
* High\-level problem\-solving and interpersonal skills.
* Flexible and able to work effectively in dynamic environments.
* Strong oral and written communication skills, including the ability to interact professionally across all levels of management.
* Proven ability to work collaboratively with cross\-functional teams to deliver data solutions.
**Desired Skills/Experience:**
* Experience with Tableau, Qlik, or Power BI for creating advanced visualizations and interactive dashboards.
* Experience with schema design and data modeling.
* Familiarity with Apache Spark or Hadoop.
* Experience implementing CI/CD pipelines for data engineering projects.
* Familiarity with aviation industry data and experience in the aerospace and/or defense industries.
* Adaptability to work effectively in dynamic environments
**Application Deadline:** 3/23/2026
\#cjpost \#LI\-HYBRID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an Equal Opportunity employer including disabilities and veterans.
Selected applicant may be subject to a background investigation and/or education verification.
SMX does not sponsor a new applicant for employment authorization or immigration related support for this position (i.e. H1B, F\-1 OPT, F\-1 STEM OPT, F\-1 CPT, J\-1, TN, E\-2, E\-3, L\-1 and O\-1, or any EADs or other forms of work authorization that require immigration support from an employer).</t>
        </is>
      </c>
    </row>
    <row r="36">
      <c r="A36" t="inlineStr">
        <is>
          <t>in-973c238f38e271cc</t>
        </is>
      </c>
      <c r="B36" t="inlineStr">
        <is>
          <t>Sr. Data Platform Engineer I (6366)</t>
        </is>
      </c>
      <c r="C36" t="inlineStr">
        <is>
          <t>Metrostar Systems</t>
        </is>
      </c>
      <c r="D36" t="inlineStr">
        <is>
          <t>indeed</t>
        </is>
      </c>
      <c r="E36" t="inlineStr"/>
      <c r="F36" t="inlineStr"/>
      <c r="G36" t="inlineStr">
        <is>
          <t>Washington, DC, US</t>
        </is>
      </c>
      <c r="H36" s="1" t="n">
        <v>46075</v>
      </c>
      <c r="I36" t="inlineStr">
        <is>
          <t>As a **Sr. Data Platform Engineer I,** you'll work as part of a collaborative and high\-performing team providing your expertise to deliver technical solutions within the highest levels of the federal government by providing PostgreSQL expertise supporting highly visible, mission\-critical applications; taking deep technical ownership of database platforms; executing disciplined operational practices; and maintaining database stability, performance, and security under constant operational demand.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administer, and optimize PostgreSQL and Microsoft SQL Server databases in on\-premises and cloud environments.
* Manage Kubernetes clusters and support containerized database and application operations.
* Administer CI/CD pipelines and automation supporting database and application delivery.
* Perform database performance tuning, backups, replication, and recovery.
* Enforce access controls, auditing, governance, and retention policies.
* Manage schemas, indexes, stored procedures, and permissions.
* Develop SQL queries and reporting logic; support Power BI reporting needs.
* Participate in Agile ceremonies and collaborative delivery activities.
* Support production operations with urgency and operational discipline.
* Communicate technical risks, issues, and recommendations clearly to stakeholders.
* Build and maintain strong customer trust through technical expertise, responsiveness, and reliability.
**What you'll need to succeed:**
* Active Top Secret with SCI eligibility security clearance.
* Bachelor's degree in Computer Science, or related field, is preferred; relevant experience may substitute.
* Certification meeting DoD 8140 (e.g., Security\+ or GSEC, or higher).
* Certification for database platform (e.g., DP\-300, Oracle OCP, or equivalent).
* 5\+ years of experience as a database administrator or engineer.
* Experience designing, implementing, managing, and tuning PostgreSQL databases in enterprise environments.
* Experience ensuring database performance, availability, and reliability, including capacity planning and performance tuning.
* Experience implementing and managing database security controls, including access management and auditing.
* Experience performing database backups, recovery, and restore operations, including support for high\-availability configurations.
* Experience with distributed PostgreSQL solutions (e.g., pgEdge or similar).
* Ability to contribute immediately with minimal ramp\-up in a mission\-critical operational environment.
SALARY RANGE: $170,000 \- $239,000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37">
      <c r="A37" t="inlineStr">
        <is>
          <t>in-79d4ebb82e91807d</t>
        </is>
      </c>
      <c r="B37" t="inlineStr">
        <is>
          <t>GCP Data Engineer</t>
        </is>
      </c>
      <c r="C37" t="inlineStr">
        <is>
          <t>Crackajack Solutions</t>
        </is>
      </c>
      <c r="D37" t="inlineStr">
        <is>
          <t>indeed</t>
        </is>
      </c>
      <c r="E37" t="inlineStr"/>
      <c r="F37" t="inlineStr"/>
      <c r="G37" t="inlineStr">
        <is>
          <t>Houston, TX, US</t>
        </is>
      </c>
      <c r="H37" s="1" t="n">
        <v>46075</v>
      </c>
      <c r="I37" t="inlineStr">
        <is>
          <t>Houston, TX
Contracted
Experienced
**GCP Data Engineer**  
**Houston, TX**  
**Long Term Contract**  
**Key Responsibilities:*** Design, develop, and manage robust, scalable, and efficient data pipelines on GCP.
* Build and maintain data workflows using **Apache Airflow** for orchestration.
* Work with **Google BigQuery** for large\-scale analytics and data storage.
* Leverage **Google Cloud Dataflow** (Apache Beam) for real\-time and batch data processing.
* Ingest, transform, and analyze massive datasets (millions\+ of records).
* Collaborate with data scientists, analysts, and other engineering teams to deliver reliable data solutions.
* Optimize data performance and troubleshoot data pipeline issues in production.
* Ensure data quality, integrity, and security across all data platforms.
**Required Skills \&amp; Qualifications:*** **4\+ years** of hands\-on experience with **Google Cloud Platform (GCP)** services.
* Strong experience with **BigQuery, Dataflow, and Airflow**.
* Proficiency in **Python or Java** for data processing and pipeline development.
* Deep understanding of **big data processing** principles and distributed systems.
* Hands\-on experience working with **millions of rows/records** in large\-scale environments.
* Experience with data lake and data warehouse architectures.
* Strong problem\-solving skills and ability to debug complex systems.
* Automating specific system operations to enhance efficiency and speed
* Testing designs to find and fix mistakes and make system improvements
* Evaluating and identifying the best cloud solutions in collaboration with engineering and development teams
* Developing, establishing and implementing modular cloud\-based applications
* Locating, evaluating and fixing infrastructure risks and deployment problems
* Periodically evaluating computer systems and offering suggestions for performance enhancements
* Offering support and guidance to meet customer requirements</t>
        </is>
      </c>
    </row>
    <row r="38">
      <c r="A38" t="inlineStr">
        <is>
          <t>in-4414e81252a871d7</t>
        </is>
      </c>
      <c r="B38" t="inlineStr">
        <is>
          <t>Data Engineer II</t>
        </is>
      </c>
      <c r="C38" t="inlineStr">
        <is>
          <t>Avature</t>
        </is>
      </c>
      <c r="D38" t="inlineStr">
        <is>
          <t>indeed</t>
        </is>
      </c>
      <c r="E38" t="inlineStr"/>
      <c r="F38" t="inlineStr"/>
      <c r="G38" t="inlineStr">
        <is>
          <t>Jacksonville, FL, US</t>
        </is>
      </c>
      <c r="H38" s="1" t="n">
        <v>46072</v>
      </c>
      <c r="I38" t="inlineStr">
        <is>
          <t>**JOB SUMMARY:**  
The Data Engineer manages the design, development, and implementation of our new cloud Enterprise Data Warehouse. This position is strongly focused on defining the data standards and ETL workflows integrated with governance that will enable more efficient and effective decision making. Other responsibilities include designing and driving Extract Transformation and Load (ETL) solutions, leading ETL development, and resolving technical issues.
**ESSENTIAL DUTIES \&amp; RESPONSIBILITIES:**  
* Assemble large, complex data sets that meet functional/ non\-functional business requirements.
* Identify, design, and implement internal process improvements: automating manual processes, optimizing data delivery, re\-designing infrastructure for greater scalability, etc.
* Build analytics tools that utilize the data pipeline to provide actionable insights into customer acquisition, operational efficiency and other key business performance metrics.
* Create data tools for analytics and data analyst team members that aid in building and optimizing products
* Work with data and analytics experts to strive for greater functionality in data systems.
* Design and develop ETL and data processing solutions using data integration tools: Talend, HVR, Oracle Data Integrator (ODI), SSIS, or Azure Data Factory.
* Create, execute, and document unit test plans for ETL and data integration processes and programs.
* Monitor and ensure all scheduled imports and loads are executed and delivered on time with no issues.
* Document data mappings, data dictionaries, and processes as established standards for data governance.
* Translate detailed business requirements into optimal database and ETL solutions.
* Diagnose complex problems, including performance issues, and drive to resolution.
* Address performance and scalability issues and perform necessary capacity planning to meet new business initiatives.
* Follows One Call SDLC Standards
* Demonstrates an understanding of One Call systems and the workers compensation industry.
* May act as a subject matter expert to provide guidance and support to other technical professionals.
**EDUCATIONAL AND EXPERIENCE REQUIREMENTS:**  
* Bachelor's degree in Computer Science, Information Systems or the equivalent combination of education, training and relevant work experience.
* Additional relevant experience preferences specified further below by job level.
**ESSENTIAL KNOWLEDGE, SKILLS \&amp; ABILITIES:**  
* Experience building, deploying, and optimizing data pipelines, architectures, models, models and data sets.
* Strong relational data modeling experience.
* Experience performing root cause analysis on internal and external data and processes to answer specific business questions and identify opportunities for improvement. Strong analytic skills related to working with structured and unstructured datasets.
* Ability to build processes supporting data transformation, data structures, metadata, dependency, and workload management.
* A successful history of manipulating, processing, and extracting value from large, disconnected datasets.
* Strong project management and organizational skills.
* Experience supporting and working with cross\-functional teams in a dynamic environment.
* Experience with JSON.
* Understanding of MDM, data quality, data transformation and how it feeds into business processes, decisions, and reporting needs.
* Understanding optimal data pipeline architecture for production applications through ETL, APIs, and event driven architecture.
* Experience in creating technical design and implementing ETL solutions.
* Excellent customer service skills that build high levels of customer satisfaction for internal customers.
* Excellent verbal and written communication skills to technical and non\-technical audiences of various levels in the organization (e.g., executive, management, individual contributors).
* Willingly shares relevant technical and/or industry knowledge and expertise with other resources.
* Excellent problem\-solving, team, and time management skills.
* Is resourceful and proactive in gathering information and sharing ideas.
* Work experience in data architecture environment.
* Experience with ETL design and development using tools such as Talend, HVR, Oracle Data Integrator (ODI) or SSIS equivalent.
* Experience with data warehouse development on a major RDBMS (Oracle, DB2, SQL server, Snowflake).
* Experience with TSQL, PL SQL, and query optimization.
* Experience with scripting languages such as Python, VBScript, Perl, and JavaScript.
* Experience with DEVOPS repositories and pipelines.
* Experience with Snowflake a plus.
* Ability to work in an environment that aligns with the company's diversity, equity, inclusion and belonging standards.
* Ability to work both independently and in a team environment.
* Demonstrate our core values of Think Big, Go Fast, Deliver Awe, and Win Together.
**PHYSICAL/MENTAL DEMANDS \&amp; WORK ENVIRONMENT:**  
* This position will be performed in the colleague's home. Work\-from\-home requirements include the colleague's ability to set up computer equipment within their home office.
* This job is primarily sedentary and may involve repetitive motions; the colleague must be able to remain in a stationary position for extended periods of time, operate a computer and other office equipment, assess information and files stored electronically, and converse/exchange accurate information with others, simultaneously.
* The colleague must be able to discern text displayed on a monitor, input data into specific fields using a keyboard, and adjust focus to distances of up to three feet.
* The colleague must have the ability to learn new tasks, follow established processes, maintain focus, complete tasks independently, complete multiple tasks simultaneously, communicate professionally with colleagues and customers, and complete tasks in situations that have a speed or productivity requirement.
* The colleague must be able to manage moderate to significant mental stress as a result of, but not limited to, a dynamic and heavy workload.
Please be advised that job descriptions typically change over time as business needs, job requirements, and employee skill levels change. As such, One Call retains the right to change or assign other duties to this position at any time.
Data Engineer II
Moderate skills with high level of proficiency. Develops and implements ETL solutions that require analysis and research. Works on small to large, complex projects that require increased skill in multiple technical environments. Possesses knowledge in a specific business area. Works on one or more projects as a team member or occasionally as a project lead. Possesses increased latitude for independent judgment. May consult with senior peers on certain projects. Typically requires 2\+ years of ETL development experience.</t>
        </is>
      </c>
    </row>
    <row r="39">
      <c r="A39" t="inlineStr">
        <is>
          <t>in-dae26914991ffac3</t>
        </is>
      </c>
      <c r="B39" t="inlineStr">
        <is>
          <t>Data Analytics Engineer - ITS4</t>
        </is>
      </c>
      <c r="C39" t="inlineStr">
        <is>
          <t>State of Minnesota - Minnesota IT Services</t>
        </is>
      </c>
      <c r="D39" t="inlineStr">
        <is>
          <t>indeed</t>
        </is>
      </c>
      <c r="E39" t="inlineStr"/>
      <c r="F39" t="inlineStr"/>
      <c r="G39" t="inlineStr">
        <is>
          <t>Saint Paul, MN, US</t>
        </is>
      </c>
      <c r="H39" s="1" t="n">
        <v>46071</v>
      </c>
      <c r="I39" t="inlineStr">
        <is>
          <t>**Job Details**
---------------
**Working Title: Data Analytics Engineer**  
**Job Class: Information Technology Specialist 4**  
**Agency: Minnesota IT Services**
* **Job ID**: 90624
* **Location**: St. Paul
* **Telework Eligible**: Yes \#LI\-Hybrid
* **Full/Part Time**: Full\-Time
* **Regular/Temporary**: Unlimited
* **Who May Apply**: Open to all qualified job seekers
* **Date Posted**: 02/19/2026
* **Closing Date**: 02/26/2026
* **Hiring Agency/Seniority Unit**: Minnesota IT Services
* **Division/Unit**: Department of Corrections (DOC)
* **Work Shift/Work Hours**: Day Shift
* **Days of Work**: Monday \- Friday
* **Travel Required**: No
* **Salary Range:** $37\.07 \- $61\.14 / hourly; $77,402 \- $127,660 / annually
* **Job Class Option**: Data Systems
* **Classified Status**: Classified
* **Bargaining Unit/Union**: 214 \- MN Assoc of Professional Empl/MAPE
* **FLSA Status**: Exempt \- Professional
* Designated in Connect 700 Program for Applicants with Disabilities: Yes
### **The work you'll do is more than just a job.**
At the State of Minnesota, employees play a critical role in developing policies, providing essential services, and working to improve the well\-being and quality of life for all Minnesotans. The State of Minnesota is committed to equity and inclusion, and invests in employees by providing benefits, support resources, and training and development opportunities.
Join the 2,800\+ professionals of Minnesota IT Services (MNIT) who connect Minnesotans to services that will improve their lives. This position serves our partners at the Department of Corrections (DOC). The MNIT DOC team runs many unique applications that manage the information and security of the department, supporting 4,500 employees across 10 prisons and 50 field offices located throughout the state.
**Job Summary**
---------------
As a the Data Analytics Engineer with Minnesota IT Services (MNIT) supporting the Department of Corrections (DOC), you will play a key role in shaping and advancing the strategic foundation for analytics and reporting to solve complex business challenges. You will apply advanced professional expertise in analyzing, designing, developing, implementing, and supporting the administration, maintenance, and security of data within modern database platforms, helping the Minnesota Department of Corrections realize its vision of managing data as a strategic asset.
**This position requires an employee to be onsite at 1450 Energy Park Dr. St. Paul****, Minnesota at least 50% of the time, with some opportunity to perform work from a telework location.** Telework for Minnesota IT Services is available on a limited basis. Employees will be required to meet current telework eligibility requirements.
**Qualifications**
------------------
### **Minimum Qualifications**
**To qualify, candidates must clearly show all of the following qualifications in their resume. Resume tips available** **here****:**Position requires a minimum of four (4\) years of IT related experience in business intelligence or data analytics.
Experience must include:* Azure tech stack like Azure Data Factory, Synapse, Fabric, Power BI.
* Strong knowledge of DAX and Power Query for data modeling and transformations.
* Experience connecting Power BI to multiple data sources (SQL Server, Azure, APIs, Excel, SharePoint, etc.)
* Strong SQL for analyzing the data and experience with data modeling and database design.
* Knowledge of cloud platforms and services (e.g., AWS, Azure, Google Cloud).
* Demonstrated ability to communicate clearly and effectively in a manner that facilitates mutual understanding.
* Customer\-focused approach grounded in active listening, empathy, and solution\-oriented problem\-solving to deliver positive user experiences.
Education in Information Technology (IT) or an IT related field may substitute for experience as follows: a master’s degree for eighteen (18\) months of experience; a bachelor’s degree for one (1\) year; and an associate’s degree for six (6\) months.
### **Preferred Qualifications**
* Understanding of data modeling, ETL processes, and data visualization best practices.
* Knowledge of Python/R for advanced analytics.
* Effective communication, presentation, active listening and interpersonal skills to lead others in the establishment of business intelligence and analytics.
### **Strongly Preferred Qualifications**
* Familiarity with data security concepts, including row\-level security in Power BI.
* Ability to design interactive dashboards that provide actionable insights for business users.
* Strong analytical and problem\-solving skills.
### **Additional Requirements**
It is the policy of Minnesota IT Services that a successful candidate must pass all legally required check prior to employment which may consist of the following:* SEMA4 Records Checks (applies to current and past state employees only)
* Criminal History Check
* Reference Check
* Social Security and Address Verification
* Education Verification
* CJIS Background Check
* DOC Background Check
* Other legally required checks
### **Minnesota IT Services does not participate in E\-Verify. Minnesota IT Services will not sponsor applicant for work visas, including F\-1 STEM OPT extensions. Minnesota IT Services is not able to complete Form I\-983 or any other form that requires that the employer certifying to using E\-Verify. All applicants must be legally authorized to work in the United States.**
**Application Details**
-----------------------
### **How to Apply**
Select “Apply for Job” at the top of this page. If you have questions about applying for jobs, contact the Careers Help Desk at 651\-259\-3637 or email careers@state.mn.us. For additional information about the application process, go to http://www.mn.gov/careers.
### **Contact**
If you have questions about this position, contact Mandie Stevenson at mandie.stevenson@state.mn.us.
**Connect 700 Program**
To receive consideration as a Connect 700 Program applicant, apply online, email the Job ID\#, the Working Title and your valid Proof of Eligibility Certificate by the closing date to Mandie Stevenson at mandie.stevenson@state.mn.us.
**Veterans**
**To be considered for any** **Veteran's Status****, you MUST indicate this on your application.**RECENTLY SEPARATED VETERANS (RSV): Effective July 1, 2009, legislation provides that the top five RSV applicants who apply and meet the qualifications for a vacancy shall be granted an interview. You must:
* Meet all Minimum Qualifications identified in this posting.
* Meet all of the RSV criteria.
* Submit a copy of your DD\-214 form by the closing date to: mandie.stevenson@state.mn.us.
CERTAIN DISABLED VETERANS: Effective August 1, 2012, legislation provides state agencies with the option to appoint certain disabled veterans on a noncompetitive basis if you:
* Meet service requirements and have a verified service\-connected disability rating of at least 30%.
* Provide qualifying documentation verifying the disability.
* Meet all Minimum Qualifications identified in this posting.
* You must submit all documentation by the closing date to: mandie.stevenson@state.mn.us.
**Current State Employees*** Bidders: This vacancy is open for bids and all qualified applicants simultaneously. This vacancy will be filled in accordance with applicable union contract provisions. Current employees of Minnesota IT Services who are currently in an **Information Technology Specialist 4/** **Data Systems** position and who are eligible to bid and apply within the seven (7\) day bidding period will be considered prior to filling the position via other means.
* Current State Employees: Please note that employment provisions (including but not limited to seniority and leave accrual) vary among the three branches of Minnesota State government. When considering a job with another branch of state government, you are highly encouraged to explore these differences. For assistance, please direct questions to your current or anticipated Human Resources office
### **About Minnesota IT Services**
Minnesota IT Services is the information technology agency for the State of Minnesota. MNIT partners with agencies, boards, councils, and commissions to deliver secure, reliable technology solutions as we set IT strategy, direction, policies, and standards statewide. Work for MNIT and be part of a nation\-leading IT organization that helps to create an innovative government that works for everyone. Our culture promotes collaboration, demands agility, and encourages us to embrace change. Be a part of something bigger than yourself, something to be inspired by; come to work for MNIT.
#### **Working together to improve the state we love.**
What do Minnesota's State employees have in common?
* A sense of purpose in their work
* Connection with their coworkers and communities
* Opportunities for personal and professional growth
#### **Benefits**
As an employee, you'll have access to one of the most affordable health insurance plans in Minnesota, along with other benefits to help you and your family be well.
#### **Your benefits may include:**
* Paid vacation and sick leave
* 12 paid holidays each year
* Low\-cost medical, dental, vision, and prescription drug plans
	+ Fertility care, including IVF
	+ Diabetes care
	+ Dental and orthodontic care for adults and children
* 6 weeks paid leave for parents of newborn or newly adopted children
* Pension plan that provides income when you retire (after working at least three years)
* Employer paid life insurance to provide support for your family in the event of death
* Short\-term and long\-term disability insurance that can provide income if you are unable to work due to illness or injury
* Tax\-free expense accounts for health, dental, and dependent care
* Resources that provide support and promote physical, emotional, social, and financial well\-being
#### **Support to help you reach your career goals:**
* Training, classes, and professional development
* Tuition reimbursement
* Federal Public Service Loan Forgiveness Program (Some positions may qualify for the Public Service Loan Forgiveness Program. For more information, visit the Federal Student Aid website at studentaid.gov)
#### **Employee Assistance Program (EAP) for work/life support:**
* A voluntary confidential program that helps employees and their families with life challenges that may impact overall health, personal well\-being, or job performance
* Common sources of stress can be addressed through the EAP: mental health, relationship challenges (personal and work), grief and loss, finances, and legal issues
* Daily Living/Convenience Services: Chore services, home repair, trip planning, child/elder care
**Programs, resources and benefits eligibility varies** based on type of employment, agency, funding availability, union/collective bargaining agreement, location, and length of service with the State of Minnesota.
**EQUAL OPPORTUNITY EMPLOYERS**
Minnesota state agencies are equal opportunity, affirmative action, and veteran\-friendly employers. State agencies are committed to creating a workforce that reflects the diversity of the state and strongly encourages persons of color and Indigenous communities, members of the LGBTQIA2S\+ community, individuals with disabilities, women, and veterans to apply. The varied experiences and perspectives of employees strengthen the work we do together and our ability to best serve Minnesotans.
All qualified applicants will receive consideration for employment without regard to race, color, creed, religion, national origin, sex (including pregnancy, childbirth, and disabilities related to pregnancy or childbirth), gender identity, gender expression, marital status, familial status, age, sexual orientation, status regarding public assistance, disability, veteran status or activity in a local Human Rights Commission or any other characteristic protected by law.
**APPLICANTS WITH DISABILITIES**
Minnesota state agencies make reasonable accommodations to their employees and applicants with disabilities. If you have a disability and need assistance in searching or applying for jobs with the State of Minnesota, call the Careers Help Desk at 651\-259\-3637 or email careers@state.mn.us and let us know the support you need.</t>
        </is>
      </c>
    </row>
    <row r="40">
      <c r="A40" t="inlineStr">
        <is>
          <t>in-54c8deff754c16fa</t>
        </is>
      </c>
      <c r="B40" t="inlineStr">
        <is>
          <t>Data Engineer - ITS4</t>
        </is>
      </c>
      <c r="C40" t="inlineStr">
        <is>
          <t>State of Minnesota - Minnesota IT Services</t>
        </is>
      </c>
      <c r="D40" t="inlineStr">
        <is>
          <t>indeed</t>
        </is>
      </c>
      <c r="E40" t="inlineStr"/>
      <c r="F40" t="inlineStr"/>
      <c r="G40" t="inlineStr">
        <is>
          <t>Saint Paul, MN, US</t>
        </is>
      </c>
      <c r="H40" s="1" t="n">
        <v>46070</v>
      </c>
      <c r="I40" t="inlineStr">
        <is>
          <t>**Job Details**
---------------
**Working Title: Data Engineer**  
**Job Class: Information Technology Specialist 4**  
**Agency: Minnesota IT Services**
* **Job ID**: 92079
* **Location**: St. Paul
* **Telework Eligible**: Yes \#LI\-Hybrid
* **Full/Part Time**: Full\-Time
* **Regular/Temporary**: Limited
* **Who May Apply**: Open to all qualified job seekers
* **Date Posted**: 02/18/2026
* **Closing Date**: 02/24/2026
* **Hiring Agency/Seniority Unit**: Minnesota IT Services
* **Division/Unit**: Minnesota Department of Health (MDH)
* **Work Shift/Work Hours**: Day Shift
* **Days of Work**: Monday \- Friday
* **Travel Required**: No
* **Salary Range:** $37\.07 \- $61\.14 / hourly; $77,402 \- $127,660 / annually
* **Classified Status**: Unclassified
* **Bargaining Unit/Union**: 214 \- MN Assoc of Professional Empl/MAPE
* **End Date**: Up to two (2\) years
* **FLSA Status**: Exempt \- Professional
* Designated in Connect 700 Program for Applicants with Disabilities: No
### **The work you'll do is more than just a job.**
At the State of Minnesota, employees play a critical role in developing policies, providing essential services, and working to improve the well\-being and quality of life for all Minnesotans. The State of Minnesota is committed to equity and inclusion, and invests in employees by providing benefits, support resources, and training and development opportunities.
Join the 2,800\+ professionals of Minnesota IT Services (MNIT) who connect Minnesotans to services that will improve their lives. This position serves our partners at the Minnesota Department of Health (MDH). The MNIT MDH team provides services for over 250\+ applications and delivers the information technology to drive one of the leading public health systems in the nation. You will support an agency that works to protect, maintain, and improve the health of all Minnesotans.
**Job Summary**
---------------
***This position is temporary and includes full state fringe benefits; it is anticipated to last for up to two (2\) years.***
In this dynamic, fast\-paced role, you’ll serve as a technical expert on our data services team at Minnesota IT Services (MNIT), partnering with Minnesota Department of Health (MDH) to design, deploy, and maintain data pipelines that leverage the full power of Amazon Web Services (AWS). Your creativity and innovative thinking is not only appreciated but encouraged in our ever\-evolving environment.
Work where you live, contribute to something bigger than yourself, and be challenged every day. Come build technology that makes a real difference in Minnesotans life, join Minnesota IT Services and the Minnesota Department of Health!
**This position requires an employee to be onsite at 625 Robert Street N, St. Paul, Minnesota at least 50% of the time, with some opportunity to perform work from a telework location.** Telework for Minnesota IT Services is available on a limited basis. Employees will be required to meet current telework eligibility requirements.
**Qualifications**
------------------
### **Minimum Qualifications**
**To qualify, candidates must clearly show all of the following qualifications in their resume. Resume tips available** **here****:**
Position requires a minimum of four (4\) years of IT related experience in Amazon Web Service (AWS) or related data technologies.
Experience must include:* Automating AWS data pipeline/ETL technologies in a production data environment – S3, Glue, Lambda.
* Working with a variety of relational data storage options (AWS data lake, AWS RDS, or Amazon Redshift).
* Writing and interpreting data transformations in Python or R.
* Big Data processing utilizing PySpark.
* Utilizing version control (SVN, Git, or other version control system) to build transparent data pipelines.
* Demonstrated ability to communicate clearly and effectively in a manner that facilitates mutual understanding.
* Customer\-focused approach grounded in active listening, empathy, and solution\-oriented problem\-solving to deliver positive user experiences.
Education in Information Technology (IT) or an IT related field may substitute for experience as follows: a master’s degree for eighteen (18\) months of experience; a bachelor’s degree for one (1\) year; and an associate’s degree for six (6\) months.
### **Preferred Qualifications**
* Working with non\-relational data storage options (vector stores or NoSQL databases) to support machine learning and AI data pipelines.
* An AWS Certification such as Cloud Practitioner or Data Engineer or Solutions Architect
* Knowledge of IAM Identity Center and Lake Formation
* Knowledge of containerization deployments utilizing Amazon ECS
* Comfort with troubleshooting data pipelines with little precedence and adjusting to multiple demands, shifting priorities, ambiguity and rapid changes.
* Passion in one or more of the following aspects of data governance: quality, integration, security, lifecycle management, stewardship, metadata management.
* Apply in\-depth critical thinking and analytic thinking skills to a class of domain\-specific problems and projects to provide practical assessment and solution generation.
### **Additional Requirements**
It is the policy of Minnesota IT Services that a successful candidate must pass all legally required checks prior to employment which may consist of the following:
* SEMA4 Records Check (applies to current and past state employees only)
* Criminal History Check
* Reference Check
* Social Security and Address Verification
* Education Verification
* Other legally required checks
**Minnesota IT Services does not participate in E\-Verify. Minnesota IT Services will not sponsor applicant for work visas, including F\-1 STEM OPT extensions. All applicants must be legally authorized to work in the United States.**
**Application Details**
-----------------------
### **How to Apply**
Select “Apply for Job” at the top of this page. If you have questions about applying for jobs, contact the Careers Help Desk at 651\-259\-3637 or email careers@state.mn.us. For additional information about the application process, go to http://www.mn.gov/careers.
### **Contact**
If you have questions about this position, contact Jessica Lang at jessica.lang@state.mn.us.
### **About Minnesota IT Services**
Select “Apply for Job” at the top of this page. If you have questions about applying for jobs, contact the Careers Help Desk at 651\-259\-3637 or email careers@state.mn.us. For additional information about the application process, go to http://www.mn.gov/careers.### 
### **Contact**
If you have questions about this position, contact Jessica Lang at jessica.lang@state.mn.us.
**Veterans**
**To be considered for any** **Veteran's Status****, you MUST indicate this on your application.**RECENTLY SEPARATED VETERANS (RSV): Effective July 1, 2009, legislation provides that the top five RSV applicants who apply and meet the qualifications for a vacancy shall be granted an interview. You must:
* Meet all Minimum Qualifications identified in this posting.
* Meet all of the RSV criteria.
* Submit a copy of your DD\-214 form by the closing date to: mandie.stevenson@state.mn.us.
**Current State Employees*** Current State Employees: Please note that employment provisions (including but not limited to seniority and leave accrual) vary among the three branches of Minnesota State government. When considering a job with another branch of state government, you are highly encouraged to explore these differences. For assistance, please direct questions to your current or anticipated Human Resources office.
**About Minnesota IT Services**Minnesota IT Services is the information technology agency for the State of Minnesota. MNIT partners with agencies, boards, councils, and commissions to deliver secure, reliable technology solutions as we set IT strategy, direction, policies, and standards statewide. Work for MNIT and be part of a nation\-leading IT organization that helps to create an innovative government that works for everyone. Our culture promotes collaboration, demands agility, and encourages us to embrace change. Be a part of something bigger than yourself, something to be inspired by; come to work for MNIT.#### **Working together to improve the state we love.**
What do Minnesota's State employees have in common?
* A sense of purpose in their work
* Connection with their coworkers and communities
* Opportunities for personal and professional growth
#### **Benefits**
As an employee, you'll have access to one of the most affordable health insurance plans in Minnesota, along with other benefits to help you and your family be well.
#### **Your benefits may include:**
* Paid vacation and sick leave
* 12 paid holidays each year
* Low\-cost medical, dental, vision, and prescription drug plans
	+ Fertility care, including IVF
	+ Diabetes care
	+ Dental and orthodontic care for adults and children
* 6 weeks paid leave for parents of newborn or newly adopted children
* Pension plan that provides income when you retire (after working at least three years)
* Employer paid life insurance to provide support for your family in the event of death
* Short\-term and long\-term disability insurance that can provide income if you are unable to work due to illness or injury
* Tax\-free expense accounts for health, dental, and dependent care
* Resources that provide support and promote physical, emotional, social, and financial well\-being
#### **Support to help you reach your career goals:**
* Training, classes, and professional development
* Federal Public Service Loan Forgiveness Program (Some positions may qualify for the Public Service Loan Forgiveness Program. For more information, visit the Federal Student Aid website at studentaid.gov)
#### **Employee Assistance Program (EAP) for work/life support:**
* A voluntary confidential program that helps employees and their families with life challenges that may impact overall health, personal well\-being, or job performance
* Common sources of stress can be addressed through the EAP: mental health, relationship challenges (personal and work), grief and loss, finances, and legal issues
* Daily Living/Convenience Services: Chore services, home repair, trip planning, child/elder care
**Programs, resources and benefits eligibility varies** based on type of employment, agency, funding availability, union/collective bargaining agreement, location, and length of service with the State of Minnesota.
**EQUAL OPPORTUNITY EMPLOYERS**
Minnesota state agencies are equal opportunity, affirmative action, and veteran\-friendly employers. State agencies are committed to creating a workforce that reflects the diversity of the state and strongly encourages persons of color and Indigenous communities, members of the LGBTQIA2S\+ community, individuals with disabilities, women, and veterans to apply. The varied experiences and perspectives of employees strengthen the work we do together and our ability to best serve Minnesotans.
All qualified applicants will receive consideration for employment without regard to race, color, creed, religion, national origin, sex (including pregnancy, childbirth, and disabilities related to pregnancy or childbirth), gender identity, gender expression, marital status, familial status, age, sexual orientation, status regarding public assistance, disability, veteran status or activity in a local Human Rights Commission or any other characteristic protected by law.
**APPLICANTS WITH DISABILITIES**
Minnesota state agencies make reasonable accommodations to their employees and applicants with disabilities. If you have a disability and need assistance in searching or applying for jobs with the State of Minnesota, call the Careers Help Desk at 651\-259\-3637 or email careers@state.mn.us and let us know the support you need.</t>
        </is>
      </c>
    </row>
    <row r="41">
      <c r="A41" t="inlineStr">
        <is>
          <t>in-71ea7bc59afd7cfc</t>
        </is>
      </c>
      <c r="B41" t="inlineStr">
        <is>
          <t>Data Engineer II</t>
        </is>
      </c>
      <c r="C41" t="inlineStr">
        <is>
          <t>Axon</t>
        </is>
      </c>
      <c r="D41" t="inlineStr">
        <is>
          <t>indeed</t>
        </is>
      </c>
      <c r="E41">
        <f>HYPERLINK("https://www.indeed.com/viewjob?jk=71ea7bc59afd7cfc", "https://www.indeed.com/viewjob?jk=71ea7bc59afd7cfc")</f>
        <v/>
      </c>
      <c r="F41">
        <f>HYPERLINK("https://grnh.se/ecyi99cs3us", "https://grnh.se/ecyi99cs3us")</f>
        <v/>
      </c>
      <c r="G41" t="inlineStr">
        <is>
          <t>Sterling, VA, US</t>
        </is>
      </c>
      <c r="H41" s="2" t="n">
        <v>46076</v>
      </c>
      <c r="I41" t="inlineStr">
        <is>
          <t>#### **Join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We're looking for a Data Engineer II to join our Decisions \&amp; Insights team — the team responsible for transforming raw sensor and product data into automated, scalable insights. Everything we build enables rapid, data\-driven decision\-making across Dedrone and empowers product managers, analysts, and operational agents to quickly surface patterns, understand system behavior, and take action.  
In this role, you'll work at the intersection of analytics and engineering. You'll build and maintain the pipelines, datasets, dashboards, and analytical models that drive our insights. You'll shape how data flows through the organization — ensuring our hardware and software signals are collected, structured, and visualized in ways that highlight meaningful trends and operational intelligence.  
If you're passionate about using data to answer complex questions, build automated systems at scale, and enable others to make informed decisions, this role offers both technical depth and mission impact.  
**What You'll Do**
* Design, develop, and maintain automated ETL/ELT pipelines and analytical models in Redshift using SQL, dbt, or SQLMesh.
* Build clean, structured datasets that enable fast, self\-serve insights for PMs, analysts, and operational agents.
* Create dashboards and analytical tools (e.g., Tableau) that make insights intuitive and actionable.
* Optimize SQL queries, schemas, and table designs for high\-volume analytics workloads.
* Partner with product managers, data scientists, and engineering teams to deliver analysis that supports product and operational decisions.
* Use Python to automate processing, improve pipeline reliability, and support advanced analytical workflows.
* Apply best practices for Git\-based version control, testing, documentation, and data quality monitoring.
* Participate in design reviews for new analytical features and data systems.
**What You Bring**
* 3\+ years of experience as a Data Engineer, Analytics Engineer, or similar hybrid role.
* Advanced SQL skills with strong understanding of schema design and analytical database patterns.
* Strong Python experience for data manipulation, scripting, and automation.
* Strong analytical mindset, attention to detail, and a passion for turning complex datasets into clear insights.
* Solid Git experience for collaboration and version control.
* Proficiency with Tableau is a plus.
* Experience integrating and analyzing data from AWS services (e.g., Redshift, S3, APIs).
#### **Work Location**
This role is based out of our Sterling, VA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The Pay: Axon is a total compensation company, meaning compensation is made up of base pay, bonus, and stock awards. The starting base pay for this role is between USD 101,250 in the lowest geographic market and USD 162,000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42">
      <c r="A42" t="inlineStr">
        <is>
          <t>in-e881aa16f3f5efbf</t>
        </is>
      </c>
      <c r="B42" t="inlineStr">
        <is>
          <t>Data Engineering Technical Lead - VP</t>
        </is>
      </c>
      <c r="C42" t="inlineStr">
        <is>
          <t>Axos Bank</t>
        </is>
      </c>
      <c r="D42" t="inlineStr">
        <is>
          <t>indeed</t>
        </is>
      </c>
      <c r="E42">
        <f>HYPERLINK("https://www.indeed.com/viewjob?jk=e881aa16f3f5efbf", "https://www.indeed.com/viewjob?jk=e881aa16f3f5efbf")</f>
        <v/>
      </c>
      <c r="F42">
        <f>HYPERLINK("https://axos.wd5.myworkdayjobs.com/en-US/Axos/job/HQ---San-Diego-CA/Data-Engineering-Technical-Lead---VP_JR4266", "https://axos.wd5.myworkdayjobs.com/en-US/Axos/job/HQ---San-Diego-CA/Data-Engineering-Technical-Lead---VP_JR4266")</f>
        <v/>
      </c>
      <c r="G42" t="inlineStr">
        <is>
          <t>San Diego, CA, US</t>
        </is>
      </c>
      <c r="H42" s="2" t="n">
        <v>46075</v>
      </c>
      <c r="I42" t="inlineStr">
        <is>
          <t>Axos Bank
Target Range:
$125,000\.00 /Yr. \- $150,000\.00 /Yr.
Actual starting pay will vary based on factors including, but not limited to, geographic location, experience, skills, specialty, and education.
Eligible for an Annual Discretionary Cash Bonus Target:
Eligible for an Annual Discretionary Restricted Stock Units Bonus Target:*These discretionary target bonuses may be awarded semi\-annually based upon your achievement of performance goals and targets.*
About This Job
Target Range:  
$125,000\.00 /Yr. \- $150,000\.00 /Yr.  
Actual starting pay will vary based on factors including, but not limited to, geographic location, experience, skills, specialty, and education.  
Eligible for an Annual Discretionary Cash Bonus Target: 10%  
Eligible for an Annual Discretionary Restricted Stock Units Bonus Target: 10%  
Axos Bank is seeking a hands\-on VP, Data Engineering Technical Lead to help shape, modernize, and scale our enterprise data platform. This role is central to our mission of transforming legacy data systems into a modern, cloud\-native Lakehouse environment that powers analytics, AI, and business intelligence across the organization. As a technical lead, you will design and deliver scalable data pipelines, define data design patterns, enforce engineering standards, and leverage AI\-assisted tools to accelerate modernization, improve productivity, and reduce technical debt. You will drive proofs of concept (POCs) and points of view (POVs) to evaluate emerging technologies and frameworks, ensuring that the platform remains innovative, cost\-efficient, and future\-ready.
Responsibilities* Modernize legacy ETL pipelines: Lead the transformation of SSIS/SSRS workloads into modular, high\-performance pipelines using Databricks, dbt, Fivetran, and Airflow.
* Architect reusable data design patterns: Define and implement standardized frameworks for ingestion, transformation, curation, and consumption layers across the Lakehouse.
* Develop and lead POCs/POVs: Experiment with new technologies (e.g., Delta Live Tables, Iceberg, streaming ingestion, AI\-driven observability) to validate architecture choices and influence the enterprise roadmap.
* Leverage AI to accelerate engineering: Use AI\-enabled tools like *Databricks Assistant, Cursor AI, GitHub Copilot,* and *dbt Mesh AI tests* for code generation, automated testing, documentation, and pipeline optimization.
* Apply ML for operational intelligence: Integrate predictive models to detect pipeline anomalies, data drift, and optimize compute and scheduling.
* Enforce engineering excellence: Drive CI/CD, version control, peer reviews, and observability practices across the data platform.
* Collaborate cross\-functionally: Partner with data architects, platform engineers, analysts, and business product owners to translate business needs into technical solutions.
* Mentor data engineers: Provide technical guidance, foster continuous learning, and help the team adopt modern data engineering best practices.
* Optimize performance and cost: Continuously tune Spark workloads, storage tiers, and orchestration logic across Azure and GCP environments.
Requirements:* Bachelors degree
* 8\+ years of experience in data engineering or related technical fields, with at least 3\+ years in a lead or senior role.
* Proven experience designing and implementing data design patterns (e.g., CDC, SCD, Medallion, Data Vault, streaming, and batch patterns).
* Deep expertise with Databricks, Apache Spark, dbt, Fivetran, Census, Airflow, and Kafka. Solid experience across Azure and/or GCP (e.g., Synapse, Data Factory, BigQuery, Pub/Sub).
* Hands\-on experience modernizing legacy ETL (SSIS/SSRS) workloads into cloud\-native pipelines.
* Demonstrated ability to build POCs and POVs that validate new tools, frameworks, or architectures.
* Working knowledge of AI\-assisted engineering tools for development, observability, or optimization.
* Proficiency in SQL and one programming language (Python, Scala, or Java).
* Strong problem\-solving, architectural thinking, and collaboration skills.
* Excellent communicator with the ability to translate technical topics to business stakeholders.
Axos Employee Benefits May Include:* Medical, Dental, Vision, and Life Insurance
* Paid Sick Leave, 3 weeks’ Vacation, and Holidays (about 11 a year)
* HSA or FSA account and other voluntary benefits
* 401(k) Retirement Saving Plan with Employer Match Program and 529 Savings Plan
* Employee Mortgage Loan Program and free access to an Axos Bank Account with Self\-Directed Trading
About Axos
Born digital\-first, Axos delivers financial tools and services that allow individuals, small businesses, and companies to access and manage their money how, when, and where they want. We’re a diverse team of dynamic, insightful, and independent innovators who are excited to provide technology\-driven solutions that offer unbeatable value to our customers.
Axos Financial is our holding company and is publicly traded on the New York Stock Exchange under the symbol "AX" (NYSE: AX).
Learn more about working at Axos
Pre\-Employment Background Check and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t>
        </is>
      </c>
    </row>
    <row r="43">
      <c r="A43" t="inlineStr">
        <is>
          <t>in-e4eebde6b6cf3dae</t>
        </is>
      </c>
      <c r="B43" t="inlineStr">
        <is>
          <t>Data Engineer</t>
        </is>
      </c>
      <c r="C43" t="inlineStr">
        <is>
          <t>Cargomatic</t>
        </is>
      </c>
      <c r="D43" t="inlineStr">
        <is>
          <t>indeed</t>
        </is>
      </c>
      <c r="E43">
        <f>HYPERLINK("https://www.indeed.com/viewjob?jk=e4eebde6b6cf3dae", "https://www.indeed.com/viewjob?jk=e4eebde6b6cf3dae")</f>
        <v/>
      </c>
      <c r="F43">
        <f>HYPERLINK("https://grnh.se/iixx4yb88us", "https://grnh.se/iixx4yb88us")</f>
        <v/>
      </c>
      <c r="G43" t="inlineStr">
        <is>
          <t>San Francisco, CA, US</t>
        </is>
      </c>
      <c r="H43" s="2" t="n">
        <v>46076</v>
      </c>
      <c r="I43" t="inlineStr">
        <is>
          <t>Senior Data Architect – Data Engineering
Location: San Francisco, CA  
Reports To: VP of Engineering  
FLSA Status: Exempt  
Employment Type: Full\-Time  
Compensation: $140,000 – $160,000 annually (based on experience)
About Cargomatic
Cargomatic is transforming the local trucking industry with cutting\-edge technology that connects shippers and carriers in real time. Every product that humans build, grow, or sell has spent time on a truck. Local trucking is the lifeblood of every regional economy, yet this $82 billion industry still relies heavily on outdated systems. Cargomatic is bringing transparency, efficiency, and intelligence to local freight through modern technology and data\-driven solutions.
We are solving complex, real\-world logistics problems every day. If you thrive in a fast\-paced environment, enjoy building scalable systems, and want to help shape the future of AI\-powered logistics, we'd love to meet you.
Position Summary
Cargomatic is seeking a Senior Data Architect – Data Engineering to design and build scalable, cloud\-native data infrastructure that powers analytics, machine learning, and AI\-driven applications. This role combines deep data architecture expertise with hands\-on experience in modern data platforms and LLM\-enabled application development.
You will lead the design of enterprise\-grade data models, architect RAG systems, implement agentic workflows, and integrate secure, production\-ready LLM capabilities into our ecosystem. This is a high\-impact role with significant ownership, visibility, and opportunity to shape the future of intelligent logistics technology.
Key Responsibilities
Data Architecture \&amp; Engineering
* Design and build scalable, cloud\-native data pipelines (batch and streaming) supporting analytics, ML, and AI\-powered applications
* Architect enterprise\-grade data models across data lakes, warehouses, and real\-time systems (Snowflake, Databricks, Kafka, DBT)
* Define standards for data governance, reliability, performance, and cost optimization
* Optimize storage formats and distributed data systems (Parquet, Delta Lake, Iceberg)
AI \&amp; LLM\-Enabled Systems
* Develop Retrieval\-Augmented Generation (RAG) systems integrating structured and unstructured enterprise data
* Design and implement agentic workflows using frameworks such as LangChain, LangGraph, LlamaIndex, n8n, or similar
* Integrate LLM APIs (OpenAI, Anthropic, or similar) into secure, production\-ready applications
* Implement guardrails, validation layers, monitoring, and evaluation frameworks to mitigate hallucination, prompt injection, and data security risks
Backend \&amp; API Development
* Build secure backend APIs (Python/FastAPI) to expose AI\-powered capabilities
* Ensure observability, monitoring, and cost controls across AI and data services
* Contribute to microservices architecture and distributed system design
Collaboration \&amp; Leadership
* Partner cross\-functionally with Product, Engineering, and Operations to translate business requirements into scalable technical solutions
* Mentor junior engineers and contribute to architectural standards and best practices
* Drive innovation in data engineering and AI\-powered logistics systems
Qualifications
* Bachelor's degree in Computer Science or equivalent practical experience
* 8\+ years of software or data engineering experience in production environments
* Strong expertise in data modeling, distributed systems, and scalable cloud architectures
* Hands\-on experience with ETL/ELT frameworks and streaming technologies (Kafka, Spark, HEVO, Snowflake, DBT, etc.)
* Advanced SQL skills and deep understanding of modern storage formats
* Proficiency in Python and RESTful API development
* Experience integrating LLM APIs into production applications
* Strong understanding of system reliability, observability, and cost management in cloud environments
Desired Experience
* Experience building RAG pipelines including embeddings, vector search, chunking strategies, and hybrid retrieval
* Experience designing multi\-agent or agentic AI workflows with orchestration frameworks
* Knowledge of LLM evaluation, monitoring, and tracing tools (LangSmith or similar)
* Experience with microservices architecture and distributed system design
* Exposure to transportation, logistics, or supply chain domains
* Active GitHub contributions or demonstrated passion for emerging AI and data technologies
Why Join Cargomatic?
We offer competitive compensation and a comprehensive benefits package, including:
* Medical, Dental, and Vision insurance
* 401(k) with company match
* Flexible Spending Accounts (FSA)
* Company\-paid Life and Disability insurance
* Flexible Paid Time Off (PTO) and company holidays
* Paid Parental Leave
* Employee Assistance Program (EAP)
* Opportunity to build cutting\-edge AI solutions in a high\-growth logistics technology company
* Collaborative, high\-impact team environment
Cargomatic is proud to be an Equal Opportunity Employer. We are committed to creating a diverse and inclusive workplace where all employees feel valued and empowered to succeed.</t>
        </is>
      </c>
    </row>
    <row r="44">
      <c r="A44" t="inlineStr">
        <is>
          <t>in-2aba85d8fb6add85</t>
        </is>
      </c>
      <c r="B44" t="inlineStr">
        <is>
          <t>Analytics Engineer</t>
        </is>
      </c>
      <c r="C44" t="inlineStr">
        <is>
          <t>Minute Media</t>
        </is>
      </c>
      <c r="D44" t="inlineStr">
        <is>
          <t>indeed</t>
        </is>
      </c>
      <c r="E44">
        <f>HYPERLINK("https://www.indeed.com/viewjob?jk=2aba85d8fb6add85", "https://www.indeed.com/viewjob?jk=2aba85d8fb6add85")</f>
        <v/>
      </c>
      <c r="F44">
        <f>HYPERLINK("https://www.comeet.com/jobs/minutemedia/45.00A/analytics-engineer/F9.66D-B8.102?coref=1.11.pD0_E913", "https://www.comeet.com/jobs/minutemedia/45.00A/analytics-engineer/F9.66D-B8.102?coref=1.11.pD0_E913")</f>
        <v/>
      </c>
      <c r="G44" t="inlineStr">
        <is>
          <t>Remote, US</t>
        </is>
      </c>
      <c r="H44" s="2" t="n">
        <v>46076</v>
      </c>
      <c r="I44" t="inlineStr">
        <is>
          <t>Minute Media is a global technology and content company built for the future of sports consumption. Minute Media's proprietary technology platform enables the creation, distribution and monetization of digital content experiences, which powers Minute Media's portfolio of trusted content brands, including Sports Illustrated, The Players' Tribune, and FanSided as well as hundreds of sports leagues, teams, broadcasters, third\-party publishers and advertisers. The technology platform includes, (i) STN Video, an online video platform (OVP), which provides access to a robust sports highlights rights portfolio, and (ii) Magnifi, an AI\-driven SaaS platform, that enables rights holders to detect key moments and create highlights in real time. Minute Media is building the future of how the world connects with sport, powered by innovation, shared globally, and trusted by millions of fans and the partners we serve. Minute Media has offices in the US, UK, Israel, Brazil, Asia and India. *For more information, visit* *www.minutemedia.com**.*
We are seeking an analytical and tech\-savvy Analytics Engineer/ BI Developer to join our team, focusing on our B2B products and content cost analytics. You will bridge the gap between data and business for our publisher\-facing solutions. In this role, you’ll develop Business Intelligence solutions and insights that drive informed decisions for both Minute Media and our content partners. This includes building dashboards to track B2B product performance and analyzing content costs to help optimize our partnerships. If you enjoy turning data into actionable business intelligence and thrive in a fast\-paced media environment, we’d love to meet you.
 **What You'll Do**
**﻿**
**Content Cost Analytics \&amp; Reporting**
* Analyze and report on content costs (licensing, contributors) to assess impact on revenue, margins, and content ROI, and integrate these metrics into centralized data models and the Single Source of Truth in partnership with Data Engineering.
* Automate monthly and quarterly content cost reporting by replacing manual spreadsheets with dynamic Looker dashboards, providing Finance and Partnerships teams with real\-time visibility into spend vs. returns.
**BI Development for Partner Solutions**
* Design and build scalable data sources, models, and feeds to support B2B analytics, including partner\-facing reporting in Voltax for content performance and earnings.
* Develop and maintain intuitive Looker dashboards tracking key B2B KPIs (e.g., video usage, syndication metrics, revenue share), ensuring data accuracy, consistency, and stakeholder trust.
**Insights \&amp; Collaboration**
* Collaborate cross\-functionally with Product, Finance, and Partnerships to translate business questions into data analysis and actionable insights.
* Identify trends and optimization opportunities in partner usage and content costs, clearly communicating findings internally and occasionally supporting external partner reporting, enablement, and training.
* Proactively improve analytics offerings by staying current on BI and digital media trends and recommending new metrics or visualizations.
Requirements:  
**What You Have**
* 3\+ years of experience in data analytics, business intelligence, or a related role, ideally in tech, media, or digital content environments.
* Strong SQL skills with experience writing complex queries and transforming data in cloud data warehouses (e.g., BigQuery, Athena), along with a solid understanding of data modeling and ETL processes (e.g., Rivery or similar tools).
* Proven experience building dashboards and reports in BI tools, with Looker strongly preferred (or Tableau/Power BI with ability to ramp quickly).
* Strong analytical mindset with excellent attention to detail, able to ensure data integrity, uncover insights, and balance hands\-on technical work with high\-level analysis and interpretation.
* Strong communication and presentation skills, capable of translating complex data findings into clear, business\-friendly language and visuals.
* Self\-motivated and curious, with a strong interest in understanding how products work and how data can drive improvement.
* BA/BSc or Master’s degree in Data Science, Analytics, Computer Science, or a related field (or equivalent practical experience in a data\-focused role).
 **﻿Bonus If You Have**
* Familiarity with the digital media landscape and content economics, including content licensing models and performance metrics.
* Experience working on analytics for B2B or SaaS products, particularly involving data sharing with external partners or clients.
* Knowledge of Voltax or similar online video platforms or content management systems from a data perspective.
* Exposure to financial or accounting concepts to support cost, revenue, and profitability analysis.
* Experience with collaborative analytics and documentation tools (e.g., Cursor, data dictionaries, partner guides).
* Basic scripting or programming skills (Python, R) for advanced data manipulation or extending BI capabilities.
The expected salary range for this position is between $85,000 \- $95,000 annually. Actual pay will be determined based on skills, experience, and location. The benefits available for this position include a flexible vacation policy, 15 paid holidays, paid parental leave, health insurance, 401(k) retirement plan.
Not sure that you're 100% qualified but are up for the challenge? We want you to apply!
Minute Media is committed to creating a diverse and inclusive work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Minute Media participates in E\-Verify.
Check the URL and email address of any correspondence with Minute Media. If it is not from **@**minutemedia.com, treat it as fraudulent. To learn how to protect yourself from recruitment fraud click here.
Brand:
Minute Media</t>
        </is>
      </c>
    </row>
    <row r="45">
      <c r="A45" t="inlineStr">
        <is>
          <t>in-48b6a9e62830f431</t>
        </is>
      </c>
      <c r="B45" t="inlineStr">
        <is>
          <t>AI / Data Engineer, AI/ML-powered IoT Platform</t>
        </is>
      </c>
      <c r="C45" t="inlineStr">
        <is>
          <t>JIG-SAW US, Inc.</t>
        </is>
      </c>
      <c r="D45" t="inlineStr">
        <is>
          <t>indeed</t>
        </is>
      </c>
      <c r="E45">
        <f>HYPERLINK("https://www.indeed.com/viewjob?jk=48b6a9e62830f431", "https://www.indeed.com/viewjob?jk=48b6a9e62830f431")</f>
        <v/>
      </c>
      <c r="F45">
        <f>HYPERLINK("http://www.indeed.com/job/ai-data-engineer-aiml-powered-iot-platform-48b6a9e62830f431", "http://www.indeed.com/job/ai-data-engineer-aiml-powered-iot-platform-48b6a9e62830f431")</f>
        <v/>
      </c>
      <c r="G45" t="inlineStr">
        <is>
          <t>Remote, US</t>
        </is>
      </c>
      <c r="H45" s="2" t="n">
        <v>46076</v>
      </c>
      <c r="I45" t="inlineStr">
        <is>
          <t>**Who We Are**
JIG\-SAW operates 24/7 Operations Centers in Japan and Canada that proactively monitor systems, issue alerts, and deliver live incident response—keeping web services and IoT environments secure and running smoothly.
* **Corporate site:** https://jig\-saw.com/en/
* **NEQTO.ai:** https://neqto.ai/
**About the Role**
We are looking for a dual\-threat **AI and Data Engineer** to build a game\-changing, AI\-driven IoT platform. You won’t just be building chatbots; you will be building the "nervous system" of industrial environments.
The core of this role is turning raw, often messy device signals into actionable intelligence. You will own the end\-to\-end pipeline: from integrating industrial protocols and normalizing high\-velocity data streams to deploying RAG\-based insights and predictive ML models. If you enjoy the challenge of making intelligence observable, reliable, and scalable across factories, buildings, and logistics hubs, this role is for you.
**Key Responsibilities**
* **Data Pipeline Architecture:** Design and implement robust data ingestion and processing pipelines that receive, normalize, and transform raw data from diverse IoT sources into structured formats for AI consumption.
* **Protocol Integration:** Implement and manage connectivity for industrial and wireless protocols including **Modbus, BACnet, LoRaWAN, and MQTT**.
* **AI/ML Development:** Ship insight features combining **LLM/RAG** with classical ML for anomaly detection, forecasting, and predictive maintenance.
* **Data Engineering at Scale:** Handle "big data" challenges—managing time\-series datasets, stream processing, and ensuring data integrity for downstream models.
* **Retrieval \&amp; Orchestration:** Implement robust retrieval pipelines (chunking, embeddings, reranking) and agentic workflows to turn business questions into measurable outcomes.
* **Production Excellence:** Own the loop end\-to\-end—training, deploying, and monitoring models in production with clear KPIs and guardrails.
**Required Skills \&amp; Qualifications**
* **Data Engineering \&amp; Processing:** Expert\-level experience in ETL/ELT, data normalization, and processing high\-throughput streaming data.
* **LLMs \&amp; RAG:** Deep understanding of LangChain/LlamaIndex, agent frameworks, and tool orchestration for generating insights beyond simple text generation.
* **ML/DL Frameworks:** Proven experience using **TensorFlow**, PyTorch, or Scikit\-learn for time\-series forecasting and anomaly detection.
* **Cloud \&amp; Vector Infra:** Proficiency in GCP/AWS/Azure and vector databases (e.g., pgvector, Pinecone, Milvus, or Weaviate).
* **Education:** Bachelor’s degree or higher in Computer Science or a closely related technical field.
**Experience Guidelines**
* **5\+ years** of professional **Data Engineering/ML** experience: building and operating production\-grade platforms (ingestion, training, deployment, and monitoring).
* **5\+ years** of **Industrial IoT (IIoT)** domain experience: working with smart factories, logistics, energy management, or smart buildings.
* **3\+ years** delivering **GenAI (LLM/RAG)** features for real\-world users (beyond hobbyist projects).
**Nice\-to\-Have**
* **MLOps:** Experience with MLflow, W\&amp;B, or SageMaker for experiment tracking and model versioning.
* **Industrial Connectivity:** Hands\-on experience integrating with **Modbus (TCP/RTU), BACnet, LoRaWAN,** and MQTT.
* **Advanced Analytics:** Experience with Temporal Fusion Transformers (TFT), Prophet, or state\-space models for time\-series at scale.
* **Security:** Knowledge of PII handling, RBAC, and secure device onboarding.
**Compensation \&amp; Benefits**
* **Remote Work:** Fully remote position.
* **Health \&amp; Wellness:** Comprehensive Health, Dental, and Vision insurance.
* **Time Off:** Competitive PTO (Vacation, Sick Leave, and Company Holidays).
* **Salary:** Competitive market\-based salary dependent on location and experience.
**Portfolio Required:** Please include links to your GitHub/GitLab, product sites, or technical case studies. Applications without a portfolio will not be considered.
Job Type: Full\-time
Pay: $100,000\.00 \- $150,000\.00 per year
Benefits:
* Dental insurance
* Health insurance
* Paid time off
* Vision insurance
Application Question(s):
* \[Required] This is the first\-round screening question \#1\. If this field is left blank, you will not be considered.
The key evaluation criterion is whether you can explain your reasoning logically. We value how you think more than what you already know. If a response is detected to have been generated using ChatGPT or an equivalent tool, it will be automatically rejected.
For the function below, propose technical approaches you would use to implement it. Assume real production use: consider performance, scalability, operating cost, and LLM context\-window limits.
On an IoT data dashboard, display:
1\) Insights through the previous day (e.g., findings, early signs of failure, predictive maintenance).
2\) A list of alerts through the previous day (not simple threshold checks, but early failure signs and predictive maintenance).
* \[Required] This is the first\-round screening question \#2\. If this field is left blank, you will not be considered.
The key evaluation criterion is the same as \#1\.
For the function below, propose technical approaches you would use to implement it. Assume real production use: consider performance, scalability, operating cost, and LLM context\-window limits.
Enable users to obtain on\-demand insights (findings, early signs of failure, predictive maintenance) by asking a chatbot, based on all data collected to date.
* \[Required] This is the first\-round screening question \#3\. If this field is left blank, you will not be considered.
The key evaluation criterion is the same as \#1\.
For the function below, propose technical approaches you would use to implement it. Assume real production use: consider performance, scalability, operating cost, and LLM context\-window limits.
From the data format sent by unknown IoT devices, auto\-register/provision devices.
1\) Automatically detect and register the device with its metadata when multiple sensor values compressed/obfuscated by encoding them as binary/hex.
2\) Automatically detect and register the device with its metadata when multiple sensor values are human\-readable (non\-binary/non\-hex) payloads.
* \[Required] This is the first\-round screening question \#4\. If this field is left blank, you will not be considered.
The key evaluation criterion is the same as \#1\.
From the data format sent by unknown IoT devices, auto\-detect/map sensor attributes.
1\) Automatically detect sensor attributes (e.g., temperature), normalize them, and associate attributes with the database scheme. Assume multiple sensor values compressed/obfuscated by encoding them as binary/hex.
2\) Automatically detect sensor attributes (e.g., temperature), normalize them, and associate attributes with the database scheme. Assume multiple sensor values are human\-readable (non\-binary/non\-hex) payloads.
* \[Required] This is the first\-round screening question \#5\. If this field is left blank, you will not be considered.
The key evaluation criterion is the same as \#1\.
For the function below, propose technical approaches you would use to implement it. Assume real production use: consider performance, scalability, operating cost, and LLM context\-window limits.
Settings recommendations: a feature that recommends configuration settings the user tends to prefer.
* \[Required] Please describe in detail your professional experience using generative AI in Industrial IoT environments such as smart factories, smart buildings, logistics, and energy management. If this field is left blank, you will not be considered.
* \[Required] Please describe in detail your professional experience using machine learning in Industrial IoT environments such as smart factories, smart buildings, logistics, and energy management. If this field is left blank, you will not be considered.
Education:
* Bachelor's (Required)
Experience:
* professional ML (shipped, deployed, monitored): 5 years (Required)
* professional GenAI (LLMs/RAG): 3 years (Required)
* industrial IoT (e.g., smart factories, logistics): 5 years (Required)
Work Location: Remote</t>
        </is>
      </c>
    </row>
    <row r="46">
      <c r="A46" t="inlineStr">
        <is>
          <t>in-ac54eee513deb3c0</t>
        </is>
      </c>
      <c r="B46" t="inlineStr">
        <is>
          <t>Lead Data Engineer</t>
        </is>
      </c>
      <c r="C46" t="inlineStr">
        <is>
          <t>Indeed</t>
        </is>
      </c>
      <c r="D46" t="inlineStr">
        <is>
          <t>indeed</t>
        </is>
      </c>
      <c r="E46">
        <f>HYPERLINK("https://www.indeed.com/viewjob?jk=ac54eee513deb3c0", "https://www.indeed.com/viewjob?jk=ac54eee513deb3c0")</f>
        <v/>
      </c>
      <c r="F46">
        <f>HYPERLINK("https://careers-indeed.icims.com/jobs/46630/job", "https://careers-indeed.icims.com/jobs/46630/job")</f>
        <v/>
      </c>
      <c r="G46" t="inlineStr">
        <is>
          <t>Austin, TX, US</t>
        </is>
      </c>
      <c r="H46" s="2" t="n">
        <v>46076</v>
      </c>
      <c r="I46"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Design and develop big data applications using a variety of different technologies. Develop logical and physical data models for big data platforms. Automate workflows using workflow managers like Airflow and Dagster. Write data pipelines using big data technologies like Hive, Spark, Snowflake, Kafka and other recent big data technologies. Create solutions on AWS using services such as Lambda, API Gateway and Kinesis. Participate in rotational on\-call support. Empower the business to make informed decisions by gathering, analyzing and publishing large amounts of engineering data. Provide ongoing maintenance and enhancements to existing systems. Learn our business domain and technology infrastructure quickly. Document, share knowledge freely and proactively while collaborating with cross\-functional team members.  
Responsibilities  
Minimum Job Requirements:  
Master’s Degree or foreign degree equivalent in Computer Science, Management Information Systems, Business Analytics, Data intelligence or related field.  
Two (2\) years of experience in the job offered or in a Lead Data Engineer\-related occupation.  
Position requires 2 years of experience in the following:  
1\. BigData Technologies like Hadoop, Hive, Spark, SQL, Snowflake, or Databricks platform;  
2\. Build and Orchestrate Big Data Applications and Data Pipelines to process large amounts of data;  
3\. Cloud Computing Platforms like AWS or Azure;  
4\. Object\-Oriented Design and programming languages such as Python; and  
5\. Building logical and physical data models for big data platforms.  
Multiple positions available.  
Salary Range Transparency  
Salary Range: $151,000 to $227,700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12 paid holidays a year and up to 26 weeks of paid parental leave. For more information, select your country and learn more about our employee benefits, program, \&amp; perks at https://www.indeed.com/careers/benefits!  
Equal Opportunities and Accommodations Statement  
Indeed is deeply committed to building a workplace and global community where inclusion is not only valued, but prioritized. We’re proud to be an Equal Employment and Affirmative Action employer seeking to create a welcoming and inclusive environment. All qualified applicants will receive consideration for employment without regard to disability, status as a protected veteran, or any other non\-merit based or legally protected grounds.  
Indeed is dedicated to providing reasonable accommodations to qualified individuals with known disabilities to participate in the employment application process. To learn more about requesting an accommodation, please visit https://www.indeed.com/careers/accommodations. In the request for an accommodation, please inform us of the nature of your request and your contact information. If you are requesting accommodation for an interview, please reach out at least one week in advance of your interview.  
For more information about our commitment to equal opportunity/affirmative action, please visit our ESG home page (https://www.indeed.com/esg?co\=US).  
Inclusion \&amp; Belonging  
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an inclusive environment where every employee feels respected and accepted benefits everyone, fueling innovation and creativity.  
We value diverse experiences, including those who have had prior contact with the criminal legal system. We are committed to providing individuals with criminal records, including formerly incarcerated individuals, a fair chance at employment.  
Indeed’s Employee Recruiting Privacy Policy  
Like other employers Indeed uses our own technologies to help us find and attract top talent from around the world. In addition to our site’s user and privacy policy found at https://www.indeed.com/legal, we also want to make you aware of our recruitment specific privacy policy found at https://www.indeed.com/legal/indeed\-jobs.  
Agency Disclaimer  
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  
Reference ID: 46630  
The deadline to apply to this position is March 31st, 2026\.  
\#IND123  
Reference ID: 46630  
Work Location: Remote</t>
        </is>
      </c>
    </row>
    <row r="47">
      <c r="A47" t="inlineStr">
        <is>
          <t>in-7c8957ed5ec9f9fc</t>
        </is>
      </c>
      <c r="B47" t="inlineStr">
        <is>
          <t>Azure Data Engineer-1</t>
        </is>
      </c>
      <c r="C47" t="inlineStr">
        <is>
          <t>Realign</t>
        </is>
      </c>
      <c r="D47" t="inlineStr">
        <is>
          <t>indeed</t>
        </is>
      </c>
      <c r="E47">
        <f>HYPERLINK("https://www.indeed.com/viewjob?jk=7c8957ed5ec9f9fc", "https://www.indeed.com/viewjob?jk=7c8957ed5ec9f9fc")</f>
        <v/>
      </c>
      <c r="F47">
        <f>HYPERLINK("https://realign-llc.com/careers/job-details/IT900914AZ-1", "https://realign-llc.com/careers/job-details/IT900914AZ-1")</f>
        <v/>
      </c>
      <c r="G47" t="inlineStr">
        <is>
          <t>Bellevue, WA, US</t>
        </is>
      </c>
      <c r="H47" s="2" t="n">
        <v>46076</v>
      </c>
      <c r="I47" t="inlineStr">
        <is>
          <t>Bellevue, Washington 98004 Posted February 24th, 2026
 Looking for more job opportunities? Click here!
Job Type: Contract
Job Category: IT
Job Description
**Role** : Azure Data Engineer  
**Location** : Bellevue, WA  
Contract **Mandatory Skill Sets:*** Strong experience in Data Engineering , Python, Snowflake, SQL, Azure
* Hands\-on expertise with ETL/data pipelines
* Experience with large\-scale data processing frameworks
* Strong SQL and data modelling knowledge
* Experience working in Agile/Scrum delivery models
* Ability to work onsite and collaborate with cross\-functional teams
* Cloud data platforms (AWS/Azure/GCP)
* Performance optimization and data quality management
* Production support and troubleshooting experience
Required Skills
DEVOPS ENGINEER
 SENIOR EMAIL SECURITY ENGINEER</t>
        </is>
      </c>
    </row>
    <row r="48">
      <c r="A48" t="inlineStr">
        <is>
          <t>in-a76ca3611ce39b2e</t>
        </is>
      </c>
      <c r="B48" t="inlineStr">
        <is>
          <t>Analytics Engineer</t>
        </is>
      </c>
      <c r="C48" t="inlineStr">
        <is>
          <t>Liveops</t>
        </is>
      </c>
      <c r="D48" t="inlineStr">
        <is>
          <t>indeed</t>
        </is>
      </c>
      <c r="E48">
        <f>HYPERLINK("https://www.indeed.com/viewjob?jk=a76ca3611ce39b2e", "https://www.indeed.com/viewjob?jk=a76ca3611ce39b2e")</f>
        <v/>
      </c>
      <c r="F48">
        <f>HYPERLINK("https://recruiting2.ultipro.com/LIV1002LOAS/JobBoard/a0bdd51b-bf83-4252-a846-67d0f69aec7a/OpportunityDetail?opportunityId=10e24870-cc6e-4bdf-8012-8c319699b685&amp;postingId=b1142482-434f-4ade-9abb-5174e2bde213", "https://recruiting2.ultipro.com/LIV1002LOAS/JobBoard/a0bdd51b-bf83-4252-a846-67d0f69aec7a/OpportunityDetail?opportunityId=10e24870-cc6e-4bdf-8012-8c319699b685&amp;postingId=b1142482-434f-4ade-9abb-5174e2bde213")</f>
        <v/>
      </c>
      <c r="G48" t="inlineStr">
        <is>
          <t>US</t>
        </is>
      </c>
      <c r="H48" s="2" t="n">
        <v>46076</v>
      </c>
      <c r="I48" t="inlineStr">
        <is>
          <t>Analytics Engineer
Liveops is seeking an experienced Analytics Engineer (AE) to be a key contributor in helping transform our Analytics capabilities across the business. The Analytics Engineer will be responsible for designing, building, and maintaining the analytics layer of our data environment to make data standardized and easily accessible across the organization. AE’s will use a combination of business strategy and technical data knowledge to translate complex information into clear and helpful visual representations known as data models. This person will have a solid understanding of data warehousing and data modeling concepts. The AE will report to the Manager of Business Intelligence which sits under the Finance team
The Purpose of Your Role
The Analytics Engineer at Liveops plays a pivotal role in enhancing the company's analytics capabilities by creating insightful data\-driven solutions. These solutions span to Data Consumers, BI Developers, Data Scientists and Enterprise Architects. Developing data models and optimizing data processes. This position involves close collaboration with stakeholders to meet their data needs, ensuring effective decision\-making and strategic business support through the use of Data Vault Methodology.
The Qualifications We’re Looking For
* Bachelor’s Degree in a quantitative or technical field or equivalent experience.
* 4 to 6 year’s experience in a data centric role using SQL.
* Experience with data design and development data modeling, data warehousing, and building ETL pipelines. (e.g., Snowflake and DBT.)
* Familiarity with BI tools (e.g., Tableau, Power BI)
* Strong business acumen with the ability to think strategically and work independently.
* Knowledge of cloud services (e.g., AWS, Azure, Google Cloud) and their data\-related offerings.
* Experience working in a version control system like Git.
* Excellent analytical and problem\-solving abilities.
* Strong communication and collaboration skills.
* Bonus if you have experience building Apps in StreamLit
The Competencies You Bring
Attention to Detail \* Individual Impact and Influence \* Conceptual Thinking \* Data Gathering \&amp; Analysis \* Dealing with Ambiguity \* Decision Making
The Value You Deliver
* + Play a critical role in the design, development, support, and continuous improvement of the Data Warehouse environment supporting internal and external stakeholders.
	+ Analyze complex data from multiple sources, determining configuration and connection methods for ingestion.
	+ Design Data Models and reports using DBT for external consumption
	+ Develop solutions for the entire organization according to best practices, and industry standards.
	+ Participate in an Agile Project Management style which runs on a 4\-week cadence.
	+ Refine Data Models to improve performance and overall cost
	+ Work collaboratively with and understand the analytical reporting needs of business stakeholders.
	+ Effectively communicate technical subject matter to non\-technical business stakeholders
	+ Work with disparate data sources and systems to facilitate a high\-performance Data Warehouse environment
Essential Job Functions
Essential functions are the fundamental, crucial job duties that an employee must be able to perform, with or without reasonable accommodation.
* Ability to sit or stand at a desk for extended periods of time while working on a computer.
* Available for virtual meetings in a non\-distracted environment.
* Ability to work independently and meet deadlines.
* Design, develop, and maintain the analytics layer of the data environment, ensuring standardized and accessible data across the organization.
* Collaborate with stakeholders to create data models and optimize data processes for effective decision\-making and strategic business support.
* Analyze complex data sets, develop ETL pipelines, and refine data models to improve performance and reduce costs within the Data Warehouse environment.
About Liveops
Liveops is redefining what outsourced customer service means in a modern, always\-on world, built on the belief that genuine connection drives brand loyalty. For over 25 years, we’ve paired cutting\-edge technology with trusted, remote, and empathetic human expertise to deliver agile, high\-touch customer support solutions that scale with precision and care. As pioneers in the flexible workforce model, we bring global reach with unmatched adaptability—helping brands meet customer needs, anywhere, anytime. From complex interactions to seasonal surges, we proudly serve Fortune 500 and enterprise clients—delivering personalized experiences that earn trust and drive lasting impact. It’s not outsourcing; it’s outsmarting. To learn more, visit .
Eligibility Requirements:
Legal authorization to work in the U.S. is required. We will not sponsor individuals for employment visas now or in the future.
Equal Opportunity Employer</t>
        </is>
      </c>
    </row>
    <row r="49">
      <c r="A49" t="inlineStr">
        <is>
          <t>in-e924da7e393b79e1</t>
        </is>
      </c>
      <c r="B49" t="inlineStr">
        <is>
          <t>Gen AI Data Engineer</t>
        </is>
      </c>
      <c r="C49" t="inlineStr">
        <is>
          <t>Divya Stores</t>
        </is>
      </c>
      <c r="D49" t="inlineStr">
        <is>
          <t>indeed</t>
        </is>
      </c>
      <c r="E49">
        <f>HYPERLINK("https://www.indeed.com/viewjob?jk=e924da7e393b79e1", "https://www.indeed.com/viewjob?jk=e924da7e393b79e1")</f>
        <v/>
      </c>
      <c r="F49">
        <f>HYPERLINK("http://www.indeed.com/job/gen-ai-data-engineer-e924da7e393b79e1", "http://www.indeed.com/job/gen-ai-data-engineer-e924da7e393b79e1")</f>
        <v/>
      </c>
      <c r="G49" t="inlineStr">
        <is>
          <t>Hartford, CT, US</t>
        </is>
      </c>
      <c r="H49" s="2" t="n">
        <v>46076</v>
      </c>
      <c r="I49" t="inlineStr">
        <is>
          <t>We are seeking an experienced Data Engineer with expertise in Dataiku to join our data team. As a Data Engineer, you will be responsible for designing, building, and maintaining data pipelines, data integration processes, and data infrastructure. You will collaborate closely with data scientists, analysts, and other stakeholders to ensure efficient data flow and support data\-driven decision making across the organization.
**Requirements:**
· Design and implement robust data pipelines that ingest, process, and store unstructured data formats at scale within **Snowflake and GCP**
· Leverage Snowflake's unstructured data capabilities (Directory Tables, Scoped URLs, Snowpark) to make "dark data" queryable and actionable.
· Build and maintain cloud\-native ETL/ELT processes using Big Query, Cloud Storage, and Dataflow, ensuring seamless integration between GCP and Snowflake.
· Instead of just using LLMs, you will integrate AI tools (OCR, NLP entities, Document AI) into the engineering flow to transform unstructured blobs into structured insights.
· Tune complex SQL queries and Python\-based processing jobs to handle petabyte\-scale environments efficiently.
Job Type: Contract
Pay: Up to $60\.00 per hour
Expected hours: 40 per week
Work Location: In person</t>
        </is>
      </c>
    </row>
    <row r="50">
      <c r="A50" t="inlineStr">
        <is>
          <t>in-8be7cf15647282ff</t>
        </is>
      </c>
      <c r="B50" t="inlineStr">
        <is>
          <t>Data Engineer (TS/SCI with Full Scope Polygraph) {S}</t>
        </is>
      </c>
      <c r="C50" t="inlineStr">
        <is>
          <t>ARKA Group</t>
        </is>
      </c>
      <c r="D50" t="inlineStr">
        <is>
          <t>indeed</t>
        </is>
      </c>
      <c r="E50">
        <f>HYPERLINK("https://www.indeed.com/viewjob?jk=8be7cf15647282ff", "https://www.indeed.com/viewjob?jk=8be7cf15647282ff")</f>
        <v/>
      </c>
      <c r="F50">
        <f>HYPERLINK("https://recruiting.ultipro.com/DAN1006DMT/JobBoard/aab9b8ae-463c-48fc-8362-a25df8be0c77/OpportunityDetail?opportunityId=361608ff-1bda-49b7-a0fe-bb34f67379c4&amp;postingId=3c0d0aa3-b32a-4871-ab4e-416ce780219f", "https://recruiting.ultipro.com/DAN1006DMT/JobBoard/aab9b8ae-463c-48fc-8362-a25df8be0c77/OpportunityDetail?opportunityId=361608ff-1bda-49b7-a0fe-bb34f67379c4&amp;postingId=3c0d0aa3-b32a-4871-ab4e-416ce780219f")</f>
        <v/>
      </c>
      <c r="G50" t="inlineStr">
        <is>
          <t>King of Prussia, PA, US</t>
        </is>
      </c>
      <c r="H50" s="2" t="n">
        <v>46076</v>
      </c>
      <c r="I50"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We are looking for a **Data Engineer/Scientist** looking for new challenging problems. You will support the development of AI/ML algorithms in a multitude of disciplines from large language models, natural language processing, and time\-series predictive analytics. Additionally, we have a team of excellent researchers and software developers who are eager to mentor and teach their craft.
In support of work/life balance, many positions are available for a flexible schedule within the pay period. Ask us about the opportunity for flex scheduling if that’s of interest to you.
We offer generous relocation benefits for eligible candidates.
**Responsibilities:**
* Assembles large, complex sets of data to support AI/ML algorithm implementation
* Identifies, designs, and implements internal process improvements including re\-designing infrastructure for greater scalability, optimizing data delivery, and automating manual processes
* Builds required infrastructure for optimal extraction, transformation and loading of data from various data sources
* Curate and maintain data that is stored in support of metrics and evaluation
* Design, build, test, maintain, and automate data collection/pipelines
* Develop Dashboards for Data Analytics.
* Implement Artificial Intelligence/Machine Learning algorithms
* Using Agile methodologies to develop software
**Required Qualifications:**
* B.S. in data science, AI/ML, computer science, or related field, or equivalent work experience
* Minimum 2 years of relevant experience as a Data Engineer/Scientist
* Experience developing data pipelines and normalizing data with canonical Python packages (e.g. NumPy, Pandas, Polars)
* Active TS/SCI U.S. Government Security Clearance
* Willingness to obtain a Counter Intelligence (CI) or Full\-Scope Polygraph (FSP)
**Preferred Qualifications:**
* M.S. or PhD in data science, AI/ML, computer science, or related field
* Experience with Gitlab, DevSecOps utilizing test\-driven development, containers, (e.g. Docker, Docker Compose), cloud services (e.g. AWS), tools for distributed computing (e.g. Spark, Pyspark)
* Active TS/SCI with a recent Counter Intelligence (CI) or Full\-Scope Polygraph (FSP)
**Location: King of Prussia, PA**
Situated less than an hour outside of Philadelphia and hosting the largest mall on the east coast, King of Prussia offers the urban feel sought in the city, while also giving opportunities to experience the beauty and history found only in Pennsylvania.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This position also requires willingness to obtain a Counter Intelligence (CI) or Full\-Scope Polygraph (FSP).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51">
      <c r="A51" t="inlineStr">
        <is>
          <t>in-a5a02eaf614fc68c</t>
        </is>
      </c>
      <c r="B51" t="inlineStr">
        <is>
          <t>Principal Data Engineer</t>
        </is>
      </c>
      <c r="C51" t="inlineStr">
        <is>
          <t>Quality Theorem</t>
        </is>
      </c>
      <c r="D51" t="inlineStr">
        <is>
          <t>indeed</t>
        </is>
      </c>
      <c r="E51">
        <f>HYPERLINK("https://www.indeed.com/viewjob?jk=a5a02eaf614fc68c", "https://www.indeed.com/viewjob?jk=a5a02eaf614fc68c")</f>
        <v/>
      </c>
      <c r="F51">
        <f>HYPERLINK("http://www.indeed.com/job/principal-data-engineer-a5a02eaf614fc68c", "http://www.indeed.com/job/principal-data-engineer-a5a02eaf614fc68c")</f>
        <v/>
      </c>
      <c r="G51" t="inlineStr">
        <is>
          <t>Redmond, WA, US</t>
        </is>
      </c>
      <c r="H51" s="2" t="n">
        <v>46076</v>
      </c>
      <c r="I51" t="inlineStr">
        <is>
          <t>**Overview**  
We are seeking an experienced Principal Data Engineer to lead our data architecture and engineering initiatives. The ideal candidate will possess a strong background in big data technologies, cloud platforms, and database design, with a proven ability to develop scalable data solutions. This role offers an exciting opportunity to work on complex data projects, optimise data workflows, and contribute to strategic decision\-making processes within a dynamic organisation.
**Responsibilities**
* Design, develop, and maintain robust data pipelines and architectures using tools such as Hadoop, Spark, Apache Hive, and Informatica.
* Lead the implementation of data warehousing solutions leveraging AWS cloud services and on\-premise databases like Oracle and Microsoft SQL Server.
* Collaborate with cross\-functional teams to understand data requirements and translate them into efficient technical solutions.
* Develop and optimise SQL queries, database schemas, and ETL processes to ensure high performance and data integrity.
* Implement best practices for database design, security, and compliance across diverse platforms.
* Create automation scripts using Bash (Unix shell), Shell Scripting, VBA, and Python to streamline data workflows.
* Analyse large datasets to derive insights that support business strategies and operational improvements.
* Mentor junior team members in advanced data engineering techniques and tools.
**Requirements**
* Extensive experience with AWS cloud services related to data storage and processing.
* Strong proficiency in Java, Python, SQL (including Oracle and Microsoft SQL Server), VBA, Bash (Unix shell), and Shell Scripting.
* Deep understanding of big data ecosystems such as Hadoop, Spark, Apache Hive, and related technologies.
* Proven expertise in database design principles for relational databases and data warehouses.
* Solid knowledge of ETL tools like Informatica and experience with analysing large\-scale datasets.
* Excellent analysis skills with the ability to interpret complex data sets accurately.
* Prior experience leading large\-scale data engineering projects in a fast\-paced environment.
* Strong organisational skills with the ability to manage multiple priorities effectively. This role is ideal for a highly skilled Data Engineer looking to take on a leadership position within a forward\-thinking organisation committed to innovation through data\-driven insights.
Job Type: Full\-time
Pay: $134,342\.05 \- $180,788\.27 per year
Benefits:
* 401(k)
* Health insurance
* Paid time off
Work Location: Hybrid remote in Redmond, WA 98052</t>
        </is>
      </c>
    </row>
    <row r="52">
      <c r="A52" t="inlineStr">
        <is>
          <t>in-62d9178b6e08d867</t>
        </is>
      </c>
      <c r="B52" t="inlineStr">
        <is>
          <t>Data Engineer</t>
        </is>
      </c>
      <c r="C52" t="inlineStr">
        <is>
          <t>Southwest Airlines</t>
        </is>
      </c>
      <c r="D52" t="inlineStr">
        <is>
          <t>indeed</t>
        </is>
      </c>
      <c r="E52">
        <f>HYPERLINK("https://www.indeed.com/viewjob?jk=62d9178b6e08d867", "https://www.indeed.com/viewjob?jk=62d9178b6e08d867")</f>
        <v/>
      </c>
      <c r="F52">
        <f>HYPERLINK("https://careers.southwestair.com/us/en/job/SOUTUSR202664160ENUSEXTERNAL/Data-Engineer?utm_source=indeed&amp;utm_medium=phenom-feeds", "https://careers.southwestair.com/us/en/job/SOUTUSR202664160ENUSEXTERNAL/Data-Engineer?utm_source=indeed&amp;utm_medium=phenom-feeds")</f>
        <v/>
      </c>
      <c r="G52" t="inlineStr">
        <is>
          <t>Dallas, TX, US</t>
        </is>
      </c>
      <c r="H52" s="2" t="n">
        <v>46075</v>
      </c>
      <c r="I52" t="inlineStr">
        <is>
          <t>**Department:** Technology
Our Company Promise
We are committed to provide our Employees a stable work environment with equal opportunity for learning and personal growth. Creativity and innovation are encouraged for improving the effectiveness of Southwest Airlines. Above all, Employees will be provided the same concern, respect, and caring attitude within the organization that they are expected to share externally with every Southwest Customer.
**Job Description:**  
As a Data Engineer on the AIDT Delivery \&amp; Operations Team, you’ll operate in a hybrid role that blends hands‑on data engineering with impactful business and data analytics. Working with limited supervision, you’ll design, build, and manage scalable data pipelines—including streaming data and API integrations—while delivering analysis that drives meaningful decision‑making. You’ll provide end‑to‑end design guidance for analytic solutions, deploy pipelines into higher environments, and integrate with SQL‑based systems to ensure reliable, production‑ready data products. Partnering with focused groups across Southwest, you’ll help create unique data infrastructure, run tests to isolate issues, and refine systems to adapt to evolving business needs. By combining technical execution with analytical curiosity, you’ll support high‑quality data solutions that power critical operational and enterprise outcomes.
Additional details
This role is offered as a remote workplace position, which may require travel for training, meetings, conferences, etc. Outside of those required visits, the majority of your working time may be spent in a remote location, away from our Corporate Campus. Please note, while this is a remote position, there is a limited group of states or localities ineligible for Employees to regularly perform their work. Those ineligible locations are: Alaska, California, Colorado, Delaware, Illinois, Iowa, Maryland, Massachusetts, Montana, New Hampshire, New Jersey, New York, North Dakota, Oregon, Pennsylvania, South Dakota, Vermont, West Virginia, Washington, Wyoming, and Puerto Rico.
U.S. citizenship or current authorization to work in the U.S. required and no current or future work authorization sponsorship available.
We’re committed to fair hiring practices and to making employment decisions without regard to race, color, religion, sex, sexual orientation, gender identity, gender expression, national origin, age, military or veteran status, disability, genetic information, or other legally protected characteristics.
Responsibilities
Assemble large, complex sets of data that meet non\-functional and functional business requirements
Identify, design and implement internal process improvements including re\-designing infrastructure for greater scalability, optimizing data delivery, and automating manual processes
Build required infrastructure for optimal extraction, transformation and loading of data from various data sources using AWS and SQL technologies
Build analytical tools to utilize the data pipeline, providing actionable insight into key business performance metrics including operational efficiency and customer acquisition
Work with stakeholders including data, design, product and executive teams and assisting them with data\-related technical issues
Work with stakeholders including the Executive, Product, Data and Design teams to support their data infrastructure needs while assisting with data\-related technical issues
Generate or adapt equipment and technology to serve user needs
May perform other job duties as directed by Employee's Leaders
Knowledge, Skills and Abilities
Knowledge of the practical application of engineering science and technology, including applying principles, techniques, procedures, and equipment to the design and production of various goods and services
Knowledge of design techniques, tools, and principles involved in production of precision technical plans, blueprints, drawings, and models
Ability to use logic and reasoning to identify the strengths and weaknesses of alternative solutions, conclusions or approaches to problems
Ability to understand new information for both current and future problem\-solving and decision\-making
Skilled in identifying complex problems and reviewing related information to develop and evaluate options and implement solutions
Ability to tell when something is wrong or is likely to go wrong. It does not involve solving the problem, only recognizing there is a problem
Ability to combine pieces of information to form general rules or conclusions (includes finding a relationship among seemingly unrelated events)
Ability to shift back and forth between two or more activities or sources of information (such as speech, sounds, touch, or other sources)
Ability to arrange things or actions in a certain order or pattern according to a specific rule or set of rules (e.g., patterns of numbers, letters, words, pictures, mathematical operations)
Ability to identify or detect a known pattern (a figure, object, word, or sound) that is hidden in other distracting material Education
**Required:** High School Diploma or GED
**Required:** Bachelor's degree in Computer Science, Engineering, Information systems or similar fields of study or equivalent advanced level experience
Experience
**Required:** Intermediate level experience, fully functioning broad knowledge in:
Cloud infrastructure, DataLake
ETL experience ensuring source to target data integrity
Various filetypes (Delimited Text, Fixed Width, XML, JSON, Parque).
ServiceBus, setting up ingress and egress within a subscription, or relevant AWS Cloud services administrative experience.
Unit Testing, Code Quality tools, CI/CD Technologies, Security and Container Technologies
Agile development experience and Agile ceremonies and practices
**Preferred:** Proficiency in Python (including PySpark) and SQL
**Preferred:** Experience using cloud computing tools, particularly AWS Lambda, AWS Glue, and EMR (or equivalent cloud data‑processing services)
**Preferred:** Experience ingesting real‑time streaming data using tools such as Confluent Kafka
**Preferred:** Experience orchestrating ETL workflows using AWS Step Functions or EventBridge
**Preferred:** Familiarity with Data Warehousing methodologies and Relational Databases
**Preferred:** Experience developing robust data pipelines with error handling, monitoring, and quality checks
**Preferred:** Strong knowledge of modern data formats such as Parquet
**Preferred:** Ability to perform Exploratory Data Analysis (EDA) to assess data quality, identify patterns, and generate actionable insights
Licensing/Certification
N/A
Physical Abilities
Ability to perform work duties from \[limited space work station/desk/office area] for extended periods of time
Ability to communicate and interact with others in the English language to meet the demands of the job
Ability to use a computer and other office productivity tools with sufficient speed and accuracy to meet the demands of the job
Other Qualifications
Must maintain a well\-groomed appearance per Company appearance standards as described in established guidelines
Must be a U.S. citizen or have authorization to work in the United States as defined by the Immigration Reform Act of 1986
Must be at least 18 years of age
Must be able to comply with Company attendance standards as described in established guidelines
Must be able to travel and /or attend Company and non\-Company facilities and remote locations such as remote\-based offices as necessary
Pay \&amp; Benefits
Competitive market salary from $114,200 \- 126,900 per year\* depending on qualifications and experience. For eligible Leadership and individual contributor roles, additional bonus opportunities are available and awarded at the discretion of the company.
Benefits you’ll love
Fly for free, as a privilege, on any open seat on all Southwest flights (your eligible dependents too)
Southwest will help fund your 401(k) retirement savings with Company contributions up to 9\.3% of your eligible earnings\*\*
Potential for annual ProfitSharing contribution in the Southwest Retirement Savings Plan\- when Southwest profits, you profit\*\*\*
Competitive health insurance for you and your eligible dependents (including pets)
Southwest offers health plan coverage options that start from the very first day of employment. You will have 30 days to select and enroll in your health plan with coverage retroactively available to your first day of employment.
**Explore more Benefits you’ll love:** careers.southwestair.com/benefits
* Pay amount does not guarantee employment for any particular period of time.
Southwest Airlines is an Equal Opportunity Employer.
Please print/save this job description because it won't be available after you apply.
Job Posting End Date
03/29/2026</t>
        </is>
      </c>
    </row>
    <row r="53">
      <c r="A53" t="inlineStr">
        <is>
          <t>in-81e10507da406106</t>
        </is>
      </c>
      <c r="B53" t="inlineStr">
        <is>
          <t>IT Data Engineer</t>
        </is>
      </c>
      <c r="C53" t="inlineStr">
        <is>
          <t>JE Dunn Construction</t>
        </is>
      </c>
      <c r="D53" t="inlineStr">
        <is>
          <t>indeed</t>
        </is>
      </c>
      <c r="E53">
        <f>HYPERLINK("https://www.indeed.com/viewjob?jk=81e10507da406106", "https://www.indeed.com/viewjob?jk=81e10507da406106")</f>
        <v/>
      </c>
      <c r="F53">
        <f>HYPERLINK("https://jobs.jedunn.com/job/Kansas-City-IT-Data-Engineer-MO-64106/1367233600/", "https://jobs.jedunn.com/job/Kansas-City-IT-Data-Engineer-MO-64106/1367233600/")</f>
        <v/>
      </c>
      <c r="G53" t="inlineStr">
        <is>
          <t>Kansas City, MO, US</t>
        </is>
      </c>
      <c r="H53" s="2" t="n">
        <v>46075</v>
      </c>
      <c r="I53" t="inlineStr">
        <is>
          <t>Location:
Kansas City, MO, US, 64106  
**Best People \+ Right Culture. These are the driving forces behind JE Dunn’s success.**
**By hiring inspired people, giving them interesting and challenging work, enabling them with innovative tools, and letting them share in the company’s rewards, we’ve found a sustainable way to grow in our industry for the last 100\+ years.**
**Our diverse teams around the country strive to enrich lives through inspired people and places everyday, and we need inspired people like you to join us in our pursuit of building perfection.**
**Role Summary**
----------------
Need
**Key Role Responsibilities \- Core**
-------------------------------------
Need
**Key Role Responsibilities \- Additional Core**
------------------------------------------------
N/A
**Knowledge, Skills \&amp; Abilities**
----------------------------------
Need
**Education**
-------------
* Bachelor’s degree in computer science, data engineering, data science or related field (Required)
* In lieu of the above requirements, equivalent relevant experience will be considered.
**Experience**
--------------
* 2\+ years data engineering experinece (Preferred)
**Working Environment**
-----------------------
* Must be able to lift up to 10 pounds
* May require periods of travel
* Normal office environment
* Frequent activity: Sitting, Viewing Computer Screen
* Occasional activity: Standing, Walking, Bending, Reaching above Shoulder
**Benefits Information**
------------------------
The benefits package aligned to this position is Professional Non\-Union. Please click the link below for more details.
Click here for benefits details
This role is expected to accept applications for at least three business days and may continue to be posted until a qualified applicant is selected or the position has been cancelled.
*JE Dunn Construction is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JE Dunn Construction is a background screening, drug\-free workplace.*
***JE Dunn provides reasonable accommodations to qualified individuals with disabilities. If you would like to request a reasonable accommodation in order to apply for a job, please submit your request to*** ***accommodations@jedunn.com***
*JE Dunn Construction Company does not accept unsolicited resumes from search firms or agencies. Any resume submitted to any employee of JE Dunn Construction without a prior written search agreement will be considered unsolicited and the property of JE Dunn Construction Company. Please, no phone calls or emails.*</t>
        </is>
      </c>
    </row>
    <row r="54">
      <c r="A54" t="inlineStr">
        <is>
          <t>in-a35edeef37b81089</t>
        </is>
      </c>
      <c r="B54" t="inlineStr">
        <is>
          <t>IT Data Engineering Scientist</t>
        </is>
      </c>
      <c r="C54" t="inlineStr">
        <is>
          <t>Qualcomm</t>
        </is>
      </c>
      <c r="D54" t="inlineStr">
        <is>
          <t>indeed</t>
        </is>
      </c>
      <c r="E54">
        <f>HYPERLINK("https://www.indeed.com/viewjob?jk=a35edeef37b81089", "https://www.indeed.com/viewjob?jk=a35edeef37b81089")</f>
        <v/>
      </c>
      <c r="F54">
        <f>HYPERLINK("https://careers.qualcomm.com/careers/job/446717029445", "https://careers.qualcomm.com/careers/job/446717029445")</f>
        <v/>
      </c>
      <c r="G54" t="inlineStr">
        <is>
          <t>San Diego, CA, US</t>
        </is>
      </c>
      <c r="H54" s="2" t="n">
        <v>46075</v>
      </c>
      <c r="I54" t="inlineStr">
        <is>
          <t>**Company:**
------------
Qualcomm Incorporated
**Job Area:**
-------------
Information Technology Group, Information Technology Group \&gt; Data Science
**General Summary:**
This individual possesses the solid engineering fundamentals and understanding with some supervision in the design, development and program of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Gathers data from various internal and external sources, clean and amalgamate that data, and use their programming, math, statistical, and analytical skills to interpret it. Extracts data from multiple sources, using machine learning tools to organize data, process, clean, and validate the data, analyze the data for information and patterns, develop prediction systems, present the data clearly, and propose solutions and strategies. Responsible for leveraging data innovation and domain knowledge to identify business problems and solve them using advanced mathematics and programming. Develops predictive models for business problems and all associated activities such as data study, exploratory data analysis, and model production readiness. Collaborates with Data Engineers and Data Analysts to design robust models for the business. Participates at design reviews and project meetings.
Will accept a Bachelor's Degree (or foreign academic equivalent) in Electrical Engineering, Computer Engineering, Computer Science or related degree field.
Compensation: $46\.30 \- $69\.46/hour
**Applicants** :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If you would like more information about this role, please contact Qualcomm Careers .</t>
        </is>
      </c>
    </row>
    <row r="55">
      <c r="A55" t="inlineStr">
        <is>
          <t>in-78ea236ffc20e955</t>
        </is>
      </c>
      <c r="B55" t="inlineStr">
        <is>
          <t>Analytics Engineer</t>
        </is>
      </c>
      <c r="C55" t="inlineStr">
        <is>
          <t>Minute Media</t>
        </is>
      </c>
      <c r="D55" t="inlineStr">
        <is>
          <t>indeed</t>
        </is>
      </c>
      <c r="E55">
        <f>HYPERLINK("https://www.indeed.com/viewjob?jk=78ea236ffc20e955", "https://www.indeed.com/viewjob?jk=78ea236ffc20e955")</f>
        <v/>
      </c>
      <c r="F55">
        <f>HYPERLINK("https://www.comeet.com/jobs/minutemedia/45.00A/analytics-engineer/F9.66D?coref=1.11.p80_E91F", "https://www.comeet.com/jobs/minutemedia/45.00A/analytics-engineer/F9.66D?coref=1.11.p80_E91F")</f>
        <v/>
      </c>
      <c r="G55" t="inlineStr">
        <is>
          <t>Remote, US</t>
        </is>
      </c>
      <c r="H55" s="2" t="n">
        <v>46075</v>
      </c>
      <c r="I55" t="inlineStr">
        <is>
          <t>Minute Media is a global technology and content company built for the future of sports consumption. Minute Media's proprietary technology platform enables the creation, distribution and monetization of digital content experiences, which powers Minute Media's portfolio of trusted content brands, including Sports Illustrated, The Players' Tribune, and FanSided as well as hundreds of sports leagues, teams, broadcasters, third\-party publishers and advertisers. The technology platform includes, (i) STN Video, an online video platform (OVP), which provides access to a robust sports highlights rights portfolio, and (ii) Magnifi, an AI\-driven SaaS platform, that enables rights holders to detect key moments and create highlights in real time. Minute Media is building the future of how the world connects with sport, powered by innovation, shared globally, and trusted by millions of fans and the partners we serve. Minute Media has offices in the US, UK, Israel, Brazil, Asia and India. *For more information, visit* *www.minutemedia.com**.*
We are seeking an analytical and tech\-savvy Analytics Engineer/ BI Developer to join our team, focusing on our B2B products and content cost analytics. You will bridge the gap between data and business for our publisher\-facing solutions. In this role, you’ll develop Business Intelligence solutions and insights that drive informed decisions for both Minute Media and our content partners. This includes building dashboards to track B2B product performance and analyzing content costs to help optimize our partnerships. If you enjoy turning data into actionable business intelligence and thrive in a fast\-paced media environment, we’d love to meet you.
 **What You'll Do**
**﻿**
**Content Cost Analytics \&amp; Reporting**
* Analyze and report on content costs (licensing, contributors) to assess impact on revenue, margins, and content ROI, and integrate these metrics into centralized data models and the Single Source of Truth in partnership with Data Engineering.
* Automate monthly and quarterly content cost reporting by replacing manual spreadsheets with dynamic Looker dashboards, providing Finance and Partnerships teams with real\-time visibility into spend vs. returns.
**BI Development for Partner Solutions**
* Design and build scalable data sources, models, and feeds to support B2B analytics, including partner\-facing reporting in Voltax for content performance and earnings.
* Develop and maintain intuitive Looker dashboards tracking key B2B KPIs (e.g., video usage, syndication metrics, revenue share), ensuring data accuracy, consistency, and stakeholder trust.
**Insights \&amp; Collaboration**
* Collaborate cross\-functionally with Product, Finance, and Partnerships to translate business questions into data analysis and actionable insights.
* Identify trends and optimization opportunities in partner usage and content costs, clearly communicating findings internally and occasionally supporting external partner reporting, enablement, and training.
* Proactively improve analytics offerings by staying current on BI and digital media trends and recommending new metrics or visualizations.
Requirements:  
**What You Have**
* 3\+ years of experience in data analytics, business intelligence, or a related role, ideally in tech, media, or digital content environments.
* Strong SQL skills with experience writing complex queries and transforming data in cloud data warehouses (e.g., BigQuery, Athena), along with a solid understanding of data modeling and ETL processes (e.g., Rivery or similar tools).
* Proven experience building dashboards and reports in BI tools, with Looker strongly preferred (or Tableau/Power BI with ability to ramp quickly).
* Strong analytical mindset with excellent attention to detail, able to ensure data integrity, uncover insights, and balance hands\-on technical work with high\-level analysis and interpretation.
* Strong communication and presentation skills, capable of translating complex data findings into clear, business\-friendly language and visuals.
* Self\-motivated and curious, with a strong interest in understanding how products work and how data can drive improvement.
* BA/BSc or Master’s degree in Data Science, Analytics, Computer Science, or a related field (or equivalent practical experience in a data\-focused role).
 **﻿Bonus If You Have**
* Familiarity with the digital media landscape and content economics, including content licensing models and performance metrics.
* Experience working on analytics for B2B or SaaS products, particularly involving data sharing with external partners or clients.
* Knowledge of Voltax or similar online video platforms or content management systems from a data perspective.
* Exposure to financial or accounting concepts to support cost, revenue, and profitability analysis.
* Experience with collaborative analytics and documentation tools (e.g., Cursor, data dictionaries, partner guides).
* Basic scripting or programming skills (Python, R) for advanced data manipulation or extending BI capabilities.
The expected salary range for this position is between $85,000 \- $95,000 annually. Actual pay will be determined based on skills, experience, and location. The benefits available for this position include a flexible vacation policy, 15 paid holidays, paid parental leave, health insurance, 401(k) retirement plan.
Not sure that you're 100% qualified but are up for the challenge? We want you to apply!
Minute Media is committed to creating a diverse and inclusive work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Minute Media participates in E\-Verify.
Check the URL and email address of any correspondence with Minute Media. If it is not from **@**minutemedia.com, treat it as fraudulent. To learn how to protect yourself from recruitment fraud click here.
Brand:
Minute Media</t>
        </is>
      </c>
    </row>
    <row r="56">
      <c r="A56" t="inlineStr">
        <is>
          <t>in-8846476009645b30</t>
        </is>
      </c>
      <c r="B56" t="inlineStr">
        <is>
          <t>Enterprise Data Engineering Manager - FVP</t>
        </is>
      </c>
      <c r="C56" t="inlineStr">
        <is>
          <t>Axos Bank</t>
        </is>
      </c>
      <c r="D56" t="inlineStr">
        <is>
          <t>indeed</t>
        </is>
      </c>
      <c r="E56">
        <f>HYPERLINK("https://www.indeed.com/viewjob?jk=8846476009645b30", "https://www.indeed.com/viewjob?jk=8846476009645b30")</f>
        <v/>
      </c>
      <c r="F56">
        <f>HYPERLINK("https://axos.wd5.myworkdayjobs.com/en-US/Axos/job/HQ---San-Diego-CA/Enterprise-Data-Engineering-Manager---FVP_JR4267", "https://axos.wd5.myworkdayjobs.com/en-US/Axos/job/HQ---San-Diego-CA/Enterprise-Data-Engineering-Manager---FVP_JR4267")</f>
        <v/>
      </c>
      <c r="G56" t="inlineStr">
        <is>
          <t>San Diego, CA, US</t>
        </is>
      </c>
      <c r="H56" s="2" t="n">
        <v>46075</v>
      </c>
      <c r="I56" t="inlineStr">
        <is>
          <t>Axos Bank
Target Range:
$145,000\.00 /Yr. \- $180,000\.00 /Yr.
Actual starting pay will vary based on factors including, but not limited to, geographic location, experience, skills, specialty, and education.
Eligible for an Annual Discretionary Cash Bonus Target:
Eligible for an Annual Discretionary Restricted Stock Units Bonus Target:*These discretionary target bonuses may be awarded semi\-annually based upon your achievement of performance goals and targets.*
About This Job
Target Range:  
$145,000\.00 /Yr. \- $180,000\.00 /Yr.  
Actual starting pay will vary based on factors including, but not limited to, geographic location, experience, skills, specialty, and education.  
Eligible for an Annual Discretionary Cash Bonus Target: 10%  
Eligible for an Annual Discretionary Restricted Stock Units Bonus Target: 10%  
The First Vice President of Data Engineering will be responsible for managing various key data implementations across the organization and providing people and technology leadership. The First Vice President will perform data architecture analysis, design, development and testing to deliver data applications, services, interfaces, ETL processes, reporting and other workflow and management initiatives. This role requires a highly motivated individual with strong leadership capability, technical ability, data capability, excellent communication, and collaboration skills including the ability to develop and troubleshoot a diverse range of problems.  
This role will be onsite and available at any of the posted locations to include:  
San Diego, CA  
Irvine, CA  
Los Angeles, CA  
Centennial, CO  
Las Vegas, NV  
Kansas City, MO  
Edison, NJ  
Omaha, NE
Responsibilities:* Head the development and delivery of enterprise scale mission critical data platforms, i.e. Databricks Lakehouse, GCP services, to meet critical business priorities
* Establish the roadmap and vision for enterprise scale data engineering, executes on this roadmap to deliver shared frameworks for the broader enterprise application development teams
* Build technical excellence by defining and implementing robust data engineering standards and quality frameworks that govern data pipeline development, testing, and deployment across the data platform
* Establish, enforce, and champion modern DataOps and CI/CD practices within the team. Lead the automation of deployment, testing, and monitoring to accelerate delivery speed and ensure data quality
* Provides technical leadership and hands\-on guidance to the Data Engineering team to ensure timely and high\-quality project delivery and enhancements Mentor engineers in advanced PySpark, SQL, dbt, Fivetran and cloud\-native development to maximize team output
* Collaborates with multiple teams, understands the overall enterprise Data Architecture, and develops the end\-to\-end solutions for data sourcing, data processing/integration, data provisioning and delivery
* Delivers projects to successful completion as defined by predetermined project success criteria including those established by the business, ensuring that projects are delivered on time and within budget
* Focus on designing and developing highly scalable, efficient, and reliable data infrastructure to scale and compute to meet business objectives
* Lead, coach, and develop team, while creating a vision for team and educating cross\-functional teams on how to leverage data to identify opportunities to increase revenue and performance
* Drives IT solutions to ensure they meet business needs balanced with a pragmatic and integrated approach to the design of technical solutions
* Remains up to date on key technology, business, and industry trends
* Performs other duties and responsibilities as assigned
Requirements:* Bachelor’s degree in computer science, MIS or related degree
* 10\+ years’ experience managing Data Engineering and leading Technology Teams
* 7\+ years’ working with SQL Server and other DB management systems with Cloud and on\-PREM data ecosystems
* 7\+ years’ working with cloud\-native data ecosystems (GCP, Azure, AWS) with deep experience in Cloud Data Warehouses (e.g., BigQuery, Snowflake, Databricks), exposure to various database types (SQL and NoSQL) and on\-prem databases including SQL Server
* Expertise in Databricks and the Spark ecosystem, including designing and optimizing pipelines using PySpark, implementing the moder data architecture and strong hands\-on experience
* Advanced level experience with Python and PySpark (for data processing), advanced SQL, and modern ELT/ETL tools (e.g., Fivetran and dbt).Strong experience with a breadth of Data Integration tools, Databases, Big Data Platforms, Cloud based data platforms and Data Streaming technologies
* Experience leading technical teams (e.g., Data Engineers, Tech Leads), including mentoring, project oversight, and setting technical direction
* Strong experience with breadth of Data Integration tools, Databases, Big Data Platforms, Cloud based data platforms and Data Streaming technologies
* Expertise within Data Architecture and most importantly deep understanding of the overall Data in an enterprise and ability to understand Data in the context of Business goals
* Proficient in building from the ground up a modern next generation Lakehouse platform
* Experience in enterprise implementation, leadership experience, strategic planning, strong business acumen
Preferred:* Financial Services experience
Axos Employee Benefits May Include:* Medical, Dental, Vision, and Life Insurance
* Paid Sick Leave, 3 weeks’ Vacation, and Holidays (about 11 a year)
* HSA or FSA account and other voluntary benefits
* 401(k) Retirement Saving Plan with Employer Match Program and 529 Savings Plan
* Employee Mortgage Loan Program and free access to an Axos Bank Account with Self\-Directed Trading
About Axos
Born digital\-first, Axos delivers financial tools and services that allow individuals, small businesses, and companies to access and manage their money how, when, and where they want. We’re a diverse team of dynamic, insightful, and independent innovators who are excited to provide technology\-driven solutions that offer unbeatable value to our customers.
Axos Financial is our holding company and is publicly traded on the New York Stock Exchange under the symbol "AX" (NYSE: AX).
Learn more about working at Axos
Pre\-Employment Background Check and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t>
        </is>
      </c>
    </row>
    <row r="57">
      <c r="A57" t="inlineStr">
        <is>
          <t>in-7496d31cfec6658e</t>
        </is>
      </c>
      <c r="B57" t="inlineStr">
        <is>
          <t>Data Engineer (Hybrid)</t>
        </is>
      </c>
      <c r="C57" t="inlineStr">
        <is>
          <t>Match Made Tech</t>
        </is>
      </c>
      <c r="D57" t="inlineStr">
        <is>
          <t>indeed</t>
        </is>
      </c>
      <c r="E57">
        <f>HYPERLINK("https://www.indeed.com/viewjob?jk=7496d31cfec6658e", "https://www.indeed.com/viewjob?jk=7496d31cfec6658e")</f>
        <v/>
      </c>
      <c r="F57">
        <f>HYPERLINK("https://recruiterflow.com/MMT/jobs/250?source=indeed&amp;utm_channel=recruiterflow-posting&amp;location=9", "https://recruiterflow.com/MMT/jobs/250?source=indeed&amp;utm_channel=recruiterflow-posting&amp;location=9")</f>
        <v/>
      </c>
      <c r="G57" t="inlineStr">
        <is>
          <t>Irvine, CA, US</t>
        </is>
      </c>
      <c r="H57" s="2" t="n">
        <v>46075</v>
      </c>
      <c r="I57" t="inlineStr">
        <is>
          <t>**Job Title:** Data Engineer
**LOCATION:** Irvine, CA (onsite). Monday through Thursday onsite, Fridays remote.
**COMPENSATION:** $50\-95 an hour. This is a 2\-year contract that will convert to full\-time.
**ABOUT US:** We are on a mission to develop innovative AI solutions that will revolutionize our workforce. As we embark on an exciting new greenfield AI project, our data team is forward\-thinking and data\-driven dedicated to transforming data into actionable insights. We are seeking a skilled Data Engineer to join our team, responsible for leveraging Python, Java, PostgreSQL, Snowflake and AWS to design, develop, and maintain data pipelines and systems that support our analytics and decision\-making processes.
**JOB DESCRIPTION:**
**Position Overview:** As a Data Engineer, you will play a pivotal role in the development and management of our data infrastructure. You will work closely with cross\-functional teams to ensure data availability, reliability, and quality, enabling data\-driven decision\-making across the organization.
**RESPONSIBILITIES:**
**Data Pipeline Development:**
* Design, implement, and maintain data pipelines using Python, PostgreSQL, and AWS technologies.
* Develop efficient and scalable ETL processes to extract, transform, and load data from various sources into our Snowflake data warehouses.
**Database Management:**
* Design and maintain PostgreSQL databases, including schema design, indexing, and performance optimization.
* Monitor database performance, troubleshoot issues, and implement improvements as needed.
* AWS Integration:
* Utilize AWS services, such as AWS Glue, S3, Redshift, and EMR, for data storage, processing, and analytics.
* Collaborate with AWS solutions architects to optimize data\-related AWS infrastructure.
**Data Quality and Governance:**
* Implement data quality checks and validation processes to ensure data accuracy and consistency.
* Enforce data governance policies and security measures to protect sensitive data.
**Documentation and Collaboration:**
* Maintain comprehensive documentation of data pipelines, database schemas, and ETL processes.
* Collaborate with data scientists, analysts, and other stakeholders to understand data requirements and deliver actionable insights.
**Performance Optimization:**
* Continuously monitor and optimize data pipelines and database performance for scalability and efficiency.
**QUALIFICATIONS:**
* Bachelor's or Master's degree in Computer Science, Data Engineering, or a related field.
* Proven experience (3\+ years) as a data engineer with expertise in Python, Java, PostgreSQL, and AWS.
* Strong SQL skills and proficiency in data modeling and database design.
* Hands\-on experience with AWS services, particularly Glue, S3, Redshift, and EMR.
* Knowledge of ETL processes and data integration techniques.
* Excellent problem\-solving skills and attention to detail.
* Effective communication and collaboration skills to work within a team.
* A commitment to staying current with industry trends and best practices in data engineering.
**WHAT MAKES THIS EXCITING:**
* Be part of a dynamic team in a data\-driven organization.
* Technical ownership on greenfield projects
* Contribute to projects that have a meaningful impact on our business and industry.
* Competitive compensation and opportunities for professional growth.
* Work in a collaborative and innovative environment.
If you are a skilled Data Engineer with expertise in Python, Java, PostgreSQL, and AWS and are passionate about turning data into insights, we encourage you to apply. Join us in our mission to harness the power of data!</t>
        </is>
      </c>
    </row>
    <row r="58">
      <c r="A58" t="inlineStr">
        <is>
          <t>in-d3fc7cad7b621a95</t>
        </is>
      </c>
      <c r="B58" t="inlineStr">
        <is>
          <t>Data Engineer</t>
        </is>
      </c>
      <c r="C58" t="inlineStr">
        <is>
          <t>Shamrock Trading Corporation</t>
        </is>
      </c>
      <c r="D58" t="inlineStr">
        <is>
          <t>indeed</t>
        </is>
      </c>
      <c r="E58">
        <f>HYPERLINK("https://www.indeed.com/viewjob?jk=d3fc7cad7b621a95", "https://www.indeed.com/viewjob?jk=d3fc7cad7b621a95")</f>
        <v/>
      </c>
      <c r="F58">
        <f>HYPERLINK("https://jobs.dayforcehcm.com/en-US/shamrocktc/CANDIDATEPORTAL/jobs/1910", "https://jobs.dayforcehcm.com/en-US/shamrocktc/CANDIDATEPORTAL/jobs/1910")</f>
        <v/>
      </c>
      <c r="G58" t="inlineStr">
        <is>
          <t>Overland Park, KS, US</t>
        </is>
      </c>
      <c r="H58" s="2" t="n">
        <v>46075</v>
      </c>
      <c r="I58" t="inlineStr">
        <is>
          <t>About Shamrock Trading Corporation
Shamrock Trading Corporation is a family of brands that has been serving the transportation and logistics industries since 1986\. Shamrock offers factoring solutions, export financing, third\-party logistics, a fuel card program and trucking technology.
Shamrock’s mission since the start has been to create value and success for our customers, our partners and our people. Strong ethics, dedication to our customers and close attention to the marketplace are critical to the success and growth of the Shamrock brands. Shamrock is headquartered in Overland Park, Kansas, with multiple offices throughout the U.S. Overland Park is a great place to live, work and play, being conveniently located within driving distance of everything Kansas City has to offer. Housed within the heart of Overland Park, our offices include 4 gorgeous towers on the East and West sides of Metcalf Ave. With a heavy community presence and a winning culture, Shamrock is a great place to work in Overland Park!
Why You’ll Love Working Here
Our award\-winning culture is a testament to our commitment to growth, recognition and empowerment. From day one, we prioritize employees first, encouraging them to think and act like owners and providing endless opportunities for growth and self\-development, both personally and professionally. Shamrock has been recognized as one of America’s 2025 “Most Loved Workplaces” by Newsweek.
At Shamrock, we hire bright, ambitious people and give them the tools they need for a successful, long\-term career here. Shamrock also offers a premier set of benefits for employees and their families:
* Training and Development: Ongoing training and professional development opportunities
* Medical: Fully paid healthcare, dental and vision premiums for employees and eligible dependents, and gym benefits
* Financial: One\-time sign\-on bonus, generous company 401(k) contributions and employee stock ownership after one year
* Work\-Life Balance: Competitive PTO and work from home opportunities after an introductory period
About the Role
Shamrock Trading Corporation is looking for a Data Engineer who wants to utilize their expertise in modern data platforms, microservices architectures, application programming interfaces, data pipeline development/support and analytical reporting skills by joining our Data Services team. This role is responsible for gathering and analyzing data from several internal and external sources, designing a cloud\-focused data platform for analytics and business intelligence, reliably providing data to our analysts.
This role requires a significant understanding of data engineering and analytical techniques. An ideal candidate will have strong technical capabilities, business acumen, and the ability to work effectively with cross\-functional teams
What You’ll Do
* Develop \&amp; Maintain Scalable Data Pipelines: Build, optimize, and maintain ETL/ELT pipelines using Databricks, Apache Spark, and Delta Lake.
* Optimize Data Processing: Implement performance tuning techniques to improve Spark\-based workloads.
* Cloud Data Engineering: Work with AWS services (S3, ECS, Lambda, Glue, etc.) to design and implement robust data architectures.
* Real\-time \&amp; Streaming Data: Develop streaming solutions using Kafka and Databricks Structured Streaming.
* Data Quality \&amp; Governance: Implement data validation, observability, and governance best practices using Unity Catalog or other tools.
* Cross\-functional Collaboration: Partner with analysts, data scientists, and application engineers to ensure data meets business needs.
* Automation \&amp; CI/CD: Implement infrastructure\-as\-code (IaC) and CI/CD best practices for data pipelines using tools like Terraform, and GitHub Actions.
What You’ll Bring
* Bachelor’s degree in computer science, data science or related technical field, or equivalent practical experience
* 2\-4 years of experience in data engineering, with a focus on cloud\-based platforms.
* Strong hands\-on experience with Databricks (including Spark, Delta Lake, and MLflow).
* Experience building and maintaining AWS based data pipelines: currently utilizing AWS Lambda, Docker / ECS, MSK, Airflow, Databricks, Unity Catalog
* Development experience utilizing one or more of the following:
* Git ecosystem (GitHub, GitLab, etc.)
* Python
* Databricks (PySpark, SQL, Spark Declarative Pipelines/DLT, Databricks Asset Bundles)
* Kafka and the Kafka Connect ecosystem (Schema Registry,Avro, etc.)
* Familiarity with CI/CD for data pipelines and infrastructure as code (GitHub Actions, Terraform)
* Strong SQL skills for data transformation and performance tuning.
* Understanding of data security and governance best practices.
* Enthusiasm for working directly with customer teams (Business units and internal IT)
What Will Set You Apart
* Proven experience with relational and NoSQL databases (e.g. Postgres, Microsoft SQL Server, MongoDB, etc.)
* Familiarity with data lakehouse architectures and optimization strategies.
* Familiarity with API architectures such as FastAPI, AWS API Gateways, and OpenAPI Specifications
* Familiarity with data visualization techniques using tools such as Databricks Dashboards, Grafana, PowerBI, and Excel.
Apply Today!
We’re so excited to connect with you! If you want to work with forward\-thinking people in an award\-winning culture, submit your application today.
\#LI\-MB1 \#LI\-Onsite
Having trouble submitting your application? Contact us at Recruiting@shamrocktradingcorp.com for support.</t>
        </is>
      </c>
    </row>
    <row r="59">
      <c r="A59" t="inlineStr">
        <is>
          <t>in-db68fdb9ef25d1bf</t>
        </is>
      </c>
      <c r="B59" t="inlineStr">
        <is>
          <t>Senior Marketing Analytics Engineer - Paid Media</t>
        </is>
      </c>
      <c r="C59" t="inlineStr">
        <is>
          <t>Generac Power Systems</t>
        </is>
      </c>
      <c r="D59" t="inlineStr">
        <is>
          <t>indeed</t>
        </is>
      </c>
      <c r="E59">
        <f>HYPERLINK("https://www.indeed.com/viewjob?jk=db68fdb9ef25d1bf", "https://www.indeed.com/viewjob?jk=db68fdb9ef25d1bf")</f>
        <v/>
      </c>
      <c r="F59">
        <f>HYPERLINK("https://generac.wd5.myworkdayjobs.com/en-US/External/job/Pewaukee-WI---USA/Senior-Marketing-Analytics-Engineer---Paid-Media_JR12630", "https://generac.wd5.myworkdayjobs.com/en-US/External/job/Pewaukee-WI---USA/Senior-Marketing-Analytics-Engineer---Paid-Media_JR12630")</f>
        <v/>
      </c>
      <c r="G59" t="inlineStr">
        <is>
          <t>Pewaukee, WI, US</t>
        </is>
      </c>
      <c r="H59" s="2" t="n">
        <v>46075</v>
      </c>
      <c r="I59" t="inlineStr">
        <is>
          <t>**We are Generac, a leading energy technology company committed to powering a smarter world.**
Over the 60 plus years of Generac’s history, we’ve been dedicated to energy innovation. From creating the home standby generator market category, to our current evolution into an energy technology solutions company, we continue to push new boundaries.
The Senior Marketing Analytics Engineer leads complex analytical initiatives, from defining data strategy to deploying predictive models that drive business effectiveness. This role partners across marketing, engineering, and executive leadership to influence strategic decisions, guide experimentation design, and scale self\-service analytics. It combines deep technical skills with strong business acumen and mentorship.
**Major Responsibilities:**
**Strategic Collaboration \&amp; Influence:**
* Act as a thought partner to leaders, identifying opportunities for analytics to improve ROI and customer engagement.
* Lead requirements gathering for complex, cross\-functional initiatives.
**Architecture \&amp; Reporting Strategy:**
* Architect scalable reporting frameworks and advanced data models across the ecosystem.
* Oversee the delivery of high\-impact dashboards and insights for executive\-level reporting.
**Advanced Modeling \&amp; Experimentation:**
* Develop sophisticated machine learning models (e.g., media mix, propensity scoring, LTV prediction).
* Design and validate complex experiments, including holdout designs and causal inference approaches.
**Data Infrastructure Leadership:**
* Partner with data engineering to design robust ETL processes and scalable infrastructure.
* Drive improvements in data architecture for marketing analytics, including real\-time data integrations.
**Process Optimization \&amp; Automation:**
* Lead initiatives to automate data processes and enhance operational efficiency.
* Standardize KPIs and promote data governance best practices across teams.
**Mentorship \&amp; Enablement:**
* Provide technical mentorship to junior team members.
* Champion a culture of self\-service analytics by developing training and tools for business users.
**Minimum Job Requirements**
* Bachelor’s degree in data science, Computer Science, Statistics, Analytics, or a related field is required. Master’s degree in a quantitative field is preferred.
* 5\+ years in analytics, with significant experience in data strategy and predictive analytics. Demonstrated experience in media mix modeling, multi\-touch attribution, incrementality testing, and A/B testing.
**Technical Skills:**
* Expert\-level SQL and Python (or R).
* Deep experience with data modeling, cloud platforms (e.g., Databricks), and large\-scale data systems.
* Advanced proficiency in BI tools and statistical modeling packages.
**Leadership \&amp; Communication:**
* Strong stakeholder management, including influencing without authority.
* Proven experience translating analytics into business strategy and executive narratives.
**Preferred Job Requirements:**
* Master’s degree in a quantitative field
**Physical Demands** : While performing the duties of this job, the employee is regularly required to talk and hear; and use hands to manipulate objects or controls. The employee is regularly required to stand and walk. On occasion the incumbent may be required to stoop, bend or reach above the shoulders. The employee must occasionally lift up to 25 \- 50 pounds. Specific conditions of this job are typical of frequent and continuous computer\-based work requiring periods of sitting, close vision and ability to adjust focus. Occasional travel.
*“We are an equal opportunity employer and all qualified applicants will receive consideration for employment without regard to race, color, religion, sex, sexual orientation, national origin, disability status, protected veteran status, or any other characteristic protected by law.”*</t>
        </is>
      </c>
    </row>
    <row r="60">
      <c r="A60" t="inlineStr">
        <is>
          <t>in-2e85dc13d85ca930</t>
        </is>
      </c>
      <c r="B60" t="inlineStr">
        <is>
          <t>Data Engineer (IT Data Management Entry In-Training to Journey) DOH8822</t>
        </is>
      </c>
      <c r="C60" t="inlineStr">
        <is>
          <t>State of Washington</t>
        </is>
      </c>
      <c r="D60" t="inlineStr">
        <is>
          <t>indeed</t>
        </is>
      </c>
      <c r="E60">
        <f>HYPERLINK("https://www.indeed.com/viewjob?jk=2e85dc13d85ca930", "https://www.indeed.com/viewjob?jk=2e85dc13d85ca930")</f>
        <v/>
      </c>
      <c r="F60">
        <f>HYPERLINK("https://www.governmentjobs.com/careers/washington/jobs/5246417/data-engineer-it-data-management-entry-in-training-to-journey-doh8822", "https://www.governmentjobs.com/careers/washington/jobs/5246417/data-engineer-it-data-management-entry-in-training-to-journey-doh8822")</f>
        <v/>
      </c>
      <c r="G60" t="inlineStr">
        <is>
          <t>WA, US</t>
        </is>
      </c>
      <c r="H60" s="2" t="n">
        <v>46075</v>
      </c>
      <c r="I60" t="inlineStr">
        <is>
          <t>**Description**
---------------
**Data Engineer** **IT Data Management Entry In\-Training to Journey**  
This recruitment is open to Washington residents and those residing on the ID/WA and OR/WA borders. **The Opportunity**
This position plays a key role in supporting statewide public health data systems that inform decision making across Washington. The team manages enterprise data pipelines, reporting environments, and business intelligence platforms that support critical programs, federal reporting requirements, and public facing dashboards.  
Working within a highly collaborative technical environment, this role supports the movement, transformation, automation, and governance of large data sets across on premises, cloud based, and vendor supported systems. The work directly enables reliable analytics, reporting, and visualization for internal teams, local health jurisdictions, healthcare partners, and federal agencies.  
At the Journey level, this role independently designs, builds, and maintains complex data pipelines and integration processes. At the Entry In Training level, the role develops foundational skills under supervision while contributing to database management, ETL processes, and system implementation activities.  
The goal classification for this position is Journey level. **In\-Training Classification Information:**
This position may be filled at either the Data Management Entry In\-Training or Journey level, depending on the selected candidate’s qualifications. The Journey level is the fully qualified, independent performing classification and is the goal level for this role. If hired at the Entry In\-Training level, the employee will work under closer supervision while developing the knowledge and skills necessary to advance to the Journey level. Advancement is based on demonstrated competency and successful completion of training requirements. **Key Responsibilities Include:*** Data Engineering and Pipeline Development
	+ Design, build, and maintain data pipelines supporting BI and analytics platforms
	+ Develop and manage ETL and ELT processes across OLTP and OLAP environments
	+ Map and transform operational data into analytical environments
	+ Implement data schemas and structures to support high usage reporting engines
	+ Automate data processing workflows to improve reliability and efficiency
* Business Intelligence and Reporting Support
	+ Support Power BI, SSRS, and related reporting technologies
	+ Ensure accurate, secure, and timely delivery of data to dashboards and reporting tools
	+ Partner with analysts and subject matter experts to translate business needs into technical solutions
* Database and Application Management
	+ Maintain and optimize database environments
	+ Conduct capacity planning and performance monitoring
	+ Participate in IT Risk Assessment and Security Review processes
	+ Support application lifecycle management and migration strategies
* Testing and Quality Assurance
	+ Develop and execute unit, integration, and performance testing
	+ Implement quality control processes to reduce defects and production issues
	+ Troubleshoot complex data and pipeline failures
* Implementation and Collaboration
	+ Support system deployments and implementation planning
	+ Coordinate with project teams, architects, vendors, and technical partners
	+ Assist during public health emergencies as assigned
 **What Changes Between Levels** **Entry In Training*** Works under general supervision
* Assists with database development and ETL processes
* Supports testing, documentation, and system implementation
* Builds foundational knowledge in data governance, integration, and analytics systems
 **Journey Level*** Works under general direction
* Independently designs and implements complex data solutions
* Leads data pipeline troubleshooting and optimization
* Makes tactical decisions regarding production processes and data delivery
* Provides technical guidance to entry level staff
 **Why You’ll Love This Role:*** The data systems supported by this role inform statewide reporting, federal compliance, public transparency efforts, and mission critical public health operations. Reliable data directly supports healthcare partners, laboratories, and local health jurisdictions across Washington.
* The environments include hundreds of databases and applications supporting a large statewide workforce and significant public funding. The systems are complex, visible, and relied upon daily.
* The role builds and maintains pipelines, automates data movement, manages integrations across cloud and on premises systems, and solves foundational data challenges.
* Entry level hires build toward independent engineering work. Journey level engineers operate with autonomy and influence technical direction. The path is clear and competency based.
* When data flows correctly, programs function. When it doesn’t, operations slow down. This role sits directly in that critical space and helps ensure continuity, reliability, and security of high value systems.
 **What You Bring:**
You bring strong technical and professional competence in data engineering, database systems, and data pipelines, along with a clear achievement orientation that adds measurable value to team outcomes. You use sound analysis and problem\-solving skills to address complex data challenges and communicate technical concepts clearly to diverse audiences. You demonstrate cultural competency, customer service orientation, and strong interpersonal skills when working across business and technical teams. At the Journey level, you provide informal leadership and help align technical work with agency priorities. Above all, you maintain professional conduct, accept feedback, collaborate effectively, and contribute to a positive and accountable work environment. **Required Qualifications***There are multiple pathways to qualify for this position. You must meet one of the options provided and any additional criteria listed. Experience may have been gained through paid or unpaid activities. Please ensure any relevant experience defined belo**w is outlined in your cover letter, resume, and/or applicant profile. Experience may have been gained concurrently.* **Entry Level/In\-Training Requirements****:*** **Option 1:** Four (4\) years of professional experience in one or more of the following data disciplines: Data pipeline, Data processing, Data migration, ETL, Database development, Application development.
* **Option 2:** An Associate’s degree or higher in Information Technology program or a closely related field; and two (2\) years of professional experience in one or more of the following data disciplines: Data pipeline, Data processing, Data migration, ETL, Database development, application development.
* **Option 3:** A bachelor’s degree in Information Technology program or a closely related field; and one (1\) year of professional experience in one or more of the following data disciplines: Data pipeline, Data processing, Data migration, ETL, Database development, application development.
 **Preferred Qualifications**
While these aren’t required, having them can help you stand out as a candidate.* One (1\) or more years of using Python or Machine Learning.
* Knowledge of ETL processing
* Knowledge of replication, high availability, and clustering technologies
* Familiarity with version control and deployment processes
* Knowledge of Salesforce or completed Salesforce training
* Knowledge of HL7
 **Journey Level Requirements****:*** **Option1:** Eight (8\) years of full\-time equivalent, professional experience in one or more of the following IT disciplines: Systems development, data administration, database management, data pipeline engineering.
* **Option 2:** An Associate’s degree or higher in Information Technology program or a closely related field; and six (6\) years of full\-time equivalent, professional experience in one or more of the following IT disciplines: Systems development, data administration, database management, data pipeline engineering.
* **Option 3:** A Bachelor’s degree or higher in Information Technology program or a closely related field; and four (4\) years of full\-time equivalent, professional experience in one or more of the following IT disciplines: Systems development, data administration, database management, data pipeline engineering.
 **Additional Required Knowledge, Skills, Abilities, and Experience*** Two (2\) or more years, of professional experience in the software development field.
* Experience in the SQL Data Administration at an Enterprise level demonstrating the ability to perform SQL Server 2012/2014/2016/2019 database administration.
* Building and maintaining reports in SSRS
* Developing SSIS packages, Building Cubes and Datamart in SSAS.
* Experience in data architecture, data administration, data analysis, data modeling, reports development, data pipeline development or database administration
 **Preferred Qualifications**
While these aren’t required, having them can help you stand out as a candidate.* Two (2\) or more years of experience at the expert level in MS Power BI.
* Demonstrated extensive advanced experience using and or managing SQL Server Reporting Services(SSRS).
* Experience developing web\-based applications, databases, and visualizations.
* Demonstrated experience working with and implementing Business Intelligence tools such as Tableau, developing and/or using business intelligence reports.
* Three (3\) years’ experience working with large\-scale distributed systems such as Hadoop/Spark/Storm, data warehousing systems such as Redshift or BigQuery, event brokers such as Kafka or Google Cloud Pub/Sub, and/or databases such as HBase/Cassandra.
* Experience with cloud computing platforms like AWS, Google Cloud or Microsoft Azure
* Experience building data pipelines at Internet scale (terabytes per day)
 **Employee Benefits**
We offer a solid benefits package that supports you and your family’s health, financial security, and work\-life balance. You’ll have access to comprehensive medical, dental, and vision coverage, life and long\-term disability insurance, flexible spending and health savings accounts, and retirement plans that help you plan for tomorrow while you’re living today. Paid holidays, vacation and sick leave help you recharge, and additional programs like dependent care assistance and professional development opportunities add value beyond basic coverage. Join us and enjoy benefits designed to care for you as much as you care about public health. Learn more about DOH benefits and see how we support your life at work and beyond by visiting Work@Health. **OIT: Shaping a Healthier Future Through Innovation**
The Office of Innovation and Technology works to harness technology and data to advance public health, supporting over 220 systems and 305 applications, including critical programs like the Immunization Registry. We drive interoperability, strengthen cybersecurity, and promote health equity, delivering impactful solutions that empower communities. Our team fosters a culture of curiosity, critical thinking, and collaboration, where every member’s contribution shapes a healthier future. **About the Washington State Department of Health**
We're nearly 2,000 professionals across Washington working together to protect and improve community health. Guided by our values of Equity, Innovation, and Engagement, we address health disparities, respond to emerging challenges, and strengthen systems that support resilience. At DOH, we help reduce barriers, collaborate with diverse communities, and champion equitable health outcomes. We’re passionate people who are driven to make a difference in public health. Explore more about the Department of Health, our programs, and our impact by visiting our website. **Working Conditions:**
The following describes the working conditions of this position, with or without reasonable accommodation. **Work Setting:*** This position may work from home, a DOH facility, or remotely from an alternate location. The official duty station for this position is home\-based. If onsite work is requested by the supervisor, the request will be planned and communicated in advance.
* Work is performed almost exclusively indoors in an office environment. Exposure to hazards is limited to those commonly found in government office environments.
**Schedule:*** Standard business hours are Monday – Friday from 8 a.m. to 5 p.m., but the incumbent may be expected to adjust the work schedule to meet business needs and to meet deadlines for system implementations.
* Occasionally the you may be contacted outside of business hours to address emergency or urgent business needs and is expected to assist, if possible. Maintenance windows vary from team to team but are scheduled in advance. This position may participate in stand\-by coverage to support agency systems. An alternative flex schedule may be allowed.
**Travel Requirements:*** Travel is not required to perform the duties of this position; however some travel may be expected, and is typically local or regional, to meet with clients, conduct business, or attend or provide training. When driving for state business, the employee must be able to legally operate a state or privately\-owned vehicle; OR provide alternate transportation while on state business.
**Tools \&amp; Equipment:*** Duties require the use of standard office furniture and equipment (e.g., desk, filing cabinet, computer, printer, telephone, fax machine, copy machine, etc.) May be issued an agency mobile device or use a BYOD device. Will use VPN connectivity for remote access.
**Customer Interactions:*** Frequent contact (likely daily) with clients, including some contact with those who may be angry, distraught, or frustrated
**Other:*** This position is covered by a bargaining unit for which the Washington Federation of State Employees (WFSE) is the exclusive representative.
* The DOH campus is a smoke\-free, drug\-free, alcohol\-free, scent\-neutral environment.
* This position may be required to conduct and/or participate in public health emergency preparedness and response activities.
 **APPLICATION DIRECTIONS**:
We’re committed to a fair and equitable hiring process. Only materials submitted through the official application will be considered. Emailed resumes or documents won’t be accepted or shared with the hiring manager.  
Click “Apply” to complete your application. Attach your resume, cover letter, and DD\-214 (if applicable). List at least three professional references, directly in your Applicant Profile or as a separate attachment, including a supervisor, a peer, and someone you’ve supervised or led (if applicable). ***DO NOT INCLUDE*** private details like your SSN or birth year, personal photos, transcripts, certifications, diplomas, projects, portfolios, or letters of recommendation. **Veterans Preference**: Applicants wishing to claim Veterans Preference must attach a copy of their DD\-214 (Member 4 copy), NGB 22, or a signed verification of service letter from the United States Department of Veterans Affairs to their application. Please remove or cover any personally identifiable data such as social security numbers and birth year **Equity, Diversity, and Inclusion**: We regard diversity as the foundation of our strength, recognizing that differing insights and abilities enable us to reflect the unique needs of the communities we serve.  
DOH is an equal\-opportunity employer. We prohibit discrimination based on race/ethnicity/color, creed, sex, pregnancy, age, religion, national origin, marital status, the presence or perception of a disability, veteran’s status, military status, genetic information, sexual orientation, gender expression, or gender identity. **Questions and Accommodations:** If you have questions, need assistance with the application process, require an accommodation, or would like to request this posting in an alternative format, please contact **Shawnelle Goalder,** Talent Acquisition Consultant/Recruiter at employment@doh.wa.gov and reference DOHxxxx in the subject. **Technical Support**: Reach out to NEOGOV directly at 1\-855\-524\-5627 for technical support and login issues. **SUBSCRIBE to DOH Job Alerts**
**Supplemental Information**
----------------------------
This recruitment may be used to fill positions of the same job classification across the agency. Once all the position(s) from the recruitment are filled, the candidate pool may be used to fill additional open positions for the next sixty (60\) days.
Only applicants who follow the directions and complete the Application Process in full will have their responses reviewed for consideration.
Experience and education selected, listed, or detailed in the Supplemental Questions must be verifiable on the submitted applicant profile.</t>
        </is>
      </c>
    </row>
    <row r="61">
      <c r="A61" t="inlineStr">
        <is>
          <t>in-f17b4efa97cdc528</t>
        </is>
      </c>
      <c r="B61" t="inlineStr">
        <is>
          <t>Digital Enterprise Jr. Data Engineer</t>
        </is>
      </c>
      <c r="C61" t="inlineStr">
        <is>
          <t>BNH</t>
        </is>
      </c>
      <c r="D61" t="inlineStr">
        <is>
          <t>indeed</t>
        </is>
      </c>
      <c r="E61">
        <f>HYPERLINK("https://www.indeed.com/viewjob?jk=f17b4efa97cdc528", "https://www.indeed.com/viewjob?jk=f17b4efa97cdc528")</f>
        <v/>
      </c>
      <c r="F61">
        <f>HYPERLINK("https://careers-bnh.icims.com/jobs/23256/digital-enterprise-jr.-data-engineer/job", "https://careers-bnh.icims.com/jobs/23256/digital-enterprise-jr.-data-engineer/job")</f>
        <v/>
      </c>
      <c r="G61" t="inlineStr">
        <is>
          <t>Arnold AFB, TN, US</t>
        </is>
      </c>
      <c r="H61" s="2" t="n">
        <v>46075</v>
      </c>
      <c r="I61" t="inlineStr">
        <is>
          <t>**Overview**
------------
**J****ob Title:** Digital Enterprise Jr. Data Engineer
**Location:** Arnold AFB, TN
**Job Family Code:** O \- Engineering
**Function/Branch**: Engineering /Digital Enterprise
**Directorate:** Engineering and Tech Support
**Position Type:** Regular, Full\-Time
**Pay Type:** Exempt
**Grade:** L06 (OA0672\) – L07 (OA0769\)
**Salary Range or Starting Hourly Rate (provided by HR):** $74,000 \- $125,000 / year
 **Overview**
Beyond New Horizons, LLC (BNH) has an exciting opportunity for a Digital Enterprise Jr. Data Engineer, supporting TOS II, at Arnold Air Force Base, TN. As a Digital Enterprise Jr. Data Engineer, you will work as a member of the Digital Enterprise group (DE) in the Mission Support Branch to lead implementation of data\-centered projects to improve the AEDC ground test data infrastructure, facility operations, and business systems. The person selected for this role will work closely with multidisciplinary work teams throughout the Beyond New Horizons (BNH) organization to identify opportunities for leveraging data to drive decisions and will help design and implement a data architecture working with the Digital Enterprise team.
 ***Open to internal and external candidates. The selected candidate for this requisition may be required to*** ***occasionally*** (***e.g. application upgrades) work outside normal business hours.***
 **Job Summary**
Beyond New Horizons, LLC (BNH) is the team selected by the U.S. Air Force to conduct Test and Operations Sustainment at the Arnold Engineering Development Complex (AEDC) at Arnold Air Force Base in Tennessee. AEDC operates more than 55 aerodynamic and propulsion wind tunnels, rocket and turbine engine test cells, space environmental chambers, arc heaters, ballistic ranges and other specialized units located in six states. Many of the complex's test units have capabilities unmatched elsewhere in the United States; some are unique in the world. AEDC is one of three installations which are part of the Air Force Test Center (AFTC), one of six subordinate commands of the Air Force Materiel Command organization, and an important national resource.
AEDC’s mission is to conduct developmental test and evaluation for the Nation through modeling, simulation, and ground and flight test. Execution of the mission requires a large team of highly qualified and dedicated professionals from multiple technical disciplines to effectively accomplish the objectives of our test customers.
 **J****ob Duties:**
* Assist in analyzing data from various sources to identify insights and support analytics initiatives.
* Contribute to building, automating, and maintaining data pipelines and ETL (Extract, Transform, Load) processes.
* Support the team in implementing and monitoring machine learning models.
* Collaborate with multidisciplinary teams on data\-related projects and tasks under the guidance of senior staff.
* Assist the data analysts in creating automation of data pipelines and dashboards.
* Learn and apply new data engineering techniques and technologies to support project goals.
* It is a condition of employment to wear company issued PPE (Personal Protective Equipment) in accordance with supervisory direction and company policy
* Perform other related duties as required
 **Basic Qualifications:**
* B.S. in Computer Science, Statistics, Mathematics, Engineering or another relevant engineering field from an accredited university program or at least 4 years of relevant work experience.
* Current U.S. Citizenship is required.
 **Preferred Qualifications:**
* Experience with development lifecycle methodologies such as Agile DevSecOps.
* Experience with data scripting language software like Python, Java, C\+\+, or Ruby and SQL.
* Experience with data extraction tools and processes, data ingestion, ETL, data mining, API’s and data warehousing.
* Demonstrated experience in a data engineering role.
* Knowledge of a variety of machine learning techniques and their real\-world advantages/drawbacks.
* Coding knowledge and experience with multiple languages.
 **What We Offer**
* Competitive salaries
* Continuing education assistance
* Multiple healthcare benefits packages
* 401K with employer matching
* Paid time off (PTO) along with a federally recognized holiday schedule
 **Who We Are** ***U.S. Citizenship is required.*** *At this time BNH will* ***not*** *sponsor any applicants for employment authorization or offer any immigration related support for this position (i.e. H1b, F1 OPT, F\-1 STEM OPT, F\-1 CPT, J\-1, E\-2, E\-3, L\-1,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BNH is willing to pay at the time of this posting. Salaries for part\-time jobs will be adjusted based upon the number of hours agreed to work.*
 *Arnold Airforce Base*$74,000 \- $125,000 / year
 *BNH is an Equal Employment Opportunity Employer. We provide equal employment opportunities to all employees and applicants for employment and prohibit discrimination and harassment of any type without regard to race, color, religion, age, sex, national origin, veteran status, and any other grounds for discrimination prohibited by applicable law.**This policy applies to all terms and conditions of employment, including recruiting, hiring, placement, promotion, termination, layoff, recall, transfer, leaves of absence, compensation, and training.* **Join our Team!**
*BNH is an Equal Employment Opportunity Employer. We provide equal employment opportunities to all employees and applicants for employment and prohibit discrimination and harassment of any type without regard to race, color, religion, age, sex, national origin, veteran status, and any other grounds for discrimination prohibited by applicable law.**This policy applies to all terms and conditions of employment, including recruiting, hiring, placement, promotion, termination, layoff, recall, transfer, leaves of absence, compensation, and training.*</t>
        </is>
      </c>
    </row>
    <row r="62">
      <c r="A62" t="inlineStr">
        <is>
          <t>in-a63b04da76cdce4e</t>
        </is>
      </c>
      <c r="B62" t="inlineStr">
        <is>
          <t>Data Engineer</t>
        </is>
      </c>
      <c r="C62" t="inlineStr">
        <is>
          <t>Ford Motor Company</t>
        </is>
      </c>
      <c r="D62" t="inlineStr">
        <is>
          <t>indeed</t>
        </is>
      </c>
      <c r="E62">
        <f>HYPERLINK("https://www.indeed.com/viewjob?jk=a63b04da76cdce4e", "https://www.indeed.com/viewjob?jk=a63b04da76cdce4e")</f>
        <v/>
      </c>
      <c r="F62">
        <f>HYPERLINK("https://efds.fa.em5.oraclecloud.com/hcmUI/CandidateExperience/en/sites/CX_1/requisitions/preview/59734", "https://efds.fa.em5.oraclecloud.com/hcmUI/CandidateExperience/en/sites/CX_1/requisitions/preview/59734")</f>
        <v/>
      </c>
      <c r="G62" t="inlineStr">
        <is>
          <t>Dearborn, MI, US</t>
        </is>
      </c>
      <c r="H62" s="2" t="n">
        <v>46075</v>
      </c>
      <c r="I62" t="inlineStr">
        <is>
          <t>We are the movers of the world and the makers of the future. We get up every day, roll up our sleeves and build a better world \- together. At Ford, we’re all a part of something bigger than ourselves. Are you ready to change the way the world moves?  
Do you believe data tells the real story? We do! Redefining mobility requires quality data, metrics and analytics, as well as insightful interpreters and analysts. That's where **Global Data Insight \&amp; Analytics** makes an impact. We advise leadership on business conditions, customer needs and the competitive landscape. With our support, key decision makers can act in meaningful, positive ways. Join us and use your data expertise and analytical skills to drive evidence\-based, timely decision making.
**In this position...**
We are seeking a talented and driven **Data Engineer** to join our team. In this role, you will be instrumental in building and maintaining the foundational data infrastructure that powers our analytics and machine learning initiatives. You will design, develop, and optimize robust data pipelines, ensuring that high\-quality data is accessible, reliable, and scalable across the organization.  
**What you'll do...**
* Design, develop, and maintain scalable ETL/ELT pipelines to ingest data from a variety of internal and external sources.
* Architect and optimize data storage solutions (data warehouses and data lakes) to ensure high performance and cost\-efficiency.
* Ensure data integrity and quality by implementing automated testing, monitoring, and validation frameworks within the data lifecycle.
* Collaborate closely with Data Scientists and Product teams to understand their data requirements and provide "model\-ready" datasets.
* Build and maintain API integrations and microservices to facilitate seamless data movement between systems.
* Implement automation and CI/CD practices for data infrastructure to improve deployment speed and system reliability.
* Troubleshoot and resolve complex data\-related issues, optimizing slow\-running queries and bottlenecks in the data flow.
* Stay up\-to\-date with the latest advancements in data engineering, cloud architecture, and distributed computing technologies.
**You'll have...**
* Master’s degree in Computer Science, Software Engineering, Information Systems, or a closely related quantitative field.
* Demonstrated ability to design and build production\-grade data pipelines.
* Strong experience with data modeling, database design, and storage optimization (SQL and NoSQL).
* Expertise in at least one major programming language used in data engineering (e.g., Python).
* Proficiency in writing complex, highly optimized SQL queries for large\-scale data analysis.
* Experience with workflow orchestration tools.
* Familiarity with distributed computing frameworks.
Proven ability to translate business requirements into technical data architecture.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Paid time off and the option to purchase additional vacation time.  
	+
This position is a salary grade 5 – salary grade 8 and ranges from $66,660\- $190,500\.
For more information on salary and benefits, click here: New Hire Benefits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**\#LI\-Hybrid** 
**\#LI\-MG1**</t>
        </is>
      </c>
    </row>
    <row r="63">
      <c r="A63" t="inlineStr">
        <is>
          <t>in-37a67bf3a295831c</t>
        </is>
      </c>
      <c r="B63" t="inlineStr">
        <is>
          <t>Data Engineer, Marketing Technology</t>
        </is>
      </c>
      <c r="C63" t="inlineStr">
        <is>
          <t>Ethos Veterinary Health</t>
        </is>
      </c>
      <c r="D63" t="inlineStr">
        <is>
          <t>indeed</t>
        </is>
      </c>
      <c r="E63">
        <f>HYPERLINK("https://www.indeed.com/viewjob?jk=37a67bf3a295831c", "https://www.indeed.com/viewjob?jk=37a67bf3a295831c")</f>
        <v/>
      </c>
      <c r="F63">
        <f>HYPERLINK("https://nva.avature.net/jobs/JobDetail?jobId=32664", "https://nva.avature.net/jobs/JobDetail?jobId=32664")</f>
        <v/>
      </c>
      <c r="G63" t="inlineStr">
        <is>
          <t>US</t>
        </is>
      </c>
      <c r="H63" s="2" t="n">
        <v>46075</v>
      </c>
      <c r="I63" t="inlineStr">
        <is>
          <t>**About the Role:**  
We are a multi\-billion leader in the veterinary care industry with over 140 specialty and emergency hospitals. We are dedicated to improving the lives of pets and the people who love them. Our brands connect with millions of pet parents through thoughtful design, compelling storytelling, and customer\-centric digital experiences.
We are seeking an experienced Data Engineer to design, manage, and optimize large\-scale customer data systems that power our email and SMS marketing programs. This role is critical to ensuring data accuracy, scalability, compliance, and performance across customer communication platforms. You will partner closely with marketing, analytics, and engineering teams to support segmentation, personalization, and campaign execution at scale.
**Key Responsibilities:**  
* Design, build, and maintain large, high\-volume databases supporting email and SMS marketing initiatives
* Manage customer data pipelines that ingest, transform, and distribute data from multiple sources (CRM, web, apps, e\-commerce, third\-party platforms)
* Ensure data accuracy, integrity, and availability for campaign targeting, segmentation, and personalization
* Support integration with email service providers (ESPs) and SMS platforms (e.g., Salesforce Marketing Cloud, CustomerIO, Braze, Twilio, Adobe, Iterable, or similar)
* Implement and maintain data governance, privacy, and compliance standards (CAN\-SPAM, TCPA, GDPR, CCPA)
* Optimize database performance, scalability, and query efficiency for large marketing datasets
* Develop and maintain ETL/ELT processes and automation workflows
* Collaborate with marketing operations, analytics, and engineering teams to translate business requirements into data solutions
* Monitor data quality, troubleshoot issues, and resolve discrepancies affecting campaigns
* Document data models, pipelines, and operational processes
* Support audience insights, reporting, and experimentation through reliable data access
**Required Qualifications:**  
* 3\+ years of experience in data engineering, database engineering, or marketing technology roles
* Strong experience managing large\-scale customer or marketing databases
* Advanced proficiency in SQL and experience with relational and/or NoSQL databases
* Hands\-on experience with data pipelines, ETL/ELT frameworks, and workflow orchestration tools
* Experience supporting email and SMS marketing platforms or customer engagement systems
* Strong understanding of data privacy, consent management, and messaging compliance regulations
* Experience working in cloud\-based data environments (AWS, Azure, or Google Cloud)
* Ability to work cross\-functionally with marketing, analytics, and technical teams
* Strong problem\-solving, debugging, and data quality management skills
* Excellent communication and documentation abilities
**Preferred Qualifications:**  
* Experience with customer data platforms (CDPs) or identity resolution systems
* Familiarity with real\-time or event\-driven data processing
* Experience with Python, Scala, or similar languages for data processing
* Knowledge of marketing analytics, attribution, and campaign measurement
* Experience supporting high\-volume messaging programs (millions of sends per day)
* Bachelor’s degree in Computer Science, Data Engineering, Information Systems, or related field (or equivalent experience)
Why Join Us?
* Be part of a mission\-driven organization improving veterinary care and animal health at scale
* Build a brand that millions of pet owners and veterinary professionals engage with everyday
* Competitive compensation and comprehensive benefits
* Flexible work arrangements (remote or hybrid)
* Opportunity to work on high\-visibility, consumer\-facing digital marketing
* Career growth within a mission\-driven company
* Collaborative and inclusive culture
**Location:** Flexible / Hybrid
**Industry:** Veterinary Care \&amp; Animal Health
**Reports to:** Director of Lifecycle Marketing
**Direct Reports:** None
The base salary range for this full\-time position is $105,000\-$115,000\. Our salary ranges are primarily determined by role, level, and location. The range provided for each job posting reflects the minimum and maximum target salaries for the position across all US locations. Within the range, individual pay is determined by work location and additional factors, including job\-related skills, experience, and relevant education or training. The Company offers competitive compensation along with a comprehensive benefits package, including medical, dental, and vision benefits, vacation, sick leave, 401(k), and more depending on location. Your recruiter can provide more information about compensation and benefits for your specific location during the application process.
* This role is not open to receiving agency candidates and any contingent submissions will not be honored.
\#LI\-Remote</t>
        </is>
      </c>
    </row>
    <row r="64">
      <c r="A64" t="inlineStr">
        <is>
          <t>in-2f26f271f594ac72</t>
        </is>
      </c>
      <c r="B64" t="inlineStr">
        <is>
          <t>Digital Enterprise Jr. Data Engineer</t>
        </is>
      </c>
      <c r="C64" t="inlineStr">
        <is>
          <t>BNH</t>
        </is>
      </c>
      <c r="D64" t="inlineStr">
        <is>
          <t>indeed</t>
        </is>
      </c>
      <c r="E64">
        <f>HYPERLINK("https://www.indeed.com/viewjob?jk=2f26f271f594ac72", "https://www.indeed.com/viewjob?jk=2f26f271f594ac72")</f>
        <v/>
      </c>
      <c r="F64">
        <f>HYPERLINK("https://careers-bnh.icims.com/jobs/23256/job?utm_source=indeed_integration&amp;iis=Job%20Board&amp;iisn=Indeed&amp;indeed-apply-token=73a2d2b2a8d6d5c0a62696875eaebd669103652d3f0c2cd5445d3e66b1592b0f", "https://careers-bnh.icims.com/jobs/23256/job?utm_source=indeed_integration&amp;iis=Job%20Board&amp;iisn=Indeed&amp;indeed-apply-token=73a2d2b2a8d6d5c0a62696875eaebd669103652d3f0c2cd5445d3e66b1592b0f")</f>
        <v/>
      </c>
      <c r="G64" t="inlineStr">
        <is>
          <t>Arnold AFB, TN, US</t>
        </is>
      </c>
      <c r="H64" s="2" t="n">
        <v>46075</v>
      </c>
      <c r="I64" t="inlineStr">
        <is>
          <t>Overview: **J****ob Title:** Digital Enterprise Jr. Data Engineer
**Location:** Arnold AFB, TN
**Job Family Code:** O \- Engineering
**Function/Branch**: Engineering /Digital Enterprise
**Directorate:** Engineering and Tech Support
**Position Type:** Regular, Full\-Time
**Pay Type:** Exempt
**Grade:** L06 (OA0672\) – L07 (OA0769\)
**Salary Range or Starting Hourly Rate (provided by HR):** $74,000 \- $125,000 / year
 **Overview**
Beyond New Horizons, LLC (BNH) has an exciting opportunity for a Digital Enterprise Jr. Data Engineer, supporting TOS II, at Arnold Air Force Base, TN. As a Digital Enterprise Jr. Data Engineer, you will work as a member of the Digital Enterprise group (DE) in the Mission Support Branch to lead implementation of data\-centered projects to improve the AEDC ground test data infrastructure, facility operations, and business systems. The person selected for this role will work closely with multidisciplinary work teams throughout the Beyond New Horizons (BNH) organization to identify opportunities for leveraging data to drive decisions and will help design and implement a data architecture working with the Digital Enterprise team.
 ***Open to internal and external candidates. The selected candidate for this requisition may be required to*** ***occasionally*** (***e.g. application upgrades) work outside normal business hours.***
 **Job Summary**
Beyond New Horizons, LLC (BNH) is the team selected by the U.S. Air Force to conduct Test and Operations Sustainment at the Arnold Engineering Development Complex (AEDC) at Arnold Air Force Base in Tennessee. AEDC operates more than 55 aerodynamic and propulsion wind tunnels, rocket and turbine engine test cells, space environmental chambers, arc heaters, ballistic ranges and other specialized units located in six states. Many of the complex's test units have capabilities unmatched elsewhere in the United States; some are unique in the world. AEDC is one of three installations which are part of the Air Force Test Center (AFTC), one of six subordinate commands of the Air Force Materiel Command organization, and an important national resource.
AEDC’s mission is to conduct developmental test and evaluation for the Nation through modeling, simulation, and ground and flight test. Execution of the mission requires a large team of highly qualified and dedicated professionals from multiple technical disciplines to effectively accomplish the objectives of our test customers.
 **J****ob Duties:**
* Assist in analyzing data from various sources to identify insights and support analytics initiatives.
* Contribute to building, automating, and maintaining data pipelines and ETL (Extract, Transform, Load) processes.
* Support the team in implementing and monitoring machine learning models.
* Collaborate with multidisciplinary teams on data\-related projects and tasks under the guidance of senior staff.
* Assist the data analysts in creating automation of data pipelines and dashboards.
* Learn and apply new data engineering techniques and technologies to support project goals.
* It is a condition of employment to wear company issued PPE (Personal Protective Equipment) in accordance with supervisory direction and company policy
* Perform other related duties as required
 **Basic Qualifications:**
* B.S. in Computer Science, Statistics, Mathematics, Engineering or another relevant engineering field from an accredited university program or at least 4 years of relevant work experience.
* Current U.S. Citizenship is required.
 **Preferred Qualifications:**
* Experience with development lifecycle methodologies such as Agile DevSecOps.
* Experience with data scripting language software like Python, Java, C\+\+, or Ruby and SQL.
* Experience with data extraction tools and processes, data ingestion, ETL, data mining, API’s and data warehousing.
* Demonstrated experience in a data engineering role.
* Knowledge of a variety of machine learning techniques and their real\-world advantages/drawbacks.
* Coding knowledge and experience with multiple languages.
 **What We Offer**
* Competitive salaries
* Continuing education assistance
* Multiple healthcare benefits packages
* 401K with employer matching
* Paid time off (PTO) along with a federally recognized holiday schedule
 **Who We Are** ***U.S. Citizenship is required.*** *At this time BNH will* ***not*** *sponsor any applicants for employment authorization or offer any immigration related support for this position (i.e. H1b, F1 OPT, F\-1 STEM OPT, F\-1 CPT, J\-1, E\-2, E\-3, L\-1,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BNH is willing to pay at the time of this posting. Salaries for part\-time jobs will be adjusted based upon the number of hours agreed to work.*
 *Arnold Airforce Base*$74,000 \- $125,000 / year
 *BNH is an Equal Employment Opportunity Employer. We provide equal employment opportunities to all employees and applicants for employment and prohibit discrimination and harassment of any type without regard to race, color, religion, age, sex, national origin, veteran status, and any other grounds for discrimination prohibited by applicable law.**This policy applies to all terms and conditions of employment, including recruiting, hiring, placement, promotion, termination, layoff, recall, transfer, leaves of absence, compensation, and training.* **Join our Team!**
*BNH is an Equal Employment Opportunity Employer. We provide equal employment opportunities to all employees and applicants for employment and prohibit discrimination and harassment of any type without regard to race, color, religion, age, sex, national origin, veteran status, and any other grounds for discrimination prohibited by applicable law.**This policy applies to all terms and conditions of employment, including recruiting, hiring, placement, promotion, termination, layoff, recall, transfer, leaves of absence, compensation, and training.*</t>
        </is>
      </c>
    </row>
    <row r="65">
      <c r="A65" t="inlineStr">
        <is>
          <t>in-07cde8b42f3da231</t>
        </is>
      </c>
      <c r="B65" t="inlineStr">
        <is>
          <t>Senior Cloud Data Engineer</t>
        </is>
      </c>
      <c r="C65" t="inlineStr">
        <is>
          <t>Arbitration Forums Inc.</t>
        </is>
      </c>
      <c r="D65" t="inlineStr">
        <is>
          <t>indeed</t>
        </is>
      </c>
      <c r="E65">
        <f>HYPERLINK("https://www.indeed.com/viewjob?jk=07cde8b42f3da231", "https://www.indeed.com/viewjob?jk=07cde8b42f3da231")</f>
        <v/>
      </c>
      <c r="F65">
        <f>HYPERLINK("https://workforcenow.adp.com/mascsr/default/mdf/recruitment/recruitment.html?cid=d93f8bcc-c6d8-48b5-a5fa-da225ac8ae69&amp;ccId=19000101_000001&amp;jobId=613449&amp;source=IN&amp;lang=en_US", "https://workforcenow.adp.com/mascsr/default/mdf/recruitment/recruitment.html?cid=d93f8bcc-c6d8-48b5-a5fa-da225ac8ae69&amp;ccId=19000101_000001&amp;jobId=613449&amp;source=IN&amp;lang=en_US")</f>
        <v/>
      </c>
      <c r="G65" t="inlineStr">
        <is>
          <t>Tampa, FL, US</t>
        </is>
      </c>
      <c r="H65" s="2" t="n">
        <v>46075</v>
      </c>
      <c r="I65" t="inlineStr">
        <is>
          <t>**DEPARTMENT:** Data Insights and Innovation
**JOB TITLE:** Senior Cloud Data Engineer
**JOB CODE:** SCDE
**REPORTS TO:** Lead Cloud Data Engineer
**FLSA STATUS:** Exempt
**EMPLOYMENT TYPE:** Full\-Time
**JOB PURPOSE:**
This role at Arbitration Forums is as unique as it is rewarding because of the AF IPAAL Values (Integrity, Passion, Accountability, Achievement, Leadership) and TRI Model (Trust, Respect, Inclusion).
The Senior Cloud Data Engineer will be responsible for designing, developing, and implementing robust, scalable, and secure data pipelines for modern cloud platforms to support analytics and AI/ML needs at Arbitration Forums, Inc. This role will streamline data acquisition from different data sources and set up processes to ensure data quality and data security.
**DEPARTMENTAL EXPECTATION OF EMPLOYEE**
* Adheres to AF Policy and Procedures and the AF IPAAL Values and TRI Model
* Acts as a role model within and outside AF.
* Performs duties as workload necessitates.
* Maintains a positive and respectful attitude.
* Communicates regularly with the departmental leader about department issues.
* Demonstrates flexible and efficient time management and ability to prioritize workload.
* Consistently reports to work on time, prepared to perform duties of the position.
* Meets Department productivity standards.
**ESSENTIAL DUTIES AND RESPONSIBILITIES**
**Data Engineering \&amp; Pipeline Development:**
* Design, develop, and implement robust, scalable, and secure data pipelines in a cloud environment.
* Build and manage ETL/ELT processes to efficiently move and transform large datasets from multiple data sources.
* Implement secure data access, encryption, and data masking policies.
* Develop automated processes to validate data quality and data accuracy.
* Document and maintain data workflows and diagrams.
* Work with data scientists and AI specialists to automate model deployment lifecycles (MLOps).
**Data pipeline/warehouse management**
* Configure and maintain cloud\-based data warehousing solutions.
* Optimize data warehouse storage strategies to support analytics and data science needs.
* Set up monitoring tools and alerts to maintain data warehouse availability and reliability.
* Troubleshoot, profile, and optimize data pipelines for performance issues to minimize latency.
**Collaboration**
* Work closely with data architects, data analysts and data scientists to understand their data needs and translate them into technical designs.
* Mentor and guide junior data engineers, perform code reviews, and establish best practices for could data engineering.
* Collaborate with DevOps and ITOps to implement CI/CD pipelines and robust DR strategies.
**QUALIFICATIONS**
* Bachelor’s degree in computer science, Computer Engineering, Information Systems, or a related field.
* 7\+ years of experience in data engineering with a focus on cloud data engineering.
**Technical Skills:**
* Profound understanding of major cloud platforms (AWS, GCP, Azure) and major cloud data platforms like Snowflake and Databricks.
* Hands\-on experience with data services offered by cloud platforms.
* Expertise in programming languages such as Python, Java, or Scala with strong SQL skills.
* Experience with ETL/ELT tools like Talend, DBT, Azure Data Factory, etc.
* Experience with CI/CD tools like GitLab/GitHub.
* Strong knowledge of data governance, data security, and compliance practices.
* Experience supporting data science and machine learning operations.
* Familiarity with data visualization and reporting tools (e.g., Power BI, Tableau).
**Soft Skills:**
* Excellent analytical and problem\-solving abilities.
* Strong communication and interpersonal skills to collaborate with cross\-functional teams.
* Auto Insurance claims industry experience preferred.
**AMERICANS WITH DISABILITY SPECIFICATIONS**
**PHYSICAL DEMANDS**
The physical demands described here are representative of those that must be met by an employee to successfully perform the essential functions of this job.
While performing the duties of this job, the employee is occasionally required to stand; walk; sit; use hands to finger, handle, or feel objects, tools or controls; reach with hands and arms; climb stairs; balance; stoop, kneel, crouch or crawl; talk or hear; taste or smell. The employee must occasionally lift and/or move up to 25 pounds. Specific vision abilities required by the job include close vision, distance vision, color vision, peripheral vision, depth perception, and the ability to adjust focus.
**WORK ENVIRONMENT**
This is a fully remote position requiring reliable high\-speed internet access and a dedicated workspace.
Reasonable accommodations may be made to enable individuals with disabilities to perform the essential functions.</t>
        </is>
      </c>
    </row>
    <row r="66">
      <c r="A66" t="inlineStr">
        <is>
          <t>in-1c8a49e90b17f1b9</t>
        </is>
      </c>
      <c r="B66" t="inlineStr">
        <is>
          <t>Data Engineer</t>
        </is>
      </c>
      <c r="C66" t="inlineStr">
        <is>
          <t>Qode</t>
        </is>
      </c>
      <c r="D66" t="inlineStr">
        <is>
          <t>indeed</t>
        </is>
      </c>
      <c r="E66">
        <f>HYPERLINK("https://www.indeed.com/viewjob?jk=1c8a49e90b17f1b9", "https://www.indeed.com/viewjob?jk=1c8a49e90b17f1b9")</f>
        <v/>
      </c>
      <c r="F66">
        <f>HYPERLINK("https://apply.workable.com/j/6082B68F3A", "https://apply.workable.com/j/6082B68F3A")</f>
        <v/>
      </c>
      <c r="G66" t="inlineStr">
        <is>
          <t>Pittsburgh, PA, US</t>
        </is>
      </c>
      <c r="H66" s="2" t="n">
        <v>46075</v>
      </c>
      <c r="I66" t="inlineStr">
        <is>
          <t>**Job Summary:** We are looking for a skilled Data Engineer with strong hands\-on experience in AWS to design, build, and maintain scalable data pipelines and cloud\-based data platforms. The ideal candidate will have expertise in modern data warehousing, ETL/ELT development, and distributed data processing while ensuring data quality, performance, and security.
**Key Responsibilities:** · Design, develop, and maintain scalable data pipelines using AWS services.· Build and optimize ETL/ELT workflows for structured and unstructured data.· Implement data lakes and data warehouses on AWS.· Work with large datasets to ensure high performance, reliability, and data integrity.· Collaborate with data analysts, data scientists, and business stakeholders to understand data requirements.· Perform data modeling for analytical and operational use cases.· Ensure data quality, governance, and security best practices.· Monitor and troubleshoot data workflows and production issues.· Support CI/CD and automation for data platform deployments.
**Required Skills \&amp; Experience:** · Strong hands\-on experience with AWS services such as S3, Glue, Redshift, Lambda, EMR, Athena, and RDS.· Proficiency in Python and SQL for data processing and analysis.· Experience in building and optimizing ETL/ELT pipelines.· Solid understanding of data warehousing and data lake architecture.· Experience with Apache Spark / PySpark.· Knowledge of workflow orchestration tools (Airflow or similar).· Familiarity with streaming frameworks (Kinesis/Kafka) is a plus.· Experience with data modeling and performance tuning.· Understanding of DevOps, CI/CD, and infrastructure as code (Terraform/CloudFormation).· Experience working in Agile/Scrum environments.
**Good to Have:** · Experience with Snowflake on AWS.· Exposure to real\-time data processing.· AWS certification (e.g., AWS Certified Data Analytics / Solutions Architect).
**Soft Skills:** · Strong problem\-solving and analytical skills.· Excellent communication and stakeholder management.· Ability to work in a fast\-paced, collaborative environment.</t>
        </is>
      </c>
    </row>
    <row r="67">
      <c r="A67" t="inlineStr">
        <is>
          <t>in-59ad45087f0478af</t>
        </is>
      </c>
      <c r="B67" t="inlineStr">
        <is>
          <t>Data Engineer</t>
        </is>
      </c>
      <c r="C67" t="inlineStr">
        <is>
          <t>Qode</t>
        </is>
      </c>
      <c r="D67" t="inlineStr">
        <is>
          <t>indeed</t>
        </is>
      </c>
      <c r="E67">
        <f>HYPERLINK("https://www.indeed.com/viewjob?jk=59ad45087f0478af", "https://www.indeed.com/viewjob?jk=59ad45087f0478af")</f>
        <v/>
      </c>
      <c r="F67">
        <f>HYPERLINK("https://apply.workable.com/j/5CE0740F81", "https://apply.workable.com/j/5CE0740F81")</f>
        <v/>
      </c>
      <c r="G67" t="inlineStr">
        <is>
          <t>Township of Jackson, NJ, US</t>
        </is>
      </c>
      <c r="H67" s="2" t="n">
        <v>46075</v>
      </c>
      <c r="I67" t="inlineStr">
        <is>
          <t>**Job Summary:** We are looking for a skilled Data Engineer with strong hands\-on experience in AWS to design, build, and maintain scalable data pipelines and cloud\-based data platforms. The ideal candidate will have expertise in modern data warehousing, ETL/ELT development, and distributed data processing while ensuring data quality, performance, and security.
**Key Responsibilities:** · Design, develop, and maintain scalable data pipelines using AWS services.· Build and optimize ETL/ELT workflows for structured and unstructured data.· Implement data lakes and data warehouses on AWS.· Work with large datasets to ensure high performance, reliability, and data integrity.· Collaborate with data analysts, data scientists, and business stakeholders to understand data requirements.· Perform data modeling for analytical and operational use cases.· Ensure data quality, governance, and security best practices.· Monitor and troubleshoot data workflows and production issues.· Support CI/CD and automation for data platform deployments.
**Required Skills \&amp; Experience:** · Strong hands\-on experience with AWS services such as S3, Glue, Redshift, Lambda, EMR, Athena, and RDS.· Proficiency in Python and SQL for data processing and analysis.· Experience in building and optimizing ETL/ELT pipelines.· Solid understanding of data warehousing and data lake architecture.· Experience with Apache Spark / PySpark.· Knowledge of workflow orchestration tools (Airflow or similar).· Familiarity with streaming frameworks (Kinesis/Kafka) is a plus.· Experience with data modeling and performance tuning.· Understanding of DevOps, CI/CD, and infrastructure as code (Terraform/CloudFormation).· Experience working in Agile/Scrum environments.
**Good to Have:** · Experience with Snowflake on AWS.· Exposure to real\-time data processing.· AWS certification (e.g., AWS Certified Data Analytics / Solutions Architect).
**Soft Skills:** · Strong problem\-solving and analytical skills.· Excellent communication and stakeholder management.· Ability to work in a fast\-paced, collaborative environment.</t>
        </is>
      </c>
    </row>
    <row r="68">
      <c r="A68" t="inlineStr">
        <is>
          <t>in-006cef078e473c76</t>
        </is>
      </c>
      <c r="B68" t="inlineStr">
        <is>
          <t>Data Engineer</t>
        </is>
      </c>
      <c r="C68" t="inlineStr">
        <is>
          <t>Qode</t>
        </is>
      </c>
      <c r="D68" t="inlineStr">
        <is>
          <t>indeed</t>
        </is>
      </c>
      <c r="E68">
        <f>HYPERLINK("https://www.indeed.com/viewjob?jk=006cef078e473c76", "https://www.indeed.com/viewjob?jk=006cef078e473c76")</f>
        <v/>
      </c>
      <c r="F68">
        <f>HYPERLINK("https://apply.workable.com/j/01FD813A07", "https://apply.workable.com/j/01FD813A07")</f>
        <v/>
      </c>
      <c r="G68" t="inlineStr">
        <is>
          <t>Fort Mill, SC, US</t>
        </is>
      </c>
      <c r="H68" s="2" t="n">
        <v>46075</v>
      </c>
      <c r="I68" t="inlineStr">
        <is>
          <t>**Job Summary:** We are looking for a skilled Data Engineer with strong hands\-on experience in AWS to design, build, and maintain scalable data pipelines and cloud\-based data platforms. The ideal candidate will have expertise in modern data warehousing, ETL/ELT development, and distributed data processing while ensuring data quality, performance, and security.
**Key Responsibilities:** · Design, develop, and maintain scalable data pipelines using AWS services.· Build and optimize ETL/ELT workflows for structured and unstructured data.· Implement data lakes and data warehouses on AWS.· Work with large datasets to ensure high performance, reliability, and data integrity.· Collaborate with data analysts, data scientists, and business stakeholders to understand data requirements.· Perform data modeling for analytical and operational use cases.· Ensure data quality, governance, and security best practices.· Monitor and troubleshoot data workflows and production issues.· Support CI/CD and automation for data platform deployments.
**Required Skills \&amp; Experience:** · Strong hands\-on experience with AWS services such as S3, Glue, Redshift, Lambda, EMR, Athena, and RDS.· Proficiency in Python and SQL for data processing and analysis.· Experience in building and optimizing ETL/ELT pipelines.· Solid understanding of data warehousing and data lake architecture.· Experience with Apache Spark / PySpark.· Knowledge of workflow orchestration tools (Airflow or similar).· Familiarity with streaming frameworks (Kinesis/Kafka) is a plus.· Experience with data modeling and performance tuning.· Understanding of DevOps, CI/CD, and infrastructure as code (Terraform/CloudFormation).· Experience working in Agile/Scrum environments.
**Good to Have:** · Experience with Snowflake on AWS.· Exposure to real\-time data processing.· AWS certification (e.g., AWS Certified Data Analytics / Solutions Architect).
**Soft Skills:** · Strong problem\-solving and analytical skills.· Excellent communication and stakeholder management.· Ability to work in a fast\-paced, collaborative environment.</t>
        </is>
      </c>
    </row>
    <row r="69">
      <c r="A69" t="inlineStr">
        <is>
          <t>in-ce84cfffa53abdae</t>
        </is>
      </c>
      <c r="B69" t="inlineStr">
        <is>
          <t>Data Engineer</t>
        </is>
      </c>
      <c r="C69" t="inlineStr">
        <is>
          <t>Qode</t>
        </is>
      </c>
      <c r="D69" t="inlineStr">
        <is>
          <t>indeed</t>
        </is>
      </c>
      <c r="E69">
        <f>HYPERLINK("https://www.indeed.com/viewjob?jk=ce84cfffa53abdae", "https://www.indeed.com/viewjob?jk=ce84cfffa53abdae")</f>
        <v/>
      </c>
      <c r="F69">
        <f>HYPERLINK("https://apply.workable.com/j/4801FA6674", "https://apply.workable.com/j/4801FA6674")</f>
        <v/>
      </c>
      <c r="G69" t="inlineStr">
        <is>
          <t>Cleveland, OH, US</t>
        </is>
      </c>
      <c r="H69" s="2" t="n">
        <v>46075</v>
      </c>
      <c r="I69" t="inlineStr">
        <is>
          <t>**Job Summary:** We are looking for a skilled Data Engineer with strong hands\-on experience in AWS to design, build, and maintain scalable data pipelines and cloud\-based data platforms. The ideal candidate will have expertise in modern data warehousing, ETL/ELT development, and distributed data processing while ensuring data quality, performance, and security.
**Key Responsibilities:** · Design, develop, and maintain scalable data pipelines using AWS services.· Build and optimize ETL/ELT workflows for structured and unstructured data.· Implement data lakes and data warehouses on AWS.· Work with large datasets to ensure high performance, reliability, and data integrity.· Collaborate with data analysts, data scientists, and business stakeholders to understand data requirements.· Perform data modeling for analytical and operational use cases.· Ensure data quality, governance, and security best practices.· Monitor and troubleshoot data workflows and production issues.· Support CI/CD and automation for data platform deployments.
**Required Skills \&amp; Experience:** · Strong hands\-on experience with AWS services such as S3, Glue, Redshift, Lambda, EMR, Athena, and RDS.· Proficiency in Python and SQL for data processing and analysis.· Experience in building and optimizing ETL/ELT pipelines.· Solid understanding of data warehousing and data lake architecture.· Experience with Apache Spark / PySpark.· Knowledge of workflow orchestration tools (Airflow or similar).· Familiarity with streaming frameworks (Kinesis/Kafka) is a plus.· Experience with data modeling and performance tuning.· Understanding of DevOps, CI/CD, and infrastructure as code (Terraform/CloudFormation).· Experience working in Agile/Scrum environments.
**Good to Have:** · Experience with Snowflake on AWS.· Exposure to real\-time data processing.· AWS certification (e.g., AWS Certified Data Analytics / Solutions Architect).
**Soft Skills:** · Strong problem\-solving and analytical skills.· Excellent communication and stakeholder management.· Ability to work in a fast\-paced, collaborative environment.</t>
        </is>
      </c>
    </row>
    <row r="70">
      <c r="A70" t="inlineStr">
        <is>
          <t>in-2ffea329c9e632fe</t>
        </is>
      </c>
      <c r="B70" t="inlineStr">
        <is>
          <t>Data Engineer</t>
        </is>
      </c>
      <c r="C70" t="inlineStr">
        <is>
          <t>Qode</t>
        </is>
      </c>
      <c r="D70" t="inlineStr">
        <is>
          <t>indeed</t>
        </is>
      </c>
      <c r="E70">
        <f>HYPERLINK("https://www.indeed.com/viewjob?jk=2ffea329c9e632fe", "https://www.indeed.com/viewjob?jk=2ffea329c9e632fe")</f>
        <v/>
      </c>
      <c r="F70">
        <f>HYPERLINK("https://apply.workable.com/j/ABB024EBA8", "https://apply.workable.com/j/ABB024EBA8")</f>
        <v/>
      </c>
      <c r="G70" t="inlineStr">
        <is>
          <t>Dallas, TX, US</t>
        </is>
      </c>
      <c r="H70" s="2" t="n">
        <v>46075</v>
      </c>
      <c r="I70" t="inlineStr">
        <is>
          <t>**Job Summary:** We are looking for a skilled Data Engineer with strong hands\-on experience in AWS to design, build, and maintain scalable data pipelines and cloud\-based data platforms. The ideal candidate will have expertise in modern data warehousing, ETL/ELT development, and distributed data processing while ensuring data quality, performance, and security.
**Key Responsibilities:** · Design, develop, and maintain scalable data pipelines using AWS services.· Build and optimize ETL/ELT workflows for structured and unstructured data.· Implement data lakes and data warehouses on AWS.· Work with large datasets to ensure high performance, reliability, and data integrity.· Collaborate with data analysts, data scientists, and business stakeholders to understand data requirements.· Perform data modeling for analytical and operational use cases.· Ensure data quality, governance, and security best practices.· Monitor and troubleshoot data workflows and production issues.· Support CI/CD and automation for data platform deployments.
**Required Skills \&amp; Experience:** · Strong hands\-on experience with AWS services such as S3, Glue, Redshift, Lambda, EMR, Athena, and RDS.· Proficiency in Python and SQL for data processing and analysis.· Experience in building and optimizing ETL/ELT pipelines.· Solid understanding of data warehousing and data lake architecture.· Experience with Apache Spark / PySpark.· Knowledge of workflow orchestration tools (Airflow or similar).· Familiarity with streaming frameworks (Kinesis/Kafka) is a plus.· Experience with data modeling and performance tuning.· Understanding of DevOps, CI/CD, and infrastructure as code (Terraform/CloudFormation).· Experience working in Agile/Scrum environments.
**Good to Have:** · Experience with Snowflake on AWS.· Exposure to real\-time data processing.· AWS certification (e.g., AWS Certified Data Analytics / Solutions Architect).
**Soft Skills:** · Strong problem\-solving and analytical skills.· Excellent communication and stakeholder management.· Ability to work in a fast\-paced, collaborative environment.</t>
        </is>
      </c>
    </row>
    <row r="71">
      <c r="A71" t="inlineStr">
        <is>
          <t>in-7c3e333683c0e97f</t>
        </is>
      </c>
      <c r="B71" t="inlineStr">
        <is>
          <t>Data Engineer II</t>
        </is>
      </c>
      <c r="C71" t="inlineStr">
        <is>
          <t>Penske Truck Leasing</t>
        </is>
      </c>
      <c r="D71" t="inlineStr">
        <is>
          <t>indeed</t>
        </is>
      </c>
      <c r="E71">
        <f>HYPERLINK("https://www.indeed.com/viewjob?jk=7c3e333683c0e97f", "https://www.indeed.com/viewjob?jk=7c3e333683c0e97f")</f>
        <v/>
      </c>
      <c r="F71">
        <f>HYPERLINK("https://rr.jobsyn.org/93972EC6D1624C57B5C8507D30FA2A8D1554", "https://rr.jobsyn.org/93972EC6D1624C57B5C8507D30FA2A8D1554")</f>
        <v/>
      </c>
      <c r="G71" t="inlineStr">
        <is>
          <t>Beachwood, OH, US</t>
        </is>
      </c>
      <c r="H71" s="2" t="n">
        <v>46075</v>
      </c>
      <c r="I71" t="inlineStr">
        <is>
          <t>Data Engineer II
Location: Beachwood, OH
Shift: Monday \- Friday 8\-5pm
As a Data Engineer II, you will be leading the effort to develop, enhance, and support existing and new data pipelines, data ingestions, data storage, and traditional Data\-warehouse/BI systems across medium and large sized projects concurrently.
You will support our software developers, database architects, data analysts and data scientists on vital initiatives and ensure optimal data delivery architecture consistent throughout ongoing projects. You will have the opportunity to influence our data and analytics roadmap by constant interactions with various business and technology teams.
You will lead the design of vital components and suggest/implement new frameworks and tools based on industry and technological trends and advances. You will also consult with process owners in reviewing, interpreting \&amp; developing systems in accordance with user requirements and ensuring code quality through proper documentation, best practices, and code reviews. Working in our collaborative environment, you will further develop your skills while also acting as a mentor and technical guide to other associate data engineers.
**Responsibilities:**
* Be the primary contact and lead support associate for multiple critical projects/data pipelines and integrations and resolve customer issues in a timely manner
* Collaborate with technical/business leaders, product owners, software engineers, data architects and data analysts to acquire and understand requirements / acceptance criteria
* Participate in defining Data Engineering Process and Technology strategies.
* Provide day\-to\-day task leadership and project reviews.
* Assemble large, complex data sets that meet functional / non\-functional business requirements
* Produce deliverables for medium to large sized projects with clean, well\-documented and easily maintainable code that adheres to defined coding standards
* Design and implement internal process improvements: automating manual processes, optimizing data delivery, re\-designing infrastructure for greater scalability, etc.
* Build and leverage the infrastructure required for optimal extraction, transformation, and loading of data from a wide variety of data sources both on premise and cloud
* Partner with cross functional teams to build analytics tools that utilize the data pipeline to provide actionable insights into key business performance metrics
* Participate in building data security and data governance guidelines
* Ensure solution is sustainable across implementation and use, troubleshooting and analyzing open issues and bug\-fixes and ensuring on\-time delivery and hand\-offs
* Communicate status and issues to team members and stakeholders
* Participate in Design and Deploy Tollgate reviews and gain buy in from cross\-functional teams including QA, Architect, Security, Webmaster and Operations
* Contribute and Influence the discovery and decision\-making process when changes to standards and technology are required (tools, conventions and design patterns)
* Assign projects and review deliverables from onshore and offshore software engineers
* Provide constructive input to department management regarding team members assigned to project
* Independently conduct new hire interviews
* Design and manage models to handle large datasets of existing structured and unstructured data
* Research and discover new methods to acquire data, and new applications for existing data
* Stay current with rapidly developing Data Engineering landscape and share knowledge internally and with customers
* Create recommendations for increasing data utilization based on understanding of data delivery environment
* Other duties as assigned
**Qualifications:**
* Bachelor’s Degree in Computer Science/Computer Engineering or equivalent years of software development experience required
* 10\+ years of overall technology experience.
* 8\+ years of Data Engineering, Data Modeling, and Data Warehousing experience required
* 2\+ years of experience working with Agile teams preferred
* 1\-2 years of experience leading medium to large projects
* Experience with Snowflake
* Experience with Azure Cloud
* Expert knowledge of full data engineering lifecycle
* Expert experience with Data Engineering tools such as Talend, BODS
* Strong experience with relational SQL and NoSQL databases
* Expert experience in building data pipelines, data ingestions, data integrations, data preparations, and traditional Data warehouses and DataMarts
* Strong experience in building processes supporting data transformation, data structures, metadata, dependency and workload management
* Strong analytic skills related to working with complex datasets
* Expertise in designing, validating and implementing multiple projects across the hybrid infrastructure (On\-cloud to On\-Premise and vice versa)
* Experience with big data tools such as Kafka
* Some experience with visualization tools such as Qlikview, Qliksense, Tableau, etc.
* In\-depth knowledge of appropriate design frameworks and patterns and experience in implementing them.
* Knowledge of industry wide technology strategies and best practices
* Understanding of message queuing, stream processing, and highly scalable ‘big data’ data stores
* Solid written and oral communication skills; ability to present ideas in business\-friendly and user\-friendly language
**Physical Requirements:**
*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 The associate will be required to: read; communicate verbally and/or in written form; remember and analyze certain information; and remember and understand certain instructions or guidelines.
* While performing the duties of this job, the associate may be required to stand, walk, and sit. The associate is frequently required to use hands to touch, handle, and feel, and to reach with hands and arms. The associate must be able to occasionally lift and/or move up to 25lbs/12kg.
* Specific vision abilities required by this job include close vision, distance vision, peripheral vision, depth perception and the ability to adjust focus.
Penske is an Equal Opportunity Employer
**About Penske Logistics**
Penske Logistics engineers state\-of\-the\-art transportation, warehousing and freight management solutions that deliver powerful business results for market\-leading companies. With operations in North America, South America, Europe and Asia, Penske and its associates help businesses move forward by increasing visibility and driving down supply\-chain costs. Visit Penske Logistics to learn more.
Job Category: Information Technology
Job Family: Analytics \&amp; Intelligence
Address: 3000 Auburn Dr
Primary Location: US\-OH\-Beachwood
Employer: Penske Logistics LLC
Req ID: 2601691</t>
        </is>
      </c>
    </row>
    <row r="72">
      <c r="A72" t="inlineStr">
        <is>
          <t>in-20dead3dbd1acb88</t>
        </is>
      </c>
      <c r="B72" t="inlineStr">
        <is>
          <t>Data engineer</t>
        </is>
      </c>
      <c r="C72" t="inlineStr">
        <is>
          <t>Stacklogy</t>
        </is>
      </c>
      <c r="D72" t="inlineStr">
        <is>
          <t>indeed</t>
        </is>
      </c>
      <c r="E72">
        <f>HYPERLINK("https://www.indeed.com/viewjob?jk=20dead3dbd1acb88", "https://www.indeed.com/viewjob?jk=20dead3dbd1acb88")</f>
        <v/>
      </c>
      <c r="F72">
        <f>HYPERLINK("https://stacklogy.com/career/", "https://stacklogy.com/career/")</f>
        <v/>
      </c>
      <c r="G72" t="inlineStr">
        <is>
          <t>US</t>
        </is>
      </c>
      <c r="H72" s="2" t="n">
        <v>46075</v>
      </c>
      <c r="I72"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73">
      <c r="A73" t="inlineStr">
        <is>
          <t>in-9ccddddfde460ab3</t>
        </is>
      </c>
      <c r="B73" t="inlineStr">
        <is>
          <t>Data Engineer III</t>
        </is>
      </c>
      <c r="C73" t="inlineStr">
        <is>
          <t>Bank of America</t>
        </is>
      </c>
      <c r="D73" t="inlineStr">
        <is>
          <t>indeed</t>
        </is>
      </c>
      <c r="E73">
        <f>HYPERLINK("https://www.indeed.com/viewjob?jk=9ccddddfde460ab3", "https://www.indeed.com/viewjob?jk=9ccddddfde460ab3")</f>
        <v/>
      </c>
      <c r="F73">
        <f>HYPERLINK("https://careers.bankofamerica.com/en-us/job-detail/26005638/data-engineer-iii-charlotte-north-carolina-united-states", "https://careers.bankofamerica.com/en-us/job-detail/26005638/data-engineer-iii-charlotte-north-carolina-united-states")</f>
        <v/>
      </c>
      <c r="G73" t="inlineStr">
        <is>
          <t>Charlotte, NC, US</t>
        </is>
      </c>
      <c r="H73" s="2" t="n">
        <v>46075</v>
      </c>
      <c r="I73"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driving efforts to develop and deliver complex data solutions to accomplish technology and business goals. Key responsibilities include leading code design and delivery tasks with the integration, cleaning, transformation and control of data in operational and analytical data systems. Job expectations include liaising with vendors and working with stakeholders and Product and Software Engineering teams to implement data requirements, analyzing performance, and researching and troubleshooting issues within system engineering domains.
Enterprise BI Technology (EBIT) team is seeking a Power BI Technical Lead and Architect to lead Power BI Cloud initiative and SSRS migrations to Power BI Platform. As a Technical Lead, you will be responsible for leading development and support of Power BI COE and will work closely with the rest of the Power BI team and business peers to effectively execute Business Intelligence project initiatives. This person should be able to deliver in a fast\-paced and deadline\-driven environment.
 **Responsibilities:**
* Leads story refinement and delivery of requirements through the delivery lifecycle and assists team members in resolving technical complexities
* Codes complex solutions to integrate, clean, transform, and control data, builds processes supporting data transformation, data structures, metadata, data quality controls, dependency, and workload management, assembles complex data sets, and communicates required information for deployment
* Leads documentation of system requirements, collaborates with development teams to understand data requirements and feasibility, and leverages architectural components to develop client requirements
* Leads testing teams to develop test plans, contributes to existing test suites including integration, regression, and performance, analyzes test reports, identifies test issues and errors, and leads triage of underlying causes
* Leads work efforts with technology partners and stakeholders to close gaps in data management standards adherence, negotiates paths forward by thinking outside the box to identify and communicate solutions to complex problems, and leverages knowledge of information systems, techniques, and processes
* Leads complex information technology projects to ensure on\-time delivery and adherence to release processes and risk management and defines and builds data pipelines to enable data\-informed decision making
* Mentors Data Engineers to enable continuous development and monitors key performance indicators and internal controls
**Required Qualification:**
* 10\+ years of Data Analytics and Reporting experience.
* 3\+ years of Tech lead experience.
* Hands\-on development Experience using Power BI.
* Development experience using other reporting tools like Tableau, MicroStrategy and Cognos.
* Good Analytical and Communication Skills
* Competent with Report Server and its metadata in SQL Server.
* Proven advanced skill and experience with Power BI development and administration.
* Proficient with querying languages, such as ANSI\-SQL, T\-SQL
* Problem solving / troubleshooting experience /skills to assist Production Support in issue resolution.
* Proven ability to independently champion business intelligence principles with business owners, application owners, data analysts and DBAs
* Proven ability to handle multiple projects while meeting deadlines and documenting progress towards those deadlines.
* Excellent communication skills (must be able to interface with both technical and business leaders in the organization)
* Ability to be a self\-starter that can provide leadership.
* Comprehensive understanding of the Agile Development process
* Bachelor's degree in computer science or related field
**Desired Qualification:**
* Experience leading or supporting enterprise Power BI Cloud implementations
* Hands‑on experience with SSRS modernization and migration to Power BI / PBIRS
* Familiarity with Power BI Premium and Microsoft Fabric capacity planning
* Experience establishing COE standards, governance frameworks, and operating models
* Prior experience mentoring or leading BI engineers and developers
* Strong understanding of enterprise BI security and compliance requirements
* Experience working with executive stakeholders and influencing technical direction
**Skills:**
* Analytical Thinking
* Application Development
* Data Management
* DevOps Practices
* Solution Design
* Agile Practices
* Collaboration
* Decision Making
* Risk Management
* Test Engineering
* Architecture
* Business Acumen
* Data Quality Management
* Financial Management
* Solution Delivery Process
**Shift:**
1st shift (United States of America)**Hours Per Week:**
40</t>
        </is>
      </c>
    </row>
    <row r="74">
      <c r="A74" t="inlineStr">
        <is>
          <t>in-f9c85da8d69519c6</t>
        </is>
      </c>
      <c r="B74" t="inlineStr">
        <is>
          <t>Data Engineer Co-op</t>
        </is>
      </c>
      <c r="C74" t="inlineStr"/>
      <c r="D74" t="inlineStr">
        <is>
          <t>indeed</t>
        </is>
      </c>
      <c r="E74">
        <f>HYPERLINK("https://www.indeed.com/viewjob?jk=f9c85da8d69519c6", "https://www.indeed.com/viewjob?jk=f9c85da8d69519c6")</f>
        <v/>
      </c>
      <c r="F74">
        <f>HYPERLINK("https://jobs.ashbyhq.com/megazone/ef48f5ae-8274-4294-adb3-a138616a4b34?utm_source=V1g6glpZ4M", "https://jobs.ashbyhq.com/megazone/ef48f5ae-8274-4294-adb3-a138616a4b34?utm_source=V1g6glpZ4M")</f>
        <v/>
      </c>
      <c r="G74" t="inlineStr">
        <is>
          <t>Rochester, NY, US</t>
        </is>
      </c>
      <c r="H74" s="2" t="n">
        <v>46075</v>
      </c>
      <c r="I74" t="inlineStr">
        <is>
          <t>### **Who We’re Looking For**
Megazone Cloud is looking for a **Data Engineer Co\-op** who is a "builder" at heart and eager to apply technical skills to real\-world customer problems. We need students who are curious, driven, and comfortable asking "what if?" to solve complex challenges.
You should be passionate about data engineering and ready to transition from classroom theory to professional execution. We value a "jack of all trades" approach—someone who is ready to jump into a fast\-moving environment and learn a modern tech stack by doing the work.
### **What You'll Do**
* **Direct Contribution:** Work as a real member of the technical team, helping build and maintain the data pipelines that power our business and client solutions.
* **Technical Mentorship:** Collaborate with senior engineers under a "force multiplier" leadership philosophy designed to level up your technical expertise.
* **Development:** Write and optimize **Python and SQL** code to automate processes and manage data workflows.
* **Project Integration:** Participate in team meetings and technical discovery, bringing a fresh perspective to design discussions.
* **Tooling \&amp; Ecosystems:** Gain hands\-on exposure to **AWS, Databricks, and Snowflake**.
* **Cross\-Functional Collaboration:** Work alongside data science and infrastructure teams to see how high\-growth startups scale.
### **What You Bring (Requirements)**
* **Education:** Currently pursuing a Bachelor’s or Master’s degree in Computer Science, Data Science, or a related technical field.
* **Timeline:** Expected graduation date of December 2026 or later.
* **Core Skills:** Academic or project\-based experience with **Python and SQL**.
* **Foundations:** A solid understanding of data structures, algorithms, and database principles.
* **Mindset:** A strategic "builder" mentality and a genuine thirst for technical knowledge.
* **Communication:** Ability to communicate technical ideas clearly and work effectively within a team.
* **Eligibility:** Must be currently eligible to work in the US.
### **Bonus Points**
* Projects involving **AWS, Databricks, or Snowflake**.
* Coursework in **GenAI** or **MLOps**.
* A link to your GitHub or a portfolio of your technical work.
### **Why You’ll Love It Here**
* **Our Product is Our People:** We invest in people who invest in themselves; your growth is our growth.
* **True Servant Leadership:** Our CTO and management team are here to empower you and clear roadblocks, not to micromanage.
* **Flat Organization, Real Impact:** Your designs and input directly shape our technical roadmap and our clients' success.
* **A "Learn\-from\-it" Culture:** We move fast—mistakes are treated as learning opportunities, not failures.
**NOTE:** *We are unable to provide sponsorship for this position.*
### **Why You'll Love It Here**
* **Our Product is Our People:** We live by this. We invest in people who invest in themselves. Your growth is our growth.
* **True Servant Leadership:** Our CTO leads with a "force multiplier" philosophy. Management is here to empower you and clear roadblocks, not to micromanage. We won't ask you to do anything we're not willing to do ourselves.
* **Flat Organization, Real Impact:** Your voice and designs will directly shape our technical roadmap and our clients' success. You'll work on the latest tech to solve real problems.
* **A "Learn\-from\-it" Culture:** We're moving fast and building new things. We believe mistakes are learning opportunities, not failures.
We seek diverse talent who are ready to make an immediate impact. We believe that innovation thrives when teams are built with a variety of backgrounds, experiences, and perspectives. If you are excited by this mission, we encourage you to apply, even if your experience doesn't perfectly match every qualification listed.
**Megazone Cloud is an Equal Opportunity Employer and participates in E\-Verify to confirm the employment eligibility of all new hires.**</t>
        </is>
      </c>
    </row>
    <row r="75">
      <c r="A75" t="inlineStr">
        <is>
          <t>in-274cd9218b893399</t>
        </is>
      </c>
      <c r="B75" t="inlineStr">
        <is>
          <t>Analytics Engineer 1-2 (Junior/Associate-Level)</t>
        </is>
      </c>
      <c r="C75" t="inlineStr">
        <is>
          <t>UNCOMN</t>
        </is>
      </c>
      <c r="D75" t="inlineStr">
        <is>
          <t>indeed</t>
        </is>
      </c>
      <c r="E75">
        <f>HYPERLINK("https://www.indeed.com/viewjob?jk=274cd9218b893399", "https://www.indeed.com/viewjob?jk=274cd9218b893399")</f>
        <v/>
      </c>
      <c r="F75">
        <f>HYPERLINK("https://uncomn.com/careers/?gnk=job&amp;gni=8a78879e9c72dc6a019c8c49a0d131ca&amp;gns=Indeed+Free", "https://uncomn.com/careers/?gnk=job&amp;gni=8a78879e9c72dc6a019c8c49a0d131ca&amp;gns=Indeed+Free")</f>
        <v/>
      </c>
      <c r="G75" t="inlineStr">
        <is>
          <t>Scott AFB, IL, US</t>
        </is>
      </c>
      <c r="H75" s="2" t="n">
        <v>46075</v>
      </c>
      <c r="I75" t="inlineStr">
        <is>
          <t>At **UN****COMN**, we don’t just fix issues; we deliver secure solutions that power essential operations in both the public and private sectors. Our team tackles tough challenges—whether it’s improving organizational systems, streamlining logistics, or making sense of complex data—all with one goal: helping our clients succeed so they can continue serving others.
We’ve built a culture rooted in our **Core Values**, where innovation thrives, work\-life balance is respected, and career growth is always encouraged. We're also proud to be recognized as a ‘**Top Workplace**,’ and that’s not just us talking; it’s our employees. Now, we’re looking for another Uncommon Genius to join our dynamic team. If you love solving puzzles, building new things, fixing what’s broken, or pushing the boundaries of creativity, we encourage you to explore the details of this position below!
**UN****COMN** is seeking an **Analytics Engineer 1\-2 (Junior/Associate)** to:
* Report and analyze system\-specific (JOPES) metrics related to validation, transportation feasibility, and allocation.
* Conduct recurring and ad hoc data analyses to support government and internal requests.
* Design, develop, and maintain analytical tools, data models, and reports.
* Write and optimize complex queries for data extraction and analysis.
* Develop and test analytical or statistical models using Python, R, and/or SQL.
* Research and provide actionable insights with minimal guidance.
* Identify and implement process or tool improvements.
* Collaborate with teams on project plans, deliverables, and updates.
* Communicate findings and risks clearly to managers and stakeholders.
* Apply critical and systems\-thinking to resolve analytical and technical issues.
* Support software evaluation, documentation, and system troubleshooting.
*This position description outlines the core duties for this role, but it is not all\-inclusive. Responsibilities may shift based on contract requirements, mission needs, or organizational objectives.* ***Position is contingent upon contract award.***
**Requirements**
* Bachelor’s in IT, Cybersecurity, Computer Science, Information Systems, Data Science, or Software Engineering and 1\+ year of related professional experience ***OR***
	+ Associate’s degree accompanied by 3\+ years of professional experience and an active CompTIA Security\+ or SSCP certification
* Must hold an active DoD secret clearance or higher.
* Familiarity with SQL, Python, data visualization tools, and database concepts.
* Excellent analytical, problem\-solving, and communication skills.
* Must be comfortable working on\-site, supporting occasional on\-call or after\-hours needs (with the ability to report within 2 hours if required), and willing to obtain any certifications needed to meet future client or contract requirements.
**Why** **UN****COMN?**
* **Instant Flexible PTO:** Enjoy flexible paid time off starting your very first day with us!
* **Generous Holidays:** Benefit from 7 paid holidays and up to 3 floating holidays annually.
* **Immediate Health Coverage:** Get access to comprehensive health benefits from day one.
* **401K Safe Harbor Match:** Secure your future with our top\-tier 401K matching program.
* **Growth Opportunities:** Advance your career with our training and education assistance programs.
* **Free Employee Assistance Program (EAP):** Access complimentary support services for you and your family.
*Note: Benefits apply to full\-time employees only.*
**Don’t meet every single requirement? We’re dedicated to building an uncommon, inclusive, and authentic workplace, so if you’re excited about this role but your experience doesn’t align perfectly with every qualification in the job description, we encourage you to apply anyways. You may be just the right candidate for this or other roles.**  
*All qualified applicants will receive consideration for employment without regard to race, color, religion, sex, or national origin.*</t>
        </is>
      </c>
    </row>
    <row r="76">
      <c r="A76" t="inlineStr">
        <is>
          <t>in-958f0954c73ffb6c</t>
        </is>
      </c>
      <c r="B76" t="inlineStr">
        <is>
          <t>Data Engineer</t>
        </is>
      </c>
      <c r="C76" t="inlineStr">
        <is>
          <t>Merz Aesthetics</t>
        </is>
      </c>
      <c r="D76" t="inlineStr">
        <is>
          <t>indeed</t>
        </is>
      </c>
      <c r="E76">
        <f>HYPERLINK("https://www.indeed.com/viewjob?jk=958f0954c73ffb6c", "https://www.indeed.com/viewjob?jk=958f0954c73ffb6c")</f>
        <v/>
      </c>
      <c r="F76">
        <f>HYPERLINK("https://careers.merzaesthetics.com/us/en/job/DATAE004542/Data-Engineer", "https://careers.merzaesthetics.com/us/en/job/DATAE004542/Data-Engineer")</f>
        <v/>
      </c>
      <c r="G76" t="inlineStr">
        <is>
          <t>Racine, WI, US</t>
        </is>
      </c>
      <c r="H76" s="2" t="n">
        <v>46075</v>
      </c>
      <c r="I76" t="inlineStr">
        <is>
          <t>Data Engineer
Location
Racine, WI, USA
Category
Other
Job Id
DATAE004542
Job Type
Full Time
Posted Date
 02/23/2026
About Us
Founded in 1908, Merz is a successful, family\-owned specialty healthcare company with a rich history. As a leading global aesthetics business, our award\-winning portfolio of injectables, devices, and skincare products empowers healthcare professionals to enhance confidence through aesthetic medicine. Our purpose is to fuel confidence by helping people look better, feel better, and live better. We believe you do not have to choose between living life and making a living. Live your best life with Merz Aesthetics.
A Brief Overview
As the organization's initial data engineering hire, this position will develop and support reliable OT to MES/UNS pipelines, integrate enterprise applications (ERP, QMS, complaints) through REST/SOAP APIs, and help establish repeatable integration practices for the data platform. Furthermore, they will collaborate with the first data scientist to build and maintain the organization's digital backbone.
What You Will Do
* Pipeline Engineering (Batch \&amp; Streaming) Design, implement, and operate reliable batch and streaming pipelines from OT and enterprise systems to the UNS and analytics platforms, implement event/streaming ingestion (e.g., MQTT, Kafka/Azure Event Hubs) and high\-throughput batch workflows, and ensuring performance, scalability, and maintainability.
* Systems Integration Connect laboratory and shop\-floor equipment to MES, ELN, LIMS and/or the UNS (e.g., OPC UA servers, Kepware, Ignition, industrial gateways), and integrate enterprise applications via REST/SOAP APIs, file drops/EDI, and CDC/connectors (e.g., ERP, QMS, CRM, complaints), with appropriate data contracts and versioning.
* Platform, CI/CD, and Reliability Build Infrastructure\-as\-Code (IaC) environments and implement CI/CD for data pipelines, including automated unit, integration, and data quality testing, and establish observability (logging, metrics, tracing), define SLAs/SLOs/SLIs, and author runbooks to support on\-call operations and continuous improvement.
* Security, Compliance, and Validation Enforce least\-privilege access, OT/IT network segmentation (including DMZ patterns), and secure secrets management and collaborate on CSV/GAMP 5 deliverables and ensure audit trails and change controls aligned to 21 CFR Part 11\.
* Collaboration and Standards Partner with data science and cross\-functional stakeholders to define and maintain data contracts, schemas, and naming conventions and develop reusable connectors, templates, and documentation to accelerate future integrations and promote consistency.
Minimum Requirements
* Bachelor's Degree Data Engineering or Computer Science
* 3\-5 years of data engineering and/or systems integration, with strong exposure to industrial/OT data or high\-throughput production systems
* 3\-5 years of hands\-on experience with OPC UA, AMQP and SCADA gateways.
* 3\-5 years working with REST/SOAP APIs, schema evolution, and CDC patterns.
* 2\+ years working in GxP environments with awareness of CSV expectations.
Preferred Qualifications
* Experience integrating MES, ERP, QMS, lab equipment and SCADA.
* Experience working with Ignition, Litmus, and Fuuz.
* Experience working with prompt engineering large language models.
Technical \&amp; Functional Skills
* Build/operate batch \&amp; streaming pipelines; performance tuning, backpressure handling, and idempotency.
* Tooling familiarity (e.g., Spark/Databricks/Synapse, Event Hubs/Kafka/IoT Hub or equivalent).
* Protocol familiarity (i.e. OPC UA, MQTT, AMQP, REST/SOAP, file/EDI).
* API design/consumption: pagination, throttling, OAuth/SAML/SAS, bulk loads, file drops with integrity checks.
* Translating ambiguous business needs into clear data contracts, SLAs, and acceptance criteria.
* Strong Python and SQL; Git\-based workflows; CI/CD (e.g., GitHub Actions, Azure DevOps).
* Proficiency with streaming and batch paradigms (e.g., Kafka/Event Hubs/IoT Hub, or equivalents).
* Good knowledge about organization standards, processes and customers, capability to expand this knowledge
* Ability to work with moderate guidance
* Ability to resolve problems by applying prescribed guidelines and policies
* Ability to explain complex information effectively \&amp; and support others in straight forward tasks
* Good MS Office package skills \&amp; familiarity with the most common AV technology.
Benefits:
* Comprehensive Medical, Dental, and Vision plans
* 20 days of Paid Time Off
* 15 paid holidays
* Paid Sick Leave
* Paid Parental Leave
* 401(k)
* Employee bonuses
* And more!
 Your benefits and PTO start the date you're hired with no waiting period!
This position is not eligible for employer\-sponsored work authorization. Applicants must be legally authorized to work in the United States without the need for current or future employer\-sponsored work authorization.</t>
        </is>
      </c>
    </row>
    <row r="77">
      <c r="A77" t="inlineStr">
        <is>
          <t>in-b83efe663e7f5074</t>
        </is>
      </c>
      <c r="B77" t="inlineStr">
        <is>
          <t>Data Engineer III</t>
        </is>
      </c>
      <c r="C77" t="inlineStr">
        <is>
          <t>Mulligan Funding, LLC</t>
        </is>
      </c>
      <c r="D77" t="inlineStr">
        <is>
          <t>indeed</t>
        </is>
      </c>
      <c r="E77">
        <f>HYPERLINK("https://www.indeed.com/viewjob?jk=b83efe663e7f5074", "https://www.indeed.com/viewjob?jk=b83efe663e7f5074")</f>
        <v/>
      </c>
      <c r="F77">
        <f>HYPERLINK("https://jobs.lever.co/mulliganfunding/a0227eff-9c87-4a3b-9d13-66b964190bd7?lever-source=Indeed", "https://jobs.lever.co/mulliganfunding/a0227eff-9c87-4a3b-9d13-66b964190bd7?lever-source=Indeed")</f>
        <v/>
      </c>
      <c r="G77" t="inlineStr">
        <is>
          <t>San Diego, CA, US</t>
        </is>
      </c>
      <c r="H77" s="2" t="n">
        <v>46075</v>
      </c>
      <c r="I77" t="inlineStr">
        <is>
          <t>*Headquartered in San Diego, Mulligan Funding serves as a leading provider of working capital (Up to $5M) to the small and medium\-sized businesses that fuel our country. Since 2008, we have prided ourselves on our collaborative, innovative, and customer\-focused approach. Enjoying a period of unprecedented growth, driven by the combination of cutting\-edge technology, human touch, and unwavering integrity, we are looking to add to our people first culture, with highly motivated and results\-oriented professionals, to push the limits of what’s possible while creating value for all of our partners.*  
As a *Data Engineer III*, you are responsible for leveraging data to drive business initiatives and ensuring the reliability, scalability, and accuracy of the data pipeline. You will collaborate closely with Data Analysts and Data Scientists to generate and validate data used for business decision\-making and predictive modeling. This role operates within high\-volume data environments integrating PostgreSQL, Azure Cosmos DB, and a modern Data Lakehouse architecture.
### **You will:**
* Design, implement, and optimize ETL and ELT pipelines using dbt to extract, transform, and load data into the data warehouse.
* Build, evolve, and maintain infrastructure for optimal data transformation and integration using Azure Event Hub or Event Grid, PostgreSQL, and Azure Cosmos DB.
* Manage and monitor complex data processing and storage infrastructure, including Data Lakes leveraging Apache Iceberg table formats.
* Perform advanced manipulation and analysis of large datasets using Trino for distributed SQL querying across diverse data sources.
* Utilize Python for high\-performance data manipulation, scripting, and process automation.
* Containerize and orchestrate data workloads using Docker and Kubernetes to ensure scalability and reliability.
* Develop architectural frameworks and tools that enable Data Science teams to build, train, and scale machine learning models on the Azure Machine Learning Platform.
* Automate and optimize data processes while implementing robust logging and monitoring practices.
* Partner strategically with Analytics and cross\-functional teams to deliver scalable data solutions within agreed timelines.
* Monitor, troubleshoot, and remediate complex data quality issues, including database schema modifications.
* Support data governance initiatives, including cataloging and lineage tracking.
* Collaborate with senior engineers to design data models, develop summarized datasets, and build data APIs with minimal guidance.
* Coach and mentor junior engineers on complex technical challenges.
* Write scripts and queries to support ad hoc data analysis.
* Perform other duties as assigned.
### **You have:**
* 5\+ years of relevant data engineering experience.
* A Bachelor’s degree in a related field.
* Expert\-level SQL and advanced experience with PostgreSQL schema design and query optimization.
* Deep proficiency in dbt for developing and managing modular, documented ETL and ELT pipelines.
* Advanced Python skills, including experience with pandas and polars for high\-performance data manipulation.
* Hands\-on experience with Azure Event Hub or Event Grid subscriptions and Azure Cosmos DB for streaming data storage.
* Experience managing Data Lake environments using Apache Iceberg table formats.
* Proficiency with Trino for federated SQL queries across disparate data sources.
* Experience with Git and modern source code management practices.
* Strong understanding of data management systems, data warehousing, and data modeling concepts.
* Ability to communicate effectively with both technical and non\-technical stakeholders.
### **You may also have:**
* Familiarity with Docker and Kubernetes for orchestrating data workloads and microservices.
* Experience supporting Machine Learning teams through the Azure Machine Learning Platform.
* Familiarity with R, Scala, or other scripting languages for automation.
* Experience with data governance tools for cataloging and lineage tracking.
### **We offer:**
* Comprehensive medical, vision and dental benefits that give you peace of mind.
* Flexible Spending Accounts (FSA) that let you use pre\-tax dollars to cover healthcare expenses.
* A fantastic 401K with matching contributions that helps you plan for retirement and build wealth over time.
* Generous sick, vacation, and holiday benefits that give you the time and flexibility you need to enjoy life.
* A gym membership contribution that supports your well\-being, and helps you stay energized and focused.
* An internal referral program that rewards you for bringing talented people to the team.
* Company events that foster a positive and inclusive culture, and create opportunities to bond and grow with your colleagues.
A reasonable estimate of the salary range for this role is $126,100 to $159,200 per year. In order to provide a competitive compensation package, Mulligan Funding takes into account a variety of factors including but not limited to market compensation data, relevant experience, skills, education, and certifications.
Mulligan Funding is an Equal Opportunity Employer (EOE) and takes great pride in building a diverse work environment. Qualified applicants are considered for employment without regard to age, race, religion, gender, national origin, sexual orientation, disability or veteran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8">
      <c r="A78" t="inlineStr">
        <is>
          <t>in-702658a0f4a74f2b</t>
        </is>
      </c>
      <c r="B78" t="inlineStr">
        <is>
          <t>Data Engineer</t>
        </is>
      </c>
      <c r="C78" t="inlineStr">
        <is>
          <t>CVS Health</t>
        </is>
      </c>
      <c r="D78" t="inlineStr">
        <is>
          <t>indeed</t>
        </is>
      </c>
      <c r="E78">
        <f>HYPERLINK("https://www.indeed.com/viewjob?jk=702658a0f4a74f2b", "https://www.indeed.com/viewjob?jk=702658a0f4a74f2b")</f>
        <v/>
      </c>
      <c r="F78">
        <f>HYPERLINK("https://click.appcast.io/t/0do52l6S2_SQXosao_S5RVAb-rK6cXuXWfM9Nxt5I14=", "https://click.appcast.io/t/0do52l6S2_SQXosao_S5RVAb-rK6cXuXWfM9Nxt5I14=")</f>
        <v/>
      </c>
      <c r="G78" t="inlineStr">
        <is>
          <t>Buffalo Grove, IL, US</t>
        </is>
      </c>
      <c r="H78" s="2" t="n">
        <v>46075</v>
      </c>
      <c r="I78"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If you’re eager to make a real impact in the health care industry through your own meaningful contributions, explore a role in technology with CVS Health. Our journey calls for technical innovators and data visionaries: come help us pave the way.
At CVS Health, we possess an extensive repository of healthcare data that spans over 150 million individuals, providing an unparalleled foundation for ambitious Data Engineers. In this role, you will engage with complex business challenges, harnessing modern tools and technologies to securely store, process, transform, and enrich terabyte to petabyte scale healthcare data. Your work will underpin data\-driven business decisions and contribute to our mission of delivering industry\-best data products / software with a customer\-first mindset and team\-oriented approach.
As a Data Engineer, you will be instrumental in designing, developing, and maintaining optimal data pipelines to assemble large and intricate datasets, catering to the business requirements of various CVS lines of business. Collaborating closely with teams, you will craft tools to provide actionable insights and integrate them with consumer touchpoints.
As leaders in healthcare, our analytics and engineering teams deliver innovative solutions to business problems by collaborating with cross\-functional teams in a dynamic and agile environment. You will be part of a team that values collaboration and encourages innovative thinking at all levels. You will be intellectually challenged to solve problems associated with large scale complex, structured and unstructured data, that will allow you to grow your technical skills and engineering expertise.
This role will work onsite in our Buffalo Grove, IL office 3 days per week (every other week).
**Required Qualifications**
* 1\+ years of experience with SQL, NoSQL
* 1\+ years of experience with Python
* 1\+ years of experience with Data warehouses (such as data modeling and technical architectures) and infrastructure components
* 1\+ years of experience with ETL/ELT, and building high\-volume data pipelines
* 1\+ year experience designing and building data engineering solutions in cloud environments (preferably GCP, open to AWS or Azure)
* 1\+ years of experience with reporting/analytic tools
* 1\+ years of experience with query optimization, data structures, transformation, metadata, dependency, and workload management
* 1\+ years of experience with Big data and cloud architecture
**Preferred Qualifications**
* Experience building Agentic AI solutions
* Experience with complex systems and solving challenging analytical problems
* Strong collaboration and communication skills within and across teams
* Experience with Git, CI/CD pipeline, and other DevOps principles/best practices
* Experience with bash shell scripts, UNIX utilities \&amp; UNIX Commands
* Understanding of software development methodologies including waterfall and agile
* Ability to leverage multiple tools and programming languages to analyze and manipulate data sets from disparate data sources
* Knowledge of API development
* Google Professional Data Engineer Certification
* Knowledge of microservices and SOA
* Formal SAFe and/or agile experience
* Previous healthcare experience and domain knowledge
**Education**
* Bachelor’s Degree or equivalent work experience in Computer Science, Information Systems, Data Engineering, Data Analytics, Machine Learning, or related field required
* Master’s Degree preferred
**Anticipated Weekly Hours**
40**Time Type**
Full time**Pay Range**
The typical pay range for this role is:
$79,310\.00 \- $158,620\.00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03/30/2026
Qualified applicants with arrest or conviction records will be considered for employment in accordance with all federal, state and local laws.</t>
        </is>
      </c>
    </row>
    <row r="79">
      <c r="A79" t="inlineStr">
        <is>
          <t>in-d9295dd5dd4ae3b5</t>
        </is>
      </c>
      <c r="B79" t="inlineStr">
        <is>
          <t>Senior Data Engineer</t>
        </is>
      </c>
      <c r="C79" t="inlineStr">
        <is>
          <t>CVS Health</t>
        </is>
      </c>
      <c r="D79" t="inlineStr">
        <is>
          <t>indeed</t>
        </is>
      </c>
      <c r="E79">
        <f>HYPERLINK("https://www.indeed.com/viewjob?jk=d9295dd5dd4ae3b5", "https://www.indeed.com/viewjob?jk=d9295dd5dd4ae3b5")</f>
        <v/>
      </c>
      <c r="F79">
        <f>HYPERLINK("https://click.appcast.io/t/C6-2dVScz97C8e2zE0roJwSO3iM3vYS2PBPdLsxPw_0=", "https://click.appcast.io/t/C6-2dVScz97C8e2zE0roJwSO3iM3vYS2PBPdLsxPw_0=")</f>
        <v/>
      </c>
      <c r="G79" t="inlineStr">
        <is>
          <t>Buffalo Grove, IL, US</t>
        </is>
      </c>
      <c r="H79" s="2" t="n">
        <v>46075</v>
      </c>
      <c r="I79"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If you’re eager to make a real impact in the health care industry through your own meaningful contributions, explore a role in technology with CVS Health. Our journey calls for technical innovators and data visionaries: come help us pave the way.
At CVS Health, we possess an extensive repository of healthcare data that spans over 150 million individuals, providing an unparalleled foundation for ambitious Data Engineers. In this role, you will engage with complex business challenges, harnessing modern tools and technologies to securely store, process, transform, and enrich terabyte to petabyte scale healthcare data. Your work will underpin data\-driven business decisions and contribute to our mission of delivering industry\-best data products / software with a customer\-first mindset and team\-oriented approach.
As a Senior Data Engineer, you will be instrumental in designing, developing, and maintaining optimal data pipelines to assemble large and intricate datasets, catering to the business requirements of various CVS lines of business. Collaborating closely with teams, you will craft tools to provide actionable insights and integrate them with consumer touchpoints.
As leaders in healthcare, our analytics and engineering teams deliver innovative solutions to business problems by collaborating with cross\-functional teams in a dynamic and agile environment. You will be part of a team that values collaboration and encourages innovative thinking at all levels. You will be intellectually challenged to solve problems associated with large scale complex, structured and unstructured data, that will allow you to grow your technical skills and engineering expertise.
This role will work onsite in our Buffalo Grove, IL office 3 days per week (every other week).
**Required Qualifications**
* 3\+ years of experience with SQL, NoSQL
* 3\+ years of experience with Python
* 3\+ years of experience with Data warehouses (such as data modeling and technical architectures) and infrastructure components
* 3\+ years of experience with ETL/ELT, and building high\-volume data pipelines
* 3\+ years of experience with reporting/analytic tools
* 3\+ years of experience with Query optimization, data structures, transformation, metadata, dependency, and workload management
* 3\+ years of experience with Big data and cloud architecture
* 3\+ years of hands\-on experience building modern data pipelines within a major cloud platform (preferably GCP, open to AWS or Azure)
* 3\+ years of experience with deployment/scaling of apps on containerized environment (i.e. Kubernetes, AKS)
* 3\+ years of experience with real\-time and streaming technology (i.e. Azure Event Hubs, Azure Functions, Kafka, Spark Streaming)
* 1\+ year(s) of soliciting complex requirements and managing relationships with key stakeholders
* 1\+ year(s) of experience independently managing deliverables
**Preferred Qualifications**
* Experience building Agentic AI tools
* Experience with Git, CI/CD pipeline, and other DevOps principles/best practices
* Experience with bash shell scripts, UNIX utilities \&amp; UNIX Commands
* Understanding of software development methodologies including waterfall and agile
* Ability to leverage multiple tools and programming languages to analyze and manipulate data sets from disparate data sources
* Knowledge of API development
* Experience with complex systems and solving challenging analytical problems
* Strong collaboration and communication skills within and across teams
* Google Professional Data Engineer Certification
* Knowledge of microservices and SOA
* Formal SAFe and/or agile experience
* Previous healthcare experience and domain knowledge
**Education**
* Bachelor’s Degree or equivalent work experience in Computer Science, Information Systems, Data Engineering, Data Analytics, Machine Learning, or related field required
* Master’s Degree preferred
**Anticipated Weekly Hours**
40**Time Type**
Full time**Pay Range**
The typical pay range for this role is:
$101,970\.00 \- $203,940\.00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03/30/2026
Qualified applicants with arrest or conviction records will be considered for employment in accordance with all federal, state and local laws.</t>
        </is>
      </c>
    </row>
    <row r="80">
      <c r="A80" t="inlineStr">
        <is>
          <t>in-9399e43212f996f8</t>
        </is>
      </c>
      <c r="B80" t="inlineStr">
        <is>
          <t>(Sr) Manager, Clinical Data Platform Engineer</t>
        </is>
      </c>
      <c r="C80" t="inlineStr">
        <is>
          <t>BioNTech</t>
        </is>
      </c>
      <c r="D80" t="inlineStr">
        <is>
          <t>indeed</t>
        </is>
      </c>
      <c r="E80">
        <f>HYPERLINK("https://www.indeed.com/viewjob?jk=9399e43212f996f8", "https://www.indeed.com/viewjob?jk=9399e43212f996f8")</f>
        <v/>
      </c>
      <c r="F80">
        <f>HYPERLINK("https://jobs.biontech.com/job/Cambridge-%28Sr%29-Manager%2C-Clinical-Data-Platform-Engineer-MA-MA-02139/1367019033/", "https://jobs.biontech.com/job/Cambridge-%28Sr%29-Manager%2C-Clinical-Data-Platform-Engineer-MA-MA-02139/1367019033/")</f>
        <v/>
      </c>
      <c r="G80" t="inlineStr">
        <is>
          <t>Cambridge, MA, US</t>
        </is>
      </c>
      <c r="H80" s="2" t="n">
        <v>46075</v>
      </c>
      <c r="I80" t="inlineStr">
        <is>
          <t>Cambridge, US; Gaithersburg, US; London, United Kingdom; Mainz, Germany \| full time \| Job ID: 11063
**About the Role:**
As a Clinical Data Platform Engineer, you will play a pivotal role in maintaining and enhancing BioNTech’s GxP\-aligned clinical data platform. Built on Databricks and operating on AWS, this platform is implemented using Terraform\-based Infrastructure\-as\-Code (IaC). Your work will be integral to ensuring the platform's reliability, compliance, scalability, and security while supporting high\-quality clinical data workflows. Collaborating closely with multidisciplinary teams, you will contribute to advancing BioNTech’s mission of revolutionizing medicine and improving global health.
**Your Contribution:**
* Partner with Solutions Architects to design and execute platform integrations and roadmaps
* Collaborate with Data Engineers to ensure reliable pipeline operations and scalable platform patterns
* Work alongside Clinical Data Managers to enable compliant access and workflow readiness
* Engage with Cloud, Security, and QA teams to ensure aligned operations within a validated environment
* Manage user provisioning and enforce validated configuration baselines for auditability controls
* Operate Databricks workspaces across environments while managing supporting AWS components
**A Good Match:**
* Bachelor’s degree or equivalent experience in computer science, engineering, or related fields with 5–8\+ years of experience in cloud\-based data platforms (AWS), and 2–4\+ years in Databricks administration, workspace configuration, and large‑scale data ecosystems
* Experience in GxP/GCP environments, auditability, data integrity requirements, and regulated data systems
* Familiarity with clinical data ecosystems (CDR/ODR, CRO data ingestion, study onboarding processes)
* Strong understanding of the Product Life Cycle of software products
* Expertise in Databricks Delta Sharing, service principal management, and multi\-workspace architectures
* Advanced troubleshooting skills across Databricks compute/runtime environments, AWS infrastructure components, and Terraform state management
* Proficiency in AWS IAM policies, KMS encryption services, Secrets Manager functionality, and S3 cloud storage patterns
* Practical experience with IAM configurations, network security protocols, S3 patterns for encryption workflows, and cloud governance frameworks
* Applied technical proficiency with IaC tools such as Terraform; GitHub version control; automated CI/CD pipelines
* Collaborative mindset with excellent communication skills for multidisciplinary team environments
If the position is filled in the US, the Expected Pay Range is 130,800/year to $209,400/year \+ benefits, annual bonus \&amp; equity (bonus and equity is variable and dependent on company and individual performance). Compensation for the role will depend on several factors, including responsibilities of the job, education, experience, knowledge, skills, and abilities. Compensation at other locations may vary significantly.
**Your Benefits:**
BioNTech is committed to the wellbeing of our team members and offers a variety of benefits in support of our diverse employee base. We offer competitive remuneration packages which is determined by the specific role, location of employment and also the selected candidate’s qualifications and experience.
Note: The availability, eligibility and design of the listed benefits may vary depending on the location. The final requirements for the individual use of our benefits are based on the company's internal policies and applicable law.
**How to apply:**
Apply now by sending us your application documents including Curriculum Vitae, copy of ID, copies of degree certificates and professional certificates, motivation letter as well as your contact details via our online form.
Please note:
Only applications sent via our online form shall be considered. By submitting your application, you acknowledge that a background check will be conducted as part of the recruitment process in accordance with applicable laws and regulations. If you are considered for the position, BioNTech will conduct the background check through our service provider ‘HireRight’. You will be informed accordingly by your BioNTech\-Recruiter.
We are looking forward receiving your application.
**Inspired? Become part of \#TeamBioNTech.**
**BioNTech, the story**
At BioNTech, we are more than just a biotechnology company – we are a community of innovators, scientists, and leaders dedicated to revolutionizing medicine by translating cutting\-edge science into survival. Your contributions here have the potential to improve the health of people worldwide, especially by addressing diseases with high medical needs like cancer and various infectious diseases.
Experience a dynamic workplace that embraces diversity in all its forms. We foster innovation, encourage creativity, and develop business strategies driven by our shared passion for advancing medicine.
Working at BioNTech means striving to achieve medical breakthroughs while growing your career in a meaningful way. Apply today and become part of a mission that has the potential to change lives around the world.
BioNTech does not tolerate discrimination, favoritism or harassment based on gender, political views, religion or belief, nationality, ethnic or social origin, age, sexual orientation, marital status, disability, physical appearance, health status or any other physical or personal characteristics. BioNTech is committed to creating a diverse and inclusive work environment. We are proud to be an equal opportunity employer. The main thing is that you suit us, and we suit you!
**BioNTech \- As unique as you**
www.biontech.com</t>
        </is>
      </c>
    </row>
    <row r="81">
      <c r="A81" t="inlineStr">
        <is>
          <t>in-f15a9458813e7e74</t>
        </is>
      </c>
      <c r="B81" t="inlineStr">
        <is>
          <t>Specialist, Data Engineer</t>
        </is>
      </c>
      <c r="C81" t="inlineStr">
        <is>
          <t>Nationwide Mutual Insurance Company</t>
        </is>
      </c>
      <c r="D81" t="inlineStr">
        <is>
          <t>indeed</t>
        </is>
      </c>
      <c r="E81">
        <f>HYPERLINK("https://www.indeed.com/viewjob?jk=f15a9458813e7e74", "https://www.indeed.com/viewjob?jk=f15a9458813e7e74")</f>
        <v/>
      </c>
      <c r="F81">
        <f>HYPERLINK("https://careers.nationwide.com/specialist-data-engineer/job/53C3658BC98F16163928F6BA28A82CC8", "https://careers.nationwide.com/specialist-data-engineer/job/53C3658BC98F16163928F6BA28A82CC8")</f>
        <v/>
      </c>
      <c r="G81" t="inlineStr">
        <is>
          <t>Columbus, OH, US</t>
        </is>
      </c>
      <c r="H81" s="2" t="n">
        <v>46075</v>
      </c>
      <c r="I81"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care.***This role does not qualify for employer\-sponsored work authorization. Nationwide does not participate in the Stem OPT Extension program.***  
This position is within the IDS DBO organization, supporting the HA Databases (HA DB) application area—a portfolio of highly available Oracle databases, including INDA, CPPF, ODBS, VLDM, EXPLAIN, and IWDB—that store core annuity, pension, and investment data to support critical back\-office and digital experiences.
 **Key Responsibilities:**
* **Design, build, and maintain data products and pipelines** (batch and streaming) to support reporting, analytics, dashboards, data science, and operational processes.
* **Acquire, transform, and integrate data** from multiple internal and external sources, including structured, semi‑structured, and unstructured data.
* **Develop data models and data flows** (e.g., dimensional models, data building blocks) that align to business needs and enterprise standards.
* **Translate business requirements into technical stories**, estimates, and implementation plans for agile delivery teams.
* **Implement and monitor data quality controls** to ensure accuracy, completeness, and reliability of production data; create and run unit and integration tests for data solutions.
* **Build and support APIs and data access methods** to expose curated data to downstream consumers and applications.
* **Apply DevSecOps practices**, including use of CI/CD pipelines, version control, and automated testing, in line with enterprise standards.
* **Partner with data architects, analysts, and business stakeholders** to ensure solutions meet business objectives, data governance expectations, and security/privacy requirements.
 **Technical Skills**
* Proficiency in SQL and at least one modern programming or scripting language such as Python and UNIX shell scripting.
* Experience with cloud data platforms and infrastructure (e.g., Snowflake, Databricks, or similar), including security and access management.
* Familiarity with ETL/ELT tools like Informatica, data pipelines, and orchestration frameworks.
* Working knowledge of modern data storage technologies (relational, dimensional, big data, and unstructured data stores).
**Job Description Summary**
Nationwide’s industry leading workforce is passionate about creating data solutions that are secure, reliable and efficient in support of our mission to provide extraordinary care. Nationwide embraces an agile work environment and collaborative culture through the understanding of business processes, relationship entities and requirements using data analysis, quality, visualization, governance, engineering, robotic process automation, and machine learning to produce targeted data solutions. If you have the drive and desire to be part of a future forward data enabled culture, we want to hear from you.  
As a Data Engineer you’ll be responsible for acquiring, curating, and publishing data for analytical or operational uses. Data should be in a ready\-to\-use form that creates a single version of the truth across all data consumers, including business users, data scientists, and Technology. Ready\-to\-use data can be for both real time and batch data processes and may include unstructured data. Successful data engineers have the skills typically required for the full lifecycle software engineering development from translating requirements into design, development, testing, deployment, and production maintenance tasks. You’ll have the opportunity to work with various technologies from big data, relational and SQL databases, unstructured data technology, and programming languages.**Job Description**
**Key Responsibilities:**
* Provides basic to moderate technical consultation on data product projects by analyzing end to end data product requirements and existing business processes to lead in the design, development and implementation of data products.
* Produces data building blocks, data models, and data flows for varying client demands such as dimensional data, standard and ad hoc reporting, data feeds, dashboard reporting, and data science research \&amp; exploration
* Applies secure software and systems engineering practices throughout the delivery lifecycle to ensure our data and technology solutions are protected from threats and vulnerabilities.
* Translates business data stories into a technical story breakdown structure and work estimate so value and fit for a schedule or sprint is determined.
* Creates simple to moderate business user access methods to structured and unstructured data by such techniques such as mapping data to a common data model, NLP, transforming data as necessary to satisfy business rules, AI, statistical computations and validation of data content.
* Assists the enterprise DevSecOps team and other internal organizations on CI/CD best practices experience using JIRA, Jenkins, Confluence etc.
* Implements production processes and systems to monitor data quality, ensuring production data is always accurate and available for key stakeholders and business processes that depend on it.
* Develops and maintains scalable data pipelines for both streaming and batch requirements and builds out new API integrations to support continuing increases in data volume and complexity.
* Writes and performs data unit/integration tests for data quality With input from a business requirements/story, creates and executes testing data and scripts to validate that quality and completeness criteria are satisfied. Can create automated testing programs and data that are re\-usable for future code changes.
* Practices code management and integration with engineering Git principle and practice repositories.
May perform other responsibilities as assigned.
**Reporting Relationships:** Reports to Manager/Director Data Leader.
**Typical Skills and Experiences:**
**Education**: Undergraduate studies in computer science, management information systems, business, statistics, math, a related field or comparable experience and education strongly preferred. Graduate studies in business, statistics, math, computer science or a related field are a plus.
**License/Certification/Designation**: Certifications are not required but encouraged.
**Experience**: Three to five years of relevant experience with data quality rules, data management organization/standards, practices and software development. Experience in data warehousing, statistical analysis, data models, and queries. One to three years’ experience with Cloud technology and infrastructure including security and access management. Insurance/financial services industry knowledge a plus.
**Knowledge, Abilities and Skills**: Data application and practices knowledge. Moderate to advanced skills with modern programming and scripting languages (e.g., SQL, R, Python, Spark, UNIX Shell scripting, Perl, or Ruby). Good problem solving, oral and written communication skills.
Other criteria, including leadership skills, competencies and experiences may take precedence.
Staffing exceptions to the above must be approved by the hiring manager’s leader and HR Business Partner.
**Values:** Regularly and consistently demonstrates the Nationwide Values.
**Job Conditions:**
**Overtime Eligibility:** Exempt (Not Eligible)
**Working Conditions**: Normal office environment.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Specialist, Data Engineer : $95,500\.00\-$177,500\.00
The expected starting salary range for Specialist, Data Engineer : $95,500\.00 \- $143,500\.00</t>
        </is>
      </c>
    </row>
    <row r="82">
      <c r="A82" t="inlineStr">
        <is>
          <t>in-65d238209415bd35</t>
        </is>
      </c>
      <c r="B82" t="inlineStr">
        <is>
          <t>AI/Machine Learning Data Engineer</t>
        </is>
      </c>
      <c r="C82" t="inlineStr">
        <is>
          <t>Acosta Group</t>
        </is>
      </c>
      <c r="D82" t="inlineStr">
        <is>
          <t>indeed</t>
        </is>
      </c>
      <c r="E82">
        <f>HYPERLINK("https://www.indeed.com/viewjob?jk=65d238209415bd35", "https://www.indeed.com/viewjob?jk=65d238209415bd35")</f>
        <v/>
      </c>
      <c r="F82">
        <f>HYPERLINK("https://eczy.fa.us2.oraclecloud.com:443/hcmUI/CandidateExperience/fr-CA/job/22580", "https://eczy.fa.us2.oraclecloud.com:443/hcmUI/CandidateExperience/fr-CA/job/22580")</f>
        <v/>
      </c>
      <c r="G82" t="inlineStr">
        <is>
          <t>Chesterfield, MO, US</t>
        </is>
      </c>
      <c r="H82" s="2" t="n">
        <v>46075</v>
      </c>
      <c r="I82" t="inlineStr">
        <is>
          <t>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Applicants must be **legally authorized to work in the United States and/or Canada** without the current or future need for **employer\-sponsored work authorization**.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Le Groupe Acosta est un collectif réunissant les agences de détail, de marketing et de services alimentaires les plus fiables : Acosta, ActionLink, CORE Foodservice, CROSSMARK, Mosaic, Premium Retail Services et Product Connections. Ensemble, nous mettons les consommateurs en contact avec les marques qu'ils aiment par le biais de la vente omnicanale, du merchandising, de la promotion des marques et du marketing intégré.  
Nous sommes conscients que nos collaborateurs sont à la base de notre succès. C'est pourquoi nous donnons la priorité à leur croissance, à leur développement et à leur bien\-être afin de les aider à atteindre leur plein potentiel. Grâce à des programmes conçus pour favoriser l'équilibre entre vie professionnelle et vie privée, nous offrons des opportunités adaptées à votre style de vie et à vos ambitions, que vous soyez à la recherche d'une flexibilité à temps partiel ou d'une progression de carrière à temps plein.  
Le Groupe Acosta est un employeur qui souscrit au principe de l'égalité des chances et veille à ce que les candidats handicapés bénéficient d'aménagements raisonnables. Si un aménagement raisonnable est nécessaire, veuillez contacter AskHR@acosta.com. N'oubliez pas d'indiquer "Accommodement pour les candidats" dans l'objet de votre courriel afin d'accélérer le traitement de la demande.  
Le Groupe Acosta estime en toute bonne foi que le salaire annuel minimum et maximum ou la fourchette de rémunération horaire pour cette opportunité sont exacts et raisonnables au moment de la publication.  
En postulant, vous acceptez notre Politique de Confidentialité et Nos Conditions D'utilisation</t>
        </is>
      </c>
    </row>
    <row r="83">
      <c r="A83" t="inlineStr">
        <is>
          <t>in-08527261a275aa62</t>
        </is>
      </c>
      <c r="B83" t="inlineStr">
        <is>
          <t>AI/Machine Learning Data Engineer</t>
        </is>
      </c>
      <c r="C83" t="inlineStr">
        <is>
          <t>Acosta Group</t>
        </is>
      </c>
      <c r="D83" t="inlineStr">
        <is>
          <t>indeed</t>
        </is>
      </c>
      <c r="E83">
        <f>HYPERLINK("https://www.indeed.com/viewjob?jk=08527261a275aa62", "https://www.indeed.com/viewjob?jk=08527261a275aa62")</f>
        <v/>
      </c>
      <c r="F83">
        <f>HYPERLINK("https://eczy.fa.us2.oraclecloud.com:443/hcmUI/CandidateExperience/fr-CA/job/22580", "https://eczy.fa.us2.oraclecloud.com:443/hcmUI/CandidateExperience/fr-CA/job/22580")</f>
        <v/>
      </c>
      <c r="G83" t="inlineStr">
        <is>
          <t>Jacksonville, FL, US</t>
        </is>
      </c>
      <c r="H83" s="2" t="n">
        <v>46075</v>
      </c>
      <c r="I83" t="inlineStr">
        <is>
          <t>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Applicants must be **legally authorized to work in the United States and/or Canada** without the current or future need for **employer\-sponsored work authorization**.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Le Groupe Acosta est un collectif réunissant les agences de détail, de marketing et de services alimentaires les plus fiables : Acosta, ActionLink, CORE Foodservice, CROSSMARK, Mosaic, Premium Retail Services et Product Connections. Ensemble, nous mettons les consommateurs en contact avec les marques qu'ils aiment par le biais de la vente omnicanale, du merchandising, de la promotion des marques et du marketing intégré.  
Nous sommes conscients que nos collaborateurs sont à la base de notre succès. C'est pourquoi nous donnons la priorité à leur croissance, à leur développement et à leur bien\-être afin de les aider à atteindre leur plein potentiel. Grâce à des programmes conçus pour favoriser l'équilibre entre vie professionnelle et vie privée, nous offrons des opportunités adaptées à votre style de vie et à vos ambitions, que vous soyez à la recherche d'une flexibilité à temps partiel ou d'une progression de carrière à temps plein.  
Le Groupe Acosta est un employeur qui souscrit au principe de l'égalité des chances et veille à ce que les candidats handicapés bénéficient d'aménagements raisonnables. Si un aménagement raisonnable est nécessaire, veuillez contacter AskHR@acosta.com. N'oubliez pas d'indiquer "Accommodement pour les candidats" dans l'objet de votre courriel afin d'accélérer le traitement de la demande.  
Le Groupe Acosta estime en toute bonne foi que le salaire annuel minimum et maximum ou la fourchette de rémunération horaire pour cette opportunité sont exacts et raisonnables au moment de la publication.  
En postulant, vous acceptez notre Politique de Confidentialité et Nos Conditions D'utilisation</t>
        </is>
      </c>
    </row>
    <row r="84">
      <c r="A84" t="inlineStr">
        <is>
          <t>in-dc66fc514f39b781</t>
        </is>
      </c>
      <c r="B84" t="inlineStr">
        <is>
          <t>AI/Machine Learning Data Engineer</t>
        </is>
      </c>
      <c r="C84" t="inlineStr">
        <is>
          <t>Acosta Group</t>
        </is>
      </c>
      <c r="D84" t="inlineStr">
        <is>
          <t>indeed</t>
        </is>
      </c>
      <c r="E84">
        <f>HYPERLINK("https://www.indeed.com/viewjob?jk=dc66fc514f39b781", "https://www.indeed.com/viewjob?jk=dc66fc514f39b781")</f>
        <v/>
      </c>
      <c r="F84">
        <f>HYPERLINK("https://eczy.fa.us2.oraclecloud.com:443/hcmUI/CandidateExperience/en/job/22580", "https://eczy.fa.us2.oraclecloud.com:443/hcmUI/CandidateExperience/en/job/22580")</f>
        <v/>
      </c>
      <c r="G84" t="inlineStr">
        <is>
          <t>Lewisville, TX, US</t>
        </is>
      </c>
      <c r="H84" s="2" t="n">
        <v>46075</v>
      </c>
      <c r="I84" t="inlineStr">
        <is>
          <t>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Applicants must be **legally authorized to work in the United States and/or Canada** without the current or future need for **employer\-sponsored work authorization**.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t>
        </is>
      </c>
    </row>
    <row r="85">
      <c r="A85" t="inlineStr">
        <is>
          <t>in-003cc1fe2c6f4d82</t>
        </is>
      </c>
      <c r="B85" t="inlineStr">
        <is>
          <t>AI/Machine Learning Data Engineer</t>
        </is>
      </c>
      <c r="C85" t="inlineStr">
        <is>
          <t>Acosta Group</t>
        </is>
      </c>
      <c r="D85" t="inlineStr">
        <is>
          <t>indeed</t>
        </is>
      </c>
      <c r="E85">
        <f>HYPERLINK("https://www.indeed.com/viewjob?jk=003cc1fe2c6f4d82", "https://www.indeed.com/viewjob?jk=003cc1fe2c6f4d82")</f>
        <v/>
      </c>
      <c r="F85">
        <f>HYPERLINK("https://eczy.fa.us2.oraclecloud.com:443/hcmUI/CandidateExperience/en/job/22580", "https://eczy.fa.us2.oraclecloud.com:443/hcmUI/CandidateExperience/en/job/22580")</f>
        <v/>
      </c>
      <c r="G85" t="inlineStr">
        <is>
          <t>Boise, ID, US</t>
        </is>
      </c>
      <c r="H85" s="2" t="n">
        <v>46075</v>
      </c>
      <c r="I85" t="inlineStr">
        <is>
          <t>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Applicants must be **legally authorized to work in the United States and/or Canada** without the current or future need for **employer\-sponsored work authorization**.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t>
        </is>
      </c>
    </row>
    <row r="86">
      <c r="A86" t="inlineStr">
        <is>
          <t>in-ceeb3d3f63ddd02b</t>
        </is>
      </c>
      <c r="B86" t="inlineStr">
        <is>
          <t>AI/Machine Learning Data Engineer</t>
        </is>
      </c>
      <c r="C86" t="inlineStr">
        <is>
          <t>Acosta Group</t>
        </is>
      </c>
      <c r="D86" t="inlineStr">
        <is>
          <t>indeed</t>
        </is>
      </c>
      <c r="E86">
        <f>HYPERLINK("https://www.indeed.com/viewjob?jk=ceeb3d3f63ddd02b", "https://www.indeed.com/viewjob?jk=ceeb3d3f63ddd02b")</f>
        <v/>
      </c>
      <c r="F86">
        <f>HYPERLINK("https://eczy.fa.us2.oraclecloud.com:443/hcmUI/CandidateExperience/en/job/22580", "https://eczy.fa.us2.oraclecloud.com:443/hcmUI/CandidateExperience/en/job/22580")</f>
        <v/>
      </c>
      <c r="G86" t="inlineStr">
        <is>
          <t>Chicago, IL, US</t>
        </is>
      </c>
      <c r="H86" s="2" t="n">
        <v>46075</v>
      </c>
      <c r="I86" t="inlineStr">
        <is>
          <t>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Applicants must be **legally authorized to work in the United States and/or Canada** without the current or future need for **employer\-sponsored work authorization**.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t>
        </is>
      </c>
    </row>
    <row r="87">
      <c r="A87" t="inlineStr">
        <is>
          <t>in-6394fdb64160187b</t>
        </is>
      </c>
      <c r="B87" t="inlineStr">
        <is>
          <t>AI/Machine Learning Data Engineer</t>
        </is>
      </c>
      <c r="C87" t="inlineStr">
        <is>
          <t>Acosta Group</t>
        </is>
      </c>
      <c r="D87" t="inlineStr">
        <is>
          <t>indeed</t>
        </is>
      </c>
      <c r="E87">
        <f>HYPERLINK("https://www.indeed.com/viewjob?jk=6394fdb64160187b", "https://www.indeed.com/viewjob?jk=6394fdb64160187b")</f>
        <v/>
      </c>
      <c r="F87">
        <f>HYPERLINK("https://eczy.fa.us2.oraclecloud.com:443/hcmUI/CandidateExperience/en/job/22580", "https://eczy.fa.us2.oraclecloud.com:443/hcmUI/CandidateExperience/en/job/22580")</f>
        <v/>
      </c>
      <c r="G87" t="inlineStr">
        <is>
          <t>Chesterfield, MO, US</t>
        </is>
      </c>
      <c r="H87" s="2" t="n">
        <v>46075</v>
      </c>
      <c r="I87" t="inlineStr">
        <is>
          <t>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Applicants must be **legally authorized to work in the United States and/or Canada** without the current or future need for **employer\-sponsored work authorization**.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t>
        </is>
      </c>
    </row>
    <row r="88">
      <c r="A88" t="inlineStr">
        <is>
          <t>in-4bf2ba0a6a2d2ef7</t>
        </is>
      </c>
      <c r="B88" t="inlineStr">
        <is>
          <t>AI/Machine Learning Data Engineer</t>
        </is>
      </c>
      <c r="C88" t="inlineStr">
        <is>
          <t>Acosta Group</t>
        </is>
      </c>
      <c r="D88" t="inlineStr">
        <is>
          <t>indeed</t>
        </is>
      </c>
      <c r="E88">
        <f>HYPERLINK("https://www.indeed.com/viewjob?jk=4bf2ba0a6a2d2ef7", "https://www.indeed.com/viewjob?jk=4bf2ba0a6a2d2ef7")</f>
        <v/>
      </c>
      <c r="F88">
        <f>HYPERLINK("https://eczy.fa.us2.oraclecloud.com:443/hcmUI/CandidateExperience/fr-CA/job/22580", "https://eczy.fa.us2.oraclecloud.com:443/hcmUI/CandidateExperience/fr-CA/job/22580")</f>
        <v/>
      </c>
      <c r="G88" t="inlineStr">
        <is>
          <t>Lewisville, TX, US</t>
        </is>
      </c>
      <c r="H88" s="2" t="n">
        <v>46075</v>
      </c>
      <c r="I88" t="inlineStr">
        <is>
          <t>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Applicants must be **legally authorized to work in the United States and/or Canada** without the current or future need for **employer\-sponsored work authorization**.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Le Groupe Acosta est un collectif réunissant les agences de détail, de marketing et de services alimentaires les plus fiables : Acosta, ActionLink, CORE Foodservice, CROSSMARK, Mosaic, Premium Retail Services et Product Connections. Ensemble, nous mettons les consommateurs en contact avec les marques qu'ils aiment par le biais de la vente omnicanale, du merchandising, de la promotion des marques et du marketing intégré.  
Nous sommes conscients que nos collaborateurs sont à la base de notre succès. C'est pourquoi nous donnons la priorité à leur croissance, à leur développement et à leur bien\-être afin de les aider à atteindre leur plein potentiel. Grâce à des programmes conçus pour favoriser l'équilibre entre vie professionnelle et vie privée, nous offrons des opportunités adaptées à votre style de vie et à vos ambitions, que vous soyez à la recherche d'une flexibilité à temps partiel ou d'une progression de carrière à temps plein.  
Le Groupe Acosta est un employeur qui souscrit au principe de l'égalité des chances et veille à ce que les candidats handicapés bénéficient d'aménagements raisonnables. Si un aménagement raisonnable est nécessaire, veuillez contacter AskHR@acosta.com. N'oubliez pas d'indiquer "Accommodement pour les candidats" dans l'objet de votre courriel afin d'accélérer le traitement de la demande.  
Le Groupe Acosta estime en toute bonne foi que le salaire annuel minimum et maximum ou la fourchette de rémunération horaire pour cette opportunité sont exacts et raisonnables au moment de la publication.  
En postulant, vous acceptez notre Politique de Confidentialité et Nos Conditions D'utilisation</t>
        </is>
      </c>
    </row>
    <row r="89">
      <c r="A89" t="inlineStr">
        <is>
          <t>in-6c579e60e29085a0</t>
        </is>
      </c>
      <c r="B89" t="inlineStr">
        <is>
          <t>AI/Machine Learning Data Engineer</t>
        </is>
      </c>
      <c r="C89" t="inlineStr">
        <is>
          <t>Acosta Group</t>
        </is>
      </c>
      <c r="D89" t="inlineStr">
        <is>
          <t>indeed</t>
        </is>
      </c>
      <c r="E89">
        <f>HYPERLINK("https://www.indeed.com/viewjob?jk=6c579e60e29085a0", "https://www.indeed.com/viewjob?jk=6c579e60e29085a0")</f>
        <v/>
      </c>
      <c r="F89">
        <f>HYPERLINK("https://eczy.fa.us2.oraclecloud.com:443/hcmUI/CandidateExperience/fr-CA/job/22580", "https://eczy.fa.us2.oraclecloud.com:443/hcmUI/CandidateExperience/fr-CA/job/22580")</f>
        <v/>
      </c>
      <c r="G89" t="inlineStr">
        <is>
          <t>Boise, ID, US</t>
        </is>
      </c>
      <c r="H89" s="2" t="n">
        <v>46075</v>
      </c>
      <c r="I89" t="inlineStr">
        <is>
          <t>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Applicants must be **legally authorized to work in the United States and/or Canada** without the current or future need for **employer\-sponsored work authorization**.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Le Groupe Acosta est un collectif réunissant les agences de détail, de marketing et de services alimentaires les plus fiables : Acosta, ActionLink, CORE Foodservice, CROSSMARK, Mosaic, Premium Retail Services et Product Connections. Ensemble, nous mettons les consommateurs en contact avec les marques qu'ils aiment par le biais de la vente omnicanale, du merchandising, de la promotion des marques et du marketing intégré.  
Nous sommes conscients que nos collaborateurs sont à la base de notre succès. C'est pourquoi nous donnons la priorité à leur croissance, à leur développement et à leur bien\-être afin de les aider à atteindre leur plein potentiel. Grâce à des programmes conçus pour favoriser l'équilibre entre vie professionnelle et vie privée, nous offrons des opportunités adaptées à votre style de vie et à vos ambitions, que vous soyez à la recherche d'une flexibilité à temps partiel ou d'une progression de carrière à temps plein.  
Le Groupe Acosta est un employeur qui souscrit au principe de l'égalité des chances et veille à ce que les candidats handicapés bénéficient d'aménagements raisonnables. Si un aménagement raisonnable est nécessaire, veuillez contacter AskHR@acosta.com. N'oubliez pas d'indiquer "Accommodement pour les candidats" dans l'objet de votre courriel afin d'accélérer le traitement de la demande.  
Le Groupe Acosta estime en toute bonne foi que le salaire annuel minimum et maximum ou la fourchette de rémunération horaire pour cette opportunité sont exacts et raisonnables au moment de la publication.  
En postulant, vous acceptez notre Politique de Confidentialité et Nos Conditions D'utilisation</t>
        </is>
      </c>
    </row>
    <row r="90">
      <c r="A90" t="inlineStr">
        <is>
          <t>in-9566bb3277fc5b3e</t>
        </is>
      </c>
      <c r="B90" t="inlineStr">
        <is>
          <t>AI/Machine Learning Data Engineer</t>
        </is>
      </c>
      <c r="C90" t="inlineStr">
        <is>
          <t>Acosta Group</t>
        </is>
      </c>
      <c r="D90" t="inlineStr">
        <is>
          <t>indeed</t>
        </is>
      </c>
      <c r="E90">
        <f>HYPERLINK("https://www.indeed.com/viewjob?jk=9566bb3277fc5b3e", "https://www.indeed.com/viewjob?jk=9566bb3277fc5b3e")</f>
        <v/>
      </c>
      <c r="F90">
        <f>HYPERLINK("https://eczy.fa.us2.oraclecloud.com:443/hcmUI/CandidateExperience/fr-CA/job/22580", "https://eczy.fa.us2.oraclecloud.com:443/hcmUI/CandidateExperience/fr-CA/job/22580")</f>
        <v/>
      </c>
      <c r="G90" t="inlineStr">
        <is>
          <t>Chicago, IL, US</t>
        </is>
      </c>
      <c r="H90" s="2" t="n">
        <v>46075</v>
      </c>
      <c r="I90" t="inlineStr">
        <is>
          <t>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Applicants must be **legally authorized to work in the United States and/or Canada** without the current or future need for **employer\-sponsored work authorization**.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Le Groupe Acosta est un collectif réunissant les agences de détail, de marketing et de services alimentaires les plus fiables : Acosta, ActionLink, CORE Foodservice, CROSSMARK, Mosaic, Premium Retail Services et Product Connections. Ensemble, nous mettons les consommateurs en contact avec les marques qu'ils aiment par le biais de la vente omnicanale, du merchandising, de la promotion des marques et du marketing intégré.  
Nous sommes conscients que nos collaborateurs sont à la base de notre succès. C'est pourquoi nous donnons la priorité à leur croissance, à leur développement et à leur bien\-être afin de les aider à atteindre leur plein potentiel. Grâce à des programmes conçus pour favoriser l'équilibre entre vie professionnelle et vie privée, nous offrons des opportunités adaptées à votre style de vie et à vos ambitions, que vous soyez à la recherche d'une flexibilité à temps partiel ou d'une progression de carrière à temps plein.  
Le Groupe Acosta est un employeur qui souscrit au principe de l'égalité des chances et veille à ce que les candidats handicapés bénéficient d'aménagements raisonnables. Si un aménagement raisonnable est nécessaire, veuillez contacter AskHR@acosta.com. N'oubliez pas d'indiquer "Accommodement pour les candidats" dans l'objet de votre courriel afin d'accélérer le traitement de la demande.  
Le Groupe Acosta estime en toute bonne foi que le salaire annuel minimum et maximum ou la fourchette de rémunération horaire pour cette opportunité sont exacts et raisonnables au moment de la publication.  
En postulant, vous acceptez notre Politique de Confidentialité et Nos Conditions D'utilisation</t>
        </is>
      </c>
    </row>
    <row r="91">
      <c r="A91" t="inlineStr">
        <is>
          <t>in-8b988c6d60df206b</t>
        </is>
      </c>
      <c r="B91" t="inlineStr">
        <is>
          <t>AI/Machine Learning Data Engineer</t>
        </is>
      </c>
      <c r="C91" t="inlineStr">
        <is>
          <t>Acosta Group</t>
        </is>
      </c>
      <c r="D91" t="inlineStr">
        <is>
          <t>indeed</t>
        </is>
      </c>
      <c r="E91">
        <f>HYPERLINK("https://www.indeed.com/viewjob?jk=8b988c6d60df206b", "https://www.indeed.com/viewjob?jk=8b988c6d60df206b")</f>
        <v/>
      </c>
      <c r="F91">
        <f>HYPERLINK("https://eczy.fa.us2.oraclecloud.com:443/hcmUI/CandidateExperience/fr-CA/job/22580", "https://eczy.fa.us2.oraclecloud.com:443/hcmUI/CandidateExperience/fr-CA/job/22580")</f>
        <v/>
      </c>
      <c r="G91" t="inlineStr">
        <is>
          <t>Rogers, AR, US</t>
        </is>
      </c>
      <c r="H91" s="2" t="n">
        <v>46075</v>
      </c>
      <c r="I91" t="inlineStr">
        <is>
          <t>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Applicants must be **legally authorized to work in the United States and/or Canada** without the current or future need for **employer\-sponsored work authorization**.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Le Groupe Acosta est un collectif réunissant les agences de détail, de marketing et de services alimentaires les plus fiables : Acosta, ActionLink, CORE Foodservice, CROSSMARK, Mosaic, Premium Retail Services et Product Connections. Ensemble, nous mettons les consommateurs en contact avec les marques qu'ils aiment par le biais de la vente omnicanale, du merchandising, de la promotion des marques et du marketing intégré.  
Nous sommes conscients que nos collaborateurs sont à la base de notre succès. C'est pourquoi nous donnons la priorité à leur croissance, à leur développement et à leur bien\-être afin de les aider à atteindre leur plein potentiel. Grâce à des programmes conçus pour favoriser l'équilibre entre vie professionnelle et vie privée, nous offrons des opportunités adaptées à votre style de vie et à vos ambitions, que vous soyez à la recherche d'une flexibilité à temps partiel ou d'une progression de carrière à temps plein.  
Le Groupe Acosta est un employeur qui souscrit au principe de l'égalité des chances et veille à ce que les candidats handicapés bénéficient d'aménagements raisonnables. Si un aménagement raisonnable est nécessaire, veuillez contacter AskHR@acosta.com. N'oubliez pas d'indiquer "Accommodement pour les candidats" dans l'objet de votre courriel afin d'accélérer le traitement de la demande.  
Le Groupe Acosta estime en toute bonne foi que le salaire annuel minimum et maximum ou la fourchette de rémunération horaire pour cette opportunité sont exacts et raisonnables au moment de la publication.  
En postulant, vous acceptez notre Politique de Confidentialité et Nos Conditions D'utilisation</t>
        </is>
      </c>
    </row>
    <row r="92">
      <c r="A92" t="inlineStr">
        <is>
          <t>in-40ae88bd702dcb13</t>
        </is>
      </c>
      <c r="B92" t="inlineStr">
        <is>
          <t>AI/Machine Learning Data Engineer</t>
        </is>
      </c>
      <c r="C92" t="inlineStr">
        <is>
          <t>Acosta Group</t>
        </is>
      </c>
      <c r="D92" t="inlineStr">
        <is>
          <t>indeed</t>
        </is>
      </c>
      <c r="E92">
        <f>HYPERLINK("https://www.indeed.com/viewjob?jk=40ae88bd702dcb13", "https://www.indeed.com/viewjob?jk=40ae88bd702dcb13")</f>
        <v/>
      </c>
      <c r="F92">
        <f>HYPERLINK("https://eczy.fa.us2.oraclecloud.com:443/hcmUI/CandidateExperience/en/job/22580", "https://eczy.fa.us2.oraclecloud.com:443/hcmUI/CandidateExperience/en/job/22580")</f>
        <v/>
      </c>
      <c r="G92" t="inlineStr">
        <is>
          <t>Jacksonville, FL, US</t>
        </is>
      </c>
      <c r="H92" s="2" t="n">
        <v>46075</v>
      </c>
      <c r="I92" t="inlineStr">
        <is>
          <t>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Applicants must be **legally authorized to work in the United States and/or Canada** without the current or future need for **employer\-sponsored work authorization**.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t>
        </is>
      </c>
    </row>
    <row r="93">
      <c r="A93" t="inlineStr">
        <is>
          <t>in-e490a596b2e349ab</t>
        </is>
      </c>
      <c r="B93" t="inlineStr">
        <is>
          <t>AI/Machine Learning Data Engineer</t>
        </is>
      </c>
      <c r="C93" t="inlineStr">
        <is>
          <t>Acosta Group</t>
        </is>
      </c>
      <c r="D93" t="inlineStr">
        <is>
          <t>indeed</t>
        </is>
      </c>
      <c r="E93">
        <f>HYPERLINK("https://www.indeed.com/viewjob?jk=e490a596b2e349ab", "https://www.indeed.com/viewjob?jk=e490a596b2e349ab")</f>
        <v/>
      </c>
      <c r="F93">
        <f>HYPERLINK("https://eczy.fa.us2.oraclecloud.com:443/hcmUI/CandidateExperience/en/job/22580", "https://eczy.fa.us2.oraclecloud.com:443/hcmUI/CandidateExperience/en/job/22580")</f>
        <v/>
      </c>
      <c r="G93" t="inlineStr">
        <is>
          <t>Rogers, AR, US</t>
        </is>
      </c>
      <c r="H93" s="2" t="n">
        <v>46075</v>
      </c>
      <c r="I93" t="inlineStr">
        <is>
          <t>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Applicants must be **legally authorized to work in the United States and/or Canada** without the current or future need for **employer\-sponsored work authorization**.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t>
        </is>
      </c>
    </row>
    <row r="94">
      <c r="A94" t="inlineStr">
        <is>
          <t>in-a9d8a29127eb9f1a</t>
        </is>
      </c>
      <c r="B94" t="inlineStr">
        <is>
          <t>Cyber Data Engineer</t>
        </is>
      </c>
      <c r="C94" t="inlineStr">
        <is>
          <t>BRS</t>
        </is>
      </c>
      <c r="D94" t="inlineStr">
        <is>
          <t>indeed</t>
        </is>
      </c>
      <c r="E94">
        <f>HYPERLINK("https://www.indeed.com/viewjob?jk=a9d8a29127eb9f1a", "https://www.indeed.com/viewjob?jk=a9d8a29127eb9f1a")</f>
        <v/>
      </c>
      <c r="F94">
        <f>HYPERLINK("https://jobs.dayforcehcm.com/en-US/brs/SSSCANDIDATEPORTAL/jobs/30926", "https://jobs.dayforcehcm.com/en-US/brs/SSSCANDIDATEPORTAL/jobs/30926")</f>
        <v/>
      </c>
      <c r="G94" t="inlineStr">
        <is>
          <t>San Antonio, TX, US</t>
        </is>
      </c>
      <c r="H94" s="2" t="n">
        <v>46075</v>
      </c>
      <c r="I94" t="inlineStr">
        <is>
          <t>STS Systems Support, LLC (SSS) is seeking a Cyber Data Engineer to support our ongoing mission in Texas.
**What You'll Do:**  
* Write and develop scripts to automate the system installation of required patches and configurations to remediated identified system vulnerabilities.
* Perform coding and development as required to augment default SIEM functionality and facilitate the intercommunications of various security controls. (CDRL A007\)
* Develops basic new cybersecurity capabilities. (CDRL A007\)
* Develop new and maintain existing Splunk, ELK or other search/analytics tool’s knowledge objects (Saved searches, reports, dashboards, data models, event types, field aliases, field extractions, macros, lookups, tags) to alert on potentially malicious activity or fulfill compliance/policy requirements. (CDRL A007\)
* Ensure critical data feeds and hosts are sending data.
* Develop, debug and maintain scripting languages.
* Create, install and test vulnerability fixes to Windows and Unix/Linux platforms.
* Assist/lead in conducting cybersecurity audits to ensure appropriate implementation and compliance of the security posture.
* Perform systems security engineering and test efforts associated with implementing security controls on networking devices, databases, operating systems, hardware, and software components.
* Develop vulnerability reports and investigation impact, resolution and verification of security vulnerabilities and patches; as well as, performing deep‐dive and impact analysis into failed patch deployments. (CDRL A008\)
* Develop and provide regular reports on patch management program and overall status of patch compliance. (CDRL A008\)
* Perform and provide vulnerability assessment results and recommendations to the ESM Lead, and DO as necessary.
* Assess known systems vulnerabilities and verify system hardening and patching activities to ensure compliance with the most current applicable Security Technical Implementation Guides (STIGs)/Security Requirements Guides (SRGs) and related checklists with no more than a 5% error rate.
* Document, implement and prioritize patching requirements across the AFIN/AFNet enterprise. (CDRL A008\)
* Provide OJT to other contractor employees, military, and/or civilian personnel, and ensure continuity folders/working aids are updated at least once per quarter in order to ensure efficient transition when personnel rotate.
* Maintain currency on latest industry trends and provide operational reports/assessments for development of tactics, techniques, and procedures. (CDRL A002\)
* Create, document, and report metrics for analysis to improve weapon system processes and mission execution. (CDRL A009\).
* Support operational leaderships tasking as it relates to Systems Security Engineer functions and responsibilities
**What You Bring:**  
* Must be a U.S. Citizen with an Active TS/SCI
* More than 3 years of relevant work experience. BA/BS or MA/MS
* Proficient w/ Splunk Processing Language (SPL), ELK Lucene Query Syntax or other search/analytics tool.
* Proficient with programming/scripting fundamentals – including regex, C\+\+, Python, RHEL, Unix Scripting, and Windows PowerShell is required.
* Linux\+/Red Hat; RHEL 7\.
* More than three (3\) years of relevant work experience, including experience in responding to security problems in target‐rich environments, looking at security alerts, frontline analysis, and response.
* Understanding of SIEM "Search" Language \&amp; Lucene Query Syntax. Understanding of SIEM Dashboard, Reports, Lookup Tables, and Summary Indexes.
* Knowledge of knowing how to customize Dashboards via the XML source.
* Experience with SIEM Apps and ELK.
* Experience with Python Scripting. Programming experience in Python, C/C\+\+, Java, or Go.
* Demonstrated expertise with malware analysis, including investigations of botnet and root‐kit behavior.
* Familiarity with information security concepts (OWASP Top 10, CVEs, IoCs, TTPs, Cryptography). Network Security Devices (IDS/IPS, NGFW, WAF, NGAV). OSSEC, Snort, Suricata Experience.
* Experience with at least one SIEM i.e Alienvault, Logrhythm, Splunk, Qradar , ELK and Firewalls such as Fortinet, Sonicwall, and Palo Alto.
* Scanning technologies, Log collection and analysis tools (SIEM).
* Experience with Scripting/Programming Languages (BASH, Python, Java, etc).
* Extensive knowledge of MITRE ATT\&amp;CK framework, and its uses within the cybersecurity community (e.g., Open Source projects).
**SSS offers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t>
        </is>
      </c>
    </row>
    <row r="95">
      <c r="A95" t="inlineStr">
        <is>
          <t>in-074ebeab3093055c</t>
        </is>
      </c>
      <c r="B95" t="inlineStr">
        <is>
          <t>Senior Data Engineer</t>
        </is>
      </c>
      <c r="C95" t="inlineStr">
        <is>
          <t>Mariner Wealth Advisors</t>
        </is>
      </c>
      <c r="D95" t="inlineStr">
        <is>
          <t>indeed</t>
        </is>
      </c>
      <c r="E95">
        <f>HYPERLINK("https://www.indeed.com/viewjob?jk=074ebeab3093055c", "https://www.indeed.com/viewjob?jk=074ebeab3093055c")</f>
        <v/>
      </c>
      <c r="F95">
        <f>HYPERLINK("https://ibnqjb.fa.ocs.oraclecloud.com/hcmUI/CandidateExperience/en/sites/CX_1/requisitions/preview/1519", "https://ibnqjb.fa.ocs.oraclecloud.com/hcmUI/CandidateExperience/en/sites/CX_1/requisitions/preview/1519")</f>
        <v/>
      </c>
      <c r="G95" t="inlineStr">
        <is>
          <t>Overland Park, KS, US</t>
        </is>
      </c>
      <c r="H95" s="2" t="n">
        <v>46075</v>
      </c>
      <c r="I95" t="inlineStr">
        <is>
          <t>**Job Summary:**
We are seeking candidates for a full\-time Senior Data Engineer role based out of our Overland Park, KS headquarters (hybrid, one in\-office day/wk). The candidate will join a team developing data\-pipelines, building enterprise data products and AI tools, deploying API and integration platforms, and constructing system integrations for Mariner’s ecosystem of enterprise platforms. This position will require developers to weave together ETL/ELT tools and practices, cloud and legacy databases, APIs and enterprise platforms, and automation systems to build scalable business tools, workflows, and products enabling Mariner’s front and back\-office. You will drive our CI/CD and IaC strategy, coach junior engineers and participate in code reviews, manage development projects, and enforce software lifecycle practices for the team. As a Sr. Data Engineer, you will be working in conjunction with like\-minded departments such as Data Management, Business Intelligence, Operations, Trading, Compliance, and IT. We are searching for positive, experienced, data obsessed engineer with a passion for the industry and a capacity to leverage a variety of technical disciplines to support Mariner’s growing portfolio of businesses.
**Essential Duties and Responsibilities:**
* Developing enterprise data platforms, data extraction, and mastering pipelines
* Systems integrations using python, API development, cloud platforms, and scripting languages
* Developing REST, GraphQL, and MCP APIs in AWS using Python.
* Cloud architecture and deployments using IaC tools
* CI/CD pipelines and deployment automation
* Developing and maintaining orchestration configurations and scheduling
* Building tools and processes for data validation, testing, alerting, and monitoring
* Developer coaching, guiding PR reviews, and code quality enforcement
* Supporting data\-operations and critical run\-the\-business automations (rotation\-based)
**Required Education and Experience:**
* A bachelors degree in Computer Science, Engineering, or related discipline
* Eight years (\&amp;\#43;) professional experience in software or data\-engineering
* Five years (\&amp;\#43;) experience in Python development
* Five years (\&amp;\#43;) experience in SQL development
* Prior experience with Snowflake
* Excellent verbal and written communication skills
**Preferred Education and Experience:**
* Experience building and deploying back\-end services and APIs
* Experience building and operating enterprise data pipelines
* Experience in the wealth management or financial services technology and platforms
* Experience managing tactical implementation projects, requirements refinement, and task tracking
* Experience working with stakeholders and subject matter experts on complex development projects
**Skills:**
* Developing and using cloud database platforms (Snowflake, Databricks, Redshift, RDS)
* Data analysis \&amp; pipelining tools (DBT, SQL, Python/Pandas, SnowSpark)
* Managing automation\\orchestration platforms (Windmill, Airflow, Dagster, ActiveBatch)
* Deploying AWS technologies S3\\ECS\\Lambda, Terraform and IaC deployment tools
* RESTful\\GraphQL\\MCP API development, integrations, and tooling (Strawberry, FastAPI, Postman)
* Deploying devops and CI/CD processes using GitHub
* Using common data formats and data exchanges (JSON, CSV, ODBC, FTP, S3, Parquet)
* Enterprise systems such as Salesforce, Oracle Fusion, portfolio management platforms, order\-management systems, and reporting tools (Tableau/Streamlit)
* Experience with scripting languages (PowerShell, Bash/Sh, etc)
* GenAI\\LLM tooling and agent development (Snowflake Cortex)
* Leveraging AI enabled code development and agentic workflows (Codex, Claude)
**Supervisory Responsibilities:**
* Coaching, PR Reviews, Project Management and Coordination
**Physical Demands/Requirements:**
The physical demands described here are representative of those requirements employees must meet to perform the essential functions of this job with or without reasonable accommodations. While performing job functions the employee is regularly required to sit, stand, write, review and type reports, compile data, operate a pc, communicate, listen, and assess information. The employee may move about the office complex, may travel to other office locations and may lift, push, pull or move 10 \- 15 pounds. Visual requirements include distant, close and color vision, and ability to adjust focus.
**Work Environment:**
This job operates in a professional office environment. This role routinely uses standard office equipment such as laptop computers, photocopiers and smartphones. Reasonable accommodations may be made to enable individuals with disabilities to perform the essential functions.
**Travel Requirement:**
Available for 1\-day a week in\-office (Overland Park HQ)</t>
        </is>
      </c>
    </row>
    <row r="96">
      <c r="A96" t="inlineStr">
        <is>
          <t>in-e566377201b9121f</t>
        </is>
      </c>
      <c r="B96" t="inlineStr">
        <is>
          <t>Senior Big Data Engineer</t>
        </is>
      </c>
      <c r="C96" t="inlineStr">
        <is>
          <t>Highmark Health</t>
        </is>
      </c>
      <c r="D96" t="inlineStr">
        <is>
          <t>indeed</t>
        </is>
      </c>
      <c r="E96">
        <f>HYPERLINK("https://www.indeed.com/viewjob?jk=e566377201b9121f", "https://www.indeed.com/viewjob?jk=e566377201b9121f")</f>
        <v/>
      </c>
      <c r="F96">
        <f>HYPERLINK("https://highmarkhealth.wd1.myworkdayjobs.com/en-US/highmark/job/PA-Working-at-Home---Pennsylvania/Senior-Big-Data-Engineer_J276968", "https://highmarkhealth.wd1.myworkdayjobs.com/en-US/highmark/job/PA-Working-at-Home---Pennsylvania/Senior-Big-Data-Engineer_J276968")</f>
        <v/>
      </c>
      <c r="G96" t="inlineStr">
        <is>
          <t>PA, US</t>
        </is>
      </c>
      <c r="H96" s="2" t="n">
        <v>46075</v>
      </c>
      <c r="I96" t="inlineStr">
        <is>
          <t>**Company :**
-------------
Highmark Health
**Job Description :**
---------------------
**JOB SUMMARY**
**\*\*\*CANDIDATE MUST BE US Citizen (due to contractual/access requirements)\*\*\***
This job is responsible for designing and engineering data solutions for the enterprise and, working closely with business, analytic and IT stakeholders, assists with the development and maintenance of these solutions. This includes coding data ingestion pipelines, transformations and delivery programs/logic for people and systems to access data for operational and/or analytic needs. Duties include but are not limited to the coding, testing, and implementation of ingestion and extraction pipelines, transformation and cleansing processes, and processes that load and curate data in conformed, fit\-for\-purpose data structures. The incumbent is expected to partner with others throughout the organization (including other engineers, architects, analysts, data scientists, and non\-technical audiences) in their daily work. The incumbent will work with cross\-functional teams to deliver and maintain data products and capabilities that support and enable strategies at business unit and enterprise levels. The incumbent is expected to utilize technologies such as, but not limited to: **Google Cloud Platform, SQL, Kafka, Python, Linux shell scripting, Teradata, Oracle, and Git** .
**ESSENTIAL RESPONSIBILITIES**
* In partnership with other business, platform, technology, and analytic teams across the enterprise, design, build and maintain well\-engineered data solutions in a variety of environments, including traditional data warehouses, Big Data solutions, and cloud\-oriented platforms. Create high performance cloud and big data systems to be used with operational and analytic applications.
* Work with internal and external platforms and systems to connect and align on data sourcing, flow, structure, and subject matter expertise. Work with business stakeholders and strategic partners to implement and support operational and analytic platforms. This may include products purchased by the organization that must be ingested or modeled/derived data maintained by enterprise platforms and data consumers.
* Working across multiple, disparate systems and platforms, design, code, test, implement, and maintain scalable and extensible frameworks that support data engineering services.
* Align with security, data governance and data quality programs by driving assigned components of metadata management, data quality management, and the application of business rules. Develop and maintain associated data engineering processes and participate in required operating procedures as part of the enterprise’s overall information management activities. Includes data cleansing, standardization, technical metadata documentation, and the de\-identification and/or tokenization of data.
* Develop, optimize and/or maintain machine learning and AI engineering processes (MLOps) that are deployed to cloud or big data environments. These may be based on prototypes built by data scientists or capability frameworks implemented to allow data scientists to build efficiently in production environments.
* Develop tasks across multiple projects with limited need for guidance. This includes providing guidance and education to Intermediate and Junior contributors within team. Manage relationships with customers of the function. Attend meetings with customers on a stand\-alone basis or with team as needed.
* Establish standards and patters for high performance data ingestion, transformation, and delivery of data analytic needs. Keep current with Big Data technologies in order to recommend best tools in order to perform current and future work
* Other duties as assigned or requested.
**EDUCATION**
**Required**
* Bachelor's Degree in Software Engineering, Information Systems, Computer Science, Data Science or related field
**Substitutions**
* None
**Preferred**
* Master's Degree in Software Engineering, Information Systems, Computer Science, Data Science or related field
**EXPERIENCE**
**Required**
* 5 years in Data platform development, data engineering, software development, or data science
* 3 years in Big data or cloud data platform
**Preferred**
* 3 years in Healthcare Industry
* 3 years of Data Warehousing
* 3 years of Database Administration
* Dashboarding (RShiny, Tableau, PowerBI)
**LICENSES AND CERTIFICATIONS**
**Required**
* None
**Preferred**
* Cloud certification (GCP, Azure, AWS)
**SKILLS**
* SQL
* Data Warehousing
* Problem\-Solving
* Communication Skills
* Analytical Skills
* Spark or Python or related tool
Cloud Technologies  
* 
**Language (Other than English):**
None
**Travel Requirement:**
0% \- 25%
**PHYSICAL, MENTAL DEMANDS and WORKING CONDITIONS**
**Position Type**
Office\-based
Teaches / trains others regularly
Rarely
Travel regularly from the office to various work sites or from site\-to\-site
Does Not Apply
Works primarily out\-of\-the office selling products/services (sales employees)
Never
Physical work site required
No
Lifting: up to 10 pounds
Constantly
Lifting: 10 to 25 pounds
Occasionally
Lifting: 25 to 50 pounds
Rarely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$147,500\.00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t>
        </is>
      </c>
    </row>
    <row r="97">
      <c r="A97" t="inlineStr">
        <is>
          <t>in-66d2cee577dac1f4</t>
        </is>
      </c>
      <c r="B97" t="inlineStr">
        <is>
          <t>Data Engineer III</t>
        </is>
      </c>
      <c r="C97" t="inlineStr">
        <is>
          <t>Ad Hoc</t>
        </is>
      </c>
      <c r="D97" t="inlineStr">
        <is>
          <t>indeed</t>
        </is>
      </c>
      <c r="E97">
        <f>HYPERLINK("https://www.indeed.com/viewjob?jk=66d2cee577dac1f4", "https://www.indeed.com/viewjob?jk=66d2cee577dac1f4")</f>
        <v/>
      </c>
      <c r="F97">
        <f>HYPERLINK("https://adhoc.hrmdirect.com/employment/view.php?req=3645447&amp;jbsrc=1014&amp;location=88e0d982-7321-3d28-2792-890a655a09ab", "https://adhoc.hrmdirect.com/employment/view.php?req=3645447&amp;jbsrc=1014&amp;location=88e0d982-7321-3d28-2792-890a655a09ab")</f>
        <v/>
      </c>
      <c r="G97" t="inlineStr">
        <is>
          <t>Remote, US</t>
        </is>
      </c>
      <c r="H97" s="2" t="n">
        <v>46072</v>
      </c>
      <c r="I97" t="inlineStr">
        <is>
          <t>**Data Engineer III**
=====================
**This is a remote position.**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Data Engineer III serves as an emerging individual contributor within a team, expanding your leadership, guidance and mentoring skills. With the support and guidance of leadership, you will be responsible for supporting the goal of meeting scope, schedule and delivery requirements. You will interact with stakeholders and utilize influential skills to drive improvements in data engineering processes and practices. Primary expectations of a Data Engineer III include:
* Builds data infrastructure, pipelines, systems, and tools with a little feedback and guidance from their team
* Intermediate understanding of data management and transformation of raw data into interpretable information
* Ability to create accurate and accessible datasets for Data Analysts and Scientists to interpret and use
* Own maintenance of data architectures and systems
* Practices technical and communications skills to improve context knowledge and mentor junior data engineers
* Presents on and writes about their work to both internal and external parties
* Participates in planning sessions, building an understanding of data architectures and infrastructure
* Supports recruiting efforts by evaluating homework assignments and potentially assisting with interviews
**Basic Qualifications:**
* Bachelor’s degree and 5\+ years of experience
	+ Relevant years of experience may be substituted for education
* Proficient with at least one family of data ingestion systems, cloud database services, and visualization software
* Background in key data concepts including constructing databases, processing big data, improving data accuracy, etc.
* Strong experience with Python / Apache Spark.
* Solid understanding of data modeling, ETL process, and distributed computing.
* Strong understanding of software design patterns, data structures, and algorithms.
* Related experience in analytic programming, data extraction, querying databases/data warehouses and data analysis.
**Preferred Qualifications:**
* AWS Experience (S3, EC2, Glue, Lambda, etc)
* R experience
* Professional Databricks/Apache Spark Certification(s)
* SAS experience
**To learn more about working at Ad Hoc, please visit:**https://adhocteam.us/join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$120,000\-130,000\. Our recruiters will be happy to answer any questions you may have, and we look forward to learning more about your salary requirements.
job reference:
https://adhoc.team/</t>
        </is>
      </c>
    </row>
    <row r="98">
      <c r="A98" t="inlineStr">
        <is>
          <t>in-af6b45100b393b5c</t>
        </is>
      </c>
      <c r="B98" t="inlineStr">
        <is>
          <t>Data Engineer III</t>
        </is>
      </c>
      <c r="C98" t="inlineStr">
        <is>
          <t>Ad Hoc</t>
        </is>
      </c>
      <c r="D98" t="inlineStr">
        <is>
          <t>indeed</t>
        </is>
      </c>
      <c r="E98">
        <f>HYPERLINK("https://www.indeed.com/viewjob?jk=af6b45100b393b5c", "https://www.indeed.com/viewjob?jk=af6b45100b393b5c")</f>
        <v/>
      </c>
      <c r="F98">
        <f>HYPERLINK("https://adhoc.hrmdirect.com/employment/view.php?req=3645447&amp;jbsrc=1014&amp;location=8ef2e597-4d51-e1c8-1921-5537b7dba51a", "https://adhoc.hrmdirect.com/employment/view.php?req=3645447&amp;jbsrc=1014&amp;location=8ef2e597-4d51-e1c8-1921-5537b7dba51a")</f>
        <v/>
      </c>
      <c r="G98" t="inlineStr">
        <is>
          <t>Washington, DC, US</t>
        </is>
      </c>
      <c r="H98" s="2" t="n">
        <v>46072</v>
      </c>
      <c r="I98" t="inlineStr">
        <is>
          <t>**Data Engineer III**
=====================
**This is a remote position.**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Data Engineer III serves as an emerging individual contributor within a team, expanding your leadership, guidance and mentoring skills. With the support and guidance of leadership, you will be responsible for supporting the goal of meeting scope, schedule and delivery requirements. You will interact with stakeholders and utilize influential skills to drive improvements in data engineering processes and practices. Primary expectations of a Data Engineer III include:
* Builds data infrastructure, pipelines, systems, and tools with a little feedback and guidance from their team
* Intermediate understanding of data management and transformation of raw data into interpretable information
* Ability to create accurate and accessible datasets for Data Analysts and Scientists to interpret and use
* Own maintenance of data architectures and systems
* Practices technical and communications skills to improve context knowledge and mentor junior data engineers
* Presents on and writes about their work to both internal and external parties
* Participates in planning sessions, building an understanding of data architectures and infrastructure
* Supports recruiting efforts by evaluating homework assignments and potentially assisting with interviews
**Basic Qualifications:**
* Bachelor’s degree and 5\+ years of experience
	+ Relevant years of experience may be substituted for education
* Proficient with at least one family of data ingestion systems, cloud database services, and visualization software
* Background in key data concepts including constructing databases, processing big data, improving data accuracy, etc.
* Strong experience with Python / Apache Spark.
* Solid understanding of data modeling, ETL process, and distributed computing.
* Strong understanding of software design patterns, data structures, and algorithms.
* Related experience in analytic programming, data extraction, querying databases/data warehouses and data analysis.
**Preferred Qualifications:**
* AWS Experience (S3, EC2, Glue, Lambda, etc)
* R experience
* Professional Databricks/Apache Spark Certification(s)
* SAS experience
**To learn more about working at Ad Hoc, please visit:**https://adhocteam.us/join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$120,000\-130,000\. Our recruiters will be happy to answer any questions you may have, and we look forward to learning more about your salary requirements.
job reference:
https://adhoc.team/</t>
        </is>
      </c>
    </row>
    <row r="99">
      <c r="A99" t="inlineStr">
        <is>
          <t>in-361f4d1c624c2cff</t>
        </is>
      </c>
      <c r="B99" t="inlineStr">
        <is>
          <t>Data Engineer I- Pathology</t>
        </is>
      </c>
      <c r="C99" t="inlineStr">
        <is>
          <t>Johns Hopkins University</t>
        </is>
      </c>
      <c r="D99" t="inlineStr">
        <is>
          <t>indeed</t>
        </is>
      </c>
      <c r="E99">
        <f>HYPERLINK("https://www.indeed.com/viewjob?jk=361f4d1c624c2cff", "https://www.indeed.com/viewjob?jk=361f4d1c624c2cff")</f>
        <v/>
      </c>
      <c r="F99">
        <f>HYPERLINK("https://hiring.jhu.edu/careers/job/1133911706171?hl=en_US&amp;domain=jhu.edu", "https://hiring.jhu.edu/careers/job/1133911706171?hl=en_US&amp;domain=jhu.edu")</f>
        <v/>
      </c>
      <c r="G99" t="inlineStr">
        <is>
          <t>Baltimore, MD, US</t>
        </is>
      </c>
      <c r="H99" s="2" t="n">
        <v>46070</v>
      </c>
      <c r="I99" t="inlineStr">
        <is>
          <t>The Pathology Department is seeking a ***Data Engineer I*** to assist with the creation and maintenance of complex data pipelines from raw acquisition of data to visualization. The Data Engineer I will support the design, production, and maintenance of software infrastructure to automatically extract, transform, and load data from diverse sources. The Data Engineer I will help input/output data from databases and realize complex queries. The Data Engineer I will support the creation of scripts for data manipulation, cleaning, filtering, and preparation of data outputs to be used for data visualization or web display. This will also include creating parts of systems to monitor and guarantee data quality, perform daily data quality assurance tasks, maintain, and troubleshoot the infrastructure, and audit data sources. The Data Engineer I will help explore and analyze data to answer policy\-related questions as needed.
 **Specific Duties \&amp; Responsibilities**
* Assist with the design, production, and maintenance of data pipelines for data acquisition, management, and transformation, and back\-end code development to power data web applications and convert raw data into usable information.
* Contribute to writing and maintenance of ETL/ELTs that operate on a variety of structured and unstructured sources.
* Assist with the development and maintenance of web data scraping systems for automatic data acquisition.
* Assist design data architecture and provide ongoing support.
* Assist with input/output data from databases and perform queries.
* Assist in the creation of scripts to clean, transform, and analyze data.
* Contribute to production data pipelines using data warehousing systems.
* Create and implement production software to monitor data quality and detect data anomalies.
* Perform daily manual data quality assurance tasks.
* Support, maintain, and troubleshoot the software infrastructure.
* Source data, conduct analyses, visualize data, and generate insights to support ongoing research projects and other requests across the organization.
* Assist developers, analysts, data scientists, researchers, policy experts, and other partners.
* Communicate with division leadership, and others on the team.
* Collaborate with external partners, contractors, and vendors.
* Other duties as assigned.
**Minimum Qualifications**  
* Bachelor’s Degree.
* Three years of related experience.
* Additional education may substitute for required experience, and additional related experience may substitute for required education beyond a high school diploma/graduation equivalent, to the extent permitted by the JHU equivalency formula.
**Preferred Qualifications** **Technical Skills \&amp; Expected Level of Proficiency**
* Data Pipeline Architecture \&amp; ETL/ELT Development \- Intermediate
* Database Querying \- Intermediate
* Data Tools and Platforms \- Intermediate
* Data Validation and Quality Assurance \- Intermediate
* Data Warehousing \&amp; Architecture \- Intermediate
* Project Management \- Intermediate
* Programming Languages \- Intermediate
* Troubleshooting \- Intermediate
* Web Scraping and Data Acquisition \- Intermediate
 *The core technical skills listed are most essential; additional technical skills may be required based on specific division or department needs.*
Classified Title: Data Engineer I  
Job Posting Title (Working Title): Data Engineer I\- Pathology
Role/Level/Range: ATP/04/PF
Starting Salary Range: $85,500 \- $149,800 Annually ($87,000 targeted; Commensurate w/exp.)  
Employee group: Full Time  
Schedule: Monday\-Friday 8:30am\-5:00pm  
FLSA Status: Exempt  
Location: School of Medicine Campus  
Department name: SOM Pat Molecular Diagnostics Lab  
Personnel area: School of Medicine</t>
        </is>
      </c>
    </row>
    <row r="100">
      <c r="A100" t="inlineStr">
        <is>
          <t>in-5733377aa93ada8c</t>
        </is>
      </c>
      <c r="B100" t="inlineStr">
        <is>
          <t>Data Engineer II , UTR PLanning Tech</t>
        </is>
      </c>
      <c r="C100" t="inlineStr">
        <is>
          <t>Amazon.com</t>
        </is>
      </c>
      <c r="D100" t="inlineStr">
        <is>
          <t>indeed</t>
        </is>
      </c>
      <c r="E100">
        <f>HYPERLINK("https://www.indeed.com/viewjob?jk=5733377aa93ada8c", "https://www.indeed.com/viewjob?jk=5733377aa93ada8c")</f>
        <v/>
      </c>
      <c r="F100">
        <f>HYPERLINK("https://www.amazon.jobs/jobs/3186425/data-engineer-ii--utr-planning-tech?cmpid=DA_INAD200785B", "https://www.amazon.jobs/jobs/3186425/data-engineer-ii--utr-planning-tech?cmpid=DA_INAD200785B")</f>
        <v/>
      </c>
      <c r="G100" t="inlineStr">
        <is>
          <t>Bellevue, WA, US</t>
        </is>
      </c>
      <c r="H100" s="2" t="n">
        <v>46070</v>
      </c>
      <c r="I100"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01">
      <c r="A101" t="inlineStr">
        <is>
          <t>in-130947ec29d84661</t>
        </is>
      </c>
      <c r="B101" t="inlineStr">
        <is>
          <t>Data Engineer II , UTR PLanning Tech</t>
        </is>
      </c>
      <c r="C101" t="inlineStr">
        <is>
          <t>Amazon.com</t>
        </is>
      </c>
      <c r="D101" t="inlineStr">
        <is>
          <t>indeed</t>
        </is>
      </c>
      <c r="E101">
        <f>HYPERLINK("https://www.indeed.com/viewjob?jk=130947ec29d84661", "https://www.indeed.com/viewjob?jk=130947ec29d84661")</f>
        <v/>
      </c>
      <c r="F101">
        <f>HYPERLINK("https://www.amazon.jobs/jobs/3186425/data-engineer-ii--utr-planning-tech?cmpid=DA_INAD200785B", "https://www.amazon.jobs/jobs/3186425/data-engineer-ii--utr-planning-tech?cmpid=DA_INAD200785B")</f>
        <v/>
      </c>
      <c r="G101" t="inlineStr">
        <is>
          <t>Nashville, TN, US</t>
        </is>
      </c>
      <c r="H101" s="2" t="n">
        <v>46070</v>
      </c>
      <c r="I101"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02">
      <c r="A102" t="inlineStr">
        <is>
          <t>in-853bbaf5a7970d9d</t>
        </is>
      </c>
      <c r="B102" t="inlineStr">
        <is>
          <t>Data Engineer II , UTR PLanning Tech</t>
        </is>
      </c>
      <c r="C102" t="inlineStr">
        <is>
          <t>Amazon.com</t>
        </is>
      </c>
      <c r="D102" t="inlineStr">
        <is>
          <t>indeed</t>
        </is>
      </c>
      <c r="E102">
        <f>HYPERLINK("https://www.indeed.com/viewjob?jk=853bbaf5a7970d9d", "https://www.indeed.com/viewjob?jk=853bbaf5a7970d9d")</f>
        <v/>
      </c>
      <c r="F102">
        <f>HYPERLINK("https://www.amazon.jobs/jobs/3186425/data-engineer-ii--utr-planning-tech?cmpid=DA_INAD200785B", "https://www.amazon.jobs/jobs/3186425/data-engineer-ii--utr-planning-tech?cmpid=DA_INAD200785B")</f>
        <v/>
      </c>
      <c r="G102" t="inlineStr">
        <is>
          <t>Austin, TX, US</t>
        </is>
      </c>
      <c r="H102" s="2" t="n">
        <v>46070</v>
      </c>
      <c r="I102"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03">
      <c r="A103" t="inlineStr">
        <is>
          <t>in-5cbfe02a230041b5</t>
        </is>
      </c>
      <c r="B103" t="inlineStr">
        <is>
          <t>Data Engineer II, UTR PLanning Tech</t>
        </is>
      </c>
      <c r="C103" t="inlineStr">
        <is>
          <t>Amazon.com</t>
        </is>
      </c>
      <c r="D103" t="inlineStr">
        <is>
          <t>indeed</t>
        </is>
      </c>
      <c r="E103">
        <f>HYPERLINK("https://www.indeed.com/viewjob?jk=5cbfe02a230041b5", "https://www.indeed.com/viewjob?jk=5cbfe02a230041b5")</f>
        <v/>
      </c>
      <c r="F103">
        <f>HYPERLINK("https://www.amazon.jobs/jobs/3186428/data-engineer-ii-utr-planning-tech?cmpid=DA_INAD200785B", "https://www.amazon.jobs/jobs/3186428/data-engineer-ii-utr-planning-tech?cmpid=DA_INAD200785B")</f>
        <v/>
      </c>
      <c r="G103" t="inlineStr">
        <is>
          <t>Bellevue, WA, US</t>
        </is>
      </c>
      <c r="H103" s="2" t="n">
        <v>46065</v>
      </c>
      <c r="I103"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04">
      <c r="A104" t="inlineStr">
        <is>
          <t>in-808912c09255bb0c</t>
        </is>
      </c>
      <c r="B104" t="inlineStr">
        <is>
          <t>Data Engineer II, UTR PLanning Tech</t>
        </is>
      </c>
      <c r="C104" t="inlineStr">
        <is>
          <t>Amazon.com</t>
        </is>
      </c>
      <c r="D104" t="inlineStr">
        <is>
          <t>indeed</t>
        </is>
      </c>
      <c r="E104">
        <f>HYPERLINK("https://www.indeed.com/viewjob?jk=808912c09255bb0c", "https://www.indeed.com/viewjob?jk=808912c09255bb0c")</f>
        <v/>
      </c>
      <c r="F104">
        <f>HYPERLINK("https://www.amazon.jobs/jobs/3186428/data-engineer-ii-utr-planning-tech?cmpid=DA_INAD200785B", "https://www.amazon.jobs/jobs/3186428/data-engineer-ii-utr-planning-tech?cmpid=DA_INAD200785B")</f>
        <v/>
      </c>
      <c r="G104" t="inlineStr">
        <is>
          <t>Austin, TX, US</t>
        </is>
      </c>
      <c r="H104" s="2" t="n">
        <v>46065</v>
      </c>
      <c r="I104"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05">
      <c r="A105" t="inlineStr">
        <is>
          <t>in-6ce367e94d7814e4</t>
        </is>
      </c>
      <c r="B105" t="inlineStr">
        <is>
          <t>Data Engineer I, UTR PLanning Tech</t>
        </is>
      </c>
      <c r="C105" t="inlineStr">
        <is>
          <t>Amazon.com</t>
        </is>
      </c>
      <c r="D105" t="inlineStr">
        <is>
          <t>indeed</t>
        </is>
      </c>
      <c r="E105">
        <f>HYPERLINK("https://www.indeed.com/viewjob?jk=6ce367e94d7814e4", "https://www.indeed.com/viewjob?jk=6ce367e94d7814e4")</f>
        <v/>
      </c>
      <c r="F105">
        <f>HYPERLINK("https://www.amazon.jobs/jobs/3186421/data-engineer-i-utr-planning-tech?cmpid=DA_INAD200785B", "https://www.amazon.jobs/jobs/3186421/data-engineer-i-utr-planning-tech?cmpid=DA_INAD200785B")</f>
        <v/>
      </c>
      <c r="G105" t="inlineStr">
        <is>
          <t>Bellevue, WA, US</t>
        </is>
      </c>
      <c r="H105" s="2" t="n">
        <v>46065</v>
      </c>
      <c r="I105"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06">
      <c r="A106" t="inlineStr">
        <is>
          <t>in-fafa019cef9f4846</t>
        </is>
      </c>
      <c r="B106" t="inlineStr">
        <is>
          <t>Data Engineer II, UTR PLanning Tech</t>
        </is>
      </c>
      <c r="C106" t="inlineStr">
        <is>
          <t>Amazon.com</t>
        </is>
      </c>
      <c r="D106" t="inlineStr">
        <is>
          <t>indeed</t>
        </is>
      </c>
      <c r="E106">
        <f>HYPERLINK("https://www.indeed.com/viewjob?jk=fafa019cef9f4846", "https://www.indeed.com/viewjob?jk=fafa019cef9f4846")</f>
        <v/>
      </c>
      <c r="F106">
        <f>HYPERLINK("https://www.amazon.jobs/jobs/3186428/data-engineer-ii-utr-planning-tech?cmpid=DA_INAD200785B", "https://www.amazon.jobs/jobs/3186428/data-engineer-ii-utr-planning-tech?cmpid=DA_INAD200785B")</f>
        <v/>
      </c>
      <c r="G106" t="inlineStr">
        <is>
          <t>Nashville, TN, US</t>
        </is>
      </c>
      <c r="H106" s="2" t="n">
        <v>46065</v>
      </c>
      <c r="I106"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07">
      <c r="A107" t="inlineStr">
        <is>
          <t>in-59afa12665e8e3ba</t>
        </is>
      </c>
      <c r="B107" t="inlineStr">
        <is>
          <t>Data Engineer I, UTR PLanning Tech</t>
        </is>
      </c>
      <c r="C107" t="inlineStr">
        <is>
          <t>Amazon.com</t>
        </is>
      </c>
      <c r="D107" t="inlineStr">
        <is>
          <t>indeed</t>
        </is>
      </c>
      <c r="E107">
        <f>HYPERLINK("https://www.indeed.com/viewjob?jk=59afa12665e8e3ba", "https://www.indeed.com/viewjob?jk=59afa12665e8e3ba")</f>
        <v/>
      </c>
      <c r="F107">
        <f>HYPERLINK("https://www.amazon.jobs/jobs/3186421/data-engineer-i-utr-planning-tech?cmpid=DA_INAD200785B", "https://www.amazon.jobs/jobs/3186421/data-engineer-i-utr-planning-tech?cmpid=DA_INAD200785B")</f>
        <v/>
      </c>
      <c r="G107" t="inlineStr">
        <is>
          <t>Nashville, TN, US</t>
        </is>
      </c>
      <c r="H107" s="2" t="n">
        <v>46065</v>
      </c>
      <c r="I107"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08">
      <c r="A108" t="inlineStr">
        <is>
          <t>in-b81db96c80361dbf</t>
        </is>
      </c>
      <c r="B108" t="inlineStr">
        <is>
          <t>Data Engineer I, UTR PLanning Tech</t>
        </is>
      </c>
      <c r="C108" t="inlineStr">
        <is>
          <t>Amazon.com</t>
        </is>
      </c>
      <c r="D108" t="inlineStr">
        <is>
          <t>indeed</t>
        </is>
      </c>
      <c r="E108">
        <f>HYPERLINK("https://www.indeed.com/viewjob?jk=b81db96c80361dbf", "https://www.indeed.com/viewjob?jk=b81db96c80361dbf")</f>
        <v/>
      </c>
      <c r="F108">
        <f>HYPERLINK("https://www.amazon.jobs/jobs/3186421/data-engineer-i-utr-planning-tech?cmpid=DA_INAD200785B", "https://www.amazon.jobs/jobs/3186421/data-engineer-i-utr-planning-tech?cmpid=DA_INAD200785B")</f>
        <v/>
      </c>
      <c r="G108" t="inlineStr">
        <is>
          <t>Austin, TX, US</t>
        </is>
      </c>
      <c r="H108" s="2" t="n">
        <v>46065</v>
      </c>
      <c r="I108"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09">
      <c r="A109" t="inlineStr">
        <is>
          <t>in-a3198d1d85635db9</t>
        </is>
      </c>
      <c r="B109" t="inlineStr">
        <is>
          <t>Data Engineer, Games Finance Analytics</t>
        </is>
      </c>
      <c r="C109" t="inlineStr">
        <is>
          <t>Amazon.com</t>
        </is>
      </c>
      <c r="D109" t="inlineStr">
        <is>
          <t>indeed</t>
        </is>
      </c>
      <c r="E109">
        <f>HYPERLINK("https://www.indeed.com/viewjob?jk=a3198d1d85635db9", "https://www.indeed.com/viewjob?jk=a3198d1d85635db9")</f>
        <v/>
      </c>
      <c r="F109">
        <f>HYPERLINK("https://www.amazon.jobs/jobs/3187244/data-engineer-games-finance-analytics?cmpid=DA_INAD200785B", "https://www.amazon.jobs/jobs/3187244/data-engineer-games-finance-analytics?cmpid=DA_INAD200785B")</f>
        <v/>
      </c>
      <c r="G109" t="inlineStr">
        <is>
          <t>Seattle, WA, US</t>
        </is>
      </c>
      <c r="H109" s="2" t="n">
        <v>46059</v>
      </c>
      <c r="I109" t="inlineStr">
        <is>
          <t>**DESCRIPTION**
---------------
The Amazon Luna team is leveraging the power of the cloud to enable customers to experience the rich and immersive world of gaming on all of their existing devices. Luna represents an exciting business, with a high degree of innovation, and an opportunity to reach a large volume of passionate customers.  
We are seeking a highly skilled and motivated Data Engineer to join our team (Games Finance Analytics) in Seattle. This is your opportunity to be a core part of the team that has direct impact on affecting the long\-term roadmap of Amazon Luna. As a DE, you will partner with several team members to design, develop, expand and optimize our data solutions. You will develop and support analytic capabilities to give flexible and structured access to data that is timely, accurate and actionable. The successful candidate will have deep subject matter expertise on optimizing data storage, processing structured and semi\-structured data streams to build self\-service business intelligence infrastructure for analysts and business teams.
Key job responsibilities  
* Develop and maintain infrastructure and data pipelines for Games Finance \&amp; Luna
* Build, maintain and optimize scalable self\-service solutions that empower stakeholders to address their data needs.
* Interface with internal and external teams to extract, transform, and load data from a wide variety of data sources
* Assist finance and business stakeholders in creating business requirement documents to drive projects, working backward from customer needs.
* Implement standardized, automated operational and quality control processes for complex datasets to deliver accurate and timely data and reporting to meet or exceed SLAs
* Communicate timely information to all stakeholders on current and future initiatives, prioritizing based on the organization’s needs
* Explore and adapt latest AWS technologies to provide new capabilities and increase efficiency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3\+ years of data engineering experience
* Master's degree or above in a quantitative/technical field such as computer science, engineering,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\- 101,300\.00 \- 160,000\.00 USD annually</t>
        </is>
      </c>
    </row>
    <row r="110">
      <c r="A110" t="inlineStr">
        <is>
          <t>in-d5349d4c1980f83c</t>
        </is>
      </c>
      <c r="B110" t="inlineStr">
        <is>
          <t>Data Engineer, AMZL Orbit Data Engineering</t>
        </is>
      </c>
      <c r="C110" t="inlineStr">
        <is>
          <t>Amazon.com</t>
        </is>
      </c>
      <c r="D110" t="inlineStr">
        <is>
          <t>indeed</t>
        </is>
      </c>
      <c r="E110">
        <f>HYPERLINK("https://www.indeed.com/viewjob?jk=d5349d4c1980f83c", "https://www.indeed.com/viewjob?jk=d5349d4c1980f83c")</f>
        <v/>
      </c>
      <c r="F110">
        <f>HYPERLINK("https://www.amazon.jobs/jobs/3184381/data-engineer-amzl-orbit-data-engineering?cmpid=DA_INAD200785B", "https://www.amazon.jobs/jobs/3184381/data-engineer-amzl-orbit-data-engineering?cmpid=DA_INAD200785B")</f>
        <v/>
      </c>
      <c r="G110" t="inlineStr">
        <is>
          <t>Bellevue, WA, US</t>
        </is>
      </c>
      <c r="H110" s="2" t="n">
        <v>46054</v>
      </c>
      <c r="I110"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11">
      <c r="A111" t="inlineStr">
        <is>
          <t>in-64214b0b1d4d7bf8</t>
        </is>
      </c>
      <c r="B111" t="inlineStr">
        <is>
          <t>Data Engineer, AMZL Orbit Data Engineering</t>
        </is>
      </c>
      <c r="C111" t="inlineStr">
        <is>
          <t>Amazon.com</t>
        </is>
      </c>
      <c r="D111" t="inlineStr">
        <is>
          <t>indeed</t>
        </is>
      </c>
      <c r="E111">
        <f>HYPERLINK("https://www.indeed.com/viewjob?jk=64214b0b1d4d7bf8", "https://www.indeed.com/viewjob?jk=64214b0b1d4d7bf8")</f>
        <v/>
      </c>
      <c r="F111">
        <f>HYPERLINK("https://www.amazon.jobs/jobs/3184381/data-engineer-amzl-orbit-data-engineering?cmpid=DA_INAD200785B", "https://www.amazon.jobs/jobs/3184381/data-engineer-amzl-orbit-data-engineering?cmpid=DA_INAD200785B")</f>
        <v/>
      </c>
      <c r="G111" t="inlineStr">
        <is>
          <t>Austin, TX, US</t>
        </is>
      </c>
      <c r="H111" s="2" t="n">
        <v>46054</v>
      </c>
      <c r="I111"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12">
      <c r="A112" t="inlineStr">
        <is>
          <t>in-8e37d784cc17c626</t>
        </is>
      </c>
      <c r="B112" t="inlineStr">
        <is>
          <t>Data Engineer, AMZL Orbit Data Engineering</t>
        </is>
      </c>
      <c r="C112" t="inlineStr">
        <is>
          <t>Amazon.com</t>
        </is>
      </c>
      <c r="D112" t="inlineStr">
        <is>
          <t>indeed</t>
        </is>
      </c>
      <c r="E112">
        <f>HYPERLINK("https://www.indeed.com/viewjob?jk=8e37d784cc17c626", "https://www.indeed.com/viewjob?jk=8e37d784cc17c626")</f>
        <v/>
      </c>
      <c r="F112">
        <f>HYPERLINK("https://www.amazon.jobs/jobs/3184381/data-engineer-amzl-orbit-data-engineering?cmpid=DA_INAD200785B", "https://www.amazon.jobs/jobs/3184381/data-engineer-amzl-orbit-data-engineering?cmpid=DA_INAD200785B")</f>
        <v/>
      </c>
      <c r="G112" t="inlineStr">
        <is>
          <t>Nashville, TN, US</t>
        </is>
      </c>
      <c r="H112" s="2" t="n">
        <v>46054</v>
      </c>
      <c r="I112"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13">
      <c r="A113" t="inlineStr">
        <is>
          <t>in-6f95d17b9234be25</t>
        </is>
      </c>
      <c r="B113" t="inlineStr">
        <is>
          <t>Data Engineer , AWS Infrastructure Supply Chain Intelligence</t>
        </is>
      </c>
      <c r="C113" t="inlineStr">
        <is>
          <t>Amazon.com</t>
        </is>
      </c>
      <c r="D113" t="inlineStr">
        <is>
          <t>indeed</t>
        </is>
      </c>
      <c r="E113">
        <f>HYPERLINK("https://www.indeed.com/viewjob?jk=6f95d17b9234be25", "https://www.indeed.com/viewjob?jk=6f95d17b9234be25")</f>
        <v/>
      </c>
      <c r="F113">
        <f>HYPERLINK("https://www.amazon.jobs/jobs/3187071/data-engineer--aws-infrastructure-supply-chain-intelligence?cmpid=DA_INAD200785B", "https://www.amazon.jobs/jobs/3187071/data-engineer--aws-infrastructure-supply-chain-intelligence?cmpid=DA_INAD200785B")</f>
        <v/>
      </c>
      <c r="G113" t="inlineStr">
        <is>
          <t>Bellevue, WA, US</t>
        </is>
      </c>
      <c r="H113" s="2" t="n">
        <v>46043</v>
      </c>
      <c r="I11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We are looking for a talented Data Engineer to join the Manufacturing Operations, Transportation Operations, and Reverse (MOTOR) organization in support of our Supply Chain Intelligence team. MOTOR manages the manufacturing of datacenter racks and the movement of racks/parts through the supply chain, consisting of transportation, warehousing, and reverse logistics into and out of the data centers. This role performs helps connect the different systems across the supply chain together so operational teams have clean, actionable data to work with. This requires someone with strong analytic skills and business acumen who can work with stakeholders on strategic projects across MOTOR.
The ideal candidate relishes working with large volumes of data, enjoys the challenge of highly complex technical contexts, and, above all else, is passionate about data and analytics. Must be an expert working with data modeling with un/structured data, ingestion pipelines and ETL design and business intelligence tools with the business to identify strategic opportunities where improvements in data infrastructure creates out\-sized business impact. Candidate is a self\-starter, comfortable with ambiguity, able to think big (while paying careful attention to detail), mentors other engineers in team on high quality tech, and enjoys working in a fast\-paced team. Candidate will have a chance to architect the data pipelines needed for optimization and predictive analysis. We're excited to talk to those up to the challenge!  
Key job responsibilities  
* Build and maintain the infrastructure to answer questions with data, using software engineering best practices, data management fundamentals, data storage principles, recent advances in distributed systems, and operational excellence best practices. Build datasets that analysts and scientists use to generate actionable insights.
* Define the data engineering processes that leverage various AWS services to improve accessibility, redundancy, data integrity, cost, and storage requirements.
* Develop high quality solutions for the faster development of the products/models that solve the business needs in a scalable format, while also anticipating future requirements.
* Collaborate with Research/Applied Scientists, Data Engineers, Business Intelligence Engineers, Data Scientists, Business Analysts, and Product/Program Managers to understand the business and technical requirements, and make decisions that help make the products/programs smoother.
* Interface with other technology/data engineering teams to extract, transform, and load data from a wide variety of data sources using and AWS data technologies.
* Lead the technical design and implementation of the data infrastructure.
* Design and manage data audit, quality, and reconciliation processes in collaboration with various stakeholders.
About the team  
This team provides data engineering and business intelligence engineering services to the rest of MOTOR. We are the data experts behind the scenes helping the operational teams focus on operations by ensuring they have accurate, timely data and provide business insights to help improve operational excellence.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3\+ years of data engineering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114">
      <c r="A114" t="inlineStr">
        <is>
          <t>in-5b210bbc2901c1f3</t>
        </is>
      </c>
      <c r="B114" t="inlineStr">
        <is>
          <t>Data Engineer</t>
        </is>
      </c>
      <c r="C114" t="inlineStr">
        <is>
          <t>Amazon.com</t>
        </is>
      </c>
      <c r="D114" t="inlineStr">
        <is>
          <t>indeed</t>
        </is>
      </c>
      <c r="E114">
        <f>HYPERLINK("https://www.indeed.com/viewjob?jk=5b210bbc2901c1f3", "https://www.indeed.com/viewjob?jk=5b210bbc2901c1f3")</f>
        <v/>
      </c>
      <c r="F114">
        <f>HYPERLINK("https://www.amazon.jobs/jobs/3141339/data-engineer?cmpid=DA_INAD200785B", "https://www.amazon.jobs/jobs/3141339/data-engineer?cmpid=DA_INAD200785B")</f>
        <v/>
      </c>
      <c r="G114" t="inlineStr">
        <is>
          <t>San Francisco, CA, US</t>
        </is>
      </c>
      <c r="H114" s="2" t="n">
        <v>46001</v>
      </c>
      <c r="I1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115">
      <c r="A115" t="inlineStr">
        <is>
          <t>in-5e8b52b9049de2e2</t>
        </is>
      </c>
      <c r="B115" t="inlineStr">
        <is>
          <t>Data Engineer</t>
        </is>
      </c>
      <c r="C115" t="inlineStr">
        <is>
          <t>Amazon.com</t>
        </is>
      </c>
      <c r="D115" t="inlineStr">
        <is>
          <t>indeed</t>
        </is>
      </c>
      <c r="E115">
        <f>HYPERLINK("https://www.indeed.com/viewjob?jk=5e8b52b9049de2e2", "https://www.indeed.com/viewjob?jk=5e8b52b9049de2e2")</f>
        <v/>
      </c>
      <c r="F115">
        <f>HYPERLINK("https://www.amazon.jobs/jobs/3141339/data-engineer?cmpid=DA_INAD200785B", "https://www.amazon.jobs/jobs/3141339/data-engineer?cmpid=DA_INAD200785B")</f>
        <v/>
      </c>
      <c r="G115" t="inlineStr">
        <is>
          <t>Seattle, WA, US</t>
        </is>
      </c>
      <c r="H115" s="2" t="n">
        <v>46001</v>
      </c>
      <c r="I1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116">
      <c r="A116" t="inlineStr">
        <is>
          <t>in-fd1f1c246252d05c</t>
        </is>
      </c>
      <c r="B116" t="inlineStr">
        <is>
          <t>Data Engineer - Azure</t>
        </is>
      </c>
      <c r="C116" t="inlineStr">
        <is>
          <t>3MD Inc.</t>
        </is>
      </c>
      <c r="D116" t="inlineStr">
        <is>
          <t>indeed</t>
        </is>
      </c>
      <c r="E116">
        <f>HYPERLINK("https://www.indeed.com/viewjob?jk=fd1f1c246252d05c", "https://www.indeed.com/viewjob?jk=fd1f1c246252d05c")</f>
        <v/>
      </c>
      <c r="F116">
        <f>HYPERLINK("https://workforcenow.adp.com/mascsr/default/mdf/recruitment/recruitment.html?cid=fd0b11f1-419b-47c1-b1c8-8fa989415cd2&amp;ccId=19000101_000001&amp;jobId=562767&amp;source=IN&amp;lang=en_US", "https://workforcenow.adp.com/mascsr/default/mdf/recruitment/recruitment.html?cid=fd0b11f1-419b-47c1-b1c8-8fa989415cd2&amp;ccId=19000101_000001&amp;jobId=562767&amp;source=IN&amp;lang=en_US")</f>
        <v/>
      </c>
      <c r="G116" t="inlineStr">
        <is>
          <t>Redmond, WA, US</t>
        </is>
      </c>
      <c r="H116" s="2" t="n">
        <v>45946</v>
      </c>
      <c r="I116" t="inlineStr">
        <is>
          <t>**Benefits**
U.S.\-based employees have access to medical, dental, and vision insurance, a 401(k) plan and company contribution, short\-term and long\-term disability coverage, basic life insurance, and wellbeing benefits, among others. U.S.\-based employees also receive, per calendar year, up to 6 scheduled paid holidays. Additionally, eligible hourly/non\-exempt and exempt employees accrue up to 112 hours of PTO based on years of service and may annually take up to 8 hours of paid volunteer time. Additional paid sick leave is also provided if required by state or local law. **Summary of Position:**
The Data Engineer role will work closely with an agile development team to analyze and optimize ETL processes, tables, views, materialized views, and stored procedures to create and maintain high\-performance logical data warehouse solutions. This role will be working with Microsoft\-focused technologies including Microsoft SQLServer, Azure Data Services including Azure Fabric, Azure Data Lake, AzureDB, Power Platform Integrations. The Data Engineer will focus on optimizing existing systems as well as developing designs and strategies for implementing new systems. This role will be responsible for requirements gathering, analysis, data categorization, interpreting requirements, and developing development tasks for sprint execution.
**Essential Functions:**
* Design, implement, test, and deploy data processing infrastructure on premise and in cloud
* Contribute to architecture of highly scalable and reliable data engineering solutions for moving large data efficiently across systems
* Perform work in an Agile team setting
* Break down, estimate, and provide just\-in\-time design for small increments of work
* Work in a Microsoft Azure data infrastructure environment
* Develop in\-depth data pipeline using industry\-standard data integration tools
* Full development life cycle management, including gathering, analysis, architecture, design, implementation, testing, deployment, and technical support
* Write test cases and test scripts for data quality assurance
* Responsible for creating stored procedures and functions
* Develop dimensional data model with the industry\-standard tool
* Interpret reporting requirements into actionable development tasks
* Analyze and optimize SQL based stored procedures and jobs
* Analyze table indices for performance
* Design and implement Materialized Views and Views
* Develop high\-performance programs and procedures for ETL Processes
* Analyze, categorize and document data sources and elements
* Write and optimize queries and provide guidance to other developers accessing data
* Agile development experience required, must be comfortable working with a distributed team
**Competencies:**
1\. Ensures Accountability
2\. Tech Savvy
3\. Communicates Effectively
4\. Values Differences
5\. Customer Focus
6\. Resourcefulness
7\. Drives Results
8\. Plans and Prioritizes
9\. Decision Quality
10\. Self\-Development
**Work Environment:**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While performing the duties of this job, the employee in this position frequently communicates with other co\-workers/clients who have inquiries about the various projects and other needs. Must be able to exchange accurate information in these situations. The employee must be able to remain in a stationary position 75% of the time. The employee in this position needs to occasionally move about inside the office to access file cabinets, office machinery, etc. Constantly operate a computer and office machinery such as a calculator, keyboard, copy machine, and printer. Frequently moves boxes with equipment weighing up to 25lbs across the building and/or to other offsite buildings for various project needs.
 **Required Education and Experience:**
* Bachelors Degree
* 5 \+ years of Data Engineering Experience or equivalent experience
 **Qualifications:**
* Five \+ (5\) years building out highly scalable, scaled\-out architectures on large scale database platforms
* Five \+ (5\) years of experience in a senior data engineering role
* Three \+ (3\) years of Microsoft Azure data services experience
* Excellent SQL Skills
* Deep knowledge of systems such as Microsoft SQL Server, Azure Fabric, and Azure data lake, data warehouse, and Power Platform
* Experience with other programming languages such as C\# are a plus
* Strong understanding of different data access standards and including REST and SOAP data sources
* Advanced competency in SQL with the ability to optimize and mentor others to perform query optimization in large scale database environments
* Experience with any industry\-standard tool for Source Control and Project Management
* Experience with data visualization and/or dashboard development
* Strong written and oral communication skills
* Demonstrates critical thinking, analytical and problem\-solving skills, and ability to think creatively
* Exhibits a sense of ownership, urgency, accountability, and drive to learn new technologies
* Demonstrated ability to achieve stretch goals in a highly innovative and fast\-paced environment
 **Preferred:**
* Familiarity with AGILE and API development
* Familiarity with test\-driven development methodology for analytic solutions
**AAP/EEO Statement:**
3MD Inc. is an equal opportunity employer and does not discriminate based on gender, sex, age, race and color, religion, marital status, national origin, disability, sexual orientation, gender identity or expression, veteran status, or any other category that is protected by applicable law.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li-4313819229</t>
        </is>
      </c>
      <c r="B2" t="inlineStr">
        <is>
          <t>Data Engineer, Analytics</t>
        </is>
      </c>
      <c r="C2" t="inlineStr">
        <is>
          <t>OpenAI</t>
        </is>
      </c>
      <c r="D2" t="inlineStr">
        <is>
          <t>linkedin</t>
        </is>
      </c>
      <c r="E2" t="inlineStr"/>
      <c r="F2" t="inlineStr"/>
      <c r="G2" t="inlineStr">
        <is>
          <t>San Francisco, CA</t>
        </is>
      </c>
      <c r="H2" t="inlineStr"/>
      <c r="I2" t="inlineStr">
        <is>
          <t>**About The Team**
 The Applied team works across research, engineering, product, and design to bring OpenAI’s technology to consumers and businesses.
 We seek to learn from deployment and distribute the benefits of AI, while ensuring that this powerful tool is used responsibly and safely. Safety is more important to us than unfettered growth.
**About The Role**
 We're seeking a Data Engineer to take the lead in building our data pipelines and core tables for OpenAI. These pipelines are crucial for powering analyses, safety systems that guide business decisions, product growth, and prevent bad actors. If you're passionate about working with data and are eager to create solutions with significant impact, we'd love to hear from you. This role also provides the opportunity to collaborate closely with the researchers behind ChatGPT and help them train new models to deliver to users. As we continue our rapid growth, we value data\-driven insights, and your contributions will play a pivotal role in our trajectory. Join us in shaping the future of OpenAI!
**In This Role, You Will**
* Design, build and manage our data pipelines, ensuring all user event data is seamlessly integrated into our data warehouse.
* Develop canonical datasets to track key product metrics including user growth, engagement, and revenue.
* Work collaboratively with various teams, including, Infrastructure, Data Science, Product, Marketing, Finance, and Research to understand their data needs and provide solutions.
* Implement robust and fault\-tolerant systems for data ingestion and processing.
* Participate in data architecture and engineering decisions, bringing your strong experience and knowledge to bear.
* Ensure the security, integrity, and compliance of data according to industry and company standards.
**You Might Thrive In This Role If You**
* Have 3\+ years of experience as a data engineer and 8\+ years of any software engineering experience(including data engineering).
* Proficiency in at least one programming language commonly used within Data Engineering, such as Python, Scala, or Java.
* Experience with distributed processing technologies and frameworks, such as Hadoop, Flink and distributed storage systems (e.g., HDFS, S3\).
* Expertise with any of ETL schedulers such as Airflow, Dagster, Prefect or similar frameworks.
* Solid understanding of Spark and ability to write, debug and optimize Spark code.
 This role is exclusively based in our San Francisco HQ. We offer relocation assistance to new employees.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3">
      <c r="A3" t="inlineStr">
        <is>
          <t>li-4376808424</t>
        </is>
      </c>
      <c r="B3" t="inlineStr">
        <is>
          <t>Junior Data Engineer</t>
        </is>
      </c>
      <c r="C3" t="inlineStr">
        <is>
          <t>Helic &amp; Co.</t>
        </is>
      </c>
      <c r="D3" t="inlineStr">
        <is>
          <t>linkedin</t>
        </is>
      </c>
      <c r="E3" t="inlineStr"/>
      <c r="F3" t="inlineStr"/>
      <c r="G3" t="inlineStr"/>
      <c r="H3" t="inlineStr"/>
      <c r="I3" t="inlineStr">
        <is>
          <t>This is a remote position.
 Overview
 We are looking for a motivated Junior Data Engineer to assist in building and maintaining scalable data pipelines and infrastructure. This entry\-level role offers hands\-on experience with data processing, ETL workflows, and collaboration with data teams to support business analytics.
 Key Responsibilities
* Assist in designing, building, and maintaining data pipelines for ETL/ELT processes using tools like Python, SQL, and cloud platforms.
* Collect, clean, and transform data from various sources (e.g., databases, APIs, files in JSON/CSV/XML formats) to ensure quality and usability.
* Support database management, optimization, and basic troubleshooting to enable efficient data storage and retrieval.
* Perform data quality checks, validation, and monitoring to identify and resolve issues in pipelines.
* Document processes, pipelines, and code for team collaboration and knowledge sharing.
* Collaborate with data analysts, scientists, and stakeholders to understand data needs and contribute to projects.
 Qualifications
* Bachelor’s degree in Computer Science, Data Engineering, or a related field.
* Proficiency in SQL, Python (or Java), and basic data tools; familiarity with ETL processes and databases.
* 0\-2 years of relevant experience or internships; strong problem\-solving and analytical skills.
* Experience with version control (e.g., Git) and data formats is a plus.
 Preferred Attributes
* Knowledge of big data tools (e.g., Spark, Hadoop) or cloud platforms (e.g., AWS, GCP).
* Attention to detail, eagerness to learn, and collaborative team mindset.
 What You’ll Gain
* Mentorship in modern data engineering practices and real\-world projects.
* Opportunities to grow into senior roles while contributing to data\-driven decisions.</t>
        </is>
      </c>
    </row>
    <row r="4">
      <c r="A4" t="inlineStr">
        <is>
          <t>li-4374299373</t>
        </is>
      </c>
      <c r="B4" t="inlineStr">
        <is>
          <t>#937 - Data Engineer (Python)</t>
        </is>
      </c>
      <c r="C4" t="inlineStr">
        <is>
          <t>Venon Solutions</t>
        </is>
      </c>
      <c r="D4" t="inlineStr">
        <is>
          <t>linkedin</t>
        </is>
      </c>
      <c r="E4" t="inlineStr"/>
      <c r="F4" t="inlineStr"/>
      <c r="G4" t="inlineStr">
        <is>
          <t>Miami, NM</t>
        </is>
      </c>
      <c r="H4" t="inlineStr"/>
      <c r="I4" t="inlineStr">
        <is>
          <t>**Job Opportunity only available for Africa residents.**
**Requirements**
* B2 English Level or higher.
* \+5 years of experience in a Data Engineering roles.
* \+4 years of experience with object\-oriented or object function scripting languages such as Python.
* Experience with Big Data tools such as Hadoop, Spark, Kafka, among others, is expected.
* Proven experience with both relational SQL and NoSQL databases, such as PostgresSQL and Cassandra or MongoDB.
* Experience with Azure/AWS cloud services is a must.
**Responsibilities**
* Designing and developing scalable, efficient, and reliable data pipelines to extract, transform, and load data from various sources to a target system.
* Responsible for ingesting data from various sources such as databases, files, APIs, or social media platforms using Python libraries like pandas, NumPy, and requests.
* Designing and implementing data storage solutions using relational databases like MySQL or PostgreSQL, NoSQL databases like MongoDB or Cassandra, or big data stores like Hadoop or Spark.
* Working closely with data scientists to understand their requirements and implement data pipelines that meet their needs.
* Ensuring the security of the data pipeline by implementing access controls, encryption, and authentication mechanisms.
* Working closely with DevOps teams to ensure smooth deployment of the data pipeline to production environments such as AWS or Azure.
**What do we offer?**
* Type of contract: Independent Contractor with Venon Solutions LLC
* Contract duration: Long\-term
* Benefits: 2 weeks of PTO (paid time off)
* Holidays: from the North American calendar
* Working hours: Full\-time EST, fully committed (flexible hours).</t>
        </is>
      </c>
    </row>
    <row r="5">
      <c r="A5" t="inlineStr">
        <is>
          <t>li-4316165804</t>
        </is>
      </c>
      <c r="B5" t="inlineStr">
        <is>
          <t>Data Engineer — Analytics Infrastructure (Foundational Hire)</t>
        </is>
      </c>
      <c r="C5" t="inlineStr">
        <is>
          <t>Vast.ai</t>
        </is>
      </c>
      <c r="D5" t="inlineStr">
        <is>
          <t>linkedin</t>
        </is>
      </c>
      <c r="E5" t="inlineStr"/>
      <c r="F5" t="inlineStr"/>
      <c r="G5" t="inlineStr">
        <is>
          <t>Los Angeles, CA</t>
        </is>
      </c>
      <c r="H5" t="inlineStr"/>
      <c r="I5" t="inlineStr">
        <is>
          <t>**About Us**
**Vision: To make life substrate independent through Vast Artificial Intelligence**
**Mission: To organize, optimize, and orient the world's computation**
 Vast.ai’s cloud powers AI projects and businesses all over the world. We are democratizing and decentralizing AI computing—reshaping our future for the benefit of humanity.
 We are a growing and highly motivated team dedicated to an ambitious technical plan. Our structure is flat, our ambitions are out‑sized, and leadership is earned by shipping excellence.
 We seek a data engineer with strong intrinsic drive, a true passion for uncovering insights from data, and a mix of analytical, programming, and communication skills.
**LOCATION:** 
 On‑site at our office in Westwood, Los Angeles
**TYPE:** 
 Full‑time
* On‑site
* Immediate start preferred REPORTS TO: Operations (partnering closely with Engineering)
**About the Role**
 This is a foundational role: you’ll own the 0→1 build of our data platform—ingestion, modeling, governance, and self‑serve analytics in QuickSight—for Marketing, Sales, Accounting, and leadership. We’re hiring a Data Engineer to build and own the end‑to‑end data platform at Vast.ai.
 This is a hands‑on role for a builder who can move fast: designing schemas, implementing ELT/ETL, hardening data quality, and enabling secure, governed access to data across the company.
**Full\-time**
**On\-site** 
 at our LA office
 What You’ll Do
* Own the data pipeline: design, build, and operate batch/streaming ingestion from product, billing, CRM, support, and marketing/ad platforms into a central warehouse.
* Model the data: create clean, well‑documented staging and business marts (dimensional/star schemas) that map to the needs of Marketing, Sales, Accounting/Finance, and Operations.
* Enable: publish certified datasets with row‑/column‑level security, manage refresh SLAs, and make it easy for teams to self‑serve.
* Collaborate cross‑functionally: intake requirements, translate them into data contracts and models, and partner with Engineering on event/telemetry capture.
* Document \&amp; scale: maintain clear docs, lineage, and a pragmatic data catalog so others can discover and trust the data.
**Tech Stack**
 Our current environment includes PostgreSQL, Python, SQL, and QuickSight. You’ll lead the next step‑function in maturity using a pragmatic, AWS‑centric stack such as:
* AWS: S3, Glue/Athena or Redshift, Lambda/Step Functions, IAM/KMS
* Orchestration \&amp; Modeling: Airflow or Dagster; dbt (or equivalent SQL modeling)
* Data Quality \&amp; Observability: built‑in checks or tools like Great Expectations
* Source Connectivity: APIs/webhooks; optionally Airbyte/Fivetran for managed connectors
* Versioning/Infra: Git/GitHub Actions; Terraform (nice to have)
* Marketing attribution: Segment io, Posthog, others
*(We’re flexible on exact tools—strong fundamentals matter most.)*
**Qualifications**
**Must‑have**
* 3\+ years (typically 3–6\) in a Data Engineering role building production ELT/ETL on a cloud platform (AWS strongly preferred).
* Expert SQL and solid Python for data processing/automation.
* Proven experience designing data models (staging, marts, star schemas) and standing up a warehouse/lakehouse.
* Orchestration, scheduling, and operational ownership (SLAs, alerting, runbooks).
* Experience enabling a BI layer (ideally QuickSight) with secure, governed datasets.
* Strong collaboration and communication; able to gather requirements from non‑technical stakeholders and translate to data contracts.
**Nice‑to‑have**
* Marketing/Sales/RevOps data (CRM, ads, attribution), Accounting/Finance integrations, or product telemetry/event pipelines.
* Stream processing (Kafka/Kinesis), CDC, or near‑real‑time ingestion.
* Data privacy/security best practices (e.g., CPRA), partitioning/performance tuning, and cost management on AWS.
 90‑Day Outcomes
* Inventory \&amp; architecture: clear map of sources, proposed target architecture, and a prioritized backlog aligned with Ops/Engineering.
* First pipelines live: automated ingestion \+ core staging tables with data quality checks and alerts.
* Business marts: at least two curated domains live (e.g., Marketing \&amp; Sales) powering certified QuickSight datasets for stakeholders.
* Runbook \&amp; docs: onboarding‑ready documentation, lineage, and incident playbooks.
 Interview Process (≈ 1 week)
* 15 min — Initial screening (virtual)
* 45 min — Architecture deep‑dive into our data environment and target platform (virtual)
* 2 hours — On‑site practical: build/modify a small ETL \+ modeling exercise; discuss trade‑offs, quality, and ops
**Annual Salary Range**
 $140,000 – $190,000 \+ equity \+ benefits
**Benefits**
* Comprehensive health, dental, vision, and life insurance
* 401(k) with company match
* Meaningful early\-stage equity
* Onsite meals, snacks, and close collaboration with founders/tech leaders
* Ambitious, fast\-paced startup culture where initiative is rewarded</t>
        </is>
      </c>
    </row>
    <row r="6">
      <c r="A6" t="inlineStr">
        <is>
          <t>li-4374299473</t>
        </is>
      </c>
      <c r="B6" t="inlineStr">
        <is>
          <t>Analytics Engineer, Real Estate and Workplace</t>
        </is>
      </c>
      <c r="C6" t="inlineStr">
        <is>
          <t>OpenAI</t>
        </is>
      </c>
      <c r="D6" t="inlineStr">
        <is>
          <t>linkedin</t>
        </is>
      </c>
      <c r="E6" t="inlineStr"/>
      <c r="F6" t="inlineStr"/>
      <c r="G6" t="inlineStr">
        <is>
          <t>San Francisco, CA</t>
        </is>
      </c>
      <c r="H6" t="inlineStr"/>
      <c r="I6" t="inlineStr">
        <is>
          <t>**About The Team**
 The Real Estate \&amp; Workplace (REW) Data \&amp; Technology team builds the data foundation that powers how OpenAI plans, operates, and scales its global real estate and workplace footprint. We integrate data across people, seating, presence, meeting rooms, sensors, leases, and finance systems to create a trusted source of truth that enables efficient, high‑impact decisions about how we design and operate our offices.
 Our data platform also serves as the backbone for agent‑based automation and real‑time applications, giving you the opportunity to contribute to cutting‑edge AI innovation that is transforming how workplaces and real‑estate operations run across OpenAI.
**About The Role**
 As an
 **Analytics Engineer** 
 on the REW Data \&amp; Technology team, you will build high‑quality data models, pipelines, and Tableau assets that enable OpenAI to make data‑driven decisions about offices, workplace operations, and employee experience. You will work closely with Workplace Operations, Finance, and Technology teams to translate real‑world operational problems into reliable, scalable analytics products.
 This role is focused on strong execution and delivery: shipping trusted datasets, building production dashboards, and contributing to a growing analytics platform that supports both human and agent‑driven workflows.
**In This Role You Will**
* Build and maintain business‑facing data models in Databricks and SQL that power REW reporting and planning.
* Develop and manage data pipelines for Tableau dashboards used by site leaders, operators, and executives.
* Define and maintain canonical REW metrics and documentation to ensure consistent decision\-making across teams.
* Integrate data from HR systems, OfficeSpace, badge and access systems, meeting‑room bookings, and real‑time presence and occupancy sensors.
* Implement data quality checks, tests, and monitoring to ensure the reliability of REW metrics.
* Build real‑time data pipelines that support agent‑based operational applications.
* Partner with product managers and engineers to evolve and scale the REW data platform.
**You Might Thrive in This Role If You Have**
* 6\+ years of experience in analytics engineering, data engineering, or analytics.
* Strong SQL skills and experience working with cloud data platforms.
* Comfort working with messy, operational, and real‑world datasets such as environmental sensor data, IoT data, or other event‑based data sources.
* Experience with tools such as dbt, Airflow, or Spark, and real‑time systems such as Kafka, Kinesis, Delta Live Tables, or Spark Structured Streaming.
* The ability to thrive in a fast‑moving, ambiguous environment where priorities can shift quickly.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7">
      <c r="A7" t="inlineStr">
        <is>
          <t>li-4375712635</t>
        </is>
      </c>
      <c r="B7" t="inlineStr">
        <is>
          <t>Data Engineer</t>
        </is>
      </c>
      <c r="C7" t="inlineStr">
        <is>
          <t>AARATECH</t>
        </is>
      </c>
      <c r="D7" t="inlineStr">
        <is>
          <t>linkedin</t>
        </is>
      </c>
      <c r="E7" t="inlineStr"/>
      <c r="F7" t="inlineStr"/>
      <c r="G7" t="inlineStr"/>
      <c r="H7" t="inlineStr"/>
      <c r="I7"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8">
      <c r="A8" t="inlineStr">
        <is>
          <t>li-4375717509</t>
        </is>
      </c>
      <c r="B8" t="inlineStr">
        <is>
          <t>Data Engineer</t>
        </is>
      </c>
      <c r="C8" t="inlineStr">
        <is>
          <t>AARATECH</t>
        </is>
      </c>
      <c r="D8" t="inlineStr">
        <is>
          <t>linkedin</t>
        </is>
      </c>
      <c r="E8" t="inlineStr"/>
      <c r="F8" t="inlineStr"/>
      <c r="G8" t="inlineStr"/>
      <c r="H8" t="inlineStr"/>
      <c r="I8"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9">
      <c r="A9" t="inlineStr">
        <is>
          <t>li-4375728228</t>
        </is>
      </c>
      <c r="B9" t="inlineStr">
        <is>
          <t>Data Engineer</t>
        </is>
      </c>
      <c r="C9" t="inlineStr">
        <is>
          <t>AARATECH</t>
        </is>
      </c>
      <c r="D9" t="inlineStr">
        <is>
          <t>linkedin</t>
        </is>
      </c>
      <c r="E9" t="inlineStr"/>
      <c r="F9" t="inlineStr"/>
      <c r="G9" t="inlineStr">
        <is>
          <t>Houston, TX</t>
        </is>
      </c>
      <c r="H9" t="inlineStr"/>
      <c r="I9" t="inlineStr">
        <is>
          <t>**Data Engineer (3–4 Years Experience)** 
**Location:** 
**United States** 
 (
 *Remote / On\-site – based on client needs* 
 )
**Employment Type:** 
**Full\-time** 
 (
 *Contract or Contract\-to\-Hire* 
 )
**Experience Level:** 
**Mid\-level (3–4 years)** 
**Company:** 
**Aaratech Inc** 
 🛑
 **Eligibility:** 
*Open to* 
***U.S. Citizens***
*and* 
***Green Card holders***
*only. We do not offer visa sponsorship.* 
 🔍
 **About Aaratech Inc** 
**Aaratech Inc** 
 is a specialized IT consulting and staffing company that places elite engineering talent into high\-impact roles at leading U.S. organizations. We focus on modern technologies across
 **cloud** 
 ,
 **data** 
 , and
 **software** 
 disciplines. Our client engagements offer long\-term stability, competitive compensation, and the opportunity to work on cutting\-edge data projects.
 🎯
 **Position Overview** 
 We are seeking a
 **Data Engineer** 
 with
 **3–4 years of experience** 
 to join a client\-facing role focused on building and maintaining scalable
 **data pipelines** 
 , robust
 **data models** 
 , and modern
 **data warehousing** 
 solutions. You'll work with a variety of tools and frameworks, including
 **Apache Spark** 
 ,
 **Snowflake** 
 , and
 **Python** 
 , to deliver clean, reliable, and timely data for advanced analytics and reporting.
 🛠️
 **Key Responsibilities** 
* Design and develop scalable
 **Data Pipelines** 
 to support batch and real\-time processing
* Implement efficient
 **Extract, Transform, Load (ETL)** 
 processes using tools like
 **Apache Spark** 
 and
 **dbt**
* Develop and optimize queries using
 **SQL** 
 for data analysis and warehousing
* Build and maintain
 **Data Warehousing** 
 solutions using platforms like
 **Snowflake** 
 or
 **BigQuery**
* Collaborate with business and technical teams to gather requirements and create accurate
 **Data Models**
* Write reusable and maintainable code in
 **Python (Programming Language)** 
 for data ingestion, processing, and automation
* Ensure end\-to\-end
 **Data Processing** 
 integrity, scalability, and performance
* Follow best practices for
 **data governance** 
 ,
 **security** 
 , and
 **compliance**
 ✅
 **Required Skills \&amp; Experience** 
* **3–4 years** 
 of experience in
 **Data Engineering** 
 or a similar role
* Strong proficiency in
 **SQL** 
 and
 **Python (Programming Language)**
* Experience with
 **Extract, Transform, Load (ETL)** 
 frameworks and building
 **data pipelines**
* Solid understanding of
 **Data Warehousing** 
 concepts and architecture
* Hands\-on experience with
 **Snowflake** 
 ,
 **Apache Spark** 
 , or similar big data technologies
* Proven experience in
 **Data Modeling** 
 and data schema design
* Exposure to
 **Data Processing** 
 frameworks and performance optimization techniques
* Familiarity with cloud platforms like
 **AWS** 
 ,
 **GCP** 
 , or
 **Azure**
 ⭐
 **Nice to Have** 
* Experience with
 **streaming data pipelines** 
 (e.g., Kafka, Kinesis)
* Exposure to
 **CI/CD** 
 practices in data development
* Prior work in consulting or multi\-client environments
* Understanding of
 **data quality** 
 frameworks and monitoring strategies</t>
        </is>
      </c>
    </row>
    <row r="10">
      <c r="A10" t="inlineStr">
        <is>
          <t>li-4375708636</t>
        </is>
      </c>
      <c r="B10" t="inlineStr">
        <is>
          <t>Data Engineer</t>
        </is>
      </c>
      <c r="C10" t="inlineStr">
        <is>
          <t>AARATECH</t>
        </is>
      </c>
      <c r="D10" t="inlineStr">
        <is>
          <t>linkedin</t>
        </is>
      </c>
      <c r="E10" t="inlineStr"/>
      <c r="F10" t="inlineStr"/>
      <c r="G10" t="inlineStr"/>
      <c r="H10" t="inlineStr"/>
      <c r="I10"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1">
      <c r="A11" t="inlineStr">
        <is>
          <t>li-4375448704</t>
        </is>
      </c>
      <c r="B11" t="inlineStr">
        <is>
          <t>Data Engineer</t>
        </is>
      </c>
      <c r="C11" t="inlineStr">
        <is>
          <t>BCforward</t>
        </is>
      </c>
      <c r="D11" t="inlineStr">
        <is>
          <t>linkedin</t>
        </is>
      </c>
      <c r="E11" t="inlineStr"/>
      <c r="F11" t="inlineStr"/>
      <c r="G11" t="inlineStr">
        <is>
          <t>San Jose, CA</t>
        </is>
      </c>
      <c r="H11" t="inlineStr"/>
      <c r="I11" t="inlineStr">
        <is>
          <t>**BCForward is currently seeking a highly motivated Data Engineer for an on\-site position in Cupertino, CA** 
**Role: Data Engineer** 
**Duration: 1\+ Year** 
**Locations: San Jose, CA** 
**Anticipated Start Date:** 
 03/02/2026
**Job Type:** 
 Contract – Onsite
 We are looking for a Data Professional with strong hands\-on experience in SQL and Python, along with solid knowledge of data modeling concepts. The role requires familiarity with Big Data technologies such as Spark and Kafka, and experience with PySpark will be a strong advantage. Candidates should have exposure to basic machine learning techniques including Regression, Decision Trees, and Clustering. Additionally, this position involves working closely with business teams, so the ability to understand business requirements and communicate effectively with stakeholders is important.
**Key Responsibilities:** 
* Develop and maintain data solutions using SQL and Python for analysis and reporting
* Design and implement data models to support scalable data processing and analytics
* Work with Big Data technologies (Spark, Kafka) to process and manage large datasets
* Utilize PySpark for distributed data processing and transformation (preferred)
* Apply basic machine learning techniques such as Regression, Decision Trees, and Clustering for analytical use cases
* Collaborate with business stakeholders to understand requirements and translate them into technical solutions
* Ensure data quality, performance optimization, and efficient data workflows
**Benefits:** 
 BCforward offers all eligible employees a comprehensive benefits package, including, but not limited to, major medical, HSA, dental, vision, employer\-provided group life, voluntary life insurance, short\-term disability, long\-term disability, and 401k.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With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row>
    <row r="12">
      <c r="A12" t="inlineStr">
        <is>
          <t>li-4376566559</t>
        </is>
      </c>
      <c r="B12" t="inlineStr">
        <is>
          <t>Senior Data Engineer</t>
        </is>
      </c>
      <c r="C12" t="inlineStr">
        <is>
          <t>Optym</t>
        </is>
      </c>
      <c r="D12" t="inlineStr">
        <is>
          <t>linkedin</t>
        </is>
      </c>
      <c r="E12" t="inlineStr"/>
      <c r="F12" t="inlineStr"/>
      <c r="G12" t="inlineStr"/>
      <c r="H12" t="inlineStr"/>
      <c r="I12" t="inlineStr">
        <is>
          <t>**Location:** 
 Dallas (DFW Metroplex)
**Experience:** 
 3–5 years
**About Optym** 
 Optym is a leading provider of decision automation and optimization software products for transportation and logistics companies. Optym’s products solve some of the most challenging decision problems faced by world’s leading airlines, trucking and railroads companies using cutting\-edge optimization techniques. With its headquarters located in Dallas, Texas, and branches in four countries, Optym has over 250 highly qualified professionals and is rapidly growing. Optym offers competitive compensation and a great benefits package. Learn more about Optym and its culture at www.optym.com.
**About the Role** 
 Optym is seeking a Data Engineer to support the RouteMax suite, which delivers AI\-driven routing and operational decision support for LTL and final\-mile logistics. This role will play a key part in building and evolving data lakes and analytical platforms, where data from multiple Optym LTL products flows into a unified foundation to support reporting, analytics, and AI\-driven features.
 This role involves building and maintaining data pipelines and infrastructure, ensuring data quality, and supporting analytics and AI\-driven features. The role will also involve
 **hands\-on coding** 
 as part of product and solution development from time to time.
**Key Responsibilities** 
* Design, develop, and maintain scalable data pipelines for operational and analytical use cases
* Work closely with software engineers, data scientists, and product teams on features
* Ensure data quality, consistency, and performance across ingestion and processing workflows
* Develop data models, schemas, and documentation
* Write clean, maintainable code for data processing and integration
* Support production deployments and troubleshoot data\-related issues
* Continuously optimize data workflows for performance and scalability
**Required Qualifications** 
* Bachelor’s or Master’s degree in Computer Science, Engineering, Data Science, or related field
* Strong experience using Python for data processing and automation
* Proficiency in at least one additional programming language (e.g., C\#, Java or equivalent)
* Strong knowledge of data processing \- Spark, Messaging\-Kafka, big data env:\- Hadoop, hive, hbase
* Experience in datalake and datawarehouse
* Strong understanding of databases and data modeling (SQL and NoSQL)
**Typical Technology Stack at Optym** 
* Programming languages:
 **C\#, Python, TypeScript and NodeJS**
* Frameworks and platforms:
 **.NET Core**
* Databases:
 **Relational** 
 and NoSQL
* Cloud platforms: Azure
* Data processing and integration tools as required by product and client environments
**Preferred Qualifications** 
* Experience with distributed data processing frameworks
* Exposure to analytics, optimization, or AI\-driven systems
* Prior experience in logistics, transportation, or supply\-chain domains
**Why Join Optym** 
* Work on high\-impact problems for global clients.
* Collaborate with world\-class experts in optimization and AI.
* Opportunity to see your algorithms deployed at scale in real operations.
* Innovative culture, flexible environment, and strong growth potential.
 We follow a hybrid model where we work from office on Tuesdays, Wednesdays and Thursdays. Please send your resumes to monika.sarawagi@optym.com</t>
        </is>
      </c>
    </row>
    <row r="13">
      <c r="A13" t="inlineStr">
        <is>
          <t>li-4375724407</t>
        </is>
      </c>
      <c r="B13" t="inlineStr">
        <is>
          <t>Data Engineer</t>
        </is>
      </c>
      <c r="C13" t="inlineStr">
        <is>
          <t>AARATECH</t>
        </is>
      </c>
      <c r="D13" t="inlineStr">
        <is>
          <t>linkedin</t>
        </is>
      </c>
      <c r="E13" t="inlineStr"/>
      <c r="F13" t="inlineStr"/>
      <c r="G13" t="inlineStr"/>
      <c r="H13" t="inlineStr"/>
      <c r="I13"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14">
      <c r="A14" t="inlineStr">
        <is>
          <t>li-4376827062</t>
        </is>
      </c>
      <c r="B14" t="inlineStr">
        <is>
          <t>DATA ENGINEER</t>
        </is>
      </c>
      <c r="C14" t="inlineStr">
        <is>
          <t>Cacique Foods, LLC.</t>
        </is>
      </c>
      <c r="D14" t="inlineStr">
        <is>
          <t>linkedin</t>
        </is>
      </c>
      <c r="E14" t="inlineStr"/>
      <c r="F14" t="inlineStr"/>
      <c r="G14" t="inlineStr">
        <is>
          <t>Irving, TX</t>
        </is>
      </c>
      <c r="H14" t="inlineStr"/>
      <c r="I14" t="inlineStr">
        <is>
          <t>**SUMMARY:** 
 We are seeking a highly skilled Data Engineer with deep expertise in the Microsoft data ecosystem and experience working within CPG, production, supply chain, and ERP\-driven environments. The ideal candidate will possess strong data modeling abilities, business process understanding, and technical acumen to design scalable data solutions while also maintaining and improving existing data infrastructure. This role supports analytical modernization, AI readiness, and enterprise reporting through high\-quality engineering practices.
**KEY RESPONSIBILITIES:** 
* Build and support data integration processes and orchestrations to ingest diverse data from external systems including Rest APIs, Oracle, SAP, ADF, Dataverse, SQL Server, Snowflake, SFTP / FTP.
* Build and support high‑performance, scalable data pipelines within Azure Synapse Analytics for end‑to‑end data processing.
* Build and support Azure Data Factory, Azure Databricks, Synapse Analytics, and Microsoft Fabric ETLs to deliver secure, efficient cloud‑native data solutions for Ad\-hoc and Enterprise reporting.
* Build and support scalable transformation processes using Spark (Scala or PySpark) and SQL to manage large‑scale data within a Lakehouse framework.
* Build and support robust, scalable data models and storage solutions for an Enterprise Data Warehouse using Synapse tables and Lakehouse patterns in Azure SQL Server.
* Build and support Power BI semantic models and dashboards, leveraging advanced DAX to deliver actionable business insights.
* Prepare structured, high\-quality datasets that fuel AI, machine learning, and predictive analytics initiatives.
* Collaborate with data scientists and architects to productionize and operationalize models.
* Monitor, troubleshoot, and tune Synapse pipelines, compute, and storage environments to ensure enterprise‑level reliability and speed.
* Apply expert‑level T‑SQL and PL/SQL for sophisticated data modeling and complex query optimization across the Azure ecosystem.
* Implement Azure governance and security best practices using Azure Monitor, Key Vault, Managed Identities, and Role\-Based Access Control (RBAC).
* Work closely with business stakeholders across manufacturing, logistics, procurement, demand planning, and finance to understand real\-world workflows.
* Translate business requirements into detailed technical specifications and scalable data solutions.
* Document data flows, data dictionaries, lineage, and governance processes.
**QUALIFICATIONS \&amp; EDUCATION:** 
* Hands‑on experience across core Azure data services including Synapse Analytics, Azure Data Factory, Azure Databricks, ADLS Gen2, and Azure SQL.
* Strong proficiency in enterprise data integration using connectors for REST APIs, Oracle, SAP, Dataverse, SQL Server, Snowflake, and SFTP/FTP
* Expertise in Spark development using Scala or PySpark for large‑scale transformations within Lakehouse and distributed compute environments.
* Experience with T‑SQL and PL/SQL for complex modeling, query optimization, and ELT/ETL development
* Dimensional data objects including star schema, snowflake schema, and semantic layer structures for enterprise analytics.
* Solid understanding of Azure security, governance, and DevOps practices
* Proficiency with Power BI and semantic modeling including dataset design, DAX, tabular models, and enterprise reporting best practices
 **.**
* Experience with D365 Finance \&amp; Operations a plus.
* Azure Data Engineer Associate certification (DP 203\) a plus.
* Experience in CPG, manufacturing, or food production environments a plus.
* Familiarity with Microsoft Fabric and modern Lakehouse architectures a plus.</t>
        </is>
      </c>
    </row>
    <row r="15">
      <c r="A15" t="inlineStr">
        <is>
          <t>li-4375727880</t>
        </is>
      </c>
      <c r="B15" t="inlineStr">
        <is>
          <t>Data Engineer</t>
        </is>
      </c>
      <c r="C15" t="inlineStr">
        <is>
          <t>Travel + Leisure Co.</t>
        </is>
      </c>
      <c r="D15" t="inlineStr">
        <is>
          <t>linkedin</t>
        </is>
      </c>
      <c r="E15" t="inlineStr"/>
      <c r="F15" t="inlineStr"/>
      <c r="G15" t="inlineStr">
        <is>
          <t>Orlando, FL</t>
        </is>
      </c>
      <c r="H15" t="inlineStr"/>
      <c r="I15" t="inlineStr">
        <is>
          <t>The
 **Data Engineer** 
 will partner with a wide range of business teams to implement analytical and data solutions that drive business value and customer satisfaction. He or She will be responsible for collecting, storing, processing, analyzing, modeling large sets of data and building applications and solutions using data. The primary focus will be on building, maintaining, implementing, monitoring, supporting and integrating analytical and data solutions with the architecture used across the company.
**This is a hybrid position. Employees are required to work onsite Monday through Wednesday, with remote work available on Thursday and Friday.** 
**How You'll Shine:**
* Maintain and monitor our analytics data warehouses and data platform.
* Design, Implement, test, deploy, and maintain stable, secure, and scalable data engineering solutions and pipelines in support of data and analytics projects, including integrating new sources of data into our central data warehouse, and moving data out to applications and affiliates.
* Responsible for hands\-on development, deployment, maintenance and support of variety of Cloud and on\-premise Solutions, web service infrastructure and supporting technologies.
* Produce scalable, replicable code and engineering solutions that help automate repetitive data management tasks.
* Works closely with project managers, business analysts, data scientists and other groups in the organization to understand and translate functional requirements and processes into technical specifications.
* **C** 
 ollaborate with key stakeholders to make sure our data infrastructure meets our business needs in a scalable way.
* Keep a critical eye on our technical strategy, identify gaps, and come up with creative solutions.
**What You'll Bring:**
* Bachelor’s degree in computer and information science required
* Master’s degree preferred.
* Snowflake and Python certification preferred but not required
* Excellent listening, interpersonal, communication (written \&amp; verbal) and problem\-solving skills.
* Ability to collect and compile relevant data
* Extremely organized with great attention to detail
* Excellent ability to analyze information and think systematically
* Strong business analysis skills
* A strong team player with some ability to work independently
* Good understanding of the company’s business processes and the industry at large
* Good working SQL knowledge and experience working with relational databases, query authoring (SQL) as well as working familiarity with a variety of databases.
* Experience building and optimizing data pipelines and data sets leveraging various scripting languages or ETL tools.
* Ability to perform root cause analysis on internal and external data processes to answer specific business questions and identify opportunities for improvement.
* Good analytic skills related to working with unstructured datasets.
* Ability to build and use APIs to push and pull data from various data systems and platforms.
* Build processes supporting data extraction, transformation, and loading of data into data structures.
* A successful history of manipulating, processing and extracting value from large, disconnected datasets.
* Ability to build data models and manage data warehouses
* 3 years of related data engineering/IT experience
* 1\+ years of proven experience working with Apache Spark framework, Hadoop, Java/Scala, Python and AWS architecture.
* 1\+ years of proven experience in Microsoft .Net technologies such as C\#, VB.Net and experience in designing, developing and deploying Windows \&amp; Web applications
* 2\+ years of experience in data modeling/database development using PL/SQL and SQL Server 2016 or later and Snowflake
* 1\+ years of proven experience building data pipelines and ETL flows in Cloud and on\-premise environments using Snowpipe, Informatica, Airflow, Kafka etc.</t>
        </is>
      </c>
    </row>
    <row r="16">
      <c r="A16" t="inlineStr">
        <is>
          <t>li-4358233870</t>
        </is>
      </c>
      <c r="B16" t="inlineStr">
        <is>
          <t>Data Engineer</t>
        </is>
      </c>
      <c r="C16" t="inlineStr">
        <is>
          <t>Ursi Technologies Inc</t>
        </is>
      </c>
      <c r="D16" t="inlineStr">
        <is>
          <t>linkedin</t>
        </is>
      </c>
      <c r="E16" t="inlineStr"/>
      <c r="F16" t="inlineStr"/>
      <c r="G16" t="inlineStr">
        <is>
          <t>Santa Clara County, CA</t>
        </is>
      </c>
      <c r="H16" t="inlineStr"/>
      <c r="I16" t="inlineStr">
        <is>
          <t>Data Engineer
**Location: Santa Clara County** 
 Data Engineer with strong AWS \+ Python/SQL, who builds scalable pipelines for ML training and has experience with large sensor or simulation datasets.
 Visa: USC OR GC H1 15\+ exp</t>
        </is>
      </c>
    </row>
    <row r="17">
      <c r="A17" t="inlineStr">
        <is>
          <t>li-4374295174</t>
        </is>
      </c>
      <c r="B17" t="inlineStr">
        <is>
          <t>Sr. Data Platform Engineer I (6366)</t>
        </is>
      </c>
      <c r="C17" t="inlineStr">
        <is>
          <t>MetroStar</t>
        </is>
      </c>
      <c r="D17" t="inlineStr">
        <is>
          <t>linkedin</t>
        </is>
      </c>
      <c r="E17" t="inlineStr"/>
      <c r="F17" t="inlineStr"/>
      <c r="G17" t="inlineStr">
        <is>
          <t>Washington, DC</t>
        </is>
      </c>
      <c r="H17" t="inlineStr"/>
      <c r="I17" t="inlineStr">
        <is>
          <t>As a
 **Sr. Data Platform Engineer I,** 
 you’ll work as part of a collaborative and high\-performing team providing your expertise to deliver technical solutions within the highest levels of the federal government by providing PostgreSQL expertise supporting highly visible, mission\-critical applications; taking deep technical ownership of database platforms; executing disciplined operational practices; and maintaining database stability, performance, and security under constant operational demand.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administer, and optimize PostgreSQL and Microsoft SQL Server databases in on\-premises and cloud environments.
* Manage Kubernetes clusters and support containerized database and application operations.
* Administer CI/CD pipelines and automation supporting database and application delivery.
* Perform database performance tuning, backups, replication, and recovery.
* Enforce access controls, auditing, governance, and retention policies.
* Manage schemas, indexes, stored procedures, and permissions.
* Develop SQL queries and reporting logic; support Power BI reporting needs.
* Participate in Agile ceremonies and collaborative delivery activities.
* Support production operations with urgency and operational discipline.
* Communicate technical risks, issues, and recommendations clearly to stakeholders.
* Build and maintain strong customer trust through technical expertise, responsiveness, and reliability.
**What you’ll need to succeed:** 
* Active Top Secret with SCI eligibility security clearance.
* Bachelor’s degree in Computer Science, or related field, is preferred; relevant experience may substitute.
* Certification meeting DoD 8140 (e.g., Security\+ or GSEC, or higher).
* Certification for database platform (e.g., DP\-300, Oracle OCP, or equivalent).
* 5\+ years of experience as a database administrator or engineer.
* Experience designing, implementing, managing, and tuning PostgreSQL databases in enterprise environments.
* Experience ensuring database performance, availability, and reliability, including capacity planning and performance tuning.
* Experience implementing and managing database security controls, including access management and auditing.
* Experience performing database backups, recovery, and restore operations, including support for high\-availability configurations.
* Experience with distributed PostgreSQL solutions (e.g., pgEdge or similar).
* Ability to contribute immediately with minimal ramp\-up in a mission\-critical operational environment.
 SALARY RANGE: $170,000 \- $239,000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8">
      <c r="A18" t="inlineStr">
        <is>
          <t>li-4313398309</t>
        </is>
      </c>
      <c r="B18" t="inlineStr">
        <is>
          <t>Senior Data Engineer</t>
        </is>
      </c>
      <c r="C18" t="inlineStr">
        <is>
          <t>Kin Insurance</t>
        </is>
      </c>
      <c r="D18" t="inlineStr">
        <is>
          <t>linkedin</t>
        </is>
      </c>
      <c r="E18" t="inlineStr"/>
      <c r="F18" t="inlineStr"/>
      <c r="G18" t="inlineStr"/>
      <c r="H18" t="inlineStr"/>
      <c r="I18" t="inlineStr">
        <is>
          <t>Kin is redesigning insurance to be smarter, faster, and centered on the customer. We use intelligent pricing, offer seamless bundling, and make every step (from purchasing, servicing to claims) simple and friction\-free, especially in the places traditional insurers often ignore.
 We Empower People To Protect What Matters Most, Starting With Their Homes And Expanding To All They Value, In a World Where Climate Risks, Rising Costs, And Outdated Systems Leave Too Many Behind. Our Approach Has Fostered Amazing Growth, Attracted Marquee Investors, And Earned Us Accolades, Including Being Named To
* Built In Chicago's Best Places to Work, Midsize Companies (2021\-2025\).
* Forbes' America's Best Startup Employers (2021\- 2024, Ranked \#37 in 2024\).
* Inc. 5000 Fastest\-Growing Private Companies.
* Forbes’ Fintech 50\.
 Simply put, our people are what make us great – we need forward\-thinking, inspired game\-changers like you to join us in our mission.
**So What’s the Role?**
 As a Senior Data Engineer, you will play a pivotal role in ensuring the quality, integrity, and security of Kin’s data assets. You’ll be responsible for building out a data lakehouse for enterprise reporting, which will involve the design and development of production\-ready data pipelines, modeling raw data for downstream reporting, and quality assurance of the data warehouse.
**What You’ll Do**
 You’ll work on a cross\-functional project team with members from AppEng, DataEng, BI, and Kin’s business to design solutions for effective reporting. You’ll implement data validation standards and QA procedures to ensure effective data lifecycle and management practices. This involves:
* Designing and developing scalable data pipelines and models for downstream analytics and reporting
* Leading and collaborating with a cross\-functional project team to implement data validation, QA standards, and effective data lifecycle management
* Optimizing pipeline performance, cost, and data quality in a large\-scale data environment
* Migrating data warehouse (DBT, Redshift) architecture to Lakehouse (e.g: S3, Glue, Databricks, Unity catalog) architecture
* Mentoring data engineers and promoting best practices in software engineering, documentation, and metadata management
* Ensuring data security and compliance with regulations (e.g., GDPR, CCPA, GLBA) through robust pipeline design and access monitoring
* Translating ambiguous business requirements into technical solutions using marketing domain knowledge
**The Skills To Succeed**
* 4\+ years of hands\-on data engineering experience related to:
+ Data structures and cloud platform environments and best practices (AWS strongly preferred, Azure, or GCP)
+ ETL performance tuning and cost optimization
+ Data lake and lakehouse patterns including open table formats (e.g. Iceberg, Hudi, Delta)
* Proficiency in Python (Pandas, NumPy, etc.) and SQL for advanced data processing and querying
* Expertise in distributed data processing/storage (e.g., Apache Spark, Kafka, Hadoop, or similar)
* Excellent communication skills and ability to explain complex concepts clearly and concisely
* Detail\-oriented with strong data intuition and a passion for data quality
* Proven ability to model data and build production\-ready ETL pipelines handling TBs of data.
* Great time management and prioritization skills
**You should join us if…**
* You want to work on cutting\-edge data solutions in a high\-impact, regulated industry
* You enjoy collaborating with talented teams to solve complex problems and drive business outcomes
* You want to learn from and mentor team members in a dynamic, growth\-oriented environment with opportunities to innovate
* You value making a real world impact on people’s lives through the use of data and technology
* You’re outcome oriented, as well collaborative. Taking ownership and prioritizing key outcomes is important, but so is taking an emotionally intelligent approach to working with others.
**You probably shouldn’t apply if…**
* You are uncomfortable with ambiguity or unclear requirements. We solve a lot of new problems where requirements are not well defined.
* You would rather avoid start\-up environments where processes may not be well\-defined. Change is a way of life at Kin. We’re still establishing some of our processes and evolving how we manage data.
* You see perfection as the only option. We move fast, and we make mistakes. We learn and grow through experimentation and mistakes. While we hold ourselves to high standards, we don’t demand perfection.
* You keep to yourself. We have a collaborative culture where we solve problems together, learn from, and support each other. You’re part of a team here at Kin.
**Oh, and don’t worry, we’ve got you covered!**
 We offer a comprehensive benefits program, allowing you to choose the benefits that are best for you and your family including: Medical, Dental, Vision, Life Insurance and Disability Insurance options, Employee Assistance Program, as well as elective voluntary benefits such as accident insurance, hospital indemnity, critical illness, legal assistance and pet insurance. Kinfolk become eligible for benefits on the first day of the month following their start date.
 In addition to these benefits, we also are excited to offer the following:
* Competitive salary and company equity through Restricted Stock Units (RSUs), granted as part of our standard compensation package and based on role and level.
* 401K with company match of up to 4% of eligible earnings
* Flexible PTO for exempt employees (employees typically take 15\-20 days annually), along with 8 company\-observed holidays
* A paid parental leave program that provides 100% salary continuation of up to 14 weeks for birthing parents and 8 weeks for non birthing parents
* Continuing education and professional development opportunities
*For Sales Agents and Customer Service Agents: These roles sit in any of the following 30 states: AL, AZ, CO, FL, ID, IL, IN, KS, KY, MA, MD, ME, MI, MO, MT, NC, NE, NM, NV, NY, OH, OK, PA, SC, TN, TX, UT, VT, VA, WA, and WI.*
*For remote technical positions located in Canada, we are only able to hire individuals who reside in Ontario. Applicants must be able to live and work full\-time in Ontario to be considered.*
*For all other positions, these roles can sit in any of the following 40 states: AL, AR, AZ, CA (exempt only), CO, CT, FL, GA, ID, IL, IN, IA, KS, KY, MA, ME, MD, MI, MN, MO, MT, NC, NE, NJ, NM, NV, NY, OH, OK, OR, PA, SC, SD, TN, TX, UT, VT, VA, WA, and WI. Please only apply if you are able to live and work full\-time in one of the states listed above.*
*State locations and specifics are subject to change as our hiring requirements shift.*
**About Kin**
 Kin is the only pure\-play, direct\-to\-consumer digital insurer focused on the growing home insurance market. We make policies convenient and affordable through a technology platform that delivers a seamless user experience, customized options for coverage, and fast, high\-quality claims service. Kin is a fully licensed carrier that offers coverage through its reciprocal exchanges which are owned by its policyholders. To learn more, visit www.kin.com.
**EEOC Statement**
 Kin is proud to be an Equal Employment Opportunity and Affirmative Action Employer. We don't just accept difference – we honor it, nurture it, and celebrate it. We don’t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Kin welcomes and encourages applications from people with disabilities. Accommodations are available on request for candidates taking part in all aspects of the selection process. If you require accommodation, please contact us by sending an email to careers@kin.com</t>
        </is>
      </c>
    </row>
    <row r="19">
      <c r="A19" t="inlineStr">
        <is>
          <t>li-4376559548</t>
        </is>
      </c>
      <c r="B19" t="inlineStr">
        <is>
          <t>Data Engineer</t>
        </is>
      </c>
      <c r="C19" t="inlineStr">
        <is>
          <t>Wiraa</t>
        </is>
      </c>
      <c r="D19" t="inlineStr">
        <is>
          <t>linkedin</t>
        </is>
      </c>
      <c r="E19" t="inlineStr"/>
      <c r="F19" t="inlineStr"/>
      <c r="G19" t="inlineStr"/>
      <c r="H19" t="inlineStr"/>
      <c r="I19" t="inlineStr">
        <is>
          <t>**About The Company**
 Dimensional Fund Advisors is a globally recognized investment management firm renowned for its commitment to scientific research and data\-driven investment strategies. Built on foundational ideas that extend beyond traditional finance, the company emphasizes a deep connection with academic insights and a focus on innovative implementation. With a mission to improve clients' financial well\-being through evidence\-based approaches, Dimensional continuously seeks to push the boundaries of financial science. The firm fosters a collaborative, inclusive, and dynamic environment, leveraging cutting\-edge technology and research to deliver superior investment solutions. Its culture emphasizes integrity, continuous learning, and a shared passion for excellence, making it an employer of choice for professionals seeking impactful roles in finance and technology.
**About The Role**
 Dimensional Fund Advisors is seeking a highly skilled Lead Data Engineer to join our remote\-friendly team. In this pivotal role, you will be responsible for designing, developing, and maintaining robust, scalable, and secure data architectures and pipelines that support our research, investment, sales, and marketing functions. You will collaborate closely with cross\-functional teams, including data stewards, database administrators, platform engineers, and developers, to deliver innovative data solutions that drive business insights and operational efficiency. This role offers an exciting opportunity to influence how data is ingested, processed, and utilized across the organization, ensuring high\-quality data management and accessibility. As a senior member of the team, you will also mentor junior engineers, participate in strategic planning, and contribute to continuous improvement initiatives within the data engineering domain.
**Qualifications**
* Bachelor’s degree in Computer Science, Engineering, or a related technical field, or equivalent practical experience
* 10\+ years of professional software development experience with a focus on data solutions
* Extensive experience in data modeling, architecture, and warehouse/lake engineering
* Proficiency in programming languages such as Python, Ruby, JavaScript, or similar dynamic languages
* Experience with static languages including C\#, Java, C/C\+\+, or Typescript
* Strong knowledge of relational and non\-relational databases, including schema design and development
* Understanding of DevOps principles, tools, and continuous delivery pipelines
* Deep understanding of cybersecurity best practices and their integration into development processes
* Excellent problem\-solving skills and a systematic approach to troubleshooting and optimization
* Strong communication skills and ability to work collaboratively in an agile environment
**Responsibilities**
* Design, engineer, and operate secure, reliable, and scalable data architectures and pipelines
* Collaborate with data stewards, database administrators, platform engineers, and developers to develop data ingestion, validation, and storage solutions
* Transform business requirements into technical designs and applications that support organizational goals
* Implement and maintain ETL processes, APIs, and microservices to facilitate data flow and accessibility
* Stay current with emerging technologies and recommend innovative solutions to improve data infrastructure
* Conduct code reviews, promote best practices, and contribute to continuous integration and deployment efforts
* Mentor junior team members and provide strategic input to senior management on data engineering initiatives
* Support operational activities, including incident management and troubleshooting in production environments
* Participate actively in agile ceremonies, contributing to team planning, retrospectives, and collaborative problem\-solving
**Benefits**
* Competitive salary range of $150,000 \- $200,000, with potential discretionary bonuses
* Flexible work arrangements including remote work options and a hybrid office model
* Comprehensive health, dental, and vision insurance packages
* Retirement plans and financial wellness programs
* Educational initiatives and continuous learning opportunities
* Generous paid time off and holiday leave
* Inclusive workplace culture that values diversity and equal opportunity
* Support for work\-life balance and personal development
 Equal Opportunity
 Dimensional Fund Advisors is committed to fostering an inclusive and diverse workplace. We provide equal employment opportunities to all employees and applicants without regard to race, color, religion, sex, gender identity, sexual orientation, national origin, age, disability, veteran status, or any other protected characteristic under applicable law. We believe that diversity enhances our ability to serve our clients and innovate as a company, and we are dedicated to creating an environment where everyone can thrive and contribute meaningfully.</t>
        </is>
      </c>
    </row>
    <row r="20">
      <c r="A20" t="inlineStr">
        <is>
          <t>li-4376588912</t>
        </is>
      </c>
      <c r="B20" t="inlineStr">
        <is>
          <t>Data Engineer</t>
        </is>
      </c>
      <c r="C20" t="inlineStr">
        <is>
          <t>CACI International Inc</t>
        </is>
      </c>
      <c r="D20" t="inlineStr">
        <is>
          <t>linkedin</t>
        </is>
      </c>
      <c r="E20" t="inlineStr"/>
      <c r="F20" t="inlineStr"/>
      <c r="G20" t="inlineStr">
        <is>
          <t>State Farm, VA</t>
        </is>
      </c>
      <c r="H20" t="inlineStr"/>
      <c r="I20" t="inlineStr">
        <is>
          <t>Job Title: Data Engineer
 Job Category: Information Technology
 Time Type: Full time
 Minimum Clearance Required to Start: Public Trust
 Employee Type: Regular
 Percentage of Travel Required: None
 Type of Travel: None
 \* \* \*
 CACI seeks a data engineer that will be responsible for designing, building, validating, and maintaining scalable data pipelines and analytics solutions with a strong emphasis on Databricks and data quality. This role partners closely with our product owners, analysts, data scientists and software engineers to translate business and technical requirements into reliable, testable, and high\-quality data solutions to support programmatic goals.
 Responsibilities: Design, develop, optimize and maintain scalable data pipelines and transformations using Databricks, Apache Spark and SQL.
 Impelement data ingestion, transformation, and orchestration workflows to support back and where applicable real\-time processing. Perform data quality assurance activities, including identifying and resolving any inconsistencies in data flow, data outside legitimate ranges, and illogical data responses by developing data quality reports and investigation and resolution of data anomalies or errors by using a combination of software packages including SAS, Excel, and other software as warranted. Use technical expertise, initiative, creativity, critical thinking, and strong communication and interpersonal skills daily to solve data quality problems in support of technical development efforts. Implement data quality controls to ensure accuracy, completeness, and reliability of datasets. Document data pipelines, transforms, business rules and data dependencies using appropriate technical documentation methods (e.g., data flow diagrams, data dictionaries, etc.). Serve as liaison and coordinate with a multi\-disciplinary team. Collaborate with the program team to identify opportunities for process improvements, making strategic adjustments, and exploit opportunities focused on maximizing programmatic impact. Communicate data issues, risks, and remediation approaches clearly to technical and non\-technical team members.
**Qualifications**
*Required:*
 Must be able to obtain a Public Trust clearance. Bachelor’s degree in Computer Science, Data Engineering, Information Systems, or a related technical field (or equivalent experience) Demonstrated experience as a Data Engineer in a production environment Strong hands\-on experience with Databricks, including Spark\-based data processing Proficiency in SQL and at least one programming language such as Python Excellent communication skills: listening, writing, and experience interacting comfortably with scientists, epidemiologists, informaticians and developers. Experience supporting analytics, reporting or machine learning workloads.
**These Qualifications Would Be Nice To Have**
* Experience supporting public health, healthcare, or government data systems
* Knowledge of data governance, data quality frameworks, or metadata management
* Experience working with large\-scale analytics or reporting environments
* Familiarity with Power BI or other business intelligence tools
* Prior experience supporting multiple teams or programs simultaneously (the “steady hand” type)
* Exposure to Agile or iterative delivery environments.
* Prefer candidate to be in the Atlanta, Georgia area.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Since this position can be worked in more than one location, the range shown is the national average for the position.
**The Proposed Salary Range For This Position Is**
 $63,300\-$129,700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21">
      <c r="A21" t="inlineStr">
        <is>
          <t>li-4338045068</t>
        </is>
      </c>
      <c r="B21" t="inlineStr">
        <is>
          <t>Senior Data Engineer, Data Lake &amp; Governance</t>
        </is>
      </c>
      <c r="C21" t="inlineStr">
        <is>
          <t>Gridware</t>
        </is>
      </c>
      <c r="D21" t="inlineStr">
        <is>
          <t>linkedin</t>
        </is>
      </c>
      <c r="E21" t="inlineStr"/>
      <c r="F21" t="inlineStr"/>
      <c r="G21" t="inlineStr">
        <is>
          <t>San Francisco, CA</t>
        </is>
      </c>
      <c r="H21" t="inlineStr"/>
      <c r="I21"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Role Description
 As a Senior Data Engineer at Gridware, you’ll design and scale the data infrastructure that powers our real\-time grid monitoring platform. You’ll build high\-performance pipelines that transform massive streams of sensor and telemetry data into actionable insights \- helping detect faults, predict failures, and strengthen the grid that powers entire communities.
**Responsibilities** 
* Deploy and manage Unity Catalog to standardize data governance, lineage, and access control across data domains.
* Design, develop, and maintain scalable data pipelines and architectures.
* Implement data ingestion, transformation, and storage solutions.
* Ensure data quality and integrity across various data sources and destinations.
* Collaborate with software engineers, data scientists, analysts, and other stakeholders to meet data requirements.
* Optimize and tune data workflows for performance and efficiency.
* Monitor, troubleshoot, and resolve issues in data pipelines and related systems.
* Document data processes, architecture, and workflow procedures.﻿﻿
**Required Skills** 
* 5\+ years of professional experience in data engineering or related roles, building and scaling real\-time data infrastructure
* Experience designing and maintaining data lakes and lakehouse architectures with governance and access controls
* Strong in Python and SQL, with deep experience in relational, time\-series, and streaming databases
* Hands\-on with modern data stacks \- Spark, Kafka, Databricks, Grafana, and other cloud\-native tools
* Skilled in data modeling, ETL/ELT pipelines, and real\-time streaming architectures for production systems
* Familiar with CI/CD, version control, and data governance/security best practices
**Bonus Skills** 
* Experience with real\-time data processing and streaming analytics frameworks
* Familiarity with IoT and embedded systems, including sensor data pipelines and edge computing
* Hands\-on with Docker, Kubernetes, and Protobuf in production environments
* Exposure to machine learning workflows and real\-time monitoring for IoT and time\-series data
* Comfortable operating in a high\-growth startup environment, adapting quickly across domains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22">
      <c r="A22" t="inlineStr">
        <is>
          <t>li-4338246731</t>
        </is>
      </c>
      <c r="B22" t="inlineStr">
        <is>
          <t>Senior Data Engineer</t>
        </is>
      </c>
      <c r="C22" t="inlineStr">
        <is>
          <t>Posh</t>
        </is>
      </c>
      <c r="D22" t="inlineStr">
        <is>
          <t>linkedin</t>
        </is>
      </c>
      <c r="E22" t="inlineStr"/>
      <c r="F22" t="inlineStr"/>
      <c r="G22" t="inlineStr"/>
      <c r="H22" t="inlineStr"/>
      <c r="I22" t="inlineStr">
        <is>
          <t>**About Posh**
 We are all social creatures, but the dominant “social” companies today have evolved into digital loneliness machines, driving isolation, anxiety, and mental health challenges around the world.
 Human connection is lost. Posh is a beacon guiding us back.
 Posh enables anyone to build an IRL community based on shared interests, while connecting consumers with the communities of people just like them. Founded by event organizers who were frustrated with the growing loneliness epidemic and the tools available to build their own event brand, we’ve built the ultimate platform for launching, monetizing, and finding IRL communities of people just like you. In just 5 years, Posh has grown to a team of 65, expanded to 7M\+ users, secured $70m in venture funding, and facilitated over $300M in transactions.
**About The Role**
 We are looking for an experienced Senior Data Engineer to lay the foundation for our data infrastructure and drive the evolution of our data systems as we scale our Data Engineering department. As our founding Data Engineer, you’ll have the rare opportunity to architect and build scalable data solutions from the ground up, define best practices, and create a robust, high\-performing data environment that fuels our company’s growth as a data\-driven organization.
 At Posh, you'll design and manage our data warehouse, infrastructure, and pipelines. You'll integrate new data sources and optimize transformations to enable efficient, reliable analytics. Working across the entire data stack—from ingestion to transformation to storage and performance tuning—you'll build robust, scalable, and efficient data systems.
 You'll collaborate closely with Product and Engineering teams to define data models, establish governance practices, and create infrastructure that drives company\-wide decision\-making. Your responsibilities will include maintaining data security, reliability, and monitoring to ensure a trusted, scalable environment.
 This role offers a high\-growth opportunity as we expand our data capabilities and team. If you're passionate about building from scratch, driving best practices, and making a lasting impact, this is the role for you.
**This is an in\-person role based in our New York City office in the heart of SoHo** 
 . Building live experiences and building with soul are important for our customers, and we believe being and working together as a team is the best way for Posh to feel and achieve this. Events on Posh should be fun, alive, and driven with passion and we want to mirror this in our teams every day!
**At a high level, you’ll be in charge of:**
* Designing, Building, and Maintaining Scalable Data Pipelines: Design and optimize robust ETL/ELT pipelines that efficiently process and integrate data from multiple sources while ensuring scalability and reliability using Python and SQL.
* Optimizing Data Infrastructure for Performance and Scalability: Enhance data architecture, storage solutions, and processing frameworks to handle growing data volumes while reducing latency and maximizing cost efficiency, to support real\-time and batch data processing).
* Ensuring Robust Data Governance and Management: Implement and enforce data governance best practices to maintain data integrity, accuracy, and accessibility. Create clear documentation and establish company\-wide data policies.
* Collaborate with Product/Engineering Teams to Build Dashboards: Work cross\-functionally to define data requirements, design efficient data models, and track product features and metrics via dashboards. Partner with Engineering teams to implement effective data tracking, logging, and ingestion strategies that align with business objectives.
* Drive Best Practices for Data Collection: Establish and enforce data collection standards to ensure consistency, reliability, and scalability. Set up automated monitoring, logging, and alerting for data pipelines to ensure reliability efficient QAing. Maintain security protocols, access controls, and compliance standards to safeguard sensitive data and meet regulatory requirements.
**Our Ideal Candidate**
* Possesses 5\+ Years of full time Data Experience: Has at least four years of hands\-on experience in data engineering or analytics engineering. Demonstrates a strong ability to design, build, and optimize scalable data systems.
* Strong Experience with Modern Data Stack Technologies: Familiar with cloud data platforms (AWS, GCP, Azure), IaC environments (Terraform), orchestration tools (Airflow, Prefect, Dagster), data integration tools (Fivetran, Estuary), transformation frameworks (dbt), modern data warehouses (BigQuery, Redshift, Snowflake), and NoSQL databases (MongoDB).
* Expertise in Database Management and Performance Optimization: Proficient in SQL\-based and NoSQL databases, optimizing query performance, indexing strategies, and ensuring efficient data storage and retrieval.
* Expertise in Modeling Best Practices Data Governance, Quality Assurance, and Documentation: Skilled in creating scalable, well\-documented data models for self\-serve analytics with robust data validation, testing, and observability. Implements proven practices for data governance, integrity, and accessibility to ensure consistent, reliable data throughout the organization.
* Experience building ML Pipelines: Experience creating and cleaning data for production ready ML models and identifying new data sources to increase ML efficacy.
* Highly Organized, Proactive, and Efficient: Is able to manage multiple projects simultaneously. Capable of prioritizing tasks effectively to meet deadlines, ensuring efficient and timely completion of projects.
* Has a Background in Early Stage Data Team (Required): Exhibits high interest in startups and has experience building the early foundation of a data team at a small tech company.
 Posh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Posh is committed to providing reasonable accommodations for qualified individuals with disabilities in our job application procedures. Please let us know if you need assistance or accommodation due to a disability</t>
        </is>
      </c>
    </row>
    <row r="23">
      <c r="A23" t="inlineStr">
        <is>
          <t>li-4374082620</t>
        </is>
      </c>
      <c r="B23" t="inlineStr">
        <is>
          <t>Data Engineer</t>
        </is>
      </c>
      <c r="C23" t="inlineStr">
        <is>
          <t>Avance Consulting</t>
        </is>
      </c>
      <c r="D23" t="inlineStr">
        <is>
          <t>linkedin</t>
        </is>
      </c>
      <c r="E23" t="inlineStr"/>
      <c r="F23" t="inlineStr"/>
      <c r="G23" t="inlineStr">
        <is>
          <t>Austin, TX</t>
        </is>
      </c>
      <c r="H23" t="inlineStr"/>
      <c r="I23" t="inlineStr">
        <is>
          <t>**Job Title: Spark and Scala Lead Developer** 
**Location: Cupertino, CA, Austin TX** 
**Duration: Full Time** 
**Required Qualifications** 
* At least 4 years of experience with Information Technology
* Strong understanding of distributed computing principles and big data technologies
* Hands on experience working with Apache Spark, Scala, Spark SQL and Starburst
* Hands on experience with Big Data systems, building ETL pipelines, data processing, and analytics tools
* Understanding of data structures, algorithms \&amp; common methods in data transformation
* Familiar with the concepts of dimensional modeling
* Sound knowledge of one programming language \- Python or Java
* Programming experience using tools such as Hadoop and Spark
* Strong proficiency in using query languages such as SQL, Hive and SparkSQL
* Experience in Scala Functional programming
**Preferred Qualifications:** 
* Experience in Kafka would be a plus
* Knowledge of data serialization formats such as Parquet, Avro, or ORC
* Familiarity with data processing and transformation techniques
* Experience with data lakes, data warehouses, and ETL processes
* Good understanding of Agile software development frameworks
* Strong communication and Analytical skills
* Ability to work in teams in a diverse, multi\-stakeholder environment comprising of Business and Technology teams
* Experience and desire to work in a global delivery environment</t>
        </is>
      </c>
    </row>
    <row r="24">
      <c r="A24" t="inlineStr">
        <is>
          <t>li-4376571289</t>
        </is>
      </c>
      <c r="B24" t="inlineStr">
        <is>
          <t>Data Engineer</t>
        </is>
      </c>
      <c r="C24" t="inlineStr">
        <is>
          <t>Franklin Fitch</t>
        </is>
      </c>
      <c r="D24" t="inlineStr">
        <is>
          <t>linkedin</t>
        </is>
      </c>
      <c r="E24" t="inlineStr"/>
      <c r="F24" t="inlineStr"/>
      <c r="G24" t="inlineStr">
        <is>
          <t>Peabody, MA</t>
        </is>
      </c>
      <c r="H24" t="inlineStr"/>
      <c r="I24" t="inlineStr">
        <is>
          <t>**About the Company** 
 Our client is a well\-established financial services organization with a strong presence across retail banking, insurance, wealth management, and mortgage services. They are embarking on an exciting journey to build a next\-generation data analytics platform from the ground up, leveraging rich datasets and modern cloud technologies.
 This is a fantastic opportunity to join a collaborative, mid\-sized environment where you can make a real impact on data strategy and analytics capabilities.
**The Role** 
 We are seeking a Data Engineer who can wear multiple hats—data modeling, dashboard development, predictive analytics—and help shape the future of data within the organization.
 You’ll work closely with business stakeholders and IT leadership to design and implement solutions that unlock insights and drive strategic decisions.
**Key Responsibilities** 
* Design and develop new data solutions to meet evolving business needs.
* Build and optimize predictive models; integrate with BI tools.
* Develop dashboards and reports using Power BI.
* Create and maintain efficient data pipelines; support cloud\-to\-cloud environments.
* Collaborate with leadership to provide actionable insights.
* Mentor team members on data handling best practices.
* Stay current with emerging technologies and advocate for ethical data use.
**Technical Requirements** 
 Must Have:
* Power BI and SQL Server expertise
* Azure Cloud experience
* ETL/ELT tools (SSIS, Informatica, Databricks, KingswaySoft)
 Nice to Have:
* Snowflake experience
* Multi\-cloud exposure (AWS/GCP)
* Python and ML frameworks (TensorFlow, PyTorch, scikit\-learn)
* Predictive modeling and advanced analytics
**Soft Skills** 
* Builder mindset—creative with limited resources.
* Comfortable in a non\-siloed environment; able to wear multiple hats.
* Strong collaboration and communication skills.
* Open to learning financial services domain.
**Why Apply?** 
* Opportunity to design and build a data analytics platform from scratch.
* Direct interaction with business stakeholders.
* Stable organization with a history of growth and strong financials.
* Collaborative culture with room for innovation.</t>
        </is>
      </c>
    </row>
    <row r="25">
      <c r="A25" t="inlineStr">
        <is>
          <t>li-4275217097</t>
        </is>
      </c>
      <c r="B25" t="inlineStr">
        <is>
          <t>Senior Analytics Engineer</t>
        </is>
      </c>
      <c r="C25" t="inlineStr">
        <is>
          <t>Zipline</t>
        </is>
      </c>
      <c r="D25" t="inlineStr">
        <is>
          <t>linkedin</t>
        </is>
      </c>
      <c r="E25" t="inlineStr"/>
      <c r="F25" t="inlineStr"/>
      <c r="G25" t="inlineStr">
        <is>
          <t>South San Francisco, CA</t>
        </is>
      </c>
      <c r="H25" t="inlineStr"/>
      <c r="I25" t="inlineStr">
        <is>
          <t>**About Zipline**
 Do you want to change the world? Zipline uses drones to deliver critical and lifesaving medicine to thousands of hospitals serving millions of people in multiple countries. Our mission is to provide every human on Earth with instant access to vital medical supplies. Join Zipline and help us make this a reality for billions of people.
**About You And The Role**
 Zipline's Application Software team builds the tools we use to run our business. We are responsible for the operating system of Zipline – we develop critical applications that enable the manufacturing, maintenance, and service of our drone delivery system. We're currently creating and improving systems to optimize operations across the business, including within finance, supply chain, inventory, manufacturing, maintenance, and engineering. We also build the software applications that enable the Zipline fulfillment experience, ranging from customer\-facing applications for placing orders and tracking deliveries to internal applications for managing inventory and shipping orders.
 As a Senior Analytics Engineer on our team, you’ll play a key role in unlocking the full potential of data from these systems. You will enable data pipelines, transform raw information to make connections and develop analysis\-ready datasets, and create intuitive dashboards, reports, and analyses. As a result, Zipline leaders will have high\-quality and actionable data to make more informed decisions, innovate faster, and serve our customers better.
**What You'll Do**
* Bridge the gap between business problems and the data required to address them.
* Become a trusted partner for customer and operational teams, identifying and anticipating analytical needs and delivering high\-impact solutions and insights.
* Develop and maintain scalable data pipelines to ensure stable, accurate, and reliable data flows seamlessly across systems.
* Partner with engineers to improve data quality at the source and help design software systems that set us up for long\-term analytical success. You’ll bring context and insight that actively shape how we build and scale.
* Design, develop, and optimize models to consolidate raw data from multiple platforms and transform it into clean, reusable datasets.
* Influence the way we think about our business by driving the definition, tracking, and operationalization of metrics.
* Help define our approach to balancing centralized reporting with enabling distributed teams. You’ll build the tools, resources, and data models others need to move quickly and make decisions independently.
* Deep dive into our data, create intuitive reports and dashboards, and unlock actionable insights for stakeholders across operations and business teams.
* Apply statistical methods and experimental design to uncover actionable insights to drive meaningful progress in our product and marketing efforts.
**What You'll Bring**
* Bachelors degree in a related field
* 7\+ years of relevant industry experience
* A strategic mindset, with experience helping define and evolve data strategy, infrastructure, or analytics practices
* Familiarity with Python or R for statistical analysis, experiment design, or predictive modeling is a plus.
* Expertise in writing complex and efficient SQL queries
* Experience with Business Intelligence tools, preferably Mode and Thoughtspot
* Experience with data warehouses, preferably Snowflake
* Experience in schema design and dimensional data modeling, preferably using dbt
* Experience working with finance, e\-commerce, and product data
* Expertise analyzing large datasets visually to make complex results understandable at a glance
* Excellent analytical and problem\-solving skills, with the ability to translate business requirements into technical solutions
* Adept at triaging analytics requests and balancing multiple projects, deadlines, and stakeholders
* Excellent communication and interpersonal skills, with the ability to explain complex topics in simple language to diverse audiences
**What Else You Need to Know**
 The starting cash range for this role is $140,000 \- $175,000\. Please note that this is a target, starting cash range for a candidate who meets the minimum qualifications for this role. The final cash pay for this role will depend on a variety of factors, including a specific candidate's experience, qualifications, skills, working location, and projected impact. The total compensation package for this role may also include: equity compensation; overtime pay; discretionary annual or performance bonuses; sales incentives; benefits such as medical, dental and vision insurance; paid time off; and more.
 Zipline is an equal opportunity employer and prohibits discrimination and harassment of any type without regard to race, color, ancestry, national origin, religion or religious creed, mental or physical disability, medical condition, genetic information, sex (including pregnancy, childbirth, and related medical conditions), sexual orientation, gender identity, gender expression, age, marital status, military or veteran status, citizenship, or other characteristics protected by state, federal or local law or our other policies.
 We value diversity at Zipline and welcome applications from those who are traditionally underrepresented in tech. If you like the sound of this position but are not sure if you are the perfect fit, please apply!</t>
        </is>
      </c>
    </row>
    <row r="26">
      <c r="A26" t="inlineStr">
        <is>
          <t>li-4376572143</t>
        </is>
      </c>
      <c r="B26" t="inlineStr">
        <is>
          <t>Data Engineer (Data Stage)</t>
        </is>
      </c>
      <c r="C26" t="inlineStr">
        <is>
          <t>Wiraa</t>
        </is>
      </c>
      <c r="D26" t="inlineStr">
        <is>
          <t>linkedin</t>
        </is>
      </c>
      <c r="E26" t="inlineStr"/>
      <c r="F26" t="inlineStr"/>
      <c r="G26" t="inlineStr"/>
      <c r="H26" t="inlineStr"/>
      <c r="I26" t="inlineStr">
        <is>
          <t>**About The Company**
 First Citizens Bank is a renowned financial institution committed to delivering exceptional banking services to its clients. With a rich history of stability and growth, the bank prides itself on leveraging innovative technology solutions to enhance customer experience and operational efficiency. As a forward\-thinking organization, First Citizens Bank emphasizes diversity, inclusion, and professional development, fostering a collaborative environment that encourages continuous learning and excellence. The bank’s dedication to integrity and community engagement makes it a trusted partner for individuals and businesses alike.
**About The Role**
 We are seeking a highly skilled Data Engineer to join our dynamic team in a remote capacity, with eligibility limited to North Carolina and Arizona. This role is pivotal in managing end\-to\-end data solutions, including analytics platforms, data integration, data quality, and governance tools. The successful candidate will be responsible for designing, developing, and maintaining robust data pipelines and frameworks that support critical business operations and strategic decision\-making. Acting as a technical expert and mentor, the Data Engineer will collaborate closely with architects, development teams, and stakeholders to ensure data integrity, compliance, and optimal performance. The role requires a proactive approach to system enhancement, technical support, and innovative problem\-solving, all while adhering to industry standards and bank policies.
**Qualifications**
* Bachelor's Degree in Computer Science, Information Technology, or related field, with at least 6 years of experience in software application development and maintenance, OR High School Diploma or GED with a minimum of 10 years of relevant experience.
* Minimum of 5 years of hands\-on experience in data engineering and data integration technologies such as SQL, SAP BODS, Oracle, SQL Server, Informatica, DataStage, Netezza, or SSIS.
* At least 3 years of experience working in agile engineering practices and leading multi\-time zone data teams.
* 2 years of practical experience with AWS, Snowflake, and dbt.
* 1 year of experience with cloud computing platforms and services.
* Knowledge of cloud data warehousing, transactional and analytical data modeling, data quality, and reporting tools.
* Familiarity with analytics platforms such as Python, Power BI, SSAS, and SSRS.
* Experience working with finance and regulatory reporting is a plus.
**Responsibilities**
* Lead efforts to evaluate and enhance data systems, processes, and applications, ensuring alignment with organizational goals and standards.
* Design, develop, and optimize data pipelines, frameworks, and modules to support analytics and operational needs.
* Provide technical support for production systems, troubleshooting complex issues, and ensuring system functionality and reliability.
* Mentor and train team members on best practices, emerging technologies, and project methodologies.
* Collaborate with architects and development teams to gather data requirements, design scalable solutions, and ensure compliance with bank standards.
* Develop and implement data transformation, cleaning, and control processes, including metadata management and data quality controls.
* Conduct data analysis by collecting and assessing data related to user requests, system impacts, and business specifications.
* Lead cross\-functional projects, negotiate solutions, and communicate technical insights effectively to stakeholders and management.
* Engage in vendor management, budget planning, and auditing activities to optimize resource utilization and project delivery.
**Benefits**
* Competitive salary and comprehensive health insurance plans.
* Retirement savings options and financial wellness programs.
* Paid time off, holidays, and flexible work arrangements.
* Professional development opportunities and ongoing training programs.
* Employee assistance programs and wellness resources.
 Equal Opportunity
 First Citizens Bank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age, disability, or veteran status.</t>
        </is>
      </c>
    </row>
    <row r="27">
      <c r="A27" t="inlineStr">
        <is>
          <t>li-4376815177</t>
        </is>
      </c>
      <c r="B27" t="inlineStr">
        <is>
          <t>Senior Data Engineer -Enterprise data Platform ( Microsoft Fabric)</t>
        </is>
      </c>
      <c r="C27" t="inlineStr">
        <is>
          <t>Daley And Associates, LLC</t>
        </is>
      </c>
      <c r="D27" t="inlineStr">
        <is>
          <t>linkedin</t>
        </is>
      </c>
      <c r="E27" t="inlineStr"/>
      <c r="F27" t="inlineStr"/>
      <c r="G27" t="inlineStr">
        <is>
          <t>Boston, MA</t>
        </is>
      </c>
      <c r="H27" t="inlineStr"/>
      <c r="I27" t="inlineStr">
        <is>
          <t>Senior Data Engineer – Enterprise Data Platform (Microsoft Fabric)
 A leading investment management organization is seeking an experienced Senior Data Engineer to help architect and scale its enterprise data platform built on Microsoft Fabric. This role sits within the technology organization and works closely with analytics, financial systems, and advanced data initiatives across the firm.
 This position is ideal for a senior individual contributor who enjoys building foundational data systems, defining architectural standards, and shaping governance practices. The successful candidate will help establish a scalable, secure, and future\-ready data ecosystem that supports analytics, reporting, and AI\-driven use cases across the business.
 What You’ll Do
 * Architect and enhance a Fabric\-centered data platform using OneLake as the unified storage layer.
* Establish design standards for Lakehouses, Warehouses, Pipelines, Spark workloads, and semantic models.
* Develop governance frameworks covering data quality, lineage, metadata, and access management.
* Translate business requirements into scalable Fabric\-native technical designs.
* Act as the technical authority overseeing external engineering partners, conducting design reviews and ensuring implementation quality.
* Promote the use of modern Fabric capabilities over legacy Azure\-based design patterns when appropriate.
* Identify and remediate architectural inefficiencies, technical debt, and tool proliferation.
* Partner with stakeholders across finance, operations, capital markets, investor communications, and other functional areas to deliver high\-impact data products.
* Guide enterprise Power BI practices, including semantic modeling strategy, Direct Lake implementation, performance optimization, and governance controls.
* Contribute hands\-on where needed, including prototyping, framework development, and critical technical components.
* Define and execute a roadmap that improves platform scalability, simplifies architecture, and increases data accessibility.
* Provide technical mentorship and elevate engineering best practices across the data team.
* Collaborate with cloud and security teams to ensure compliance, resilience, and proper environment configuration.
 Required Background
 * Bachelor’s or Master’s degree in Computer Science, Engineering, or related field.
* 7\+ years of experience in data engineering, analytics engineering, or software engineering.
* Experience contributing to enterprise\-scale data platforms (beyond isolated pipelines).
* Proven ability to guide and review the work of external or distributed engineering teams.
* Strong communication skills with the ability to convert business needs into technical architecture.
* Experience modernizing Azure\-based data environments into Fabric\-first solutions.
* A strong bias toward simplification, long\-term maintainability, and architectural clarity.
* Ability to operate effectively in evolving platform ecosystems and adapt to new feature releases.
 Core Technical Expertise
 * Deep experience designing and operating production\-grade Microsoft Fabric environments.
* Hands\-on expertise with OneLake, Lakehouse and Warehouse paradigms, Pipelines, and Spark\-based data engineering.
* Strong Power BI knowledge, including semantic model architecture, Direct Lake vs. Import decisions, performance tuning, and governance.
* Proficiency in Python and SQL within Spark and warehouse contexts.
* Solid understanding of modern dimensional modeling and analytics\-oriented data design.
 Additional Experience (Preferred)
 * Working knowledge of legacy Azure data services (e.g., Synapse, Azure Data Factory, ADLS) for migration context.
* Exposure to other cloud ecosystems is a plus.
* Familiarity with data governance frameworks and metadata management practices.
* Experience integrating SaaS platforms and external APIs.
* Experience working in Agile or iterative delivery models.
* Alignment with skills typically associated with Microsoft Fabric Data Engineer Associate\-level knowledge 
 For immediate consideration please email a resume to Kenny at Kwilliams@daleyaa.com.
 Full time position, no 3rd parties or relocation will be considered.
 Hybrid 3 days in\-office 2 remote. 
 IND123</t>
        </is>
      </c>
    </row>
    <row r="28">
      <c r="A28" t="inlineStr">
        <is>
          <t>li-4321743214</t>
        </is>
      </c>
      <c r="B28" t="inlineStr">
        <is>
          <t>Data Engineer – Corporate Technology Data Engineering &amp; Analytics</t>
        </is>
      </c>
      <c r="C28" t="inlineStr">
        <is>
          <t>MassMutual</t>
        </is>
      </c>
      <c r="D28" t="inlineStr">
        <is>
          <t>linkedin</t>
        </is>
      </c>
      <c r="E28" t="inlineStr"/>
      <c r="F28" t="inlineStr"/>
      <c r="G28" t="inlineStr">
        <is>
          <t>Boston, MA</t>
        </is>
      </c>
      <c r="H28" t="inlineStr"/>
      <c r="I28" t="inlineStr">
        <is>
          <t>**The Opportunity**
 Join our dynamic team as a Data Engineer – Corporate Technology Data Engineering \&amp; Analytics, where you'll play a pivotal role in driving the execution of our data and technology strategy. This role is crucial in driving digital transformation and operational efficiency across Investment Management. As part of this role, you will engage in building data solutions including streaming and batch pipelines, data marts \&amp; data warehouse. You will be responsible for establishing robust data collection and processing pipelines to fulfill Investment Management business requirements.
**The Team**
 You’ll be an integral part of our esteemed Corporate Technology Team, focused on Data Engineering \&amp; Analytics. Our team operates on a global scale, driving innovation and excellence across diverse areas of expertise. As a Data Engineer, you'll play a critical role in high impact Corporate Technology Investment Initiatives, ensuring alignment with organizational objectives and driving impactful outcomes. This is an opportunity to collaborate closely with Corporate Technology Data and Analytics team and Investment management business stakeholders. Our team thrives on collaboration, innovation, and a shared commitment to excellence. Together, we're shaping the future of technology within our organization and making a lasting impact on a global scale. Join us and be part of a dynamic team where your contributions will be valued and your potential unleashed.
**The Impact**
* Design, build, and measure complex ELT jobs to process disparate data sources and form a high integrity, high quality, clean data asset.
* Executes and provides feedback for data modeling policies, procedure, processes, and standards.
* Assists with capturing and documenting system flow and other pertinent technical information about data, database design, and systems.
* Develop comprehensive data quality standards and implement effective tools to ensure data accuracy and reliability.
* Collaborate with various Investment Management departments to gain a better understanding of new data patterns.
* Collaborate with Data Analysts, Data Architects, and BI developers to ensure design and development of scalable data solutions aligning with business goals.
* Translate high\-level business requirements into detailed technical specs.
**The Minimum Qualifications**
* Bachelor’s degree in Computer Science, Engineering, Information Systems or related technical field.
* 8\+ years of experience with data analytics, data modeling, and database design.
* 5\+ years experience with ELT methodologies and tools.
* 5\+ years experience in designing, developing, tuning and troubleshooting SQL.
* 3\+ years of coding and scripting (Python, Java, Scala) and design experience.
* 2\+ years of experience with Spark framework.
**The Ideal Qualifications**
* Knowledge of Informatica Power center and Informatica IDMC.
* Knowledge of distributed, column\- orientated technology to create high\-performant database technologies like \- Vertica, Snowflake.
* Strong data analysis skills for extracting insights from financial data
* Proficiency in reporting tools (e.g., Power BI, Tableau).
* Domain knowledge of Investment Management operations including Security Masters, Securities Trade and Recon Operations, Reference data management, Pricing.
* Familiarity with regulatory requirements and compliance standards in the investment management industry.
* Experience with IBOR’s such as Blackrock Alladin, CRD, Eagle STAR (ABOR), Eagle Pace, and Eagle DataMart.
* Familiarity with investment data platforms such as GoldenSource, FINBOURNE, NeoXam, RIMES, and JPM Fusion.
* Strong analytical and problem\-solving abilities.
* Exceptional communication and interpersonal skills.
* Ability to influence and motivate teams without direct authority.
* Excellent time management and organizational skills, with the ability to prioritize multiple initiatives.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29">
      <c r="A29" t="inlineStr">
        <is>
          <t>li-4375711726</t>
        </is>
      </c>
      <c r="B29" t="inlineStr">
        <is>
          <t>Data Engineer</t>
        </is>
      </c>
      <c r="C29" t="inlineStr">
        <is>
          <t>Emonics LLC</t>
        </is>
      </c>
      <c r="D29" t="inlineStr">
        <is>
          <t>linkedin</t>
        </is>
      </c>
      <c r="E29" t="inlineStr"/>
      <c r="F29" t="inlineStr"/>
      <c r="G29" t="inlineStr">
        <is>
          <t>Pittsburgh, PA</t>
        </is>
      </c>
      <c r="H29" t="inlineStr"/>
      <c r="I29" t="inlineStr">
        <is>
          <t>Job description
 About the role
 We are looking for a Data Engineer to help build applications powered by large language models (LLMs). You will help create prompt workflows, retrieval\-augmented generation (RAG) pipelines, and AI features that deliver business value safely and reliably.
 What you will do
 • Build GenAI prototypes and production features using LLM APIs and open\-source models
 • Develop prompt strategies and evaluate outputs for quality and consistency
 • Implement RAG using vector databases and document pipelines
 • Create automated tests and evaluation approaches for GenAI responses
 • Work on responsible AI practices (privacy, safety, bias mitigation)
 What you are looking for
 • Strong Python skills and comfort with APIs
 • Understanding of NLP fundamentals and basic ML concepts
 • Ability to write clean code and iterate quickly
 Nice to have
 • Familiarity with LangChain or LlamaIndex (or similar orchestration tools)
 • Experience with vector databases (Pinecone, Weaviate, FAISS, Chroma)
 • Basic knowledge of embeddings, token limits, context windows, and prompt injection risks
 • Cloud and Docker exposure</t>
        </is>
      </c>
    </row>
    <row r="30">
      <c r="A30" t="inlineStr">
        <is>
          <t>li-4334499204</t>
        </is>
      </c>
      <c r="B30" t="inlineStr">
        <is>
          <t>Data Engineer</t>
        </is>
      </c>
      <c r="C30" t="inlineStr">
        <is>
          <t>DMA - DuCharme, McMillen &amp; Associates, Inc.</t>
        </is>
      </c>
      <c r="D30" t="inlineStr">
        <is>
          <t>linkedin</t>
        </is>
      </c>
      <c r="E30" t="inlineStr"/>
      <c r="F30" t="inlineStr"/>
      <c r="G30" t="inlineStr">
        <is>
          <t>Fort Wayne, IN</t>
        </is>
      </c>
      <c r="H30" t="inlineStr"/>
      <c r="I30" t="inlineStr">
        <is>
          <t>As an employee\-owned company, DMA prioritizes employees. Low turnover rates and tenured teams are living proof:
* 2025 Great Places to Work Certified
* Employee stock ownership program eligibility begins on day one of employment (ESOP contribution is targeted at 6% of your annual compensation)
* Company paid parental leave
* Generous time off package
* Multiple benefit plans, eligibility begins on day one of employment
* Culturally focused on work/life balance, mental health, and the overall wellness of our employees
 This is a hybrid position with an expectation to be in our Fort Wayne, IN office a minimum of two days per week. This position does not qualify for relocation assistance. Must be authorized to work in the U.S. without the need for employment\-based visa sponsorship now or in the future. This position does not qualify for employment\-based sponsorship.
**Position Summary**
 The Data Analyst will be primarily responsible for creating and maintaining DMA’s infrastructure and systems that enable the collection, storage, and processing of data. This role is essential for ensuring data is accessible, reliable, and optimized for analysis and decision\-making.
**Essential Duties And Responsibilities**
* Design, build, and maintain robust data pipelines and ETL processes to ingest, transform, and deliver data from various sources.
* Mine data from primary and secondary sources, then reorganize said data in a format that can be easily read by either human or machine
* Use statistical tools to interpret data sets, pay particular attention to trends and patterns that could be valuable for diagnostic and predictive analytics efforts
* Collaborate with programmers and engineers to improve efficiency and data organization; improve performance through data structure and query optimization
* Ensure data integrity, quality, and security across all systems and platforms
* Work with departments to provide insight and identify opportunities, improvements, recommend system modifications, and develop policies for data governance
* Integrate structured and unstructured data from internal and external sources.
* Monitor and troubleshoot data workflows, resolving issues proactively
* Design, implement, and maintain critical data systems from ETL/ELT, Data Warehouse, BI Tools, and everything in between
* Maintain documentation for data architecture, processes, and standards
* Collaborate with data scientists, analysts, and product teams to support data needs.
* Analyze requirements from the business and provide solutions or guidance for solutions
* Work with senior data analyst to establish data governance
**Non\-Essential Duties And Responsibilities**
* Perform other duties as assigned
**Education And Qualifications**
* Bachelor’s degree in computer science, information systems, engineering, or related field.
* 2 to 5 years’ experience as a data engineering role
* Familiarity with professional programming preferred
* Familiarity with relevant business domains
* Ability to analyze large datasets and write comprehensive reports
* Experience in data models and reporting packages
* Experience working with data and data analytics development, preferably within the Microsoft data platform
* Ability to understand business needs and translate them into technical solutions
* Works effectively with analysts, stakeholders, and IT teams to deliver data solutions that drive business value
* Proficiency in SQL and experience with relational and non\-relational databases
* Proficient with ELT/ETL and Data Warehousing development
* Knowledge of relational databases and object\-relational mapping concepts
* Commitment to data quality, governance, and compliance
* Understanding of data modeling, normalization, and schema design
* Excellent organizational skills: ability to handle multiple projects
* An analytical mind and inclination for problem\-solving
* Strong verbal and written communication skills
 The Company is an equal employment opportunity employer and is committed to providing equal employment opportunities to its applicants and employees. The Company does not discriminate in employment opportunities or practices on the basis of race, color, religion, gender, national origin, citizenship, age, disability, veteran status, genetic information, or any other category covered by applicable federal, state, or local law. This equal employment opportunity policy applies to all employment policies, procedures, and practices, including but not limited to hiring, promotion, compensation, training, benefits, work assignments, discipline, termination, and all other terms and conditions of employment.
 It is DMA's policy to make reasonable accommodations for qualified individuals with disabilities. If you have a disability and either need assistance applying online or need to request an accommodation during any part of the application process, please contact our Human Resources team at HRDepartment@dmainc.com or 800\-309\-2110 and choosing selection 6\.</t>
        </is>
      </c>
    </row>
    <row r="31">
      <c r="A31" t="inlineStr">
        <is>
          <t>li-4357492872</t>
        </is>
      </c>
      <c r="B31" t="inlineStr">
        <is>
          <t>Data Engineer / Data Scientist / Data Architect - Full time</t>
        </is>
      </c>
      <c r="C31" t="inlineStr">
        <is>
          <t>Ztek Consulting</t>
        </is>
      </c>
      <c r="D31" t="inlineStr">
        <is>
          <t>linkedin</t>
        </is>
      </c>
      <c r="E31" t="inlineStr"/>
      <c r="F31" t="inlineStr"/>
      <c r="G31" t="inlineStr">
        <is>
          <t>Vienna, VA</t>
        </is>
      </c>
      <c r="H31" t="inlineStr"/>
      <c r="I31" t="inlineStr">
        <is>
          <t>Below are the 3 roles open:
 1\) Data Engineer
 2\) Data Scientist
 3\) Data Architect
**Job Descriptions:** 
**Data Engineer Job Description :** 
* Design, build, and optimize batch and real\-time data pipelines using Python, SQL, Airflow, Kafka, and AWS Glue
* Lead scalable ETL and data lake architectures across distributed cloud environments
* Ensure data quality, governance, security, and compliance while supporting analytics and data science needs
* Mentor junior engineers and collaborate with stakeholders to deliver reliable, well\-documented data solutions
**Data Scientist Job Description :** 
* 3\+ years of experience in statistical modeling and applied data analysis, including regression, classification, clustering, and time\-series analysis
* Proficient in Python or R, with hands\-on experience in data wrangling, visualization, and model development
* Strong experience with SQL/Spark SQL, basic data modeling, and cloud platforms (AWS, Azure, or GCP)
* Excellent ability to communicate complex insights and manage multiple priorities effectively
**Data Architect Job Description :** 
* Lead and mentor data engineering teams while architecting and building enterprise\-scale data platforms from design through production
* Develop and optimize production\-grade ETL/ELT pipelines, data models, and data warehouses using Python, SQL, PySpark, and cloud platforms (AWS/GCP)
* Implement CI/CD, data governance, quality frameworks, and secure, compliant data solutions aligned with federal/VA standards
* Collaborate with cross\-functional stakeholders to translate business requirements into scalable, high\-quality data solutions</t>
        </is>
      </c>
    </row>
    <row r="32">
      <c r="A32" t="inlineStr">
        <is>
          <t>li-4376579762</t>
        </is>
      </c>
      <c r="B32" t="inlineStr">
        <is>
          <t>Data Engineer II (IT@JH Office of the Deputy CIO)</t>
        </is>
      </c>
      <c r="C32" t="inlineStr">
        <is>
          <t>Inside Higher Ed</t>
        </is>
      </c>
      <c r="D32" t="inlineStr">
        <is>
          <t>linkedin</t>
        </is>
      </c>
      <c r="E32" t="inlineStr"/>
      <c r="F32" t="inlineStr"/>
      <c r="G32" t="inlineStr">
        <is>
          <t>Baltimore, MD</t>
        </is>
      </c>
      <c r="H32" t="inlineStr"/>
      <c r="I32" t="inlineStr">
        <is>
          <t>IT@JH Office of Deputy CIO is seeking a
 ***Data Engineer II***
 who is responsible for the data architecture and integration of university processes, systems and data to improve reporting and analytics across functions, offices and schools. This includes the architecture, design and implementation of infrastructure and operations for the University Data Warehouse (UDW), complementary Lakehouse, and other modern data technologies.
**Specific Duties \&amp; Responsibilities**
* Contribute to the design, production, and maintenance of data pipelines for data acquisition, management, transformation, and back\-end code development to power data web applications and convert raw data into usable information.
* Write and maintain ETL/ELTs that operate on a variety of structured and unstructured sources.
* Develop and maintain web data scraping systems for automatic data acquisition.
* Help design data architecture and provide ongoing support.
* Input/output data from databases and perform queries.
* Create scripts to clean, transform, and analyze data.
* Put data pipelines into production using data warehousing systems.
* Create and implement production software to monitor data quality and detect data anomalies.
* Perform daily manual data quality assurance tasks.
* Support, maintain, and troubleshoot the software infrastructure.
* Source data, conduct analyses, visualize data, and generate insights to support ongoing research projects and other requests across the organization.
* Collaborate with developers, analysts, data scientists, researchers, policy experts, and other partners.
* Communicate with Division leadership, and others on the team.
* Collaborate with external partners, contractors, and vendors.
* Other duties as assigned.
**On\-Call Rotation**
* This position requires a support rotation, which may entail some off\-hour support.
**Minimum Qualifications**
* Bachelor's Degree.
* Five years of related work experience focused within database management and design and business requirement gathering.
* Additional education may substitute for required experience and additional related experience may substitute for required education beyond a high school diploma/graduation equivalent, to the extent permitted by the JHU equivalency formula.
**Preferred Qualifications**
* Five years of progressive responsibility for data architecture in complex environment, extensive experience with relational, analytic, and other primary data and BI development approaches.
* Implementation and support experience with large\-scale real\-time and batch ETL/ELT for data ingestion and integration.
* Experience in dimensional modeling, student systems and information, APIs, advanced SQL, Power BI, Fabric, Azure, pipelines.
**Technical Skills \&amp; Expected Level Of Proficiency**
* Data Management and Analysis \- Intermediate
* Data Pipeline Architecture \&amp; ETL/ELT Development \- Intermediate
* Database Querying \- Intermediate
* Data Validation and Quality Assurance \- Intermediate
* Data Visualization \- Intermediate
* Data Warehousing \&amp; Architecture \- Intermediate
* Oral and written communications \- Intermediate
* Programming Languages \- Intermediate
* Web Scraping and Data Acquisition \- Intermediate
 Classified Title: Data Engineer II
 Job Posting Title (Working Title): Data Engineer II (IT@JH Office of the Deputy CIO)
 Role/Level/Range: ATP/04/PG
 Starting Salary Range: $99,800 \- $175,000 Annually (Commensurate w/exp.)
 Employee group: Full Time
 Schedule: Mon\-Fri, 8:30am\-5pm
 FLSA Status: Exempt
 Location: Remote
 Department name: IT@JH Office of the Deputy CIO
 Personnel area: University Administration</t>
        </is>
      </c>
    </row>
    <row r="33">
      <c r="A33" t="inlineStr">
        <is>
          <t>li-4328160883</t>
        </is>
      </c>
      <c r="B33" t="inlineStr">
        <is>
          <t>Senior Data Engineer</t>
        </is>
      </c>
      <c r="C33" t="inlineStr">
        <is>
          <t>AngelList</t>
        </is>
      </c>
      <c r="D33" t="inlineStr">
        <is>
          <t>linkedin</t>
        </is>
      </c>
      <c r="E33" t="inlineStr"/>
      <c r="F33" t="inlineStr"/>
      <c r="G33" t="inlineStr"/>
      <c r="H33" t="inlineStr"/>
      <c r="I33" t="inlineStr">
        <is>
          <t>**Why Join AngelList** 
 We’re solving some of the hardest problems in venture capital and private markets. You’ll work with a team that values precision, urgency, and long\-term thinking. If you want to shape how startups are funded and built, this is the place.
**About AngelList** 
 We exist to accelerate innovation by increasing the number of successful startups in the world. We do this by building the financial infrastructure that makes it easier for more people to invest in world\-changing companies.
 AngelList is the nexus of venture capital and the startup community. We support $171B\+ in assets and have powered investments into over 13,000 startups—over 300 of which are unicorns. Today, 57% of top\-tier U.S. VC deals involve investors on AngelList. While our scale is large, our ambition is larger.
 If you're excited to build the future of private markets, come build with us.
**About the Role:** 
 AngelList is hiring a Senior Data Engineer who is passionate about using their technical skills to democratize data, metrics, and insights for the team. Reporting to the Head of Data, you will play a pivotal role in designing, building, and maintaining scalable data pipelines – ensuring efficient data flow and integration to support analytical and operational efficiency. With a highly skilled and experienced Data Engineer, we can accelerate the development of reliable pipelines, improve data availability, and empower faster decision\-making across teams!
 If you're enthusiastic about working in a startup environment with large datasets, optimizing data systems, and enabling data\-driven decision\-making, we’d love to hear from you.
**Key Areas of Impact:** 
* Design, build, and maintain robust, scalable, and efficient ETL/ELT pipelines for structured and unstructured data.
* Implement best practices for data ingestion, transformation, and integration across multiple sources.
* Optimize and maintain data storage solutions (e.g. SQL/NoSQL databases, data lakes, warehouses) for performance and cost\-effectiveness.
* Collaborate with data analysts and business stakeholders to understand data requirements and deliver solutions that meet their needs.
* Contribute to the development and implementation of the organization’s data architecture and strategy.
* Continuously evaluate and integrate new technologies and tools for automated data quality validation and to improve data engineering processes overall.
* Maintain and improve robust monitoring and alerting mechanisms for data pipelines and systems.
**Ideal Candidate will Bring:** 
* 5\+ years of experience designing and implementing scalable data pipelines and infrastructure.
* Strong technical expertise in modern tools and frameworks, including cloud platforms (we're built on AWS), distributed systems, and advanced SQL.
* Proficiency in programming languages (such as Ruby or Python) – you don't need to be a software engineer, but should understand our codebase.
* Hands\-on experience with data warehousing solutions like Snowflake or Redshift and orchestration tools like Airflow or dbt. (We're migrating from Redshift to Snowflake.)
* A strong sense of ownership and accountability, with a track record of proactively improving systems for performance, reliability, and cost while addressing complex technical challenges.
* Excels at cross\-functional collaboration, aligning technical solutions with business goals and delivering measurable improvements to data workflows and decision\-making.
* Curiosity and a growth mindset, demonstrated through learning new tools, deepening technical expertise, and continuously improving processes.
* Startup/high\-growth experience with the scrappiness required to be successful at AngelList!
**How Success will be Measured:** 
* Delivery of reliable, scalable, and efficient data pipelines within agreed timelines, with minimal downtime and robust monitoring systems in place.
* Successful collaboration with analysts and stakeholders to enable seamless access to accurate and timely data for decision\-making.
* Tangible improvements in infrastructure scalability, cost\-effectiveness, and adaptability to evolving business needs.
**Working Here** 
 If you don’t meet every requirement above, we still encourage you to apply. We value complementary strengths and operators who learn by doing.
**AngelList has offices in a few cities, with our engineering hub in San Francisco.** 
 We’re building our engineering and product teams around this hub to make the most of in\-person collaboration. We have a hybrid in\-office model: teammates come in at least 2 days per week (Tuesdays and either Wednesday or Thursday).
**Compensation:** 
 The compensation for this role consists of a competitive base salary, benefits, and equity package. The base salary for this role is $190,000\+ annually but actual will vary based on a number of factors including a candidate’s professional background, experience, and location. Additional details about our Total Rewards package will be provided during the recruitment process.
**Benefits:** 
 We support your life both in and outside of work.
 Explore our benefits
 Learn about Funders \&amp; Founders
**What Guides Us:** 
 At AngelList, we are united in our purpose to accelerate innovation and build the future of private markets. Our beliefs and values shape what we work on and how we create impact. If the below resonate, we’d love to have you with us.
 Our beliefs
 Our values \&amp; leadership expectations
*AngelList is an equal opportunity employer and we value diversity at our company. We do not discriminate on the basis of race, religion, color, national origin, gender, sexual orientation, age, marital status, veteran status, or disability status.*</t>
        </is>
      </c>
    </row>
    <row r="34">
      <c r="A34" t="inlineStr">
        <is>
          <t>li-4375194768</t>
        </is>
      </c>
      <c r="B34" t="inlineStr">
        <is>
          <t>AWS Snowflake and DBT Data Engineer</t>
        </is>
      </c>
      <c r="C34" t="inlineStr">
        <is>
          <t>NeerInfo Solutions</t>
        </is>
      </c>
      <c r="D34" t="inlineStr">
        <is>
          <t>linkedin</t>
        </is>
      </c>
      <c r="E34" t="inlineStr"/>
      <c r="F34" t="inlineStr"/>
      <c r="G34" t="inlineStr">
        <is>
          <t>Broomfield, CO</t>
        </is>
      </c>
      <c r="H34" t="inlineStr"/>
      <c r="I34" t="inlineStr">
        <is>
          <t>Role:
 **AWS Snowflake and DBT Data Engineer** 
**Fulltime role** 
 Onsite at
 **Broomfield, CO** 
 Work authorization needed : US Citizen and Green Card only
 seeking an
 **AWS Snowflake and DBT Data Engineer** 
 . In this role, you will enable digital transformation for our clients in a global delivery model, research on technologies independently, recommend appropriate solutions and contribute to technology\-specific best practices and standards. You will be responsible to interface with key stakeholders and apply your technical proficiency across different stages of the Software Development Life Cycle. You will be part of a learning culture, where teamwork and collaboration are encouraged, excellence is rewarded, and diversity is respected and valued.
**Required Qualifications:** 
* Candidate must be located within commuting distance of
 **Broomfield, CO or be willing to relocate to the area.** 
 This position may require travel in the US
* Bachelor’s degree or foreign equivalent required from an accredited institution. Will also consider three years of progressive experience in the specialty in lieu of every year of education
* At least 4 years of Information Technology experience
* At least 2 years of DBT experience
* At least 2 years of Snowflake experience
* Hands on experience with developing complex transformations using Data Build tool (
 **DBT** 
 )
* Strong knowledge and hands\-on experience in SQL, Unix shell scripting, and Python
**Preferred Qualifications:** 
* Experience in end\-to\-end implementation using technologies such as AWS and Snowflake
* Experience in Services and Utilities domain
* Strong knowledge Data structures, Data Engineering concepts, Algorithms, Collections, Multi\-threading and memory management and concurrency
* Experience in large scale cloud data migrations using Snowflake, Python, Spark, SQL
* Sound knowledge of software engineering design patterns and practices
* Good understanding of Agile software development frameworks
* Strong communication and Analytical skills
* Ability to work in teams in a diverse, multi\-stakeholder environment comprising of Business and Technology teams</t>
        </is>
      </c>
    </row>
    <row r="35">
      <c r="A35" t="inlineStr">
        <is>
          <t>li-4374611684</t>
        </is>
      </c>
      <c r="B35" t="inlineStr">
        <is>
          <t>AWS Snowflake and DBT Data Engineer</t>
        </is>
      </c>
      <c r="C35" t="inlineStr">
        <is>
          <t>Avance Consulting</t>
        </is>
      </c>
      <c r="D35" t="inlineStr">
        <is>
          <t>linkedin</t>
        </is>
      </c>
      <c r="E35" t="inlineStr"/>
      <c r="F35" t="inlineStr"/>
      <c r="G35" t="inlineStr">
        <is>
          <t>Broomfield, CO</t>
        </is>
      </c>
      <c r="H35" t="inlineStr"/>
      <c r="I35" t="inlineStr">
        <is>
          <t>**AWS Snowflake and DBT Data Engineer** 
**Broomfield, CO** 
**Fulltime** 
**Required Qualifications:** 
* At least 4 years of Information Technology experience
* At least 2 years of DBT experience
* At least 2 years of Snowflake experience
* Hands on experience with developing complex transformations using Data Build tool (
 **DBT** 
 )
* Strong knowledge and hands\-on experience in SQL, Unix shell scripting, and Python
**Preferred Qualifications:** 
* Experience in end\-to\-end implementation using technologies such as AWS and Snowflake
* Experience in Services and Utilities domain
* Strong knowledge Data structures, Data Engineering concepts, Algorithms, Collections, Multi\-threading and memory management and concurrency
* Experience in large scale cloud data migrations using Snowflake, Python, Spark, SQL
* Sound knowledge of software engineering design patterns and practices
* Good understanding of Agile software development frameworks
* Strong communication and Analytical skills
* Ability to work in teams in a diverse, multi\-stakeholder environment comprising of Business and Technology teams</t>
        </is>
      </c>
    </row>
    <row r="36">
      <c r="A36" t="inlineStr">
        <is>
          <t>li-4375398985</t>
        </is>
      </c>
      <c r="B36" t="inlineStr">
        <is>
          <t>Staff Data Engineer</t>
        </is>
      </c>
      <c r="C36" t="inlineStr">
        <is>
          <t>RemoteHunter</t>
        </is>
      </c>
      <c r="D36" t="inlineStr">
        <is>
          <t>linkedin</t>
        </is>
      </c>
      <c r="E36" t="inlineStr"/>
      <c r="F36" t="inlineStr"/>
      <c r="G36" t="inlineStr"/>
      <c r="H36" t="inlineStr"/>
      <c r="I36" t="inlineStr">
        <is>
          <t>About the Opportunity:
 The organization is seeking a Staff Data Engineer to lead technical efforts on the data engineering team. The role involves shaping data architecture and advancing the data culture toward a data mesh paradigm. The engineer will design and implement foundational components to enable engineering teams to onboard data into Snowflake, supporting analytics and data science across the organization. The Snowflake environment is relatively new and free from heavy technical debt, providing an opportunity for strong architectural leadership.
 Responsibilities:
 • Design and implement enterprise\-scale data platforms
 • Optimize performance and enforce security best practices in Snowflake
 • Apply advanced data modeling techniques and use dbt
 • Lead technical discussions and mentor team members
 • Influence data strategy across teams
 • Develop and maintain internally\-facing web services and APIs
 • Ensure data governance, integrity, security, and compliance across workflows
 Requirements:
 • Proven experience with enterprise\-scale data platform design and implementation
 • Hands\-on expertise with Snowflake, including performance optimization and security
 • Deep knowledge of data modeling and dbt
 • Proficiency in SQL and Python
 • Experience building and maintaining web services and APIs
 • Expertise in data governance and compliance
 • Bachelor’s degree in Computer Science or related field preferred
 • Familiarity with healthcare data and HIPAA compliance preferred
 • Experience with Airflow or similar orchestration tools preferred
 • Ability to stand and sit for extended periods
 • Ability to lift 10 lbs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7">
      <c r="A37" t="inlineStr">
        <is>
          <t>li-4376804887</t>
        </is>
      </c>
      <c r="B37" t="inlineStr">
        <is>
          <t>Senior Data Engineer</t>
        </is>
      </c>
      <c r="C37" t="inlineStr">
        <is>
          <t>University of Maryland - Division of University Relations</t>
        </is>
      </c>
      <c r="D37" t="inlineStr">
        <is>
          <t>linkedin</t>
        </is>
      </c>
      <c r="E37" t="inlineStr"/>
      <c r="F37" t="inlineStr"/>
      <c r="G37" t="inlineStr">
        <is>
          <t>College Park, MD</t>
        </is>
      </c>
      <c r="H37" t="inlineStr"/>
      <c r="I37" t="inlineStr">
        <is>
          <t>*Required Application Materials: Resume and Cover Letter* 
 University Relations is undergoing a major data modernization initiative driven by the implementation of Salesforce CRM and the migration from an on\-premise SQL Server data warehouse to Azure and Microsoft Fabric. The current environment contains complex, layered SQL Server logic developed over many years, limited documentation, and fragmented integration patterns.
 At the same time, technical capacity is constrained due to an impending DBA retirement and overlapping modernization efforts. Without additional senior\-level data engineering capacity, there is increased operational risk related to data quality, system reliability, integration ownership, and long\-term sustainability of the analytics platform.
 This position provides senior, hands\-on technical execution required to stabilize existing systems, migrate data and transformation logic to Azure and Microsoft Fabric, implement data governance practices, and ensure continuity during this transition.
 The Senior Data Engineer is responsible for maintaining and modernizing the data platform, including designing and supporting cloud\-based data pipelines, managing data lakes and lakehouse structures, supporting Power BI reporting, and implementing governance controls to ensure data quality, lineage, transparency, and trust across enterprise data assets.
 The role works closely with the Director of Data Management, Salesforce implementation teams, and other technical team members within Business Intelligence, as well as business stakeholders, to ensure reliable integrations, governed data, and accurate analytics supporting advancement operations.
 Preferences:
 \-Strong Preference for experience migrating data platforms or logic from on\-prem environments to Azure and Microsoft Fabric.
 \-Strong preference for experience designing and maintaining data pipelines in Azure and/or Fabric
 \-Strong preference for experience developing and supporting Power BI reports and semantic models
 \-Experience integrating Salesforce or other enterprise CRM systems with analytics platforms
 \-Experience using data governance or cataloging tools (e.g., Microsoft Purview or equivalent)
 \-Experience supporting limited DBA responsibilities during platform transitions
 \-Deep understanding of relational database design, performance tuning, and query optimization
 \-Strong knowledge of Microsoft Fabric architecture, including lakehouses, pipelines, and data connectors
 \-Familiarity with Fabric data connectors, including connecting to external systems such as Salesforce
 \-Demonstrated ability to implement data governance practices within data engineering workflows
 \-Ability to analyze complex systems independently and deliver reliable, maintainable solutions
 \-Strong collaboration skills across technical and business teams
 Physical Demands:
 \-Work is performed in an office environment and requires the ability to operate standard office equipment and keyboards.
 Licenses/Certifications: N/A
 \*All applications should include a resume and cover letter.
 This position does not provide visa sponsorship now or in the future. Candidates must be able to provide proof of ongoing eligibility to work in the USA.
**Minimum Qualifications**
 Education: Bachelor’s degree from an accredited college or university.
 Experience: Five (5\) years of professional experience supporting the operations, maintenance, and administration of information technology infrastructure.
 Other: Additional work experience as defined above may be substituted on a year for year basis for up to four (4\) years of the required education.
 Knowledge, Skills, Abilities:
 Knowledge of multiple RDBMS platform such as Oracle, SQL Server, Amazon Redshift, etc.
 Skill in ETL platforms or tools (ex.Informatica, AWS Glue, Talend, etc.)
 Skill in writing SQL queries and building ETL processes
 Skill in conducting user interviews, facilitating design walk through and guiding customers in developing business and technical requirements
 Skill in the use of office productivity software such as Office 365 or Google Workspaces.
 Strong written and oral communication skills.
 Ability to lead presentations with small to medium sized groups.
 Able to organize and provide direction to junior staff members.
 A demonstrated commitment to customer service.
 Provides leadership and helps bridge the gap between team manager and team members on technical topics.
 Ability to effectively manage workload and delivery assignments on time.
**Additional Job Details**
**Preferences:** 
**Required Application Materials: Resume and Cover Letter** 
**Best Consideration Date: March 9, 2026** 
**Posting Close Date: NA** 
**Open Until Filled: Yes** 
**Job Risks**
 Not Applicable to This Position
**Financial Disclosure Required**
 No
 For more information on Financial Disclosure, please visit Maryland's State Ethics Commission website.
**Department**
 VPUR\-Advancement Services
**Worker Sub\-Type**
 Staff Regular
**Salary Range**
 $112,808\-$134,496
**Benefits Summary**
 For more information on Regular Exempt benefits, select this link.
**Background Checks**
 Offers of employment are contingent on completion of a background check. Information reported by the background check will not automatically disqualify anyone from employment. Before any adverse decision, the finalist will have an opportunity to provide information to the University regarding disclosable background check information. The University reserves the right to rescind the offer of employment or otherwise decline or terminate employment if the information reported by the background check is deemed incompatible with the position, regardless of when the background check is completed.
**Employment Eligibility**
 The successful candidate must complete employment eligibility verification (on Form I\-9\) by presenting documents that establish identity and work authorization within the timeframe required by federal immigration law, and where applicable, to demonstrate renewed employment authorization. Failure to complete employment eligibility verification or reverification within the timeframe set forth by law may result in suspension or termination of employment.
**EEO Statement**
 The University of Maryland, College Park is an Equal Opportunity Employer. All qualified applicants will receive equal consideration for employment. Please read the University’s Equal Employment Opportunity Statement of Policy.
**Title IX Non\-Discrimination Notice** 
**Resources**
* Learn how military skills translate to civilian opportunities with O\*Net Online
**Search Firm Managed Recruitment**
 There are some positions that are not advertised on this career site as the search is being managed by a Search Firm.
 Please visit the link below to see these available opportunities:
 Search Firm Managed Vacancies</t>
        </is>
      </c>
    </row>
    <row r="38">
      <c r="A38" t="inlineStr">
        <is>
          <t>li-4282846215</t>
        </is>
      </c>
      <c r="B38" t="inlineStr">
        <is>
          <t>Databricks Data Engineer - Manager - Consulting - Location Open</t>
        </is>
      </c>
      <c r="C38" t="inlineStr">
        <is>
          <t>EY</t>
        </is>
      </c>
      <c r="D38" t="inlineStr">
        <is>
          <t>linkedin</t>
        </is>
      </c>
      <c r="E38" t="inlineStr"/>
      <c r="F38" t="inlineStr"/>
      <c r="G38" t="inlineStr">
        <is>
          <t>Houston, TX</t>
        </is>
      </c>
      <c r="H38" t="inlineStr"/>
      <c r="I3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9">
      <c r="A39" t="inlineStr">
        <is>
          <t>li-4282842589</t>
        </is>
      </c>
      <c r="B39" t="inlineStr">
        <is>
          <t>Databricks Data Engineer - Manager - Consulting - Location Open</t>
        </is>
      </c>
      <c r="C39" t="inlineStr">
        <is>
          <t>EY</t>
        </is>
      </c>
      <c r="D39" t="inlineStr">
        <is>
          <t>linkedin</t>
        </is>
      </c>
      <c r="E39" t="inlineStr"/>
      <c r="F39" t="inlineStr"/>
      <c r="G39" t="inlineStr">
        <is>
          <t>Chantilly, VA</t>
        </is>
      </c>
      <c r="H39" t="inlineStr"/>
      <c r="I3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0">
      <c r="A40" t="inlineStr">
        <is>
          <t>li-4282842614</t>
        </is>
      </c>
      <c r="B40" t="inlineStr">
        <is>
          <t>Databricks Data Engineer - Senior - Consulting - Location Open</t>
        </is>
      </c>
      <c r="C40" t="inlineStr">
        <is>
          <t>EY</t>
        </is>
      </c>
      <c r="D40" t="inlineStr">
        <is>
          <t>linkedin</t>
        </is>
      </c>
      <c r="E40" t="inlineStr"/>
      <c r="F40" t="inlineStr"/>
      <c r="G40" t="inlineStr">
        <is>
          <t>Southfield, MI</t>
        </is>
      </c>
      <c r="H40" t="inlineStr"/>
      <c r="I4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1">
      <c r="A41" t="inlineStr">
        <is>
          <t>li-4282849110</t>
        </is>
      </c>
      <c r="B41" t="inlineStr">
        <is>
          <t>Databricks Data Engineer - Senior - Consulting - Location Open</t>
        </is>
      </c>
      <c r="C41" t="inlineStr">
        <is>
          <t>EY</t>
        </is>
      </c>
      <c r="D41" t="inlineStr">
        <is>
          <t>linkedin</t>
        </is>
      </c>
      <c r="E41" t="inlineStr"/>
      <c r="F41" t="inlineStr"/>
      <c r="G41" t="inlineStr">
        <is>
          <t>Richmond, VA</t>
        </is>
      </c>
      <c r="H41" t="inlineStr"/>
      <c r="I4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2">
      <c r="A42" t="inlineStr">
        <is>
          <t>li-4282848088</t>
        </is>
      </c>
      <c r="B42" t="inlineStr">
        <is>
          <t>Databricks Data Engineer - Manager - Consulting - Location Open</t>
        </is>
      </c>
      <c r="C42" t="inlineStr">
        <is>
          <t>EY</t>
        </is>
      </c>
      <c r="D42" t="inlineStr">
        <is>
          <t>linkedin</t>
        </is>
      </c>
      <c r="E42" t="inlineStr"/>
      <c r="F42" t="inlineStr"/>
      <c r="G42" t="inlineStr">
        <is>
          <t>Phoenix, AZ</t>
        </is>
      </c>
      <c r="H42" t="inlineStr"/>
      <c r="I4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3">
      <c r="A43" t="inlineStr">
        <is>
          <t>li-4282847165</t>
        </is>
      </c>
      <c r="B43" t="inlineStr">
        <is>
          <t>Databricks Data Engineer - Senior - Consulting - Location Open</t>
        </is>
      </c>
      <c r="C43" t="inlineStr">
        <is>
          <t>EY</t>
        </is>
      </c>
      <c r="D43" t="inlineStr">
        <is>
          <t>linkedin</t>
        </is>
      </c>
      <c r="E43" t="inlineStr"/>
      <c r="F43" t="inlineStr"/>
      <c r="G43" t="inlineStr">
        <is>
          <t>Minneapolis, MN</t>
        </is>
      </c>
      <c r="H43" t="inlineStr"/>
      <c r="I4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4">
      <c r="A44" t="inlineStr">
        <is>
          <t>li-4282848111</t>
        </is>
      </c>
      <c r="B44" t="inlineStr">
        <is>
          <t>Databricks Data Engineer - Senior - Consulting - Location Open</t>
        </is>
      </c>
      <c r="C44" t="inlineStr">
        <is>
          <t>EY</t>
        </is>
      </c>
      <c r="D44" t="inlineStr">
        <is>
          <t>linkedin</t>
        </is>
      </c>
      <c r="E44" t="inlineStr"/>
      <c r="F44" t="inlineStr"/>
      <c r="G44" t="inlineStr">
        <is>
          <t>Buffalo, NY</t>
        </is>
      </c>
      <c r="H44" t="inlineStr"/>
      <c r="I4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5">
      <c r="A45" t="inlineStr">
        <is>
          <t>li-4282841812</t>
        </is>
      </c>
      <c r="B45" t="inlineStr">
        <is>
          <t>Databricks Data Engineer - Senior - Consulting - Location Open</t>
        </is>
      </c>
      <c r="C45" t="inlineStr">
        <is>
          <t>EY</t>
        </is>
      </c>
      <c r="D45" t="inlineStr">
        <is>
          <t>linkedin</t>
        </is>
      </c>
      <c r="E45" t="inlineStr"/>
      <c r="F45" t="inlineStr"/>
      <c r="G45" t="inlineStr">
        <is>
          <t>Chantilly, VA</t>
        </is>
      </c>
      <c r="H45" t="inlineStr"/>
      <c r="I4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6">
      <c r="A46" t="inlineStr">
        <is>
          <t>li-4282847125</t>
        </is>
      </c>
      <c r="B46" t="inlineStr">
        <is>
          <t>Databricks Data Engineer - Manager - Consulting - Location Open</t>
        </is>
      </c>
      <c r="C46" t="inlineStr">
        <is>
          <t>EY</t>
        </is>
      </c>
      <c r="D46" t="inlineStr">
        <is>
          <t>linkedin</t>
        </is>
      </c>
      <c r="E46" t="inlineStr"/>
      <c r="F46" t="inlineStr"/>
      <c r="G46" t="inlineStr">
        <is>
          <t>Boston, MA</t>
        </is>
      </c>
      <c r="H46" t="inlineStr"/>
      <c r="I4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7">
      <c r="A47" t="inlineStr">
        <is>
          <t>li-4364714672</t>
        </is>
      </c>
      <c r="B47" t="inlineStr">
        <is>
          <t>Data Engineer - Tribus</t>
        </is>
      </c>
      <c r="C47" t="inlineStr">
        <is>
          <t>Jobs via eFinancialCareers</t>
        </is>
      </c>
      <c r="D47" t="inlineStr">
        <is>
          <t>linkedin</t>
        </is>
      </c>
      <c r="E47" t="inlineStr"/>
      <c r="F47" t="inlineStr"/>
      <c r="G47" t="inlineStr">
        <is>
          <t>Chicago, IL</t>
        </is>
      </c>
      <c r="H47" t="inlineStr"/>
      <c r="I47" t="inlineStr">
        <is>
          <t>**Relocation Opportunities \- Singapore, Hong Kong, Sydney**
 We're partnered with several leading funds that are offering relocation packages for candidates with Industry experience.
**Data Engineer \- Quantitative Research Environment**
**Overview**
 An elite trading and research firm is seeking a skilled technologist to join a collaborative team supporting the data\-driven backbone of a world\-class quantitative investment strategy.
 This is a unique opportunity to design, build, and maintain critical research and data infrastructure that empowers traders, data scientists, and quantitative researchers across the business.
**What You’ll Do**
* Own and manage large\-scale, high\-value datasets from acquisition through to integration in quantitative pipelines.
* Architect and automate robust data workflows, including extraction, cleaning, validation, and transformation.
* Collaborate closely with quant researchers to translate analytical needs into efficient, scalable data systems.
* Build monitoring tools to detect anomalies and maintain data integrity across petabyte\-scale systems.
* Contribute to a cutting\-edge research platform that enables backtesting, simulation, and strategy development.
* Improve data storage and retention efficiency using distributed systems and performance\-optimised formats.
* Troubleshoot complex technical issues across multiple layers, including low\-level market data handling and high\-level research tooling.
**What We’re Looking For**
* Strong programming capabilities in Python and/or C\+\+ (familiarity with Java is a bonus)
* Experience handling large datasets, structured and unstructured, ideally within financial markets or other high\-throughput environments.
* Hands\-on exposure to data engineering tools (e.g. ETL frameworks, schedulers, CI/CD pipelines, DBT).
* Working knowledge of distributed storage and compute systems.
* Understanding of time\-series data and techniques used in quantitative modelling or forecasting.
* Ability to work in Linux/Unix environments with solid command\-line proficiency.
* Analytical thinker with strong communication skills and the drive to work across teams.
* Degree in Computer Science, Engineering, Mathematics, or related field.
**Why Join?**
* Work in a high\-performance environment where your contributions directly influence trading outcomes.
* Collaborate with talented engineers and researchers solving real\-time and large\-scale data challenges.
* Leverage the latest in cloud computing, automation, and software development practices.
* Be part of a lean, impactful team trusted with building core systems from the ground up.</t>
        </is>
      </c>
    </row>
    <row r="48">
      <c r="A48" t="inlineStr">
        <is>
          <t>li-4282844257</t>
        </is>
      </c>
      <c r="B48" t="inlineStr">
        <is>
          <t>Databricks Data Engineer - Senior - Consulting - Location Open</t>
        </is>
      </c>
      <c r="C48" t="inlineStr">
        <is>
          <t>EY</t>
        </is>
      </c>
      <c r="D48" t="inlineStr">
        <is>
          <t>linkedin</t>
        </is>
      </c>
      <c r="E48" t="inlineStr"/>
      <c r="F48" t="inlineStr"/>
      <c r="G48" t="inlineStr">
        <is>
          <t>Orlando, FL</t>
        </is>
      </c>
      <c r="H48" t="inlineStr"/>
      <c r="I4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9">
      <c r="A49" t="inlineStr">
        <is>
          <t>li-4282842591</t>
        </is>
      </c>
      <c r="B49" t="inlineStr">
        <is>
          <t>Databricks Data Engineer - Manager - Consulting - Location Open</t>
        </is>
      </c>
      <c r="C49" t="inlineStr">
        <is>
          <t>EY</t>
        </is>
      </c>
      <c r="D49" t="inlineStr">
        <is>
          <t>linkedin</t>
        </is>
      </c>
      <c r="E49" t="inlineStr"/>
      <c r="F49" t="inlineStr"/>
      <c r="G49" t="inlineStr">
        <is>
          <t>Chattanooga, TN</t>
        </is>
      </c>
      <c r="H49" t="inlineStr"/>
      <c r="I4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0">
      <c r="A50" t="inlineStr">
        <is>
          <t>li-4282846251</t>
        </is>
      </c>
      <c r="B50" t="inlineStr">
        <is>
          <t>Databricks Data Engineer - Senior - Consulting - Location Open</t>
        </is>
      </c>
      <c r="C50" t="inlineStr">
        <is>
          <t>EY</t>
        </is>
      </c>
      <c r="D50" t="inlineStr">
        <is>
          <t>linkedin</t>
        </is>
      </c>
      <c r="E50" t="inlineStr"/>
      <c r="F50" t="inlineStr"/>
      <c r="G50" t="inlineStr">
        <is>
          <t>Kansas City, MO</t>
        </is>
      </c>
      <c r="H50" t="inlineStr"/>
      <c r="I5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1">
      <c r="A51" t="inlineStr">
        <is>
          <t>li-4282848092</t>
        </is>
      </c>
      <c r="B51" t="inlineStr">
        <is>
          <t>Databricks Data Engineer - Manager - Consulting - Location Open</t>
        </is>
      </c>
      <c r="C51" t="inlineStr">
        <is>
          <t>EY</t>
        </is>
      </c>
      <c r="D51" t="inlineStr">
        <is>
          <t>linkedin</t>
        </is>
      </c>
      <c r="E51" t="inlineStr"/>
      <c r="F51" t="inlineStr"/>
      <c r="G51" t="inlineStr">
        <is>
          <t>Baton Rouge, LA</t>
        </is>
      </c>
      <c r="H51" t="inlineStr"/>
      <c r="I5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2">
      <c r="A52" t="inlineStr">
        <is>
          <t>li-4282844248</t>
        </is>
      </c>
      <c r="B52" t="inlineStr">
        <is>
          <t>Databricks Data Engineer - Manager - Consulting - Location Open</t>
        </is>
      </c>
      <c r="C52" t="inlineStr">
        <is>
          <t>EY</t>
        </is>
      </c>
      <c r="D52" t="inlineStr">
        <is>
          <t>linkedin</t>
        </is>
      </c>
      <c r="E52" t="inlineStr"/>
      <c r="F52" t="inlineStr"/>
      <c r="G52" t="inlineStr">
        <is>
          <t>Irvine, CA</t>
        </is>
      </c>
      <c r="H52" t="inlineStr"/>
      <c r="I5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3">
      <c r="A53" t="inlineStr">
        <is>
          <t>li-4373157514</t>
        </is>
      </c>
      <c r="B53" t="inlineStr">
        <is>
          <t>Quantitative Data Engineer – Leading Macro Fund – NYC - Barclay Simpson</t>
        </is>
      </c>
      <c r="C53" t="inlineStr">
        <is>
          <t>Jobs via eFinancialCareers</t>
        </is>
      </c>
      <c r="D53" t="inlineStr">
        <is>
          <t>linkedin</t>
        </is>
      </c>
      <c r="E53" t="inlineStr"/>
      <c r="F53" t="inlineStr"/>
      <c r="G53" t="inlineStr">
        <is>
          <t>New York, NY</t>
        </is>
      </c>
      <c r="H53" t="inlineStr"/>
      <c r="I53" t="inlineStr">
        <is>
          <t>A technology\-driven investment firm is hiring a
 **Quantitative Data Engineer** 
 to help design and operate the data systems that underpin research and trading across global markets.
 This role sits at the intersection of
 **data engineering, quantitative research, and production trading systems** 
 . You’ll focus on building robust, high\-performance data pipelines and analytical frameworks that support model development, signal research, and live trading workflows.
**Role Focus**
 You will work directly with researchers, quantitative analysts, and engineers to translate complex research requirements into scalable data solutions. The position emphasizes
 **Python\-based data engineering, structured data modeling, and production reliability** 
 in a research\-driven environment.
**Key Responsibilities**
* Analyze research and trading workflows to design data pipelines that support quantitative modeling and time\-series analysis
* Build, test, and optimize Python\-based data systems used in research and production environments
* Develop reusable data frameworks, libraries, and services that improve researcher efficiency and data quality
* Partner with engineering and research teams to evolve data platforms as strategies and models change
* Own production data workflows, including monitoring, troubleshooting, and incident resolution
* Produce clear technical documentation covering system design, data contracts, and operational procedures
**Technical Profile**
* Bachelor’s degree in a technical discipline such as computer science, engineering, or a related field
* Strong Python development experience, including heavy use of numerical and data libraries
* Solid SQL skills and experience working with large, structured datasets
* Hands\-on experience with relational or NoSQL database systems
* Familiarity with workflow orchestration, containerization, or distributed systems is a plus
* Strong debugging, performance optimization, and systems\-level problem\-solving skills
* Ability to reason analytically about data quality, latency, and reliability
* Comfortable communicating technical concepts across engineering and research audiences</t>
        </is>
      </c>
    </row>
    <row r="54">
      <c r="A54" t="inlineStr">
        <is>
          <t>li-4282841817</t>
        </is>
      </c>
      <c r="B54" t="inlineStr">
        <is>
          <t>Databricks Data Engineer - Senior - Consulting - Location Open</t>
        </is>
      </c>
      <c r="C54" t="inlineStr">
        <is>
          <t>EY</t>
        </is>
      </c>
      <c r="D54" t="inlineStr">
        <is>
          <t>linkedin</t>
        </is>
      </c>
      <c r="E54" t="inlineStr"/>
      <c r="F54" t="inlineStr"/>
      <c r="G54" t="inlineStr">
        <is>
          <t>Las Vegas, NV</t>
        </is>
      </c>
      <c r="H54" t="inlineStr"/>
      <c r="I5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5">
      <c r="A55" t="inlineStr">
        <is>
          <t>li-4282841785</t>
        </is>
      </c>
      <c r="B55" t="inlineStr">
        <is>
          <t>Databricks Data Engineer - Manager - Consulting - Location Open</t>
        </is>
      </c>
      <c r="C55" t="inlineStr">
        <is>
          <t>EY</t>
        </is>
      </c>
      <c r="D55" t="inlineStr">
        <is>
          <t>linkedin</t>
        </is>
      </c>
      <c r="E55" t="inlineStr"/>
      <c r="F55" t="inlineStr"/>
      <c r="G55" t="inlineStr">
        <is>
          <t>Memphis, TN</t>
        </is>
      </c>
      <c r="H55" t="inlineStr"/>
      <c r="I5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6">
      <c r="A56" t="inlineStr">
        <is>
          <t>li-4282845260</t>
        </is>
      </c>
      <c r="B56" t="inlineStr">
        <is>
          <t>Databricks Data Engineer - Senior - Consulting - Location Open</t>
        </is>
      </c>
      <c r="C56" t="inlineStr">
        <is>
          <t>EY</t>
        </is>
      </c>
      <c r="D56" t="inlineStr">
        <is>
          <t>linkedin</t>
        </is>
      </c>
      <c r="E56" t="inlineStr"/>
      <c r="F56" t="inlineStr"/>
      <c r="G56" t="inlineStr">
        <is>
          <t>Chattanooga, TN</t>
        </is>
      </c>
      <c r="H56" t="inlineStr"/>
      <c r="I5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7">
      <c r="A57" t="inlineStr">
        <is>
          <t>li-4259561461</t>
        </is>
      </c>
      <c r="B57" t="inlineStr">
        <is>
          <t>C++ Market Data Engineer (USA)</t>
        </is>
      </c>
      <c r="C57" t="inlineStr">
        <is>
          <t>Trexquant Investment LP</t>
        </is>
      </c>
      <c r="D57" t="inlineStr">
        <is>
          <t>linkedin</t>
        </is>
      </c>
      <c r="E57" t="inlineStr"/>
      <c r="F57" t="inlineStr"/>
      <c r="G57" t="inlineStr"/>
      <c r="H57" t="inlineStr"/>
      <c r="I57" t="inlineStr">
        <is>
          <t>Trexquant is a growing systematic fund at the forefront of quantitative finance, with a core team of highly accomplished researchers and engineers. To keep pace with our expanding global trading operations, we are seeking a C\+\+ Market Data Engineer to design and build ultra\-low\-latency feed handlers for premier vendor feeds and major exchange multicast feeds. This is a high\-impact role that sits at the heart of Trexquant's trading platform; the quality, speed, and reliability of your code directly influence every strategy we run.
**Responsibilities**
* Design \&amp; implement high\-performance feed handlers in modern C\+\+ for equities, futures, and options across global venues (e.g., NYSE, CME, Refinitiv RTS, Bloomberg B\-PIPE)
* Optimize for micro\- and nanosecond latency using lock\-free data structures, cache\-friendly memory layouts, and kernel\-bypass networking where appropriate
* Build reusable libraries for message decoding, normalization, and publication to internal buses shared by research, simulation, and live trading systems
* Collaborate with cross\-functional teams to tune TCP/UDP multicast stacks, kernel parameters, and NIC settings for deterministic performance
* Provide robust failover, gap\-recovery, and replay mechanisms to guarantee data integrity under packet loss or venue outages
* Instrument code paths with precision timestamping and performance metrics; drive continuous latency regression testing and capacity planning
* Partner closely with quantitative researchers to understand downstream data requirements and to fine\-tune delivery formats for both simulation and live trading
* Produce clear architecture documents, operational run\-books, and post\-mortems; participate in a 24×7 follow\-the\-sun support rotation for mission\-critical market\-data services
**Requirements**
* BS/MS/PhD in Computer Science, Electrical Engineering, or related field
* 3\+ years of professional C\+\+ (14,17,20\) development experience focused on low\-latency, high\-throughput systems
* Proven track record building or maintaining real\-time market\-data feeds (e.g., Refinitiv RTS/TREP, Bloomberg B\-PIPE, OPRA, CME MDP, ITCH)
* Strong grasp of concurrency, lock\-free algorithms, memory\-model semantics, and compiler optimizations
* Familiarity with serialization formats (FAST, SBE, Protocol Buffers) and time\-series databases or in\-memory caches
* Comfort with scripting in Python for prototyping, testing, and ops automation
* Excellent problem\-solving skills, ownership mindset, and ability to thrive in a fast\-paced trading environment
* Familiarity with containerization (Docker/K8s) and public\-cloud networking (AWS, GCP)
**Benefits**
* Competitive salary, plus bonus based on individual and company performance
* Collaborative, casual, and friendly work environment while solving the hardest problems in the financial markets
* PPO Health, dental and vision insurance premiums fully covered for you and your dependents
* Pre\-Tax Commuter Benefits
 Applications are open for both Stamford and New York City offices, the latter with a planned opening in October 2026\. 
 The base salary range is $175,000 \- $200,000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t>
        </is>
      </c>
    </row>
    <row r="58">
      <c r="A58" t="inlineStr">
        <is>
          <t>li-4282842590</t>
        </is>
      </c>
      <c r="B58" t="inlineStr">
        <is>
          <t>Databricks Data Engineer - Manager - Consulting - Location Open</t>
        </is>
      </c>
      <c r="C58" t="inlineStr">
        <is>
          <t>EY</t>
        </is>
      </c>
      <c r="D58" t="inlineStr">
        <is>
          <t>linkedin</t>
        </is>
      </c>
      <c r="E58" t="inlineStr"/>
      <c r="F58" t="inlineStr"/>
      <c r="G58" t="inlineStr">
        <is>
          <t>Hartford, CT</t>
        </is>
      </c>
      <c r="H58" t="inlineStr"/>
      <c r="I5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9">
      <c r="A59" t="inlineStr">
        <is>
          <t>li-4375736839</t>
        </is>
      </c>
      <c r="B59" t="inlineStr">
        <is>
          <t>Senior Manufacturing Test / Data Engineer</t>
        </is>
      </c>
      <c r="C59" t="inlineStr">
        <is>
          <t>CIRCOR International, Inc.</t>
        </is>
      </c>
      <c r="D59" t="inlineStr">
        <is>
          <t>linkedin</t>
        </is>
      </c>
      <c r="E59" t="inlineStr"/>
      <c r="F59" t="inlineStr"/>
      <c r="G59" t="inlineStr">
        <is>
          <t>Monroe, NC</t>
        </is>
      </c>
      <c r="H59" t="inlineStr"/>
      <c r="I59" t="inlineStr">
        <is>
          <t>The Test /Data Engineer is the central point for engineering activity through the design and manufacture of screw pumps made to customer or internal specifications. In the defense organization, the Test /Data engineer is presented with unique operational requirements which ultimately ensure that US service men and women return from duty safely. This is accomplished by leveraging your technical skills to meet the technical challenges presented by our customers and their unique applications.
 As a Test /Data Engineer, you will collaborate with internal customers, sales teams, program manager, Quality, and manufacturing team members. You will efficiently utilize computer\-aided engineering (CAE) systems, material requirements planning (MRP) systems, Engineering standards, and other analysis tools to determine appropriate testing methods, provide data trends for pump performance, and ultimately be able to develop predictive tools for pump performance based on manufacturing variability. You will also work closely with pump testing personnel, quality engineers, and design engineers to assess factory acceptance testing data, develop trends for similar pump types, and make data driven decisions on process improvements.
***Principal Activities***
* Working on collection and databasing test data
* Creating custom viewers to analyze and interpret data
* Automate plots for report generation
* Create a linear regression model in excel to predict pump performance based on measurements.
* Generate test report for customer and document non\-conformances
* Help QC log important measurement for customer reporting and make it easily accessible for future needs.
* Work in a multi\-disciplinary team supporting the design, manufacturing, and testing of pumps
* Collect, organize, and interpret Coordinate Measurement Machine (CMM) and test data through visualizations leveraging ‘dashboards’ for stakeholders to use.
* Identify patterns and trends to make strategic decisions regarding manufacturing and test data
* Develop and maintain data architectures using historical data as well as recommendations for new/future data collection and organization
* Improve and automate tasks to ensure consistent quality and improve processing time
* Generate Reports with data visualization for internal and external customers
* Supports the development of Engineering standards, design specifications, analysis methods, design verification and product validation methods, development plans and structures necessary for translating engineering knowledge into new product designs
* Initiates and contributes to the creation of installation and operation instructions, care and maintenance instructions, assembly, visual aids and other customer facing documentation.
* Looks for ways to improve robustness of designs to reduce lead times and/or extend service life of units.
* Strives to grow their technical expertise in the understanding and application of new methods, technological developments, advanced concepts, principles, and methods, as assigned. When needed develops or improves analysis methods, tools and programs.
* Interprets, organizes, executes and coordinates the timely completion of assignments.
* Performs Pre\- and Post\-sale customer support as required.
* Support stream lining of Engineering Calculations and reporting.
**Requirements**
**CANDIDATE REQUIREMENTS**
**Knowledge Skills \&amp; Abilities**
* Understands drawing tolerance stack\-ups and drives the use and application of Geometric Dimensioning and Tolerancing (GD\&amp;T)
* Working knowledge of Solid Edge, Solid Works, or equivalent
* Working knowledge of IFS (MRP/ERP system) or equivalent.
* Ability to work on cross\-functional teams in the context of complex technical projects.
* Ability to serve as a project or team leader when required by the task or situation, while modelling appropriate positive influence and consensus building skills.
* Ability to create and present design, testing and other technical reports.
* Working knowledge of Lean as applied to both Engineering and Manufacturing processes including Six Sigma, Kaizen, DFMEA, PPAP, VA/VE PFMEA
* Knowledge of foundry, machine shop and fabrication practices
* Ability to program with in MS Office tools and or stand alone code is desirable.
* Programming Experience (Python, Matlab, or similar)
* MS products (Expert in Excel)
* Statistical Analysis
* Ability to travel (10% Domestic \&amp; International).
**Education \&amp; Experience**
* BS in Mechanical Engineering, .
* 1\-5 years of Engineering experience on industrial equipment
* Data Science experience is desired.
**Additional Criteria For Senior Engineer**
* Ability to create and manage large and complex databases through SQL or similar means.
* Demonstrated ability to work on complex/technical projects
* Demonstrated ability to develop innovative solutions to problems as an individual and as part of a team
**CIRCOR is an EEO Employer of Females / Minorities / Veterans / Individuals with Disabilities**</t>
        </is>
      </c>
    </row>
    <row r="60">
      <c r="A60" t="inlineStr">
        <is>
          <t>li-4377005304</t>
        </is>
      </c>
      <c r="B60" t="inlineStr">
        <is>
          <t>Data Engineer</t>
        </is>
      </c>
      <c r="C60" t="inlineStr">
        <is>
          <t>The Value Maximizer</t>
        </is>
      </c>
      <c r="D60" t="inlineStr">
        <is>
          <t>linkedin</t>
        </is>
      </c>
      <c r="E60" t="inlineStr"/>
      <c r="F60" t="inlineStr"/>
      <c r="G60" t="inlineStr">
        <is>
          <t>Austin, TX</t>
        </is>
      </c>
      <c r="H60" t="inlineStr"/>
      <c r="I60" t="inlineStr">
        <is>
          <t>**Job Summary:** 
 We are looking for a skilled Data Engineer with strong hands\-on experience in AWS to design, build, and maintain scalable data pipelines and cloud\-based data platforms. The ideal candidate will have expertise in modern data warehousing, ETL/ELT development, and distributed data processing while ensuring data quality, performance, and security.
**Key Responsibilities:**
* Design, develop, and maintain scalable data pipelines using AWS services
* Build and optimize ETL/ELT workflows for structured and unstructured data
* Implement data lakes and data warehouses on AWS
* Work with large datasets to ensure high performance, reliability, and data integrity
* Collaborate with data analysts, data scientists, and business stakeholders to understand data requirements
* Perform data modeling for analytical and operational use cases
* Ensure data quality, governance, and security best practices
* Monitor and troubleshoot data workflows and production issues
* Support CI/CD and automation for data platform deployments. Required Skills \&amp; Experience:
* Strong hands\-on experience with AWS services such as S3, Glue, Redshift, Lambda, EMR, Athena, and RDS
* Proficiency in Python and SQL for data processing and analysis
* Experience in building and optimizing ETL/ELT pipelines
* Solid understanding of data warehousing and data lake architecture
* Experience with Apache Spark / PySpark
* Knowledge of workflow orchestration tools (Airflow or similar)
* Familiarity with streaming frameworks (Kinesis/Kafka) is a plus
* Experience with data modeling and performance tuning
* Understanding of DevOps, CI/CD, and infrastructure as code (Terraform/CloudFormation)
* Experience working in Agile/Scrum environments. Good to Have:
* Experience with Snowflake on AWS
* Exposure to real\-time data processing
* AWS certification (e.g., AWS Certified Data Analytics / Solutions Architect). Soft Skills:
* Strong problem\-solving and analytical skills
* Excellent communication and stakeholder management
* Ability to work in a fast\-paced, collaborative environment</t>
        </is>
      </c>
    </row>
    <row r="61">
      <c r="A61" t="inlineStr">
        <is>
          <t>li-4375743884</t>
        </is>
      </c>
      <c r="B61" t="inlineStr">
        <is>
          <t>Data Engineer, BI</t>
        </is>
      </c>
      <c r="C61" t="inlineStr">
        <is>
          <t>Vitamix</t>
        </is>
      </c>
      <c r="D61" t="inlineStr">
        <is>
          <t>linkedin</t>
        </is>
      </c>
      <c r="E61" t="inlineStr"/>
      <c r="F61" t="inlineStr"/>
      <c r="G61" t="inlineStr">
        <is>
          <t>Olmsted, OH</t>
        </is>
      </c>
      <c r="H61" t="inlineStr"/>
      <c r="I61" t="inlineStr">
        <is>
          <t>Vitamix is unquestionably the premium brand of high\-performance “blenders,” and known for its top\-notch company culture and climate. It is an important component of what makes Vitamix unique and successful, and the reason why Vitamix is recognized as a Top Workplace, NorthCoast99 Winner, and Smart Culture Award recipient.
 Throughout its 100\+ year history, Vitamix has encouraged and promoted healthy lifestyles for both its customers and employees. Employees enjoy multiple wellness programs and perks, a free Vitamix machine, and an onsite fitness center. Vitamix also offers a flexible work environment, great work culture, healthy living initiatives like fitness reimbursements, and opportunities for advancement.
 For consumers, Vitamix can be found domestically in places like William Sonoma, Sur la Table, Crate \&amp; Barrel, Target, Amazon, and at Vitamix.com, and is in over 130 countries around the world.
 Ultimately, Vitamix is the Global\-leader in high\-performance blending solutions for home and commercial use, is preferred by chefs and is found in many of top restaurants around the world. It is relied upon by culinary schools in the U.S. and has been used to train thousands of students and master chefs worldwide. If it is not a Vitamix, it’s just a blender.
 Vitamix is seeking a Data Engineer, BI who will be responsible for the end\-to\-end development of data pipelines, ensuring that our business intelligence tools are fed with accurate, timely, and high\-performing datasets. They will bridge the gap between raw data and actionable insights by partnering with stakeholders to translate business needs into robust technical solutions.
**Duties \&amp; Responsibilities**
* Design, build and optimize robust ETL/ELT pipelines originating from multiple diverse data sources.
* Implement and manage CI/CD processes while ensuring strict adherence to data security and governance standards.
* Develop sophisticated dimensional models and semantic layers specifically tailored for BI reporting and analytics.
* Partner closely with data analysts and business stakeholders to clarify technical requirements and define Service Level Agreements (SLAs).
* Improve pipeline reliability and performance across assigned data domains to minimize downtime and maximize data trust.
* Enable stable, accurate and high\-speed BI reporting through the delivery of curated datasets.
* Reduce data refresh times and significantly lower the frequency of operational incidents through proactive optimization.
* Drive the maturity of the data team by enhancing documentation and fostering a culture of knowledge sharing.
**Experience**
**POSITION QUALIFICATIONS**
 2\-4 years hands\-on experience building and managing complex data pipelines
**Education**
 Bachelor’s degree in Computer Science, Engineering, or related field
**Technical Skills**
* Strong working knowledge of data modeling methodologies (e.g. Kimball, Data Vault) and seamless BI integration
* Proficiency in SQL and Python
* Deep experience in Snowflake and Matillion
* Mastery of modern orchestration tools and version control
**Other Requirements**
* Critical/Analytical Thinking \- Ability to draw valid inferences from available information, understand the implications of different interpretations, and apply knowledge to new situations.
* Communication \- Ability to express ideas clearly, confidently, and succinctly in both formal and informal settings.
* Flexibility \- Ability to adjust quickly to changing priorities, new information, and diverse situations, while remaining focused on achieving goals.
* Resourcefulness \- Leverages available resources and contacts to overcome obstacles and achieve project goals efficiently.
* Organizational Skills \- Effectively manages time, prioritizes tasks, meets deadlines, and maintains systems for achieving goals.
* Attention to Detail \- Consistently maintains high standards of quality and accuracy across different tasks and projects.
* Reliability/Dependability \- Highly reliable, proactive self\-starter; can be counted on to complete assignments on time
**Physical Demands**
* Ability to sit up to 8 hours per day, with walking and standing required frequently
* Visual acuity is required to perform activities such as: preparing and analyzing data, viewing a computer terminal, reading documents, reports, and emails
* Repetitive hand movements for tasks like typing or assembly
**Amount of Travel Required: No travel required**
**\# of Direct Reports: 0**
**Work Schedule/Shift: Monday\-Friday 8:00AM\-5:00PM**
**Work Arrangement: Hybrid**
**Work Environment: Office**
 The Company has reviewed this job description to ensure that essential functions and basic duties have been included. It is intended to provide guidelines for job expectations and the employee's ability to perform the position described. It is not intended to be construed as an exhaustive list of all functions, responsibilities, skills and abilities. Additional functions and requirements may be assigned by supervisors as deemed appropriate. This document does not represent a contract of employment, and the Company reserves the right to change this job description and/or assign tasks for the employee to perform, as the Company may deem appropriate.
**Reasonable Accommodations Statement**
 To perform this job successfully, an individual must be able to perform each essential duty satisfactorily. Reasonable Accommodations may be made to enable qualified individuals with disabilities to perform the essential functions.</t>
        </is>
      </c>
    </row>
    <row r="62">
      <c r="A62" t="inlineStr">
        <is>
          <t>li-4377015029</t>
        </is>
      </c>
      <c r="B62" t="inlineStr">
        <is>
          <t>Data Engineer</t>
        </is>
      </c>
      <c r="C62" t="inlineStr">
        <is>
          <t>The Value Maximizer</t>
        </is>
      </c>
      <c r="D62" t="inlineStr">
        <is>
          <t>linkedin</t>
        </is>
      </c>
      <c r="E62" t="inlineStr"/>
      <c r="F62" t="inlineStr"/>
      <c r="G62" t="inlineStr">
        <is>
          <t>South Carolina, United States</t>
        </is>
      </c>
      <c r="H62" t="inlineStr"/>
      <c r="I62" t="inlineStr">
        <is>
          <t>**Job Summary:** 
 We are looking for a skilled Data Engineer with strong hands\-on experience in AWS to design, build, and maintain scalable data pipelines and cloud\-based data platforms. The ideal candidate will have expertise in modern data warehousing, ETL/ELT development, and distributed data processing while ensuring data quality, performance, and security.
**Key Responsibilities:**
* Design, develop, and maintain scalable data pipelines using AWS services
* Build and optimize ETL/ELT workflows for structured and unstructured data
* Implement data lakes and data warehouses on AWS
* Work with large datasets to ensure high performance, reliability, and data integrity
* Collaborate with data analysts, data scientists, and business stakeholders to understand data requirements
* Perform data modeling for analytical and operational use cases
* Ensure data quality, governance, and security best practices
* Monitor and troubleshoot data workflows and production issues
* Support CI/CD and automation for data platform deployments. Required Skills \&amp; Experience:
* Strong hands\-on experience with AWS services such as S3, Glue, Redshift, Lambda, EMR, Athena, and RDS
* Proficiency in Python and SQL for data processing and analysis
* Experience in building and optimizing ETL/ELT pipelines
* Solid understanding of data warehousing and data lake architecture
* Experience with Apache Spark / PySpark
* Knowledge of workflow orchestration tools (Airflow or similar)
* Familiarity with streaming frameworks (Kinesis/Kafka) is a plus
* Experience with data modeling and performance tuning
* Understanding of DevOps, CI/CD, and infrastructure as code (Terraform/CloudFormation)
* Experience working in Agile/Scrum environments. Good to Have:
* Experience with Snowflake on AWS
* Exposure to real\-time data processing
* AWS certification (e.g., AWS Certified Data Analytics / Solutions Architect). Soft Skills:
* Strong problem\-solving and analytical skills
* Excellent communication and stakeholder management
* Ability to work in a fast\-paced, collaborative environment</t>
        </is>
      </c>
    </row>
    <row r="63">
      <c r="A63" t="inlineStr">
        <is>
          <t>li-4376894867</t>
        </is>
      </c>
      <c r="B63" t="inlineStr">
        <is>
          <t>Data Engineer</t>
        </is>
      </c>
      <c r="C63" t="inlineStr">
        <is>
          <t>The Value Maximizer</t>
        </is>
      </c>
      <c r="D63" t="inlineStr">
        <is>
          <t>linkedin</t>
        </is>
      </c>
      <c r="E63" t="inlineStr"/>
      <c r="F63" t="inlineStr"/>
      <c r="G63" t="inlineStr">
        <is>
          <t>Ohio, OH</t>
        </is>
      </c>
      <c r="H63" t="inlineStr"/>
      <c r="I63" t="inlineStr">
        <is>
          <t>**Job Summary:** 
 We are looking for a skilled Data Engineer with strong hands\-on experience in AWS to design, build, and maintain scalable data pipelines and cloud\-based data platforms. The ideal candidate will have expertise in modern data warehousing, ETL/ELT development, and distributed data processing while ensuring data quality, performance, and security.
**Key Responsibilities:**
* Design, develop, and maintain scalable data pipelines using AWS services
* Build and optimize ETL/ELT workflows for structured and unstructured data
* Implement data lakes and data warehouses on AWS
* Work with large datasets to ensure high performance, reliability, and data integrity
* Collaborate with data analysts, data scientists, and business stakeholders to understand data requirements
* Perform data modeling for analytical and operational use cases
* Ensure data quality, governance, and security best practices
* Monitor and troubleshoot data workflows and production issues
* Support CI/CD and automation for data platform deployments. Required Skills \&amp; Experience:
* Strong hands\-on experience with AWS services such as S3, Glue, Redshift, Lambda, EMR, Athena, and RDS
* Proficiency in Python and SQL for data processing and analysis
* Experience in building and optimizing ETL/ELT pipelines
* Solid understanding of data warehousing and data lake architecture
* Experience with Apache Spark / PySpark
* Knowledge of workflow orchestration tools (Airflow or similar)
* Familiarity with streaming frameworks (Kinesis/Kafka) is a plus
* Experience with data modeling and performance tuning
* Understanding of DevOps, CI/CD, and infrastructure as code (Terraform/CloudFormation)
* Experience working in Agile/Scrum environments. Good to Have:
* Experience with Snowflake on AWS
* Exposure to real\-time data processing
* AWS certification (e.g., AWS Certified Data Analytics / Solutions Architect). Soft Skills:
* Strong problem\-solving and analytical skills
* Excellent communication and stakeholder management
* Ability to work in a fast\-paced, collaborative environment</t>
        </is>
      </c>
    </row>
    <row r="64">
      <c r="A64" t="inlineStr">
        <is>
          <t>li-4377000921</t>
        </is>
      </c>
      <c r="B64" t="inlineStr">
        <is>
          <t>Data Engineer</t>
        </is>
      </c>
      <c r="C64" t="inlineStr">
        <is>
          <t>The Value Maximizer</t>
        </is>
      </c>
      <c r="D64" t="inlineStr">
        <is>
          <t>linkedin</t>
        </is>
      </c>
      <c r="E64" t="inlineStr"/>
      <c r="F64" t="inlineStr"/>
      <c r="G64" t="inlineStr">
        <is>
          <t>Pennsylvania, United States</t>
        </is>
      </c>
      <c r="H64" t="inlineStr"/>
      <c r="I64" t="inlineStr">
        <is>
          <t>**Job Summary:** 
 We are looking for a skilled Data Engineer with strong hands\-on experience in AWS to design, build, and maintain scalable data pipelines and cloud\-based data platforms. The ideal candidate will have expertise in modern data warehousing, ETL/ELT development, and distributed data processing while ensuring data quality, performance, and security.
**Key Responsibilities:**
* Design, develop, and maintain scalable data pipelines using AWS services
* Build and optimize ETL/ELT workflows for structured and unstructured data
* Implement data lakes and data warehouses on AWS
* Work with large datasets to ensure high performance, reliability, and data integrity
* Collaborate with data analysts, data scientists, and business stakeholders to understand data requirements
* Perform data modeling for analytical and operational use cases
* Ensure data quality, governance, and security best practices
* Monitor and troubleshoot data workflows and production issues
* Support CI/CD and automation for data platform deployments. Required Skills \&amp; Experience:
* Strong hands\-on experience with AWS services such as S3, Glue, Redshift, Lambda, EMR, Athena, and RDS
* Proficiency in Python and SQL for data processing and analysis
* Experience in building and optimizing ETL/ELT pipelines
* Solid understanding of data warehousing and data lake architecture
* Experience with Apache Spark / PySpark
* Knowledge of workflow orchestration tools (Airflow or similar)
* Familiarity with streaming frameworks (Kinesis/Kafka) is a plus
* Experience with data modeling and performance tuning
* Understanding of DevOps, CI/CD, and infrastructure as code (Terraform/CloudFormation)
* Experience working in Agile/Scrum environments. Good to Have:
* Experience with Snowflake on AWS
* Exposure to real\-time data processing
* AWS certification (e.g., AWS Certified Data Analytics / Solutions Architect). Soft Skills:
* Strong problem\-solving and analytical skills
* Excellent communication and stakeholder management
* Ability to work in a fast\-paced, collaborative environment</t>
        </is>
      </c>
    </row>
    <row r="65">
      <c r="A65" t="inlineStr">
        <is>
          <t>li-4375743969</t>
        </is>
      </c>
      <c r="B65" t="inlineStr">
        <is>
          <t>Data &amp; Analytics Engineer</t>
        </is>
      </c>
      <c r="C65" t="inlineStr">
        <is>
          <t>MojoTech</t>
        </is>
      </c>
      <c r="D65" t="inlineStr">
        <is>
          <t>linkedin</t>
        </is>
      </c>
      <c r="E65" t="inlineStr"/>
      <c r="F65" t="inlineStr"/>
      <c r="G65" t="inlineStr"/>
      <c r="H65" t="inlineStr"/>
      <c r="I65" t="inlineStr">
        <is>
          <t>**Overview**
 MojoTech, established in 2008, is an innovative digital consulting company that integrates strategy, design, and engineering to create results\-driven digital products and experiences for clients nationwide.
**What We Do**
 We partner with our clients to discover, define, design, and build tomorrow’s innovations, empowering every company to unlock future market potential, maximize returns on innovation, and drive transformational change. We work with a diverse client base, ranging from rapidly growing startups to established enterprises, helping them accelerate their pace of change and solve their biggest technology challenge
**Role Overview**
 As a Data \&amp; Analytics Engineer with MojoTech you will work with our clients to solve complex problems and to deliver high quality solutions as part of a team. Collaborating with product managers, designers, and clients, you will lead discussions to define data requirements and deliver actionable insights and data pipelines to support client analytics needs. Your experience and level of confidence in decision making and the quality of your work ensure commitment to MojoTech's engineering excellence.
**Things We’re Looking For**
* 3\+ years of experience in Data Engineering, Data Science, Data Warehousing
* Strong experience in Python
* Experience building and maintaining ETL/ELT pipelines, data warehouses, or real\-time analytics systems
* BA/BS in Computer Science, Data Science, Engineering, or a related field or equivalent experience in data engineering or analytics
* Track record of developing and optimizing scalable data solutions and larger\-scale data initiatives
* Strong understanding of best practices in data management, including sustainment, governance, and compliance with data quality and security standards
* Commitment to continuous learning and sharing knowledge with the team
 Should also be able to check off some of this:
* Experience developing solutions using LLMs (RAG, Agents, etc...)
* Exposure to big data technologies like Hadoop, Kafka, or Flink for handling large\-scale data processing.
* Experience with data visualization tools such as Tableau, Power BI, or Looker to communicate insights effectively.
* Knowledge of machine learning frameworks (e.g., TensorFlow, PyTorch) or statistical analysis for predictive analytics.
* Familiarity with containerization and orchestration tools like Docker and Kubernetes in a data engineering context.
* Understanding of DevOps practices, including CI/CD pipelines and version control systems (e.g., Git).
* Previous work with real\-time data streaming or event\-driven architectures.
* Comfort collaborating with cross\-functional teams, including data scientists, analysts, and software engineers.
* Experience one or more of the following: Palantir, Databricks, Snowflake, Apache Spark, Airflow, AWS Redshift, AWS Glue, Google BigQuery, Google Dataflow, PowerBI, etc...
* Exposure to leadership or mentorship roles, particularly on a development team
* Experience working in an agency, as a software consultant, or tailoring solutions to match client requirements and capability
* Strong communication skills to articulate technical concepts to technical and non\-technical stakeholders
* Experience mentoring team members or leading small projects is a plus
* Located in RI, MA, CT, NY, NJ, NC, SC, FL, CO, CA, UT, OR, PA, TN
**Benefits**
* Base salary $90\-150k, determined by experience, skills, and location
* Performance based end of year bonus
* Medical, Dental, FSA
* 401k with 4% match
* Trust\-based time off
* Catered lunches when in office
* 5 hours per week dedicated to self\-directed learning, innovation projects, or skill development
* Dog Friendly Offices
* Remote or in office (offices in Boulder, CO and Providence, RI)
* Paid conference attendance/yearly education stipend
* Custom workstation
* 6 weeks parental leave</t>
        </is>
      </c>
    </row>
    <row r="66">
      <c r="A66" t="inlineStr">
        <is>
          <t>li-4376894875</t>
        </is>
      </c>
      <c r="B66" t="inlineStr">
        <is>
          <t>Data Engineer</t>
        </is>
      </c>
      <c r="C66" t="inlineStr">
        <is>
          <t>The Value Maximizer</t>
        </is>
      </c>
      <c r="D66" t="inlineStr">
        <is>
          <t>linkedin</t>
        </is>
      </c>
      <c r="E66" t="inlineStr"/>
      <c r="F66" t="inlineStr"/>
      <c r="G66" t="inlineStr">
        <is>
          <t>New Jersey, United States</t>
        </is>
      </c>
      <c r="H66" t="inlineStr"/>
      <c r="I66" t="inlineStr">
        <is>
          <t>**Job Summary:** 
 We are looking for a skilled Data Engineer with strong hands\-on experience in AWS to design, build, and maintain scalable data pipelines and cloud\-based data platforms. The ideal candidate will have expertise in modern data warehousing, ETL/ELT development, and distributed data processing while ensuring data quality, performance, and security.
**Key Responsibilities:**
* Design, develop, and maintain scalable data pipelines using AWS services
* Build and optimize ETL/ELT workflows for structured and unstructured data
* Implement data lakes and data warehouses on AWS
* Work with large datasets to ensure high performance, reliability, and data integrity
* Collaborate with data analysts, data scientists, and business stakeholders to understand data requirements
* Perform data modeling for analytical and operational use cases
* Ensure data quality, governance, and security best practices
* Monitor and troubleshoot data workflows and production issues
* Support CI/CD and automation for data platform deployments. Required Skills \&amp; Experience:
* Strong hands\-on experience with AWS services such as S3, Glue, Redshift, Lambda, EMR, Athena, and RDS
* Proficiency in Python and SQL for data processing and analysis
* Experience in building and optimizing ETL/ELT pipelines
* Solid understanding of data warehousing and data lake architecture
* Experience with Apache Spark / PySpark
* Knowledge of workflow orchestration tools (Airflow or similar)
* Familiarity with streaming frameworks (Kinesis/Kafka) is a plus
* Experience with data modeling and performance tuning
* Understanding of DevOps, CI/CD, and infrastructure as code (Terraform/CloudFormation)
* Experience working in Agile/Scrum environments. Good to Have:
* Experience with Snowflake on AWS
* Exposure to real\-time data processing
* AWS certification (e.g., AWS Certified Data Analytics / Solutions Architect). Soft Skills:
* Strong problem\-solving and analytical skills
* Excellent communication and stakeholder management
* Ability to work in a fast\-paced, collaborative environment</t>
        </is>
      </c>
    </row>
    <row r="67">
      <c r="A67" t="inlineStr">
        <is>
          <t>li-4377005857</t>
        </is>
      </c>
      <c r="B67" t="inlineStr">
        <is>
          <t>Sr. Data Engineer</t>
        </is>
      </c>
      <c r="C67" t="inlineStr">
        <is>
          <t>Richmond National</t>
        </is>
      </c>
      <c r="D67" t="inlineStr">
        <is>
          <t>linkedin</t>
        </is>
      </c>
      <c r="E67" t="inlineStr"/>
      <c r="F67" t="inlineStr"/>
      <c r="G67" t="inlineStr">
        <is>
          <t>Glen Allen, VA</t>
        </is>
      </c>
      <c r="H67" t="inlineStr"/>
      <c r="I67" t="inlineStr">
        <is>
          <t>**Title:** 
 Sr. Data Engineer
**Location:** 
 On\-site in Glen Allen, VA (no remote option)
**Senior Data Engineer**
 We are seeking a highly skilled and experienced Senior Data Engineer to join Richmond National Insurance Company. As a Senior Data Engineer, you will work closely with the Lead Data Engineer and Director of Data to design, develop, and maintain our cloud data infrastructure by ensuring the availability, reliability, and scalability of our data systems. You will collaborate with cross\-functional teams, including data engineers, business analysts, and software engineers, to develop innovative data solutions that enable data\-driven decision\-making across the organization.
**Responsibilities**
* Data Infrastructure Management: Design, build, and maintain a robust and scalable cloud data infrastructure, including data pipelines, databases, and data lakes, to support the organization's data needs.
* Team Leadership: Lead and mentor a team of data engineers and data analysts, providing technical guidance, support, and fostering a culture of collaboration and innovation.
* Data Architecture: Define and implement the data architecture strategy, ensuring data models, schemas, and integration patterns align with business requirements and industry best practices.
* ETL Development: Develop and optimize Extract, Transform, Load (ETL) processes to extract data from various sources, transform it into a consistent format, and load it into the data ecosystem.
* Data Quality and Governance: Establish data quality standards, implement data governance processes, and perform regular data quality checks to ensure the accuracy, consistency, and reliability of data.
* Performance Optimization: Identify and implement performance tuning strategies to enhance the efficiency and speed of data processing and analysis.
* Data Security: Collaborate with the data and IT leadership team to implement data privacy and security measures, ensuring compliance with regulations and standards.
* Collaboration and Communication: Collaborate with cross\-functional teams to understand the data needs and deliver data solutions that support their requirements.
* Continuous Improvement: Stay up to date with industry trends, emerging technologies, and best practices in data engineering, and proactively introduce new tools and techniques to improve data engineering processes and efficiency.
* Documentation and Documentation: Maintain comprehensive documentation of data pipelines, workflows, and data structures, ensuring clear documentation for both technical and non\-technical stakeholders.
**Qualifications**
* Proven experience (5\+ years) as a Data Engineer, preferably in the insurance or financial industry or a similar domain.
* Strong expertise in data modeling, data transformation and data integration techniques including use of dbt.
* Proficiency in programming languages such as Python, Java, or Scala, and experience with SQL and database technologies.
* Design, build, and maintain scalable ETL/ELT pipelines using AWS\-native services (Glue, Lambda, Athena, S3\).
* Experience with cloud\-based data platforms and services, such as AWS, Azure, or Google Cloud Platform.
* Familiarity with data visualization tools and techniques.
* Excellent problem\-solving skills and a strong attention to detail.
* Effective communication and collaboration skills to work with cross\-functional teams and stakeholders.
 Join our team as the Senior Data Engineer and play a crucial role in shaping and optimizing our data infrastructure to support Richmond National's data\-driven initiatives. Apply your expertise to drive innovation and enable better decision\-making processes through advanced data engineering techniques.
**Benefits Overview**
* Medical, Dental, and Vision insurance plans. FSA/HSA plans available.
* Basic Life/AD\&amp;D/Short Term/Long Term Disability coverage.
* 401(k) \- Company match of up to 6%
* Flexible PTO plan, 11 paid company\-wide holidays, plus your birthday off.
* Recognized as a Top Workplace by Richmond Times\-Dispatch
**Equal Employment Opportunity (EEO)**
 Richmond National is an equal employment opportunity employer, the Company’s employment decisions and practices are not and will not be unlawfully influenced or affected by race, color, creed, age, religion, national origin, sex, disability, genetic information, veteran status, uniformed services, sexual orientation (including transgender status, gender identity or expression), gender, traits historically associated with race, such as hairstyle, pregnancy, childbirth, or related medical conditions or on any other characteristic protected by applicable federal, state, or local law. This policy of equal employment opportunity applies to all policies and procedures relating to recruitment and hiring, compensation, benefits, and all other terms and conditions of employment.</t>
        </is>
      </c>
    </row>
    <row r="68">
      <c r="A68" t="inlineStr">
        <is>
          <t>li-4376815753</t>
        </is>
      </c>
      <c r="B68" t="inlineStr">
        <is>
          <t>Lead ML Data Engineer, AI Core</t>
        </is>
      </c>
      <c r="C68" t="inlineStr">
        <is>
          <t>Nubank</t>
        </is>
      </c>
      <c r="D68" t="inlineStr">
        <is>
          <t>linkedin</t>
        </is>
      </c>
      <c r="E68" t="inlineStr"/>
      <c r="F68" t="inlineStr"/>
      <c r="G68" t="inlineStr">
        <is>
          <t>Palo Alto, CA</t>
        </is>
      </c>
      <c r="H68" t="inlineStr"/>
      <c r="I68" t="inlineStr">
        <is>
          <t>**About Us**
 Nu is one of the largest digital financial platforms in the world, with more than 127 million customers across Brazil, Mexico, and Colombia. Guided by our mission to fight complexity and empower people, we are redefining financial services in Latin America and this is still just the beginning of the purple future we're building.
 Listed on the New York Stock Exchange (NYSE: NU), we combine proprietary technology, data intelligence, and an efficient operating model to deliver financial products that are simple, accessible, and human.
 Our impact has been recognized by global rankings such as Time 100 Companies, Fast Company's Most Innovative Companies, and Forbes World's Best Bank. Visit our institutional page \[Careers at Nu \- Join our team!](https://international.nubank.com.br/careers/)
**About The Role**
 At Nu, data is the foundation that powers our AI and machine learning models, enabling millions of customers to access fair financial products. As a Machine Learning Engineer in AI Core, Data Intelligence, you’ll work across a broad spectrum — from building scalable data infrastructure and feature pipelines that feed our state\-of\-the\-art foundation models to designing, training, and shipping transaction classification models that power critical customer experiences across the company.
 You'll work at the intersection of data and applied machine learning, contributing across multiple stages of the ML lifecycle: ingesting and labeling data, training and evaluating models, and helping with deployment and production monitoring through robust quality controls. You’ll partner closely with product, compliance, and ML teams to ensure models are auditable, privacy\-aware, and deliver measurable business value.
 You'll join a team that manages the data engineering backbone of AI Core, ensuring data is accessible, healthy, and properly tracked across our entire ML ecosystem. Here, you'll combine your expertise in building scalable data systems with your passion for machine learning, creating solutions that enable our models to learn from better, richer data.
 You can read more about the work in the AI Core team on our blog: https://building.nubank.com/understanding\-our\-customers\-finances\-through\-foundation\-models/
 Key Responsibilities
 As a Lead Machine Learning Engineer in AI Core Data Intelligence, you will:
* Design and build scalable data ingestion pipelines that bring new datasets into our AI Core platform, ensuring reliable, efficient data flow from source to model training.
* Implement data quality monitoring and validation systems that catch issues before they impact model performance, maintaining the health of datasets across our ML ecosystem.
* Model new types of data into our foundation models.
* Analyze the impact of new data sources on existing models, conducting experiments to measure performance improvements and guide data acquisition decisions.
* Develop and maintain data preparation workflows that transform raw data into features ready for model training, working with distributed computing frameworks like Ray.
* Tune and optimize machine learning models when new datasets are integrated, applying hyperparameter optimization and evaluating model performance improvements.
* Collaborate with AI Core ML, Platform, and Infra teams to ensure seamless data flow across our ML infrastructure, from ingestion to model deployment.
* Lead technical initiatives that improve our data engineering practices, setting standards for data quality, pipeline reliability, and model\-data integration.
* Mentor team members and contribute to hiring activities, helping build a strong and diverse team that drives innovation in AI infrastructure.
**Basic Qualifications**
* Typically 6\+ years of experience in machine learning engineering, data engineering, or related fields with a strong track record of building production data and ML systems.
* Proven experience designing and building data ingestion pipelines at scale, with expertise in distributed computing frameworks (Ray, Spark, or similar).
* Strong background in applied machine learning, including model training, hyperparameter tuning, and performance evaluation.
* Experience analyzing how data changes impact model performance, with the ability to design and run experiments to measure improvements.
* Proficiency in Python for data engineering and ML workflows, with experience working with large\-scale data processing systems.
* Solid understanding of data quality principles and experience implementing monitoring, validation, and alerting systems.
* Strong problem\-solving skills with the ability to address complex, ambiguous problems requiring coordination across multiple teams.
* Excellent communication skills, capable of explaining technical concepts to both technical and non\-technical stakeholders.
* Demonstrated leadership experience, including mentoring team members and contributing to technical decision\-making.
**Preferred Qualifications**
* Experience with MLflow or similar model tracking and versioning systems.
* Knowledge of foundation models, fine\-tuning workflows, and transformer architectures.
* Experience with data pipeline orchestration tools (Dagster, Airflow, or similar).
* Background in financial services or fintech, understanding the unique data challenges in this domain.
* Experience working in a fast\-paced, high\-growth environment with distributed teams.
* Track record of reducing complexity in data systems and improving developer experience for ML teams.
 Our Benefits
* Opportunity of earning equity at Nu
* Medical Insurance
* Dental and Vision Insurance
* Life Insurance and AD\&amp;D
* Extended maternity and paternity leaves
* Nucleo \- Our learning platform of courses
* NuLanguage \- Our language learning program
* NuCare \- Our mental health and wellness assistance program
* Extended maternity and paternity leaves
* 401K
* Saving Plans \- Health Saving Account and Flexible Spending Account
* Work\-from\-home Allowance
* Relocation Assistance Package, if applicable.
**Work Model for this Role**
**Hybrid 2\-3 times/week** 
 : Our hybrid work model brings us to the office at least twice a week, on strategic days designed to maximize team connection and collaboration. For more details, visit https://building.nubank.com/nu\-hybrid\-work\-model/
 Locations: Can support relocation. This role is available in any of our North American offices (Palo Alto, USA; Miami, USA; New York, USA; Durham, USA; Toronto, CAN)</t>
        </is>
      </c>
    </row>
    <row r="69">
      <c r="A69" t="inlineStr">
        <is>
          <t>li-4374521477</t>
        </is>
      </c>
      <c r="B69" t="inlineStr">
        <is>
          <t>Data Engineer</t>
        </is>
      </c>
      <c r="C69" t="inlineStr">
        <is>
          <t>Shamrock Trading Corporation</t>
        </is>
      </c>
      <c r="D69" t="inlineStr">
        <is>
          <t>linkedin</t>
        </is>
      </c>
      <c r="E69" t="inlineStr"/>
      <c r="F69" t="inlineStr"/>
      <c r="G69" t="inlineStr">
        <is>
          <t>Overland Park, KS</t>
        </is>
      </c>
      <c r="H69" t="inlineStr"/>
      <c r="I69" t="inlineStr">
        <is>
          <t>**About Shamrock Trading Corporation**
 Shamrock Trading Corporation is a family of brands that has been serving the transportation and logistics industries since 1986\. Shamrock offers factoring solutions, export financing, third\-party logistics, a fuel card program and trucking technology.
 Shamrock’s mission since the start has been to create value and success for our customers, our partners and our people. Strong ethics, dedication to our customers and close attention to the marketplace are critical to the success and growth of the Shamrock brands. Shamrock is headquartered in Overland Park, Kansas, with multiple offices throughout the U.S. Overland Park is a great place to live, work and play, being conveniently located within driving distance of everything Kansas City has to offer. Housed within the heart of Overland Park, our offices include 4 gorgeous towers on the East and West sides of Metcalf Ave. With a heavy community presence and a winning culture, Shamrock is a great place to work in Overland Park!
**Why You’ll Love Working Here**
 Our award\-winning culture is a testament to our commitment to growth, recognition and empowerment. From day one, we prioritize employees first, encouraging them to think and act like owners and providing endless opportunities for growth and self\-development, both personally and professionally. Shamrock has been recognized as one of America’s 2025 “Most Loved Workplaces” by Newsweek.
**Benefits**
 At Shamrock, we hire bright, ambitious people and give them the tools they need for a successful, long\-term career here. Shamrock also offers a premier set of benefits for employees and their families:
* Training and Development: Ongoing training and professional development opportunities
* Medical: Fully paid healthcare, dental and vision premiums for employees and eligible dependents, and gym benefits
* Financial: One\-time sign\-on bonus, generous company 401(k) contributions and employee stock ownership after one year
* Work\-Life Balance: Competitive PTO and work from home opportunities after an introductory period
**About The Role**
 Shamrock Trading Corporation is looking for a Data Engineer who wants to utilize their expertise in modern data platforms, microservices architectures, application programming interfaces, data pipeline development/support and analytical reporting skills by joining our Data Services team. This role is responsible for gathering and analyzing data from several internal and external sources, designing a cloud\-focused data platform for analytics and business intelligence, reliably providing data to our analysts.
 This role requires a significant understanding of data engineering and analytical techniques. An ideal candidate will have strong technical capabilities, business acumen, and the ability to work effectively with cross\-functional teams
**What You’ll Do**
* Develop \&amp; Maintain Scalable Data Pipelines: Build, optimize, and maintain ETL/ELT pipelines using Databricks, Apache Spark, and Delta Lake.
* Optimize Data Processing: Implement performance tuning techniques to improve Spark\-based workloads.
* Cloud Data Engineering: Work with AWS services (S3, ECS, Lambda, Glue, etc.) to design and implement robust data architectures.
* Real\-time \&amp; Streaming Data: Develop streaming solutions using Kafka and Databricks Structured Streaming.
* Data Quality \&amp; Governance: Implement data validation, observability, and governance best practices using Unity Catalog or other tools.
* Cross\-functional Collaboration: Partner with analysts, data scientists, and application engineers to ensure data meets business needs.
* Automation \&amp; CI/CD: Implement infrastructure\-as\-code (IaC) and CI/CD best practices for data pipelines using tools like Terraform, and GitHub Actions.
**What You’ll Bring**
* Bachelor’s degree in computer science, data science or related technical field, or equivalent practical experience
* 2\-4 years of experience in data engineering, with a focus on cloud\-based platforms.
* Strong hands\-on experience with Databricks (including Spark, Delta Lake, and MLflow).
* Experience building and maintaining AWS based data pipelines: currently utilizing AWS Lambda, Docker / ECS, MSK, Airflow, Databricks, Unity Catalog
* Development experience utilizing one or more of the following:
* Git ecosystem (GitHub, GitLab, etc.)
* Python
* Databricks (PySpark, SQL, Spark Declarative Pipelines/DLT, Databricks Asset Bundles)
* Kafka and the Kafka Connect ecosystem (Schema Registry,Avro, etc.)
* Familiarity with CI/CD for data pipelines and infrastructure as code (GitHub Actions, Terraform)
* Strong SQL skills for data transformation and performance tuning.
* Understanding of data security and governance best practices.
* Enthusiasm for working directly with customer teams (Business units and internal IT)
**What Will Set You Apart**
* Proven experience with relational and NoSQL databases (e.g. Postgres, Microsoft SQL Server, MongoDB, etc.)
* Familiarity with data lakehouse architectures and optimization strategies.
* Familiarity with API architectures such as FastAPI, AWS API Gateways, and OpenAPI Specifications
* Familiarity with data visualization techniques using tools such as Databricks Dashboards, Grafana, PowerBI, and Excel.
**Apply Today!**
 We’re so excited to connect with you! If you want to work with forward\-thinking people in an award\-winning culture, submit your application today.
 Having trouble submitting your application? Contact us at Recruiting@shamrocktradingcorp.com for support.</t>
        </is>
      </c>
    </row>
    <row r="70">
      <c r="A70" t="inlineStr">
        <is>
          <t>li-4377004865</t>
        </is>
      </c>
      <c r="B70" t="inlineStr">
        <is>
          <t>Analytics Engineer</t>
        </is>
      </c>
      <c r="C70" t="inlineStr">
        <is>
          <t>Hightouch</t>
        </is>
      </c>
      <c r="D70" t="inlineStr">
        <is>
          <t>linkedin</t>
        </is>
      </c>
      <c r="E70" t="inlineStr"/>
      <c r="F70" t="inlineStr"/>
      <c r="G70" t="inlineStr"/>
      <c r="H70" t="inlineStr"/>
      <c r="I70" t="inlineStr">
        <is>
          <t>**About Hightouch**
 Hightouch is the modern AI platform for marketing and growth teams. Our AI agents reimagine marketing workflows, allowing marketers to create content, plan campaigns, and execute strategies with transformational velocity and performance.
 Hightouch is a rare company built on the intersection of two fundamental technological shifts: advances in LLMs and agentic AI, and the creation and rapid adoption of cloud data warehouses like Snowflake and Databricks. Building on these tailwinds, we’ve become a leader in AI marketing and partner with industry leaders like Domino’s, Chime, Spotify, Ramp, Whoop, Grammarly, and over 1000 others.
 Our team focuses on making a meaningful impact for our customers. We approach challenges with first\-principles thinking, move quickly and efficiently, and treat each other with compassion and kindness. We look for team members who are strong communicators, have a growth mindset, and are motivated and persistent in achieving our goals.
**About The Role**
 At Hightouch, the data team wears a lot of hats. We build the internal systems and data models that keep every part of the business moving quickly and reliably. We act as strategic advisors — using data to surface weaknesses and help the company continuously improve. Additionally, we engage directly with our largest customers to support high\-impact data engineering initiatives.
 As an Analytics Engineer, you'll be primarily focused on owning our internal data models and serving as a trusted advisor to business leaders across Sales, Marketing and Finance. The ideal candidate is someone who can build rock\-solid data systems and work with business leaders to continuously extract insights to guide the business. If you're looking for a role where your work has broad, visible impact across the entire company — this is it.
 What You'll Do
* Design and maintain the internal data models and systems that power decision\-making across Sales, Marketing, Finance — built to be reliable, scalable, and accessible to non\-technical users.
* Act as a strategic advisor to business leaders, proactively using data to identify areas of weakness and opportunity across the company.
* Troubleshoot complex data issues, investigate discrepancies, and guide internal teams toward better upstream data practices.
* Communicate findings and recommendations clearly to both technical and non\-technical audiences.
* Contribute to documentation, standards, and playbooks that make the analytics function more effective and scalable over time.
* Measure and communicate the business impact of your work — revenue growth, efficiency gains, better decisions.
 What We're Looking For
* Expert\-level SQL skills and deep, hands\-on experience with cloud data warehouses.
* Hands\-on experience building complex data models with dbt.
* Experience with Omni Analytics or Looker.
* Comfortable and confident engaging with business leaders and customers — you can walk into any room and earn credibility fast.
* Curious about what problems the business has and how your work can add value
* A strategic mindset — you proactively identify what matters, separate high\-impact from low\-impact work, and act accordingly.
* High ownership mentality — you're someone who wants more responsibility, not less.
* Thinks like a business analyst, executes like a software engineer.
* Actively integrating AI into your day\-to\-day workflows — you've done the experimenting and you're learning where it adds real leverage.
 Bonus If You Have
* Experience supporting multiple areas of a business simultaneously (Sales, Marketing, Finance, etc.).
* Experience being on a data team at a startup.
*The salary range for this position is $170k–$220k per year, which is location independent in accordance with our remote\-first policy. We also offer meaningful equity compensation in the form of ISO options, and offer early exercise and a 10 year post\-termination exercise window.*
 \#
 **LI\-DNI**</t>
        </is>
      </c>
    </row>
    <row r="71">
      <c r="A71" t="inlineStr">
        <is>
          <t>li-4376814380</t>
        </is>
      </c>
      <c r="B71" t="inlineStr">
        <is>
          <t>Senior Data Engineer</t>
        </is>
      </c>
      <c r="C71" t="inlineStr">
        <is>
          <t>Crash Champions</t>
        </is>
      </c>
      <c r="D71" t="inlineStr">
        <is>
          <t>linkedin</t>
        </is>
      </c>
      <c r="E71" t="inlineStr"/>
      <c r="F71" t="inlineStr"/>
      <c r="G71" t="inlineStr"/>
      <c r="H71" t="inlineStr"/>
      <c r="I71" t="inlineStr">
        <is>
          <t>As one of the fastest\-growing and most exciting brands in the industry, Crash Champions is the largest founder\-led multi\-shop operator (MSO) of high\-quality collision repair service in the U.S. The company, which also operates the growing Crash Champions LUXE \| EV Certified brand of highline and luxury EV repair centers, services customers at more than 650 state\-of\-the\-art locations in 38 states across the U.S. Crash Champions was founded in 1999 as a single Chicago repair center by industry veteran and 2023 EY Entrepreneur of the Year Midwest award winner Matt Ebert . For more than 25 years, our vision has been anchored by the belief that delivering superior collision repair service is about People First. Welcome to Crash Champions. We Champion People.
**Responsibilities**
**JOB PURPOSE:** 
 The Senior Data Engineer plays a critical role in advancing Crash Champions’ enterprise data strategy by designing, developing, and maintaining scalable data solutions that support business intelligence, analytics, and operational reporting. This role is responsible for building and optimizing data pipelines, integrating data from diverse sources, and modernizing legacy systems to ensure the delivery of high\-quality, reliable, and accessible data. The Senior Data Engineer will work closely with the Data Manager, Director of Data Analytics, and key business stakeholders to translate complex business requirements into efficient technical solutions that drive informed decision\-making across the organization.
**Essential Duties And Responsiblities**
* Design and engineer robust data solutions by collaborating with the Data and Reporting teams to gather business requirements, define use cases, create technical designs, and implement scalable solutions for data analysis, reporting, and system integration.
* Serve as a technical liaison in cross\-functional environments, effectively communicating complex data concepts and delivering actionable insights to business and functional leaders.
* Develop complex SQL queries, data transformations, aggregations, stored procedures, and triggers to support enterprise data needs.
* Design and implement technical/data architecture for Operational Data Stores (ODS) and Data Warehouses using the Kimball methodology.
* Build and maintain SSIS ETL packages within SQL Server Data Tools (SSDT), ensuring performance and scalability.
* Manage individual workload and task prioritization using Agile Scrum practices, participating in sprint planning and daily standups.
* Conduct unit, system, and integration testing to validate the accuracy and performance of all developed code and database objects.
* Create and maintain comprehensive documentation for data integration solutions, including data dictionaries, process/data flow diagrams, and runbooks to support ongoing operations and future development.
**Core Competencies**
* Teamwork: Builds strong relationships and collaborates effectively to achieve shared goals; promotes mutual trust and supports team members.
* Accountability: Takes ownership for commitments and outcomes; monitors progress, learns from setbacks, and continuously seeks improvement.
* Results\-Driven: Delivers consistent results by executing priorities with urgency and focus; maintains momentum to achieve high\-performance goals.
* Sound Judgment: Applies critical thinking and experience to evaluate issues, identify root causes, and make well\-informed decisions.
* Customer Focus: Maintains a strong internal and external customer focus; proactively identifies and addresses needs to improve user experience and service quality.
**Qualifications**
**QUALIFICATIONS:**
* 7\+ years of hands\-on experience with Microsoft SQL Server; experience with Microsoft Fabric and Python is a plus.
* 7\+ years of experience with Azure SQL Server, Azure Data Warehouse, and Azure Data Factory; Azure Synapse experience is a plus.
* Proficient in ETL design patterns for data warehousing, including implementation of Kimball methodology.
* Demonstrated experience integrating data from multiple sources (e.g., SQL Server, Excel, Access, flat files, on\-prem/cloud systems, RESTful APIs, Smartsheet) using SSIS or other ETL tools.
* Skilled in developing complex T\-SQL queries, stored procedures, triggers, and handling error resolution.
* Strong analytical, problem\-solving, and critical thinking skills with the ability to troubleshoot complex issues and determine scalable solutions.
* High attention to detail with a strong focus on data validation and thorough documentation of processes, standards, and procedures.
* Excellent written and verbal communication skills, with the ability to translate technical concepts into clear, actionable insights for both technical and non\-technical stakeholders.
* Effective interpersonal skills; able to build positive relationships across teams and collaborate in cross\-functional environments.
* Ability to multi\-task and manage competing priorities in a fast\-paced, dynamic setting.
* Demonstrated stress management capabilities; able to remain focused and perform well under pressure.
* Experience with full software development lifecycle (SDLC) using tools such as Azure DevOps, GIT, and Smartsheet.
* Bachelor’s degree in Management Information Systems, Engineering, Mathematics, Economics, Computer Science, or a related field.
 Technical Proficiencies / Tools \&amp; Technologies
* Candidates should have practical experience with the following tools and platforms:
* Microsoft SQL Server 2012\+ – database administration and development
* T\-SQL – advanced querying, scripting, and performance tuning
* MS BI Stack: SSRS (Reporting), SSIS (Integration), SSAS (Analytics)
* Microsoft Azure SQL Server, Data Warehouse, Data Factory
* JSON/XML – for handling semi\-structured data
* Azure DevOps / GIT – for source control and deployment pipelines
* Smartsheet – for data integration and workflow tracking
* Azure Synapse (preferred)
* Power BI (preferred, not required)
* Microsoft Fabric Platform (preferred)
* Python – for scripting or automation (preferred)
 This job description is intended to describe the general nature and level of work being performed by people assigned to this job. They are not intended to be an exhaustive list of all responsibilities, duties, and skills. You may be asked by your supervisor or managers to perform other duties. Your performance will be evaluated in part based upon your performance of the job duties listed in this job description, as well as any job duties not specifically listed above that you may be asked from time to time to perform. The Company has the right to revise this job description at any time.
**Crash Champions is an equal opportunity employer committed to workplace diversity. All qualified applicants will receive consideration for employment without regard to race, color, religion, sex, sexual orientation, national origin, age, gender identity, protected veterans’ status, status as a disabled individual or any other protected group status or non\-job characteristic as directed by law.**
**Benefits**
 The Company offers the following benefits for this position, subject to applicable eligibility requirements and annual updates:
* Medical Insurance
* Dental Insurance
* Vision Insurance
* Group Life Insurance
* Disability Insurance
* 401k Retirement Plan with match
* Referral Bonus (“Crash From Crash”)
* 5 Paid Holidays
 We are committed to providing competitive compensation for this role. The actual offer will be based on various factors, including but not limited to: job related knowledge, skills, experience, relevant certifications and qualifications.
**Posted Min Pay Rate**
 USD $120,000\.00/Yr.
**Posted Max Pay Rate**
 USD $135,000\.00/Yr.</t>
        </is>
      </c>
    </row>
    <row r="72">
      <c r="A72" t="inlineStr">
        <is>
          <t>li-4376878329</t>
        </is>
      </c>
      <c r="B72" t="inlineStr">
        <is>
          <t>Data Engineer</t>
        </is>
      </c>
      <c r="C72" t="inlineStr">
        <is>
          <t>SteerBridge</t>
        </is>
      </c>
      <c r="D72" t="inlineStr">
        <is>
          <t>linkedin</t>
        </is>
      </c>
      <c r="E72" t="inlineStr"/>
      <c r="F72" t="inlineStr"/>
      <c r="G72" t="inlineStr">
        <is>
          <t>Washington, DC</t>
        </is>
      </c>
      <c r="H72" t="inlineStr"/>
      <c r="I72" t="inlineStr">
        <is>
          <t>We're Hiring: Data Engineers (Mid\-Level 3\+ Years) Are you passionate about building data pipelines that power real\-time insights and smarter decision\-making?
 SteerBridge Strategies, a Veteran\-led small business, is seeking Data Engineers to join our growing team based at our headquarters in Tysons Corner (Vienna, VA). This role offers the chance to support a major federal transformation effort by modernizing and optimizing complex data systems at scale. At SteerBridge, we're more than government contractors we are a high\-impact team of Veterans and professionals solving meaningful problems with precision and purpose. Our projects span AI/ML, cloud architecture, and large\-scale data engineering to help modernize critical federal systems.
 What You'll Do: As a Data Engineer, you'll work alongside architects, analysts, and scientists to design efficient data flows, enhance data quality, and ensure secure, reliable pipelines for both real\-time and batch processing environments. You will: Develop, optimize, and maintain ETL/ELT pipelines for structured and unstructured data Use tools like dbt, Informatica, Azure Data Factory, and Databricks for transformation and workflow automation Write performant SQL queries and Python/JavaScript scripts for data parsing, ingestion, and cleanup Conduct data profiling, linkage, validation, and quality checks across diverse sources Enable cloud\-based data processing (e.g., AWS S3, Azure Blob) and support API integration, collaborate across data science, engineering, and stakeholder teams to deliver accurate and actionable data products. Maintain technical documentation for pipelines, data structures, and infrastructure support secure data governance practices and performance tuning in modern cloud platforms
 Veteran\-strong leadership and collaborative team culture \_\_ Apply Now! If you're ready to engineer systems that make a difference, join SteerBridge and help modernize federal data operations that drive meaningful impact.
 SteerBridge Strategies is committed to equal employment opportunity and nondiscrimination for all employees and qualified applicants without regard to a person's race, color, gender, age, religion, national origin, ancestry, disability, veteran status, genetic information, sexual orientation, or any characteristic protected under applicable law. SteerBridge Strategies will make reasonable accommodations for qualified individuals with known disabilities in accordance with applicable law. Required Skills and Qualifications
* Required Skills and Qualifications
* Must be a U.S. Citizen.
* Bachelor’s degree in computer science or related field, with a minimum of three (3\) years of relevant work experience.
* An active security clearance or the ability to obtain one is required.
 RESPONSIBILITIES Build, optimize, and maintain batch and real\-time data ingestion pipelines Lead design and implementation of scalable ETL processes across complex, distributed systems Develop and manage data lake architecture for structured and unstructured data Utilize AWS services (EventBridge, S3 Event Notifications) for workflow orchestration and scheduling Use AWS Glue, Python, and SQL to transform and prepare data for downstream consumption Ensure data quality, lineage, governance, and compliance across all systems Work closely with software team and data scientists to support reporting and model development Mentor junior engineers, providing technical guidance and peer reviews Document data pipelines, standards, and data product specifications
 PROFESSIONAL EXPERIENCE / QUALIFICATIONS Strong proficiency in Python and SQL Hands\-on experience with Pandas, PySpark, and AWS Glue Deep understanding of ETL frameworks, data lake design, and cloud\-based architecture Familiarity with real\-time and batch data processing tools and methodologies Experience with data governance, security compliance, and maintaining data quality standards. Employees in this role are responsible for safeguarding sensitive information and must adhere to all organizational security and privacy policies, ensuring the protection, proper handling, and confidentiality of data at all times. Location: Must be local to the Vienna, Va area and able to work on\-site at our Vienna, VA office (5 days/week). Hybrid opportunities at supervisors' discretion.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3">
      <c r="A73" t="inlineStr">
        <is>
          <t>li-4376839262</t>
        </is>
      </c>
      <c r="B73" t="inlineStr">
        <is>
          <t>Data Engineer</t>
        </is>
      </c>
      <c r="C73" t="inlineStr">
        <is>
          <t>Hirenza</t>
        </is>
      </c>
      <c r="D73" t="inlineStr">
        <is>
          <t>linkedin</t>
        </is>
      </c>
      <c r="E73" t="inlineStr"/>
      <c r="F73" t="inlineStr"/>
      <c r="G73" t="inlineStr"/>
      <c r="H73" t="inlineStr"/>
      <c r="I73" t="inlineStr">
        <is>
          <t>**About The Company**
 Alliance Technical Group is a leading technology solutions provider dedicated to delivering innovative data management and analytics services to organizations across various industries. With a focus on leveraging cutting\-edge technologies and best practices, the company aims to empower its clients with robust data infrastructure that drives strategic decision\-making and operational efficiency. Renowned for its commitment to excellence, Alliance Technical Group fosters a collaborative environment that encourages continuous learning and professional growth. The company values diversity, integrity, and innovation, ensuring that every team member contributes to creating impactful solutions tailored to client needs.
**About The Role**
 Alliance Technical Group is seeking an experienced Senior Data Engineer to join our dynamic team. In this pivotal role, you will be responsible for designing, building, and optimizing complex data systems that support our business intelligence and analytics platforms. You will lead the development of scalable data pipelines, data models, and cloud\-based architectures to ensure high\-quality, reliable data across the organization. Your expertise will be instrumental in architecting new database solutions, managing migrations, and enhancing data governance initiatives. Collaborating with cross\-functional teams in an agile environment, you will translate business requirements into scalable, secure, and efficient data solutions. This role offers an exciting opportunity for a seasoned professional passionate about building enterprise data platforms from the ground up and shaping the organization’s data strategy.
**Qualifications**
 The ideal candidate will possess a bachelor's degree in Computer Science, Information Systems, or a related field, or have equivalent professional experience. A minimum of 10 years of hands\-on experience working with relational databases, including designing and implementing new database systems, is required. Proven expertise in building large\-scale data systems, particularly in PostgreSQL and Snowflake, is essential. Familiarity with dbt and cloud architecture is highly desirable. Candidates should demonstrate a strong understanding of data governance, data quality, and validation practices. Excellent troubleshooting skills, along with the ability to perform root\-cause analysis, are critical. Strong communication skills and experience working within agile, cross\-functional teams are necessary. Knowledge of Python programming and data visualization principles will be considered advantageous.
**Responsibilities**
* Architect and implement new databases and data platforms aligned with business and technical requirements.
* Develop and maintain scalable ELT/ETL pipelines and data models to support analytics and reporting needs.
* Manage and optimize database environments through provisioning, performance tuning, and access control management.
* Implement automation workflows and orchestrations to ensure reliable, repeatable deployment processes.
* Ensure data quality, consistency, and compliance through rigorous validation, monitoring, and governance practices.
* Collaborate with cross\-functional teams to gather technical requirements, estimate effort, and deliver solutions that meet business objectives.
* Troubleshoot complex data issues, recommend improvements, and maintain comprehensive documentation of data systems and processes.
* Mentor junior data engineers by providing technical guidance, conducting code reviews, and sharing best practices.
**Benefits**
 Alliance Technical Group offers a comprehensive benefits package designed to support the well\-being and professional development of its employees. Key benefits include medical, dental, and vision insurance, along with flexible spending accounts. The company provides a 401(k) plan with a competitive match to help employees plan for their future. Continuing education and tuition assistance programs are available to promote ongoing learning. Employees also benefit from employer\-sponsored disability benefits, life insurance, and an Employee Assistance Program (EAP). Paid time off (PTO), paid holidays, and a bonus floating holiday (for those hired before July 1st) are provided to support work\-life balance. Additional perks include profit sharing or individual bonus programs, referral incentives, per diem and paid travel, and access to an employee discount hub. Salary is commensurate with experience.
 Equal Opportunity
 Alliance Technical Group is an equal opportunity employer. We are committed to fostering an inclusive environment where all qualified applicants receive consideration for employment without regard to race, color, national origin, ethnicity, sex, pregnancy, sexual orientation, gender identity or expression (including transgender identity), religion, disability, age, genetics, active military or veteran status, or any other characteristic protected under applicable federal or state law. We believe in diversity and are dedicated to creating a workplace that respects and values individual differences.</t>
        </is>
      </c>
    </row>
    <row r="74">
      <c r="A74" t="inlineStr">
        <is>
          <t>li-4375769244</t>
        </is>
      </c>
      <c r="B74" t="inlineStr">
        <is>
          <t>Data Engineer - CETS</t>
        </is>
      </c>
      <c r="C74" t="inlineStr">
        <is>
          <t>hackajob</t>
        </is>
      </c>
      <c r="D74" t="inlineStr">
        <is>
          <t>linkedin</t>
        </is>
      </c>
      <c r="E74" t="inlineStr"/>
      <c r="F74" t="inlineStr"/>
      <c r="G74" t="inlineStr">
        <is>
          <t>Phoenix, AZ</t>
        </is>
      </c>
      <c r="H74" t="inlineStr"/>
      <c r="I74" t="inlineStr">
        <is>
          <t>***hackajob** 
 is collaborating with
 **American Express** 
 to connect them with exceptional tech professionals for this role.*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We are looking for a highly skilled Data Engineer with a solid experience of building Bigdata, GCP Cloud based ETL Pipelines and Spark applications. The Engineer will play a crucial role in designing, implementing, and optimizing data solutions to support our organization’s data\-driven initiatives. This role requires expertise in data engineering, strong problem\-solving abilities, and a collaborative mindset to work effectively with various stakeholders.
 Joining the CETS team, this role will be focused on the delivery of innovative solutions to satisfy the needs of our business. As an agile team we work closely with our business partners to understand what they require, and we strive to continuously improve as a team.
 We pride ourselves on a culture of kindness and positivity, and a continuous focus on supporting colleague development to help you achieve your career goals. We lead with integrity, and we emphasize work/life balance for all of our teammates.
 How will you make an impact in this role?
 There Are Hundreds Of Opportunities To Make Your Mark On Technology And Life At American Express. Here’s Just Some Of What You’ll Be Doing
* Develop modern, high quality, and robust operational engineering capabilities.
* Develop software in technology stack which is constantly evolving but currently includes Big data platforms like BigQuery, Airflow, DataProc.
* Work with Business partners and stakeholders to understand functional requirements, architecture dependencies, and business capability roadmaps.
* Create technical solution designs to meet business requirements.
* Define best practices to be followed by team.
* Taking your place as a core member of an Agile team driving the latest development practices
* Identify and drive reengineering opportunities, and opportunities for adopting new technologies and methods.
* Perform peer code review and participate in technical discussions with the team on the best solutions possible
 Minimum Qualifications
* BS or MS degree in computer science, computer engineering, or other technical discipline, or equivalent work experience.
* 5\+ years of hands\-on software development experience with Big Data \&amp; Analytics solutions
+ Hadoop Hive, Spark, Python, shell scripting, GCP Cloud \- Big Query, Airflow, DataProc, PubSub
* Strong experience in designing, developing, and optimizing data pipelines for large\-scale data processing, transformation, and analysis using Big Data and GCP technologies.
* Proficiency in SQL and database systems, with experience in designing and optimizing data models for performance and scalability.
* Experience of building event processing pipelines with Kafka or GCP PubSub.
* Design and development experience with Airflow, PubSub Kafka, Git, Jenkins is desirable.
* Knowledge of distributed (multi\-tiered) systems, algorithms \&amp; relational databases.
* Strong Object\-Oriented Programming skills and design patterns.
* Experience with CICD pipelines, Automated test frameworks, and source code management tools (XLR, Jenkins, Git).
* Good knowledge and experience with configuration management tools like GitHub
* Ability to analyze complex data engineering problems, propose effective solutions, and implement them effectively.
* Ability and willingness to learn, adopt and build solutions using the Enterprise frameworks established for Big Data
* Looks proactively beyond the obvious for continuous improvement opportunities.
* Communicates effectively with product and cross functional team.
* Willingness to learn new technologies and leverage them to their optimal potential.
* Understanding of various SDLC methodologies, familiarity with Agile \&amp; scrum ceremonies.
* Certifications in cloud platform (GCP Professional Data Engineer) is a plus.
 Salary Range: $89,250\.00 to $150,250\.00 annually \+ bonus \+ benefits
 The above represents the expected salary range for this job requisition. Ultimately, in determining your pay, we’ll consider your location, experience, and other job\-related factors.
**Benefits**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
 Bonus incentives
 6% Company Match on retirement savings plan
 Free financial coaching and financial well\-being support
 Comprehensive medical, dental, vision, life insurance, and disability benefits
 Flexible working model with hybrid, onsite or virtual arrangements depending on role and business need
 20\+ weeks paid parental leave for all parents, regardless of gender, offered for pregnancy, adoption or surrogacy
 Free access to global on\-site wellness centers staffed with nurses and doctors (depending on location)
 Free and confidential counseling support through our Healthy Minds program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U.S. is required as the company will not pursue visa sponsorship for these positions</t>
        </is>
      </c>
    </row>
    <row r="75">
      <c r="A75" t="inlineStr">
        <is>
          <t>li-4376815752</t>
        </is>
      </c>
      <c r="B75" t="inlineStr">
        <is>
          <t>Lead ML Data Engineer, AI Core</t>
        </is>
      </c>
      <c r="C75" t="inlineStr">
        <is>
          <t>Nubank</t>
        </is>
      </c>
      <c r="D75" t="inlineStr">
        <is>
          <t>linkedin</t>
        </is>
      </c>
      <c r="E75" t="inlineStr"/>
      <c r="F75" t="inlineStr"/>
      <c r="G75" t="inlineStr">
        <is>
          <t>Durham, NC</t>
        </is>
      </c>
      <c r="H75" t="inlineStr"/>
      <c r="I75" t="inlineStr">
        <is>
          <t>**About Us**
 Nu is one of the largest digital financial platforms in the world, with more than 127 million customers across Brazil, Mexico, and Colombia. Guided by our mission to fight complexity and empower people, we are redefining financial services in Latin America and this is still just the beginning of the purple future we're building.
 Listed on the New York Stock Exchange (NYSE: NU), we combine proprietary technology, data intelligence, and an efficient operating model to deliver financial products that are simple, accessible, and human.
 Our impact has been recognized by global rankings such as Time 100 Companies, Fast Company's Most Innovative Companies, and Forbes World's Best Bank. Visit our institutional page \[Careers at Nu \- Join our team!](https://international.nubank.com.br/careers/)
**About The Role**
 At Nu, data is the foundation that powers our AI and machine learning models, enabling millions of customers to access fair financial products. As a Machine Learning Engineer in AI Core, Data Intelligence, you’ll work across a broad spectrum — from building scalable data infrastructure and feature pipelines that feed our state\-of\-the\-art foundation models to designing, training, and shipping transaction classification models that power critical customer experiences across the company.
 You'll work at the intersection of data and applied machine learning, contributing across multiple stages of the ML lifecycle: ingesting and labeling data, training and evaluating models, and helping with deployment and production monitoring through robust quality controls. You’ll partner closely with product, compliance, and ML teams to ensure models are auditable, privacy\-aware, and deliver measurable business value.
 You'll join a team that manages the data engineering backbone of AI Core, ensuring data is accessible, healthy, and properly tracked across our entire ML ecosystem. Here, you'll combine your expertise in building scalable data systems with your passion for machine learning, creating solutions that enable our models to learn from better, richer data.
 You can read more about the work in the AI Core team on our blog: https://building.nubank.com/understanding\-our\-customers\-finances\-through\-foundation\-models/
 Key Responsibilities
 As a Lead Machine Learning Engineer in AI Core Data Intelligence, you will:
* Design and build scalable data ingestion pipelines that bring new datasets into our AI Core platform, ensuring reliable, efficient data flow from source to model training.
* Implement data quality monitoring and validation systems that catch issues before they impact model performance, maintaining the health of datasets across our ML ecosystem.
* Model new types of data into our foundation models.
* Analyze the impact of new data sources on existing models, conducting experiments to measure performance improvements and guide data acquisition decisions.
* Develop and maintain data preparation workflows that transform raw data into features ready for model training, working with distributed computing frameworks like Ray.
* Tune and optimize machine learning models when new datasets are integrated, applying hyperparameter optimization and evaluating model performance improvements.
* Collaborate with AI Core ML, Platform, and Infra teams to ensure seamless data flow across our ML infrastructure, from ingestion to model deployment.
* Lead technical initiatives that improve our data engineering practices, setting standards for data quality, pipeline reliability, and model\-data integration.
* Mentor team members and contribute to hiring activities, helping build a strong and diverse team that drives innovation in AI infrastructure.
**Basic Qualifications**
* Typically 6\+ years of experience in machine learning engineering, data engineering, or related fields with a strong track record of building production data and ML systems.
* Proven experience designing and building data ingestion pipelines at scale, with expertise in distributed computing frameworks (Ray, Spark, or similar).
* Strong background in applied machine learning, including model training, hyperparameter tuning, and performance evaluation.
* Experience analyzing how data changes impact model performance, with the ability to design and run experiments to measure improvements.
* Proficiency in Python for data engineering and ML workflows, with experience working with large\-scale data processing systems.
* Solid understanding of data quality principles and experience implementing monitoring, validation, and alerting systems.
* Strong problem\-solving skills with the ability to address complex, ambiguous problems requiring coordination across multiple teams.
* Excellent communication skills, capable of explaining technical concepts to both technical and non\-technical stakeholders.
* Demonstrated leadership experience, including mentoring team members and contributing to technical decision\-making.
**Preferred Qualifications**
* Experience with MLflow or similar model tracking and versioning systems.
* Knowledge of foundation models, fine\-tuning workflows, and transformer architectures.
* Experience with data pipeline orchestration tools (Dagster, Airflow, or similar).
* Background in financial services or fintech, understanding the unique data challenges in this domain.
* Experience working in a fast\-paced, high\-growth environment with distributed teams.
* Track record of reducing complexity in data systems and improving developer experience for ML teams.
 Our Benefits
* Opportunity of earning equity at Nu
* Medical Insurance
* Dental and Vision Insurance
* Life Insurance and AD\&amp;D
* Extended maternity and paternity leaves
* Nucleo \- Our learning platform of courses
* NuLanguage \- Our language learning program
* NuCare \- Our mental health and wellness assistance program
* Extended maternity and paternity leaves
* 401K
* Saving Plans \- Health Saving Account and Flexible Spending Account
* Work\-from\-home Allowance
* Relocation Assistance Package, if applicable.
**Work Model for this Role**
**Hybrid 2\-3 times/week** 
 : Our hybrid work model brings us to the office at least twice a week, on strategic days designed to maximize team connection and collaboration. For more details, visit https://building.nubank.com/nu\-hybrid\-work\-model/
 Locations: Can support relocation. This role is available in any of our North American offices (Palo Alto, USA; Miami, USA; New York, USA; Durham, USA; Toronto, CAN)</t>
        </is>
      </c>
    </row>
    <row r="76">
      <c r="A76" t="inlineStr">
        <is>
          <t>li-4376597986</t>
        </is>
      </c>
      <c r="B76" t="inlineStr">
        <is>
          <t>Data Engineer (5061)</t>
        </is>
      </c>
      <c r="C76" t="inlineStr">
        <is>
          <t>SMX</t>
        </is>
      </c>
      <c r="D76" t="inlineStr">
        <is>
          <t>linkedin</t>
        </is>
      </c>
      <c r="E76" t="inlineStr"/>
      <c r="F76" t="inlineStr"/>
      <c r="G76" t="inlineStr">
        <is>
          <t>Patuxent River, MD</t>
        </is>
      </c>
      <c r="H76" t="inlineStr"/>
      <c r="I76" t="inlineStr">
        <is>
          <t>SMX is seeking a
 **Data Engineer** 
 to provide support for the NAWCAD Readiness \&amp; Fleet Analytics (R\&amp;FA) Division’s Advanced Analytics and Innovation (AA\&amp;I) Branch at Patuxent River Naval Air Station in Lexington Park, MD.
 This Data Engineer will primarily involve migrating code for data science projects from Cloudera Data Science Workbench (CDSW) to Databricks. The candidate will design, build, and maintain robust data pipelines and architectures that support advanced analytics and decision\-making across the Naval Aviation Enterprise. The candidate will focus on data engineering tasks, including data extraction, transformation, and loading (ETL), database management, and optimizing data workflows. Your work will directly support Program Management Air (PMA) offices, Air Systems Group, Command, Fleet Readiness Centers, and other Department of Defense (DoD) services.
 As a Data Engineer, you will leverage Python, SQL, and cloud\-based platforms to ensure the seamless flow of data between systems and applications. You will play a critical role in enabling data\-driven solutions by ensuring data integrity, scalability, and accessibility for analytics teams and stakeholders. This is a full\-time position with telework as the standard arrangement, complemented by occasional in\-office requirements.
**Essential Duties \&amp; Responsibilities** 
* Code Migration \&amp; Translation
	+ Migrate existing HiveQL and Python\-based workflows from Cloudera Data Science Workbench (CDSW) to Databricks.
	+ Translate existing workflows to the new environment while ensuring results are consistent or improved in terms of performance, scalability, and data quality.
	+ Refactor and optimize code to leverage Databricks features and capabilities effectively.
	+ Collaborate with analytics teams to validate migrated workflows and ensure functionality aligns with project requirements.
* Cloud\-Based Data Engineering
	+ Leverage cloud platforms such as AWS, Databricks, or similar tools to manage and process large\-scale datasets.
	+ Implement CI/CD workflows for data engineering projects to streamline development and deployment.
* Data Pipeline Development
	+ Design, develop, and maintain ETL pipelines to extract, transform, and load data from various sources into centralized databases or data warehouses.
	+ Automate data workflows and processes to ensure efficient and reliable data delivery.
	+ Optimize data pipelines for scalability, performance, and fault tolerance.
* Database Management
	+ Build and manage relational and non\-relational databases to support analytics and reporting needs.
	+ Write and optimize complex SQL queries for data extraction and manipulation.
	+ Ensure data integrity, security, and accessibility across all systems.
* Collaboration \&amp; Support
	+ Work closely with stakeholders, including product owners and analytics teams, to understand data requirements and deliver solutions that meet business needs.
	+ Provide technical guidance and support to team members on data engineering best practices.
**Required Skills \&amp; Experience**
* Clearance Required: Secret
	+ US Citizenship is required for work on DoD contract
* A Bachelor’s degree in Computer Science, Data Engineering, Information Systems, or a related field
* 5\+ years of related academic or professional experience
* Proficiency in Python and SQL, with hands\-on experience in developing ETL pipelines and managing databases.
* Experience with cloud platforms such as AWS, Databricks, or similar tools.
* Strong understanding of relational and non\-relational database systems.
* Proven experience migrating workflows and code from legacy platforms (e.g., CDSW) to modern cloud\-based environments (e.g., Databricks).
* Ability to translate existing workflows to new environments while ensuring results are consistent or improved in terms of performance and data quality.
* Proficiency in HiveQL and Python for data engineering tasks.
* Proficiency in GitLab and JIRA for project management and version control.
* High\-level problem\-solving and interpersonal skills.
* Flexible and able to work effectively in dynamic environments.
* Strong oral and written communication skills, including the ability to interact professionally across all levels of management.
* Proven ability to work collaboratively with cross\-functional teams to deliver data solutions.
**Desired Skills/Experience:** 
* Experience with Tableau, Qlik, or Power BI for creating advanced visualizations and interactive dashboards.
* Experience with schema design and data modeling.
* Familiarity with Apache Spark or Hadoop.
* Experience implementing CI/CD pipelines for data engineering projects.
* Familiarity with aviation industry data and experience in the aerospace and/or defense industries.
* Adaptability to work effectively in dynamic environments
**Application Deadline:**
 3/23/2026
 \#cjpost
  The SMX salary determination process takes into account a number of factors, including but not limited to, geographic location, Federal Government contract labor categories, relevant prior work experience, specific skills, education and certifications. At SMX, one of our Core Values is to Invest in Our People so we offer a competitive mix of compensation, learning \&amp; development opportunities, and benefits. Some key components of our robust benefits include health insurance, paid leave, and retirement.
 The proposed salary for this position is:: $87,600 USD \- $146,000 USD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an Equal Opportunity employer including disabilities and veterans.
 Selected applicant may be subject to a background investigation and/or education verification.
 SMX does not sponsor a new applicant for employment authorization or immigration related support for this position (i.e. H1B, F\-1 OPT, F\-1 STEM OPT, F\-1 CPT, J\-1, TN, E\-2, E\-3, L\-1 and O\-1, or any EADs or other forms of work authorization that require immigration support from an employer).</t>
        </is>
      </c>
    </row>
    <row r="77">
      <c r="A77" t="inlineStr">
        <is>
          <t>li-4376556677</t>
        </is>
      </c>
      <c r="B77" t="inlineStr">
        <is>
          <t>Data Engineer, Platform</t>
        </is>
      </c>
      <c r="C77" t="inlineStr">
        <is>
          <t>Wiraa</t>
        </is>
      </c>
      <c r="D77" t="inlineStr">
        <is>
          <t>linkedin</t>
        </is>
      </c>
      <c r="E77" t="inlineStr"/>
      <c r="F77" t="inlineStr"/>
      <c r="G77" t="inlineStr"/>
      <c r="H77" t="inlineStr"/>
      <c r="I77" t="inlineStr">
        <is>
          <t>**About The Company**
 Our organization is a leading insurance provider dedicated to making a meaningful difference in the lives of our clients and communities. We go beyond traditional coverages and policies by fostering innovation, embracing technology, and cultivating a collaborative work environment. Our commitment to excellence and continuous improvement drives us to shape the future of insurance through advanced data solutions and AI\-driven initiatives. Join us in our mission to deliver exceptional value, foster growth, and create a positive impact across the industry.
**About The Role**
 We are seeking a highly skilled Data Platform Engineer to join our Enterprise Data Engineering team. In this role, you will be responsible for designing, building, and maintaining agentic AI systems that automate and accelerate the development of enterprise Data Products. This position combines modern data engineering practices with emerging AI agent technologies to enable comprehensive automation throughout our data lifecycle. You will collaborate closely with architects, AI engineers, and platform teams to shape the next generation of data product automation at The Hartford. The role offers a hybrid work schedule, with a requirement to work in our offices located in Columbus, OH, Chicago, IL, Hartford, CT, or Charlotte, NC, three days a week. Remote candidates who are not near an office location will have a flexible work arrangement with occasional office visits as needed.
**Qualifications**
* 2\+ years of experience in data engineering, data platforms, or distributed systems
* Hands\-on experience developing production\-grade AI agents, automation systems, or generative AI\-powered applications
* Strong proficiency in Python, SQL, and modern data engineering frameworks
* Experience with cloud\-native data platforms and services (preferably GCP)
* Experience with IDMC and Snowflake data platforms
* Expertise in building and operating ETL/ELT pipelines, orchestration, and metadata\-driven systems
* Knowledge of CI/CD, containerization, and DevOps patterns
* Strong problem\-solving skills and the ability to collaborate across engineering, AI, and platform teams
* Ability to influence architecture and system design
**Responsibilities**
* Design, develop, deploy, and operate agentic AI systems that facilitate Data Product development from inception through production
* Collaborate with Data Engineering, Architecture, and AI teams to define system patterns, guardrails, and reusable services
* Ensure the reliability, observability, security, and compliance of AI systems with enterprise governance standards
* Support and maintain existing AI agents and automation tools in production environments
* Contribute to the development and refinement of Data Platform Engineering standards and reference architectures
* Participate in cross\-functional team discussions to influence system architecture and design decisions
* Monitor system performance, troubleshoot issues, and implement improvements for AI automation tools
**Benefits**
* Competitive salary within the range of $100,960 \- $151,440 annually
* Comprehensive health, dental, and vision insurance plans
* Retirement savings plans with company contributions
* Paid time off and holiday leave
* Professional development opportunities and training programs
* Flexible work arrangements to support work\-life balance
* Recognition programs and performance incentives
 Equal Opportunity
 Our company is an equal opportunity employer. We celebrate diversity and are committed to creating an inclusive environment for all employees regardless of sex, race, color, religion, national origin, veteran status, disability, sexual orientation, gender identity or expression, age, or any other protected characteristic. We believe that diverse teams foster innovation and drive success, and we are dedicated to providing equal employment opportunities to all qualified candidates.</t>
        </is>
      </c>
    </row>
    <row r="78">
      <c r="A78" t="inlineStr">
        <is>
          <t>li-4376839842</t>
        </is>
      </c>
      <c r="B78" t="inlineStr">
        <is>
          <t>Sr. Data Engineer</t>
        </is>
      </c>
      <c r="C78" t="inlineStr">
        <is>
          <t>Midwest Trust Company</t>
        </is>
      </c>
      <c r="D78" t="inlineStr">
        <is>
          <t>linkedin</t>
        </is>
      </c>
      <c r="E78" t="inlineStr"/>
      <c r="F78" t="inlineStr"/>
      <c r="G78" t="inlineStr">
        <is>
          <t>Overland Park, KS</t>
        </is>
      </c>
      <c r="H78" t="inlineStr"/>
      <c r="I78" t="inlineStr">
        <is>
          <t>**Description**
 TTS \- Data Engineer
 Trust Technology Solutions – Overland Park, Kansas \- Fully Remote with the optional access to our regional office locations.
 Position Overview
 As a Senior Data Engineer, you will be a key architect of our data ecosystem. We are looking for a high\-ceiling technical lead to design and scale enterprise\-grade data products within Microsoft Fabric. This role requires a sophisticated blend of modern cloud engineering and deep SQL Server fundamentals. You won't just move data; you will define the standards for data reliability, performance, and cross\-functional collaboration, ensuring our clients can rely on high\-fidelity information for mission\-critical decisions.
 Key Responsibilities
* Work in the established Fabric Architecture: Design and implement sophisticated end\-to\-end workloads within Microsoft Fabric. You will help determine the optimal use of the Lakehouse (Spark/Notebooks) versus the SQL Warehouse based on specific performance and scale requirements.
* Advanced SQL Development: You will develop complex stored procedures and functions while also performing deep\-dive performance tuning and indexing strategies within SQL Server and Fabric environments.
* Automated Validation Frameworks: Maintain robust, automated data validation and quality frameworks. You will ensure that data integrity is "baked into" the pipelines, catching anomalies and schema drift before they impact downstream analytics.
* Strategic Collaboration: Partner with Data Analysts and business stakeholders to define and enforce Data Contracts. You will act as a bridge, translating high\-level business objectives into durable technical architectures.
* Advanced Data Modeling: Implement modern architectural patterns, including Medallion, Data Vault 2\.0, Data Mesh, and others, ensuring data is structured for both long\-term scalability and ease of end\-user consumption.
* DataOps: Drive operational excellence through CI/CD via Azure DevOps, Git\-based version control, and automated monitoring/alerting systems using Logic Apps and other Azure services.
**Requirements**
 Required Skills
* Experience: 5–7\+ years of proven experience in Data Engineering, with a strong emphasis on database design and cloud architecture.
* SQL Mastery: Advanced proficiency in T\-SQL and SQL Server internals. You should be comfortable solving complex query performance issues and designing highly efficient relational models.
* Cloud Orchestration: Demonstrable experience building and managing complex pipelines using Fabric Data Factory or Azure Data Factory.
* Programming \&amp; Big Data: Proficiency in Python (PySpark) for large\-scale data transformation and Spark\-based processing within a Lakehouse environment.
* Excellent communication skills with the ability to lead technical discussions, define requirements with non\-technical partners, and mentor junior team members.
* Architecture Mindset: Deep understanding of modern data patterns (Lambda/Kappa, Delta Lake, and Distributed Systems).
 Preferred Experience\- Proficiency with Microsoft Fabric for analytics and data processing.\- Advanced knowledge of modern data architectures (Medallion, DataVault, Lambda/Kappa)\- Solid Experience with DevOps practices using Azure DevOps or Git.\- Knowledge of business intelligence tools like Power BI or Tableau.\- Azure certifications (e.g., Azure Fundamentals, Power Platform certifications).Company DescriptionTrust Technology Solutions is an IT company with a mission to centralize, standardize, and economize information technology services used by MTC Holding Corporation companies, their affiliates and their clients in pursuit of overall enterprise objectives. Those objectives include the delivery of secure, reliable, scalable, and innovative solutions for our financial services clients.Benefits include:
* Medical Insurance
* Dental Insurance
* Flexible Benefits Plan
* Life and AD\&amp;D Insurance
* 401k Profit Sharing Plan
* Voluntary benefits, including vision, disability, long\-term care, accident and cancer insurance
* Salary commensurate with experience
 Trust Technology Solutions, LLC is an Equal Opportunity Employer</t>
        </is>
      </c>
    </row>
    <row r="79">
      <c r="A79" t="inlineStr">
        <is>
          <t>li-4375758298</t>
        </is>
      </c>
      <c r="B79" t="inlineStr">
        <is>
          <t>Data Engineer (Databricks &amp; Google Cloud Platform)</t>
        </is>
      </c>
      <c r="C79" t="inlineStr">
        <is>
          <t>Capgemini</t>
        </is>
      </c>
      <c r="D79" t="inlineStr">
        <is>
          <t>linkedin</t>
        </is>
      </c>
      <c r="E79" t="inlineStr"/>
      <c r="F79" t="inlineStr"/>
      <c r="G79" t="inlineStr"/>
      <c r="H79" t="inlineStr"/>
      <c r="I79"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About the
* **Primary Skills:** 
 Databricks, Google Cloud Platform (GCP), Python, SQL
* **Location:** 
 Nashville, TN Onsite
* **Employment Type:** 
 Full\-time
* No sposhipship available for this role
**Position Overview** 
 We are seeking a highly skilled
 **Data Engineer** 
 with strong expertise in
 **Databricks** 
 and
 **Google Cloud Platform (GCP)** 
 to design, develop, and optimize large\-scale data pipelines and analytics solutions. The ideal candidate will have a proven background in modern data engineering practices, cloud\-based architectures, and advanced data transformation frameworks.
**Key Responsibilities** 
* Design, build, and maintain
 **scalable ETL/ELT pipelines** 
 using Databricks (PySpark/Spark SQL).
* Develop and optimize data workflows on
 **Google Cloud Platform** 
 , including Big Query, Cloud Storage, Dataflow, and Pub/Sub.
* Implement
 **data ingestion, transformation, and integration** 
 processes for structured and unstructured data.
* Collaborate with cross\-functional teams to support
 **data modeling, analytics, and machine learning** 
 initiatives.
* Ensure data quality, reliability, governance, and security standards are met.
* Perform pipeline performance tuning and optimize cloud resources to reduce compute cost.
* Automate workflow orchestration using tools such as
 **Airflow, Databricks Jobs, or Cloud Composer** 
 .
* Contribute to the design of
 **data Lakehouse** 
 and
 **data warehouse** 
 architectures.
* Maintain technical documentation, best practices, and operational runbooks.
**Required Qualifications** 
* Bachelor’s degree in computer science, Engineering, or a related field.
* 3\+ years of experience in
 **Data Engineering** 
 or related roles.
* Strong hands\-on experience with
 **Databricks** 
 , including Spark, Delta Lake, and notebooks.
* Proficiency in
 **GCP data services** 
 such as BigQuery, Cloud Storage, Cloud Composer, Pub/Sub, Dataflow, etc.
* Strong programming skills in
 **Python** 
 and advanced proficiency in
 **SQL** 
 .
* Experience with CI/CD pipelines, Git\-based workflows, and DevOps practices.
* Knowledge of data modeling, data lake house principles, and distributed computing.
**Preferred Qualifications** 
* Certification in Databricks or Google Cloud Platform.
* Experience with
 **Terraform** 
 or Infrastructure\-as\-Code.
* Exposure to real\-time streaming technologies (Kafka, Pub/Sub).
* Experience working in Agile environments.
* Familiarity with machine learning pipelines (MLflow, GCP Vertex AI).
**Soft Skills** 
* Strong communication and stakeholder management skills.
* Ability to work independently and in collaborative, cross\-functional teams.
* Strong analytical and problem\-solving mindset.
* Attention to detail and commitment to high\-quality deliverables.
 The base compensation range for this role in the posted location is:$46,000 to $9,000\.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t>
        </is>
      </c>
    </row>
    <row r="80">
      <c r="A80" t="inlineStr">
        <is>
          <t>li-4376840297</t>
        </is>
      </c>
      <c r="B80" t="inlineStr">
        <is>
          <t>Associate - Data Engineer - Global Master Data</t>
        </is>
      </c>
      <c r="C80" t="inlineStr">
        <is>
          <t>Eli Lilly and Company</t>
        </is>
      </c>
      <c r="D80" t="inlineStr">
        <is>
          <t>linkedin</t>
        </is>
      </c>
      <c r="E80" t="inlineStr"/>
      <c r="F80" t="inlineStr"/>
      <c r="G80" t="inlineStr">
        <is>
          <t>Indianapolis, IN</t>
        </is>
      </c>
      <c r="H80" t="inlineStr"/>
      <c r="I80"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**What You Will Do**
 As a Data Engineer you will be located in
 **Indianapolis, IN** 
 and responsible for designing, developing, and maintaining the data solutions that ensure the availability and quality of data for analysis and/or business transactions. They design and implement efficient data storage, processing and retrieval solutions for datasets and build data pipelines, optimize database designs, and work closely with data scientists, architects, and analysts to ensure data quality and accessibility. Data engineers require strong skillsets in data integration, acquisition, cleansing, harmonization, and transforming data. They play a crucial role in transforming raw data into datasets designed for analysis which enable organizations to unlock valuable insights for decision making.
* Design, build, and maintain scalable and reliable data pipelines for batch and real\-time processing.
* Own incident response and resolution, including root cause analysis and post\-mortem reporting for data failures and performance issues.
* Develop and optimize data models, ETL/ELT workflows, and data integration across multiple systems and platforms.
* Collaborate with data scientists, analysts, and business stakeholders to understand data requirements and deliver solutions.
* Implement data governance, security, and quality standards across data assets.
* Lead end\-to\-end data engineering projects and contribute to architectural decisions.
* Design and implement cloud\-native solutions on AWS (preferred) using tools such as AWS Glue, EMR, and Databricks. Experience with Azure or GCP is a plus.
* Promote best practices in coding, testing, and deployment.
* Monitor, troubleshoot, and improve performance and reliability of data infrastructure.
* Automate manual processes and identify opportunities to optimize data workflows and reduce costs.
**How You Will Succeed**
* Deliver scalable solutions by designing robust data pipelines and architectures that meet performance and reliability standards.
* Collaborate effectively with cross\-functional teams to turn business needs into technical outcomes.
* Lead with expertise, mentoring peers and driving adoption of best practices in data engineering and cloud technologies.
* Continuously improve systems through automation, performance tuning, and proactive issue resolution.
* Communicate with clarity to ensure alignment across technical and non\-technical stakeholders.
**Your Basic Qualifications**
* Bachelor’s degree in Computer Science, Information Technology, Management Information Systems or similar stem fields
* At least 2 years of experience in data engineering
* 1\+ years of experience using GitHub and CI/CD pipelines for code deployment.
* Proven experience in architecting and building high\-performance, scalable data pipelines following Data Lakehouse, Data Warehouse, and Data Mart standards.
* Strong expertise in data modelling (both OLTP and OLAP), managing large datasets, and implementing secure, compliant data governance practices.
* Qualified applicants must be authorized to work in the United States on a full\-time basis. Lilly will not provide support for or sponsor work authorization or visas for this role, including but not limited to F\-1 CPT, F\-1 OPT, F\-1 STEM OPT, J\-1, H\-1B, TN, O\-1, E\-3, H\-1B1, or L\-1\.
***Remote candidates will not be considered***
**What You Should Bring**
* Strong proficiency in SQL and Python.
* Hands\-on experience with cloud platforms (AWS, Azure, or GCP) and tools like Glue, EMR, Redshift, Lambda, or Databricks.
* Deep understanding of ETL/ELT workflows, data modelling, and data warehousing concepts.
* Familiarity with big data and streaming frameworks (e.g., Apache Spark, Kafka, Flink).
* Knowledge of data governance, security, and quality practices.
* Working knowledge of Databricks for building and optimizing scalable data pipelines and analytics workflows.
* Experience with CI/CD, version control (Git), and infrastructure\-as\-code tools is a plus.
* A problem\-solving mindset, attention to detail, and a passion for clean, maintainable code.
* Strong communication and collaboration skills to work with both technical and non\-technical stakeholders.
* Domain experience in healthcare, pharmaceutical (Customer Master, Product Master, Alignment Master, Activity, Consent), or regulated industries is a plus.
* Partner with and influence vendor resources on solution development to ensure understanding of data and technical direction for solutions as well as delivery
* AWS Certified
* Databricks Certified
* Familiarity with AI/ML workflows and integrating machine learning models into data pipelines
* Experience in leading a small team of data engineers and providing technical mentorship.
* Ability to collaborate with business stakeholders to translate key business requirements into scalable technical solutions.
* Familiarity with security models and developing solutions on large\-scale, distributed data systems.
**About The Tech At Lilly Organization**
 Tech at Lilly builds and maintains capabilities using cutting edge technologies like most prominent tech companies. What differentiates Tech at Lilly is that we create new possibilities through tech to advance our purpose – creating medicines that make life better for people around the world, like data driven drug discovery and connected clinical trials. We hire the best technology professionals from a variety of backgrounds, so they can bring an assortment of knowledge, skills, and diverse thinking to deliver innovative solutions in every area of the enterprise.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$64,500 \- $184,800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81">
      <c r="A81" t="inlineStr">
        <is>
          <t>li-4374518248</t>
        </is>
      </c>
      <c r="B81" t="inlineStr">
        <is>
          <t>Data Engineer</t>
        </is>
      </c>
      <c r="C81" t="inlineStr">
        <is>
          <t>Capgemini Engineering</t>
        </is>
      </c>
      <c r="D81" t="inlineStr">
        <is>
          <t>linkedin</t>
        </is>
      </c>
      <c r="E81" t="inlineStr"/>
      <c r="F81" t="inlineStr"/>
      <c r="G81" t="inlineStr">
        <is>
          <t>Winter Haven, FL</t>
        </is>
      </c>
      <c r="H81" t="inlineStr"/>
      <c r="I81" t="inlineStr">
        <is>
          <t>Your Profile
* 7 years of experience in data engineering roles with expertise in building and maintaining data pipelines, systems, and applications.
 Proficient in data warehouse design, implementation, and optimization, leveraging ETL/ELT processes, schema modeling, and ensuring efficient data retrieval for analytical purposesDegree in computer science, software engineering, or in engineering domains.
 Proficient in Python and one additional programming/querying language used for data engineering Java, SQL, NoSQLs or similar.
 Hands\-on experience with cloud platforms like AWS or GCP or AzureKnowledge and Hands\-on experience either with cloud platforms (AWS, GCP, or Azure), or in Linux OS.
 Experience with Devops and CI/CD.
 Strong understanding of data modeling, both SQL and NoSQL, with expertise in distributed systems design.
 Experience with big data technologies such as, Spark or other distributed processing technologies and familiarity with tools like Airflow for workflow orchestration.Knowledge of data governance, metadata management, and best practices in ensuring data quality and compliance.
 Excellent communication skills and the ability to collaborate effectively in cross\-functional teams.
 Analytical mindset, attention to detail, and problem\-solving skills to address complex data challenges.
 Familiarity with Standard AI/ML processes \&amp; Operations is greatly valued.
 Fluency in English is mandatory, and proficiency in additional languages advantageous.
**What You'll Love About Working**
* Join a multicultural and inclusive team environment.
* Enjoy a supportive atmosphere promoting work\-life balance.
* Hybrid work.
* Your career growth is central to our mission. Our array of career growth programs and diverse professionals are crafted to support you in exploring a world of opportunities.
* Access valuable training and certifications in cutting\-edge technologies.
* Engage in exciting national and international projects.
* Health and life insurance.
* Referral program with bonuses for talent recommendations.
* Great office locations.
**About Capgemini**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t>
        </is>
      </c>
    </row>
    <row r="82">
      <c r="A82" t="inlineStr">
        <is>
          <t>li-4374527358</t>
        </is>
      </c>
      <c r="B82" t="inlineStr">
        <is>
          <t>Principal Data Engineer</t>
        </is>
      </c>
      <c r="C82" t="inlineStr">
        <is>
          <t>Americor</t>
        </is>
      </c>
      <c r="D82" t="inlineStr">
        <is>
          <t>linkedin</t>
        </is>
      </c>
      <c r="E82" t="inlineStr"/>
      <c r="F82" t="inlineStr"/>
      <c r="G82" t="inlineStr">
        <is>
          <t>Irvine, CA</t>
        </is>
      </c>
      <c r="H82" t="inlineStr"/>
      <c r="I82" t="inlineStr">
        <is>
          <t>Americor is a leading provider of debt relief solutions for people of all backgrounds. We offer various services to help our clients achieve financial freedom, including debt consolidation loans, debt settlement, and credit repair. Our dedication to others sets us apart – not only as a company but as a community of employees who support each other’s personal and professional growth. Recognized as a ‘Top Place to Work’ and ‘Best Company’ for our outstanding service and commitment to excellence.
 We are currently seeking a Principal/Lead Analytics Engineer to join our rapidly growing team. Specific job title and offer to align with the qualifications of the candidate.
* Applicants must be authorized to work for ANY employer in the U.S. We are unable to sponsor or take over sponsorship of an employment Visa at this time
 Compensation: $120,000\-$150,000 annually, dependent on experience.
 Location: Irvine, CA Hybrid (In\-office every Tuesday).
 Schedule: Monday–Friday, with weekend on\-call availability required as needed.
**Responsibilities**
* Own bridge between data engineering, data science, and business intelligence for data analytics.
* Build and maintain ETL/ELT processes using Airflow, dbt, and custom Python scripts.
* Design and implement scalable, robust, and efficient data pipelines.
* Demonstrate and ensure best practices for data security, data validation and data quality are in place and maintained.
* Stay current with the latest trends and developments in data engineering; champion internal adoption and change management of the latest practices.
* Other duties as assigned.
**Requirements**
* 7\+ years of relevant experience.
* Advanced proficiency with Python.
* Advanced proficiency with SQL.
* Experience with dbt core cli preferred.
* Advanced skills with database architecture and data pipelining.
* Experience utilizing cloud services to develop ETL/ELT pipelines; AWS Lambda, S3, etc., preferred.
* Experience using orchestrator, scheduling, and monitoring tools; Airflow and cron preferred.
* Experience leveraging git for codebase source control; experience developing GitHub/Bitbucket CI/CD pipelines preferred.
* Experience with Docker and docker\-compose preferred.
* Proven ability to position oneself to advise and teach across a data organization.
* Excellent verbal, written, and interpersonal communication skills.
**Education**
* Bachelor's degree in a quantitative field or equivalent experience.
* Master’s degree preferred.
**Company Benefits**
* Ongoing training and development
* Opportunity for career advancement
* Medical
* Dental
* Vision
* Company Paid Group Life / AD\&amp;D Insurance
* 7 Paid Holidays and 2 Floating Holiday Days to use at will
* Paid Time Off
* Flexible Spending/HSA
* Employee Assistance Program (EAP)
* 401(k) match
* Referral Program
 Americor is proud to be an Equal Opportunity Employer. Americor does not discriminate based on race, color, gender, disability, veteran, military status, religion, age, creed, national origin, sexual identity or expression, sexual orientation, marital status, genetic information, or any other basis prohibited by local, state, or federal law.
* Note to Agencies: Americor Funding, Inc. (the “Company”) has an internal recruiting department. Americor Funding Inc. may supplement that internal capability from time to time with assistance from temporary staffing agencies, placement services, and professional recruiters (“Agency”). Agencies are hereby specifically directed NOT to contact Americor Funding Inc. employees directly in an attempt to present candidates. The Company’s policy is for the internal recruiting team or other authorized personnel to present ALL candidates to hiring managers. Any unsolicited resumes sent to Americor Funding Inc. from a third party, such as an Agency, including unsolicited resumes sent to a Company mailing address, fax machine, or email address, directly to Company employees, or to the resume database, will be considered Company property. Americor Funding Inc. will NOT pay a fee for any placement resulting from the receipt of an unsolicited resume. Americor Funding Inc. will consider any candidate for whom an Agency has submitted an unsolicited resume to have been referred by the Agency free of any charges or fees.
 Note to Agencies: Americor Funding Inc. has an internal recruiting department and may, at times, supplement that capability with assistance from temporary staffing agencies, placement services, and professional recruiters (“Agency”). Agencies are directed not to contact Americor Funding Inc. employees directly to present candidates. It is the Company’s policy that all candidates must be presented to hiring managers exclusively by the internal recruiting team or other authorized personnel.
 Any unsolicited resumes sent to Americor Funding Inc. by an Agency—including those sent to any Company mailing address, fax, email, employee, or the resume database—will be considered the property of the Company. Americor Funding Inc. will not pay a fee for any placement resulting from an unsolicited resume. Any candidate for whom an Agency submits an unsolicited resume will be deemed referred at no cost to the Company.
 Americor is proud to be an Equal Opportunity Employer. Americor does not discriminate based on race, color, gender, disability, veteran, military status, religion, age, creed, national origin, sexual identity or expression, sexual orientation, marital status, genetic information, or any other basis prohibited by local, state, or federal law.</t>
        </is>
      </c>
    </row>
    <row r="83">
      <c r="A83" t="inlineStr">
        <is>
          <t>li-4333629532</t>
        </is>
      </c>
      <c r="B83" t="inlineStr">
        <is>
          <t>Senior Data Engineer</t>
        </is>
      </c>
      <c r="C83" t="inlineStr">
        <is>
          <t>Hippocratic AI</t>
        </is>
      </c>
      <c r="D83" t="inlineStr">
        <is>
          <t>linkedin</t>
        </is>
      </c>
      <c r="E83" t="inlineStr"/>
      <c r="F83" t="inlineStr"/>
      <c r="G83" t="inlineStr">
        <is>
          <t>Palo Alto, CA</t>
        </is>
      </c>
      <c r="H83" t="inlineStr"/>
      <c r="I83" t="inlineStr">
        <is>
          <t>**About Us**
 Hippocratic AI is the leading generative AI company in healthcare. We have the only system that can have safe, autonomous, clinical conversations with patients. We have trained our own LLMs as part of our Polaris constellation, resulting in a system with over 99\.9% accuracy.
**Why Join Our Team**
**Reinvent healthcare with AI that puts safety first.** 
 We’re building the world’s first healthcare‑only, safety‑focused LLM — a breakthrough platform designed to transform patient outcomes at a global scale. This is category creation.
**Work with the people shaping the future.** 
 Hippocratic AI was co‑founded by CEO Munjal Shah and a team of physicians, hospital leaders, AI pioneers, and researchers from institutions like El Camino Health, Johns Hopkins, Washington University in St. Louis, Stanford, Google, Meta, Microsoft, and NVIDIA.
**Backed by the world’s leading healthcare and AI investors.** 
 We recently raised a $126M Series C at a $3\.5B valuation, led by Avenir Growth, bringing total funding to $404M with participation from CapitalG, General Catalyst, a16z, Kleiner Perkins, Premji Invest, UHS, Cincinnati Children’s, WellSpan Health, John Doerr, Rick Klausner, and others.
**Build alongside the best in healthcare and AI.** 
 Join experts who’ve spent their careers improving care, advancing science, and building world‑changing technologies — ensuring our platform is powerful, trusted, and truly transformative.
**Location Requirement**
 We believe the best ideas happen together. To support fast collaboration and a strong team culture, this role is expected to be in our Palo Alto office five days a week, unless otherwise specified.
**About The Role**
 At Hippocratic AI, data is the backbone of everything we build — from our voice\-based generative healthcare agents to the systems that ensure their clinical safety and reliability.
 We’re looking for data engineers who thrive at the intersection of data systems, security, and scalability to design the infrastructure that powers safe AI deployment across healthcare environments.
 As part of the Data Infrastructure team, you’ll design, operate, and scale systems that collect, transform, and serve data for model training, evaluation, and operational analytics. You’ll work closely with ML, AI, and product teams to ensure our data is trustworthy, compliant, and high\-quality — forming the foundation for real\-world, patient\-facing AI systems.
 This is an opportunity to build data systems for a new class of AI products — where correctness, traceability, and privacy aren’t optional, they’re mission\-critical.
 What You'll Do
* Build \&amp; operate data platforms and pipelines (batch/stream) that feed training, RAG, evaluation, and analytics using tools like Prefect, dbt, Airflow, Spark, and cloud data warehouses (Snowflake/BigQuery/Redshift).
* Own data governance and access control: implement HIPAA\-grade permissioning, lineage, audit logging, and DLP; manage IAM, roles, and policy\-as\-code.
* Ensure reliability, observability, and cost efficiency across storage (S3/GCS), warehouses, and ETL/ELT—SLAs/SLOs, data quality checks, monitoring, and disaster recovery.
* Enable self\-service analytics via curated models and semantic layers; mentor engineers on best practices in schema design, SQL performance, and data lifecycle. Partner with ML/Research to provision high\-quality datasets, feature stores, and labeling/eval corpora with reproducibility (versioning, metadata, data contracts).
 What You Bring
**Must\-Have:**
* 5\+ years of software or data engineering experience, with 3\+ years building data infrastructure, ETL/ELT pipelines, or distributed data systems.
* Deep experience with Python and at least one cloud data platform (Snowflake, DataBricks, BigQuery, Redshift, or equivalent).
* Familiarity with orchestration tools (Airflow, prefect, dbt) and infrastructure\-as\-code (Terraform, CloudFormation).
* Strong understanding of data security, access control, and compliance frameworks (HIPAA, SOC 2, GDPR, or similar).
* Proficiency with SQL and experience optimizing query performance and storage design.
* Excellent problem\-solving and collaboration skills — able to work across engineering, ML, and clinical teams.
* Comfortable navigating trade\-offs between performance, cost, and maintainability in complex systems.
**Nice\-to\-Have:**
* Experience supporting ML pipelines, feature stores, or model training datasets.
* Familiarity with real\-time streaming systems (Kafka, Kinesis) or large\-scale unstructured data storage (S3, GCS).
* Background in data reliability engineering, data quality monitoring, or governance automation.
* Experience in healthcare, safety\-critical systems, or regulated environments.
 If you’re passionate about
 **building data systems that power safe, real\-world AI** 
 , we’d love to hear from you. Join
 **Hippocratic AI** 
 and help lay the foundation for
 **clinically safe, data\-driven healthcare agents** 
 that make a measurable impact on patient outcomes.
*Please be aware of recruitment scams impersonating Hippocratic AI. All recruiting communication will come from @* 
*hippocraticai.com* 
*email addresses. We will never request payment or sensitive personal information during the hiring process.*</t>
        </is>
      </c>
    </row>
    <row r="84">
      <c r="A84" t="inlineStr">
        <is>
          <t>li-4375755426</t>
        </is>
      </c>
      <c r="B84" t="inlineStr">
        <is>
          <t>Analytics Engineer</t>
        </is>
      </c>
      <c r="C84" t="inlineStr">
        <is>
          <t>RemoteHunter</t>
        </is>
      </c>
      <c r="D84" t="inlineStr">
        <is>
          <t>linkedin</t>
        </is>
      </c>
      <c r="E84" t="inlineStr"/>
      <c r="F84" t="inlineStr"/>
      <c r="G84" t="inlineStr"/>
      <c r="H84" t="inlineStr"/>
      <c r="I84"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5">
      <c r="A85" t="inlineStr">
        <is>
          <t>li-4373113559</t>
        </is>
      </c>
      <c r="B85" t="inlineStr">
        <is>
          <t>Data Platform Engineer</t>
        </is>
      </c>
      <c r="C85" t="inlineStr">
        <is>
          <t>Akkodis</t>
        </is>
      </c>
      <c r="D85" t="inlineStr">
        <is>
          <t>linkedin</t>
        </is>
      </c>
      <c r="E85" t="inlineStr"/>
      <c r="F85" t="inlineStr"/>
      <c r="G85" t="inlineStr">
        <is>
          <t>Omaha, NE</t>
        </is>
      </c>
      <c r="H85" t="inlineStr"/>
      <c r="I85" t="inlineStr">
        <is>
          <t>**Data Platform Engineer job with Akkodis!!** 
 Akkodis is seeking a
 **Platform Engineer** 
 to support and enhance their modern data ecosystem centered around
 **Databricks** 
 and
 **Palantir Foundry** 
 . In this role, you will design, automate, and operate scalable and reliable data platforms in their Azure environment. You will apply DevOps and SRE principles to strengthen automation, CI/CD, Infrastructure‑as‑Code, observability, and Disaster Recovery—ensuring high‑quality data engineering and data product delivery.
**Pay/Salary Range:** 
 $50\.00/hr to $75\.00/HR The salary may be negotiable based on experience, education, geographic location, and other factors.
 Responsibilities:
* 5\+ years in platform engineering, data platform operations, SRE, DevOps, or similar roles.
* 3\+ years of production support experience with
 **Databricks** 
 and/or
 **Palantir Foundry** 
 .
* Strong troubleshooting skills across distributed systems, data pipelines, and integrations.
* Proficiency with scripting languages (Python, Bash, etc.).
* Solid understanding of cloud (Azure/GCP), networking fundamentals, and identity/access management.
* Demonstrated experience with CI/CD pipelines, IaC, and automation for data platforms.
* Experience with monitoring, alerting, incident management, and root‑cause analysis.
* Strong communication skills and ability to work closely with engineering and business teams.
 If you are interested in this position, then please click APPLY NOW. For other opportunities available at Akkodis go to www.akkodis.com.
*Equal Opportunity Employer/Veterans/Disabled* 
 Benefit offerings available for our associates include medical, dental, vision, life insurance, short\-term disability, additional voluntary benefits, an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*Disclaimer: These benefit offerings do not apply to client\-recruited jobs and jobs that are direct hires to a client.* 
*To read our Candidate Privacy Information Statement, which explains how we will use your information, please visit https://www.akkodis.com/en/privacy\-policy.*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row>
    <row r="86">
      <c r="A86" t="inlineStr">
        <is>
          <t>li-4376892885</t>
        </is>
      </c>
      <c r="B86" t="inlineStr">
        <is>
          <t>Staff Data Engineer</t>
        </is>
      </c>
      <c r="C86" t="inlineStr">
        <is>
          <t>Lob</t>
        </is>
      </c>
      <c r="D86" t="inlineStr">
        <is>
          <t>linkedin</t>
        </is>
      </c>
      <c r="E86" t="inlineStr"/>
      <c r="F86" t="inlineStr"/>
      <c r="G86" t="inlineStr"/>
      <c r="H86" t="inlineStr"/>
      <c r="I86" t="inlineStr">
        <is>
          <t>Lob was founded in 2013 by technical co\-founders with a vision to connect the world one mailbox at a time. Today, we're transforming the way businesses use direct mail and bringing the power of technology to a traditionally manual channel.
 Our modern logistics and fulfillment engine helps businesses to build and scale high\-quality, personalized direct mail programs without the operational burden. As we grow to meet the evolving needs of our customers and expand our product offerings, we’re building a team to shape the future of direct mail.
**About The Role**
 We’re seeking an experienced Staff Data Engineer to lead the design and buildout of Lob’s next\-generation unified event tracking platform. The consolidated platform will feed a diverse set of use cases, including both customer\-facing analytics and internal operational mail tracking. You will work with your colleagues on the Data, Engineering, and Product teams to design the new platform and lead the transition away from the old. You will also coach and mentor engineers on your team and drive us to raise the bar on trustworthiness for the entire data ecosystem.
**Some Projects To Get Excited About**
* Collaborate with colleagues in the Data, Product, and Engineering teams to unify Lob’s foundational data ecosystem and enable the buildout of internal and external data products
* Create modular, reusable frameworks to enable other engineering teams to publish events to the unified platform
* Implement thorough monitoring and alerting to ensure the health of the data platform
* Apply software development best practices to ensure maintainability of the platform
* Partner with the Engineering Manager to set the Data team’s roadmap \&amp; define team processes
* Coach and mentor mid\-level engineers on the Data team regarding technical best practices and problem\-solving
* As a Staff Data Engineer, you’ll...
* Create and maintain documentation for data products and systems
* Advise stakeholders on the constraints and assumptions of the data processed through the unified data platform
* Deprecate outdated legacy systems without negatively impacting core functionality for end users
* Monitor Cloud and SaaS spend for unusual spikes and seek out opportunities to save costs
* Participate in the team on\-call rotation (approximately 1 in 4 weeks). Triage and resolve alerts as needed
* Coordinate with other Staff\+ engineers on the broader the tech team to align decision making and execute strategic initiatives
**What You Will Bring To This Role...**
* Bachelor’s or Master’s degree in a quantitative field, or equivalent work experience
* At least 8 years (but preferably 10 or more) of combined experience in Data, ML, and/or Software Engineering
* Expertise in Cloud Data Warehousing (Snowflake strongly preferred, Redshift is a plus)
* Expertise in streaming data processing systems such as Kafka and Apache Flink
* Expertise in modern software development fundamentals including APIs, version control, containerization, and CICD
* Expertise in a variety of database types, including transactional databases (PostgreSQL preferred) and document/vector databases (like Elasticsearch), with ability to select the right tool for a given job
* Familiarity with dbt (data build tool)
* Familiarity with pipeline orchestration engines (Apache Airflow or Prefect preferred)
* Familiarity with Change Data Capture (CDC) patterns and methods
* Excellent verbal, written, and visual communication skills
* Excellent organizational and project management skills
* Ability to be decisive \&amp; adaptable in the face of ambiguity
* Experience with AI\-assisted coding tools like ClaudeCode or Cursor
* Proficient with project management tools including Jira
 Since great engineers come from a variety of backgrounds, it doesn’t particularly matter if you have a specific degree—we want to hear about your contributions in a real\-world setting.
**Compensation Information**
 The compensation for this role consists of a base salary \+ additional RSUs.
 Annual Base Salary: $175,000\- $200,000
 \&lt;
 “Lob’s salary ranges are based on market data, relative to our size, industry and stage of growth. Salary is one part of total compensation, which also includes equity, perks and competitive benefits. Salary decisions are based on many factors including geographic location, qualifications for the role, skillset, proficiency and experience level. Lob reasonably expects to pay candidates who are offered roles within the provided salary ranges.”
 We offer remote working opportunities in AZ, CA, CO, DC, FL, GA, IA, IL, MA, MD, MI, MN, NE, NC, NH, NJ, NV, NY, OH, OR, PA, RI, TN, TX, UT, and WA,
 **unless specified otherwise in the job description above.**
 If you are looking for a progressive, fun\-spirited, and mentally stimulating environment, come join us at Lob!
**Our Commitment to Diversity**
 Lob is an equal opportunity employer and
 *values diversity* 
 of
 *backgrounds and perspectives* 
 to cultivate an environment of understanding to have greater impact on our business and customers. We encourage under\-represented groups to apply and do not discriminate on the basis of race, religion, color, national origin, gender, sexual orientation, age, marital status, veteran status, disability status, or criminal history in accordance with local, state, and/or federal laws, including the
 *San Francisco’s Fair Chance Ordinance* 
 .
**Recent awards**
 \#88 on BuiltIn's Best Remote Midsize Companies to Work For in 2025
 BuiltIn Best Remote Midsize Companies to Work For in 2024
 BuiltIn Best Midsize Companies to Work For 2022</t>
        </is>
      </c>
    </row>
    <row r="87">
      <c r="A87" t="inlineStr">
        <is>
          <t>li-4376814860</t>
        </is>
      </c>
      <c r="B87" t="inlineStr">
        <is>
          <t>Snowflake Data engineer</t>
        </is>
      </c>
      <c r="C87" t="inlineStr">
        <is>
          <t>Cognizant</t>
        </is>
      </c>
      <c r="D87" t="inlineStr">
        <is>
          <t>linkedin</t>
        </is>
      </c>
      <c r="E87" t="inlineStr"/>
      <c r="F87" t="inlineStr"/>
      <c r="G87" t="inlineStr">
        <is>
          <t>Buffalo, NY</t>
        </is>
      </c>
      <c r="H87" t="inlineStr"/>
      <c r="I87" t="inlineStr">
        <is>
          <t>**Job Title \- Snowflake Data Engineer** 
**Location \- Hybrid\- Buffalo, NY or Wilmington, DE** 
**\*\* Unfortunately no c2c or sponsorship available for this role\*\*** 
**About the role** 
 As a
 **Senior Developer – Snowflake \&amp; Python** 
 , you will make an impact by designing, developing, and maintaining high‑quality data pipelines that support business‑critical analytics and data operations. You will be a valued member of the data engineering team and work collaboratively with cross‑functional stakeholders across technology, analytics, and product teams.
**In this role, you will:** 
* Develop, test, and maintain ETL pipelines using Snowflake, Python, and the framework (Data Butler).
* Design and implement scalable data pipeline solutions leveraging Snowflake Tasks, Snowpark, Streams, SnowSQL, and Snowpipe.
* Manage code repositories and perform version control and code check‑ins using GitLab.
* Collaborate with teams to gather requirements and deliver high‑quality data solutions.
* Troubleshoot and resolve pipeline, application, and data‑warehouse issues while performing validation testing to ensure data integrity.
**Work model** 
 We believe hybrid work is the way forward as we strive to provide flexibility wherever possible. Based on this role’s business requirements, this is a
 **hybrid** 
 position requiring 4
 **days/week** 
 in a client or Cognizant office in
 **Wilmington, DE** 
 . Regardless of your working arrangement, we support a healthy work‑life balance through our wellbeing programs.
 The working arrangements for this role are accurate as of the date of posting and may change based on project, business, or client requirements. We will always communicate role expectations clearly.
**What you need to have to be considered** 
* 5\+ years of experience in data engineering or software development.
* Strong expertise in Snowflake data warehousing, including Tasks, Snowpark, Streams, SnowSQL, and Snowpipe.
* Proven hands‑on experience developing applications and ETL processes using Python.
* Proficiency using GitLab for version control and code management.
* Excellent problem‑solving skills and attention to detail.
* Ability to work both independently and collaboratively in a fast‑paced environment.
* Strong communication and stakeholder‑management skills.</t>
        </is>
      </c>
    </row>
    <row r="88">
      <c r="A88" t="inlineStr">
        <is>
          <t>li-4365388644</t>
        </is>
      </c>
      <c r="B88" t="inlineStr">
        <is>
          <t>Senior Data Engineer, Personalization</t>
        </is>
      </c>
      <c r="C88" t="inlineStr">
        <is>
          <t>Posh</t>
        </is>
      </c>
      <c r="D88" t="inlineStr">
        <is>
          <t>linkedin</t>
        </is>
      </c>
      <c r="E88" t="inlineStr"/>
      <c r="F88" t="inlineStr"/>
      <c r="G88" t="inlineStr"/>
      <c r="H88" t="inlineStr"/>
      <c r="I88" t="inlineStr">
        <is>
          <t>**About Posh**
 We are all social creatures, but the dominant “social” companies today have evolved into digital loneliness machines, driving isolation, anxiety, and mental health challenges around the world.
 Human connection is lost. Posh is a beacon guiding us back.
 Posh enables anyone to build an IRL community based on shared interests, while connecting consumers with the communities of people just like them. Founded by event organizers who were frustrated with the growing loneliness epidemic and the tools available to build their own event brand, we’ve built the ultimate platform for launching, monetizing, and finding IRL communities of people just like you. In just 5 years, Posh has grown to a team of 65, expanded to 7M\+ users, secured $70m in venture funding, and facilitated over $300M in transactions.
**About The Role**
 At Posh, you'll help shape our platform that brings people together through live events. Your work will directly impact how event organizers create experiences and how attendees discover and enjoy them.
 We're looking for someone who excels in both technical skills and leadership. You'll tackle exciting projects that push our platform forward. Some recent work includes building a system for users to follow each other, creating curated event playlists, and tools for affiliate event promotion. If you enjoy solving real\-world problems and working in a fast\-paced environment, you'll fit right in.
**This is an in\-person role based in our New York City office in the heart of SoHo** 
 . Building live experiences and building with soul are important for our customers, and we believe being and working together as a team is the best way for Posh to feel and achieve this. Events on Posh should be fun, alive, and driven with passion and we want to mirror this in our teams every day!
**Key Responsibilities**
* Lead the productionalization of personalization and classification algorithms.
* Build with data and analytics in mind, to ensure continued accuracy and relevance of personalization, classification, and ranking algorithms.
* Translate experimental outputs (from AWS Sagemaker/Personalize) into production\-ready systems, ensuring efficiency and reproducibility.
* Demonstrate full stack experience with specialization in backend or infrastructure while contributing to broader projects.
* Collaborate on architecture and technical decisions that influence the direction of the platform, ensuring scalability, performance, and user\-focused improvements.
* Design and maintain model\-serving infrastructure, including APIs, batch pipelines, or streaming systems required to deploy ML models reliably.
* Build with data and analytics in mind, to ensure continued accuracy and relevance of personalization and classification algorithms.
* Focus on performance optimization and system reliability, especially as our user base grows.
* Drive experimentation with MVPs, balancing rapid iteration with long\-term sustainable growth and developer experience.
* Provide mentorship to engineers, fostering a culture of growth and collaboration.
**Ideal Candidate**
* 5\+ years of experience leading complex technical projects with significant business impact.
* Experience integrating LLM or ML outputs into core product features.
* Possesses strong specialization in backend or infrastructure systems while maintaining broad knowledge of the full stack.
* Proficiency in relevant technologies (IaC, AWS, Java, Python, Typescript), with experience in backend systems.
* Experience with scalability, performance optimization, and building tools that support data\-driven decision\-making.
* Strong problem\-solving skills and a passion for creating products that connect people in the real world.
* Ability to lead initiatives, mentor others, and communicate effectively across technical and non\-technical teams.
* Experience working at consumer, social, or marketplace companies is a plus, as it speaks to our user\-centric values at Posh.
 Posh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Posh is committed to providing reasonable accommodations for qualified individuals with disabilities in our job application procedures. Please let us know if you need assistance or accommodation due to a disability</t>
        </is>
      </c>
    </row>
    <row r="89">
      <c r="A89" t="inlineStr">
        <is>
          <t>li-4375725078</t>
        </is>
      </c>
      <c r="B89" t="inlineStr">
        <is>
          <t>Robotics Data Engineer</t>
        </is>
      </c>
      <c r="C89" t="inlineStr">
        <is>
          <t>VeriiPro</t>
        </is>
      </c>
      <c r="D89" t="inlineStr">
        <is>
          <t>linkedin</t>
        </is>
      </c>
      <c r="E89" t="inlineStr"/>
      <c r="F89" t="inlineStr"/>
      <c r="G89" t="inlineStr">
        <is>
          <t>Warren, MI</t>
        </is>
      </c>
      <c r="H89" t="inlineStr"/>
      <c r="I89" t="inlineStr">
        <is>
          <t>**Job Summary** 
 We are seeking a Robotics Data Engineer with strong experience in machine learning data pipelines, robotics perception systems, and multimodal datasets. The ideal candidate will build scalable data infrastructure to support robotic vision, grasping, manipulation AI, and simulation\-to\-real (Sim2Real) workflows.
 This role requires hands\-on Python development, production ML pipeline experience, robotics simulation exposure, and collaboration with cross\-functional AI and robotics teams.
**Required Technical / Functional Skills** 
* 3\+ years of experience in Data Engineering, Machine Learning Systems, Robotics, or related fields
* Experience building production\-grade ML/AI data pipelines
* Strong Python programming skills (data processing \&amp; pipeline development)
* Experience handling large\-scale multimodal datasets (vision, depth, tactile, sensor data)
* Direct experience supporting robotics perception, grasping, or manipulation AI
* Familiarity with robotics simulation platforms (e.g., Isaac Sim)
* Experience with synthetic data generation and Sim2Real workflows
* Experience with data labeling tools and annotation workflows at scale
* Hands\-on knowledge of TensorFlow and/or PyTorch
* Experience with Microsoft data ecosystem (Azure data services, Power BI)
* Exposure to self\-supervised or weakly supervised learning techniques
* Strong collaboration and systems\-thinking mindset
**Roles \&amp; Responsibilities** 
* Design and implement scalable data pipelines for robotic vision and sensor datasets
* Build infrastructure for high\-throughput data capture from robots and simulation environments
* Develop semi\-supervised and self\-supervised data labeling workflows
* Enable Simulation\-to\-Real (Sim2Real) data workflows including domain randomization
* Manage dataset versioning, metadata, and data governance for ML model training
* Collaborate with Robotics Perception, Grasping AI, and Simulation teams
* Establish and monitor data quality metrics aligned with AI model performance
**Technologies / Environments** 
* Python
* Machine Learning Data Systems
* TensorFlow / PyTorch
* Robotics Perception \&amp; Manipulation AI
* Isaac Sim (or similar simulation platforms)
* Azure Data Services
* Multimodal Robotics Datasets</t>
        </is>
      </c>
    </row>
    <row r="90">
      <c r="A90" t="inlineStr">
        <is>
          <t>li-4308484752</t>
        </is>
      </c>
      <c r="B90" t="inlineStr">
        <is>
          <t>Artificial Intelligence / Machine Learning Data Engineer</t>
        </is>
      </c>
      <c r="C90" t="inlineStr">
        <is>
          <t>MAG Aerospace</t>
        </is>
      </c>
      <c r="D90" t="inlineStr">
        <is>
          <t>linkedin</t>
        </is>
      </c>
      <c r="E90" t="inlineStr"/>
      <c r="F90" t="inlineStr"/>
      <c r="G90" t="inlineStr">
        <is>
          <t>Fairfax, VA</t>
        </is>
      </c>
      <c r="H90" t="inlineStr"/>
      <c r="I90" t="inlineStr">
        <is>
          <t>**Position Summary**
 MAG Aerospace is staffing for a
 **Artificial Intelligence / Machine Learning Data Engineer.**
 This position will l ead the development of intelligent systems that transform multi\-modal sensor data into actionable intelligence for tactical operations. You'll leverage COTS, FOSS/OSS, and custom development to build or integrate everything from edge computer vision to conversational AI assistants, while managing the data pipelines that feed these systems in the most challenging environments. While you'll have a core expertise in either data engineering or model development, you have a passion for mastering the full stack of AI systems.
 US Citizens Only
 Former US Defense Contractor / US Gov / US Military Experience Only
 This is a Hybrid Position \- Remote mainly \- but as well on call to come into a MAG office when requested
 We Are Seeking Candidates Who Live In Proximity To Our Corporate HQ In Fairfax, VA Primarily But Will Entertain Persons Living Near Our Satellite Offices In
 Aberdeen, MD \- Titusville, FL \- Newport News, VA \- Carthage NC
**Essential Duties And Responsibilities**
**Duties include, but not limited to:**
**Primary Responsibilities**
* Develop and optimize data\-centric AI solutions such as computer vision pipelines for object detection, tracking, and classification
* Implement advanced AI capabilities including RAG systems, agentic workflows, and fine\-tuned LLMs
* Design and deploy edge\-optimized models using TensorRT, ONNX, and quantization techniques
* Build data engineering pipelines for ETL, feature engineering, and model training
* Create analytics dashboards and business intelligence solutions for operational insights
* Implement multi\-modal sensor fusion algorithms (visual, thermal, acoustic, RF)
* Design and maintain data lakes, warehouses, and real\-time streaming architectures
* Develop conversational AI interfaces using open\-source LLMs (Llama, Mistral, etc.)
* Establish and enforce data quality standards, validation checks, and governance procedures throughout the data lifecycle
* Develop and implement robust testing and validation strategies for AI/ML models, including performance under degraded data conditions, adversarial testing, and operational scenarios
****Secondary Responsibilities:****
* Optimize AI workloads for embedded platforms (Jetson, Intel Neural Compute Stick)
* Implement hardware acceleration using CUDA and TensorRT
* Profile and optimize memory/power consumption for edge devices
* Support embedded systems team with AI\-specific hardware integration
* Design distributed inference systems for degraded network conditions
**Requirements**
**Minimum Requirements:**
**Primary Experience / Qualifications**
* 5\+ years’ experience in machine learning, AI, and data engineering
* Strong proficiency in Python and ML frameworks (PyTorch, TensorFlow, JAX)
* Experience with modern AI paradigms (transformers, diffusion models, neural ODEs)
* Hands\-on experience with LLM deployment and optimization (vLLM, TGI, llama.cpp)
* Proficiency with data engineering tools (Apache Spark, Airflow, dbt, etc.)
* Experience with both SQL and NoSQL databases at scale
* Knowledge of vector databases and embedding systems (Pinecone, Weaviate, pgvector)
* Experience with computer vision libraries (OpenCV, PIL) and video processing
* Understanding of MLOps practices and model lifecycle management
****Preferred Qualifications****
* Experience with military/defense AI applications
* Knowledge of agentic AI frameworks (LangChain, AutoGPT, CrewAI)
* Familiarity with federated learning and edge\-cloud hybrid architectures
* Experience with business intelligence tools (Tableau, PowerBI, Grafana)
* Knowledge of time\-series analysis and anomaly detection
* Experience with knowledge graphs and semantic reasoning
* Understanding of explainable AI and model interpretability
* Experience with MLOps platforms and tools (e.g., MLflow, Kubeflow, Weights \&amp; Biases)
* Published research or patents in relevant areas
**Education \&amp; Experience**
* Bachelor's degree in CS, EE, or related field;
* Master's preferred
**Clearance**
* Must be eligible for Secret security clearance
**Other Qualifications**
* Must be a US citizen
**Special Note**
****What Makes You Successful Here****
* You can build anything from a computer vision pipeline to a conversational AI assistant
* You treat data engineering as seriously as model development
* You understand the tradeoffs between cloud\-scale and edge deployment
* You can explain complex AI concepts to operators and executives alike
* You see AI as a tool for augmenting human decision\-making, not replacing it
**Why Join MAG**
* Work on meaningful problems that directly impact national security
* Small, elite team where your contributions matter immediately
* Access to cutting\-edge hardware and technologies
* Rapid prototyping environment \- see your ideas deployed in weeks
* Direct interaction with end users and field deployments
* Professional development and conference attendance support
* Flexible work arrangements with occasional field exercises
* Opportunity to shape the future of tactical edge computing
**Company Policy**
 MAG Aerospace (MAG) is an Equal Opportunity/Affirmative Action Employer and is committed to Diversity and Inclusion. We encourage diverse candidates to apply to our positions.
 All qualified applicants will receive consideration for employment without regard to race, color, religion, sex, sexual orientation, gender identity, national origin, disability, or veteran status.
 Click below for the “EEO is The Law” and “Pay Transparency Nondiscrimination” supplement posters.
 https://www.dol.gov/agencies/ofccp/posters
 MAG Aerospace (MAG) is committed to providing an online application process that is accessible to all, including individuals with a disability, by offering an alternative way to apply for job openings. This alternative method is available for those who cannot otherwise complete the online application due to a disability or need for accommodation.
 MAG provides reasonable accommodation to applicants under the guidance of the Americans with Disabilities Act (ADA), Section 503 of the Rehabilitation Act of 1973, the Vietnam\-Era Veterans’ Readjustment Assistance Act of 1974, and certain state and/or local laws.
 If you need assistance due to a disability, please contact the MAG Aerospace Recruiting email:
 Applicant.Assist@magaero.com or call (703\) 376\-8993\.</t>
        </is>
      </c>
    </row>
    <row r="91">
      <c r="A91" t="inlineStr">
        <is>
          <t>li-4376828984</t>
        </is>
      </c>
      <c r="B91" t="inlineStr">
        <is>
          <t>Data Engineer II</t>
        </is>
      </c>
      <c r="C91" t="inlineStr">
        <is>
          <t>Harnham</t>
        </is>
      </c>
      <c r="D91" t="inlineStr">
        <is>
          <t>linkedin</t>
        </is>
      </c>
      <c r="E91" t="inlineStr"/>
      <c r="F91" t="inlineStr"/>
      <c r="G91" t="inlineStr">
        <is>
          <t>Chicago, IL</t>
        </is>
      </c>
      <c r="H91" t="inlineStr"/>
      <c r="I91" t="inlineStr">
        <is>
          <t>🚀
 **We're Hiring: Data Engineer II \| Chicago (Hybrid)** 
 💰
 **$145,000 Base \+ 10% Bonus** 
 📍
 **Chicago, IL \| Hybrid (3 days onsite)** 
 Harnham is partnered with a
 **high\-growth, well\-funded financial services company** 
 to hire a
 **Data Engineer II** 
 into a highly visible, business\-facing role. This is a great opportunity to work in a
 **lean, high\-performing data team** 
 where your work directly impacts credit strategy, analytics, and key business decisions.
 The business operates in the
 **lending / credit space** 
 and has continued to grow despite market uncertainty. Data is central to everything they do\-from
 **credit analytics and acquisition** 
 to
 **operational reporting** 
 .
 🔧 What You'll Be Doing
* Building and maintaining
 **scalable data pipelines** 
 in a modern cloud environment
* Developing advanced
 **SQL models** 
 and
 **Python workflows** 
 for analytics and reporting
* Creating and owning
 **data marts and warehouse layers** 
 (including legacy data cleanup)
* Partnering closely with analytics and business teams to solve real problems with data
* Supporting initiatives involving
 **credit data, transaction data, and pipeline migrations**
* Ensuring
 **data quality, reliability, and performance**
 ✅ What We're Looking For
**Required:** 
* 3\-6\+ years of experience in
 **Data Engineering**
* Advanced
 **SQL** 
 (CTEs, window functions, complex transformations)
* Strong
 **Python** 
 experience
* Hands\-on experience with
 **AWS** 
 and
 **Snowflake**
* Solid
 **data modeling** 
 skills
* Comfortable working with non\-technical stakeholders
**Nice to Have:** 
* dbt and/or Airflow
* Financial services, fintech, lending, or payments background
* Experience with
 **credit or transaction\-level data**
 ⭐ Why This Role?
* High\-impact
 **Data Engineer II** 
 role with real ownership
* Modern data stack (
 **AWS, Snowflake, SQL, Python** 
 )
* Collaborative, low\-ego team culture
* Stable business with strong growth plans
* **Hybrid working model** 
 in Chicago
 💬 Interested or know someone who might be?
 Apply here or message me directly for a
 **confidential conversation** 
 .
 \#DataEngineer \#DataEngineeringJobs \#ChicagoJobs \#Snowflake \#AWS \#Python \#SQL \#FinTech \#FinancialServices \#Hiring \#HybridJobs</t>
        </is>
      </c>
    </row>
    <row r="92">
      <c r="A92" t="inlineStr">
        <is>
          <t>li-4282848116</t>
        </is>
      </c>
      <c r="B92" t="inlineStr">
        <is>
          <t>Databricks Data Engineer - Senior - Consulting - Location Open</t>
        </is>
      </c>
      <c r="C92" t="inlineStr">
        <is>
          <t>EY</t>
        </is>
      </c>
      <c r="D92" t="inlineStr">
        <is>
          <t>linkedin</t>
        </is>
      </c>
      <c r="E92" t="inlineStr"/>
      <c r="F92" t="inlineStr"/>
      <c r="G92" t="inlineStr">
        <is>
          <t>Detroit, MI</t>
        </is>
      </c>
      <c r="H92" t="inlineStr"/>
      <c r="I9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3">
      <c r="A93" t="inlineStr">
        <is>
          <t>li-4377018625</t>
        </is>
      </c>
      <c r="B93" t="inlineStr">
        <is>
          <t>IS Data Engineer</t>
        </is>
      </c>
      <c r="C93" t="inlineStr">
        <is>
          <t>CareOregon</t>
        </is>
      </c>
      <c r="D93" t="inlineStr">
        <is>
          <t>linkedin</t>
        </is>
      </c>
      <c r="E93" t="inlineStr"/>
      <c r="F93" t="inlineStr"/>
      <c r="G93" t="inlineStr">
        <is>
          <t>Oregon, United States</t>
        </is>
      </c>
      <c r="H93" t="inlineStr"/>
      <c r="I93" t="inlineStr">
        <is>
          <t>The IS Data Engineer plays a pivotal role in operationalizing and advancing data and analytics for CareOregon’s business initiatives. This involves building, managing and optimizing data pipelines and moving them effectively into production for data and analytics consumers. Consumers include business data analysts, data scientists and other roles that need curated data for data and analytics use cases. The IS Data Engineer ensures compliance with data governance and data security requirements while enabling faster data access, integrated data reuse and acceleration of time\-to\-solution for CareOregon’s data and analytics initiatives.
**Estimated Hiring Range**
 $124,200\.00 \- $151,800\.00
**Bonus Target**
 Bonus \- SIP Target, 5% Annual
 Current CareOregon Employees: Please use the internal Workday site to submit an application for this job.
**Essential Responsibilities**
* Create, maintain and optimize data pipelines as workloads move from development to production for specific use cases.
* Manage data pipelines through stages, beginning with ingestion of data sources through integration to consumption for specific use cases.
* Utilize innovative tools, techniques and architectures to partially or completely automate tasks in order to minimize manual processes, reduce the potential for error and improve productivity.
* Assist with the renovation of data management infrastructure that supports automation in data integration and management.
* Partner with other Information Systems teams, business data analysts and other data and analytics consumers to refine their data requirements for initiatives and consumption.
* Train data and analytics consumers about data pipelines and preparation techniques to make it easier for them to integrate and consume the data they need for their own use cases.
* Apply understanding of data and domains to address emerging data requirements.
* Propose innovative data ingestion, preparation, integration and operationalization techniques to optimally address data requirements.
* Promote CareOregon’s available data and analytics capabilities and expertise to IS staff and department leaders.
* Collaborate with and educate staff and leadership on how to leverage data and analytics capabilities to achieve business goals.
**Required**
**Experience and/or Education**
* Minimum 5 years’ experience in data management, RDBMs required in roles that included all or most of the following functions:
+ Database design and development experience
+ ETL experience
+ Development utilizing tools such as Microsoft SQL Server, Snowflake and/or similar tools
+ Data warehouse technical development that encompasses the data management life cycle and establishes end\-to\-end data warehousing, data management and analytics architecture
+ Experience with multi\-source and multi\-data from different format sources and/or data structure
**Preferred**
* Data management experience within the healthcare industry preferred.
* Utilization of data integration, modeling, optimization and data quality improvement processes
* Development using Microsoft Azure products such as Data Factory, Functions, Databricks, Monitor and/or similar products
* Experience with Security and Compliance.
* 3 years of SQL experience
* 3 years of Snowflake experience
* 3 years of Azure Data Factory experience
**Knowledge, Skills And Abilities Required**
 Knowledge
* In depth knowledge of commonly used database programming languages for relational databases (e.g. SQL)
* In depth knowledge of commonly used cloud\-based data warehouse platforms (e.g. Snowflake, Redshift, etc.)
* Understanding of business intelligence solutions including working knowledge of commonly used data discovery, analytics and BI software tools for semantic layer\-based data discovery (e.g. Tableau, Power BI, etc.)
* Knowledge of emerging data ingestion and integration technologies
* Knowledge of the basic concepts of managed care preferred
* Knowledge of health insurance business entities, relationships and processes preferred
**Skills And Abilities**
* Strong ability to design, build and manage data pipelines for data structures encompassing data transformation, data models, schemas, metadata and workload management
* Strong ability to work with IT and business staff to integrate analytics and data science output into business processes and workflows
* Strong ability to partner with data science teams to leverage data science and refine and optimize machine learning models and algorithms
* Strong ability to collaborate with data governance, quality and security experts to move data pipelines into production in compliance with applicable standards and certification
* Ability to work across multiple deployment environments including cloud, on\-premises and hybrid
* Ability to work with multiple operating systems and containerization platforms (e.g. Docker, Kubernetes, AWS Elastic Container Service, etc.)
* Ability to develop using Microsoft Azure products (e.g. Data Factory, Functions, Databricks, Monitor, etc.)
* Ability to work with large, heterogeneous datasets to build and optimize data pipelines, pipeline architectures and integrated datasets
* Ability to extract business value while considering automation opportunities
* Adept in the use of traditional data integration technologies including ETL/ELT, data replication/CDC and API design and access
* Strong ability to work with and optimize existing ETL/ELT processes and data integration, data preparation flows and helping to move them into production
* Strong ability to work with analytics tools for object\-oriented/object function scripting using R, Python, Java, Scala and/or similar languages
* Strong ability to apply Agile methodologies
* Ability to apply DevOps practices and tools and DataOps principles to data pipelines to improve data flows
* Possess curiosity and desire for ongoing learning about new data initiatives and how to address them
* Ability to continually learn the latest versions of development tools and software products
* Excellent written and oral communication skills
* Ability to successfully manage multiple tasks, concurrent high priority projects and continuous deadlines
* Possess a high degree of initiative, motivation, self\-discipline and good judgment
* Ability to work effectively with diverse individuals and groups
* Ability to learn, focus, understand, and evaluate information and determine appropriate actions
* Ability to accept direction and feedback, as well as tolerate and manage stress
* Ability to see, read, and perform repetitive finger and wrist movement for at least 6 hours/day
* Ability to hear and speak clearly for at least 3\-6 hours/day
**Working Conditions**
 Work Environment(s): ☒ Indoor/Office ☐ Community ☐ Facilities/Security ☐ Outdoor Exposure
 Member/Patient Facing: ☒ No ☐ Telephonic ☐ In Person
 Hazards: May include, but not limited to, physical and ergonomic hazards.
 Equipment: General office equipment
 Travel: May include occasional required or optional travel outside of the workplace; the employee’s personal vehicle, local transit or other means of transportation may be used.
 Work Location: Work from home
**We offer a strong Total Rewards Program.** 
 This includes competitive pay, bonus opportunity, and a comprehensive benefits package. Eligibility for bonuses and benefits is dependent on factors such as the position type and the number of scheduled weekly hours. Benefits\-eligible employees qualify for benefits beginning on the first of the month on or after their start date. CareOregon offers medical, dental, vision, life, AD\&amp;D, and disability insurance, as well as health savings account, flexible spending account(s), lifestyle spending account, employee assistance program, wellness program, discounts, and multiple supplemental benefits (e.g., voluntary life, critical illness, accident, hospital indemnity, identity theft protection, pre\-tax parking, pet insurance, 529 College Savings, etc.). We also offer a strong retirement plan with employer contributions. Benefits\-eligible employees accrue PTO and Paid State Sick Time based on hours worked/scheduled hours and the primary work state. Employees may also receive paid holidays, volunteer time, jury duty, bereavement leave, and more, depending on eligibility. Non\-benefits eligible employees can enjoy 401(k) contributions, Paid State Sick Time, wellness and employee assistance program benefits, and other perks. Please contact your recruiter for more information.
**We are an equal opportunity employer**
 CareOregon is an equal opportunity employer.  The organization selects the best individual for the job based upon job related qualifications, regardless of race, color, religion, sexual orientation, national origin, gender, gender identity, gender expression, genetic information, age, veteran status, ancestry, marital status or disability. The organization will make a reasonable accommodation to known physical or mental limitations of a qualified applicant or employee with a disability unless the accommodation will impose an undue hardship on the operation of our organization.</t>
        </is>
      </c>
    </row>
    <row r="94">
      <c r="A94" t="inlineStr">
        <is>
          <t>li-4377022461</t>
        </is>
      </c>
      <c r="B94" t="inlineStr">
        <is>
          <t>IS Data Engineer</t>
        </is>
      </c>
      <c r="C94" t="inlineStr">
        <is>
          <t>CareOregon</t>
        </is>
      </c>
      <c r="D94" t="inlineStr">
        <is>
          <t>linkedin</t>
        </is>
      </c>
      <c r="E94" t="inlineStr"/>
      <c r="F94" t="inlineStr"/>
      <c r="G94" t="inlineStr">
        <is>
          <t>Arizona, United States</t>
        </is>
      </c>
      <c r="H94" t="inlineStr"/>
      <c r="I94" t="inlineStr">
        <is>
          <t>The IS Data Engineer plays a pivotal role in operationalizing and advancing data and analytics for CareOregon’s business initiatives. This involves building, managing and optimizing data pipelines and moving them effectively into production for data and analytics consumers. Consumers include business data analysts, data scientists and other roles that need curated data for data and analytics use cases. The IS Data Engineer ensures compliance with data governance and data security requirements while enabling faster data access, integrated data reuse and acceleration of time\-to\-solution for CareOregon’s data and analytics initiatives.
**Estimated Hiring Range**
 $124,200\.00 \- $151,800\.00
**Bonus Target**
 Bonus \- SIP Target, 5% Annual
 Current CareOregon Employees: Please use the internal Workday site to submit an application for this job.
**Essential Responsibilities**
* Create, maintain and optimize data pipelines as workloads move from development to production for specific use cases.
* Manage data pipelines through stages, beginning with ingestion of data sources through integration to consumption for specific use cases.
* Utilize innovative tools, techniques and architectures to partially or completely automate tasks in order to minimize manual processes, reduce the potential for error and improve productivity.
* Assist with the renovation of data management infrastructure that supports automation in data integration and management.
* Partner with other Information Systems teams, business data analysts and other data and analytics consumers to refine their data requirements for initiatives and consumption.
* Train data and analytics consumers about data pipelines and preparation techniques to make it easier for them to integrate and consume the data they need for their own use cases.
* Apply understanding of data and domains to address emerging data requirements.
* Propose innovative data ingestion, preparation, integration and operationalization techniques to optimally address data requirements.
* Promote CareOregon’s available data and analytics capabilities and expertise to IS staff and department leaders.
* Collaborate with and educate staff and leadership on how to leverage data and analytics capabilities to achieve business goals.
**Required**
**Experience and/or Education**
* Minimum 5 years’ experience in data management, RDBMs required in roles that included all or most of the following functions:
+ Database design and development experience
+ ETL experience
+ Development utilizing tools such as Microsoft SQL Server, Snowflake and/or similar tools
+ Data warehouse technical development that encompasses the data management life cycle and establishes end\-to\-end data warehousing, data management and analytics architecture
+ Experience with multi\-source and multi\-data from different format sources and/or data structure
**Preferred**
* Data management experience within the healthcare industry preferred.
* Utilization of data integration, modeling, optimization and data quality improvement processes
* Development using Microsoft Azure products such as Data Factory, Functions, Databricks, Monitor and/or similar products
* Experience with Security and Compliance.
* 3 years of SQL experience
* 3 years of Snowflake experience
* 3 years of Azure Data Factory experience
**Knowledge, Skills And Abilities Required**
 Knowledge
* In depth knowledge of commonly used database programming languages for relational databases (e.g. SQL)
* In depth knowledge of commonly used cloud\-based data warehouse platforms (e.g. Snowflake, Redshift, etc.)
* Understanding of business intelligence solutions including working knowledge of commonly used data discovery, analytics and BI software tools for semantic layer\-based data discovery (e.g. Tableau, Power BI, etc.)
* Knowledge of emerging data ingestion and integration technologies
* Knowledge of the basic concepts of managed care preferred
* Knowledge of health insurance business entities, relationships and processes preferred
**Skills And Abilities**
* Strong ability to design, build and manage data pipelines for data structures encompassing data transformation, data models, schemas, metadata and workload management
* Strong ability to work with IT and business staff to integrate analytics and data science output into business processes and workflows
* Strong ability to partner with data science teams to leverage data science and refine and optimize machine learning models and algorithms
* Strong ability to collaborate with data governance, quality and security experts to move data pipelines into production in compliance with applicable standards and certification
* Ability to work across multiple deployment environments including cloud, on\-premises and hybrid
* Ability to work with multiple operating systems and containerization platforms (e.g. Docker, Kubernetes, AWS Elastic Container Service, etc.)
* Ability to develop using Microsoft Azure products (e.g. Data Factory, Functions, Databricks, Monitor, etc.)
* Ability to work with large, heterogeneous datasets to build and optimize data pipelines, pipeline architectures and integrated datasets
* Ability to extract business value while considering automation opportunities
* Adept in the use of traditional data integration technologies including ETL/ELT, data replication/CDC and API design and access
* Strong ability to work with and optimize existing ETL/ELT processes and data integration, data preparation flows and helping to move them into production
* Strong ability to work with analytics tools for object\-oriented/object function scripting using R, Python, Java, Scala and/or similar languages
* Strong ability to apply Agile methodologies
* Ability to apply DevOps practices and tools and DataOps principles to data pipelines to improve data flows
* Possess curiosity and desire for ongoing learning about new data initiatives and how to address them
* Ability to continually learn the latest versions of development tools and software products
* Excellent written and oral communication skills
* Ability to successfully manage multiple tasks, concurrent high priority projects and continuous deadlines
* Possess a high degree of initiative, motivation, self\-discipline and good judgment
* Ability to work effectively with diverse individuals and groups
* Ability to learn, focus, understand, and evaluate information and determine appropriate actions
* Ability to accept direction and feedback, as well as tolerate and manage stress
* Ability to see, read, and perform repetitive finger and wrist movement for at least 6 hours/day
* Ability to hear and speak clearly for at least 3\-6 hours/day
**Working Conditions**
 Work Environment(s): ☒ Indoor/Office ☐ Community ☐ Facilities/Security ☐ Outdoor Exposure
 Member/Patient Facing: ☒ No ☐ Telephonic ☐ In Person
 Hazards: May include, but not limited to, physical and ergonomic hazards.
 Equipment: General office equipment
 Travel: May include occasional required or optional travel outside of the workplace; the employee’s personal vehicle, local transit or other means of transportation may be used.
 Work Location: Work from home
**We offer a strong Total Rewards Program.** 
 This includes competitive pay, bonus opportunity, and a comprehensive benefits package. Eligibility for bonuses and benefits is dependent on factors such as the position type and the number of scheduled weekly hours. Benefits\-eligible employees qualify for benefits beginning on the first of the month on or after their start date. CareOregon offers medical, dental, vision, life, AD\&amp;D, and disability insurance, as well as health savings account, flexible spending account(s), lifestyle spending account, employee assistance program, wellness program, discounts, and multiple supplemental benefits (e.g., voluntary life, critical illness, accident, hospital indemnity, identity theft protection, pre\-tax parking, pet insurance, 529 College Savings, etc.). We also offer a strong retirement plan with employer contributions. Benefits\-eligible employees accrue PTO and Paid State Sick Time based on hours worked/scheduled hours and the primary work state. Employees may also receive paid holidays, volunteer time, jury duty, bereavement leave, and more, depending on eligibility. Non\-benefits eligible employees can enjoy 401(k) contributions, Paid State Sick Time, wellness and employee assistance program benefits, and other perks. Please contact your recruiter for more information.
**We are an equal opportunity employer**
 CareOregon is an equal opportunity employer.  The organization selects the best individual for the job based upon job related qualifications, regardless of race, color, religion, sexual orientation, national origin, gender, gender identity, gender expression, genetic information, age, veteran status, ancestry, marital status or disability. The organization will make a reasonable accommodation to known physical or mental limitations of a qualified applicant or employee with a disability unless the accommodation will impose an undue hardship on the operation of our organization.</t>
        </is>
      </c>
    </row>
    <row r="95">
      <c r="A95" t="inlineStr">
        <is>
          <t>li-4377014781</t>
        </is>
      </c>
      <c r="B95" t="inlineStr">
        <is>
          <t>IS Data Engineer</t>
        </is>
      </c>
      <c r="C95" t="inlineStr">
        <is>
          <t>CareOregon</t>
        </is>
      </c>
      <c r="D95" t="inlineStr">
        <is>
          <t>linkedin</t>
        </is>
      </c>
      <c r="E95" t="inlineStr"/>
      <c r="F95" t="inlineStr"/>
      <c r="G95" t="inlineStr">
        <is>
          <t>Texas, United States</t>
        </is>
      </c>
      <c r="H95" t="inlineStr"/>
      <c r="I95" t="inlineStr">
        <is>
          <t>The IS Data Engineer plays a pivotal role in operationalizing and advancing data and analytics for CareOregon’s business initiatives. This involves building, managing and optimizing data pipelines and moving them effectively into production for data and analytics consumers. Consumers include business data analysts, data scientists and other roles that need curated data for data and analytics use cases. The IS Data Engineer ensures compliance with data governance and data security requirements while enabling faster data access, integrated data reuse and acceleration of time\-to\-solution for CareOregon’s data and analytics initiatives.
**Estimated Hiring Range**
 $124,200\.00 \- $151,800\.00
**Bonus Target**
 Bonus \- SIP Target, 5% Annual
 Current CareOregon Employees: Please use the internal Workday site to submit an application for this job.
**Essential Responsibilities**
* Create, maintain and optimize data pipelines as workloads move from development to production for specific use cases.
* Manage data pipelines through stages, beginning with ingestion of data sources through integration to consumption for specific use cases.
* Utilize innovative tools, techniques and architectures to partially or completely automate tasks in order to minimize manual processes, reduce the potential for error and improve productivity.
* Assist with the renovation of data management infrastructure that supports automation in data integration and management.
* Partner with other Information Systems teams, business data analysts and other data and analytics consumers to refine their data requirements for initiatives and consumption.
* Train data and analytics consumers about data pipelines and preparation techniques to make it easier for them to integrate and consume the data they need for their own use cases.
* Apply understanding of data and domains to address emerging data requirements.
* Propose innovative data ingestion, preparation, integration and operationalization techniques to optimally address data requirements.
* Promote CareOregon’s available data and analytics capabilities and expertise to IS staff and department leaders.
* Collaborate with and educate staff and leadership on how to leverage data and analytics capabilities to achieve business goals.
**Required**
**Experience and/or Education**
* Minimum 5 years’ experience in data management, RDBMs required in roles that included all or most of the following functions:
+ Database design and development experience
+ ETL experience
+ Development utilizing tools such as Microsoft SQL Server, Snowflake and/or similar tools
+ Data warehouse technical development that encompasses the data management life cycle and establishes end\-to\-end data warehousing, data management and analytics architecture
+ Experience with multi\-source and multi\-data from different format sources and/or data structure
**Preferred**
* Data management experience within the healthcare industry preferred.
* Utilization of data integration, modeling, optimization and data quality improvement processes
* Development using Microsoft Azure products such as Data Factory, Functions, Databricks, Monitor and/or similar products
* Experience with Security and Compliance.
* 3 years of SQL experience
* 3 years of Snowflake experience
* 3 years of Azure Data Factory experience
**Knowledge, Skills And Abilities Required**
 Knowledge
* In depth knowledge of commonly used database programming languages for relational databases (e.g. SQL)
* In depth knowledge of commonly used cloud\-based data warehouse platforms (e.g. Snowflake, Redshift, etc.)
* Understanding of business intelligence solutions including working knowledge of commonly used data discovery, analytics and BI software tools for semantic layer\-based data discovery (e.g. Tableau, Power BI, etc.)
* Knowledge of emerging data ingestion and integration technologies
* Knowledge of the basic concepts of managed care preferred
* Knowledge of health insurance business entities, relationships and processes preferred
**Skills And Abilities**
* Strong ability to design, build and manage data pipelines for data structures encompassing data transformation, data models, schemas, metadata and workload management
* Strong ability to work with IT and business staff to integrate analytics and data science output into business processes and workflows
* Strong ability to partner with data science teams to leverage data science and refine and optimize machine learning models and algorithms
* Strong ability to collaborate with data governance, quality and security experts to move data pipelines into production in compliance with applicable standards and certification
* Ability to work across multiple deployment environments including cloud, on\-premises and hybrid
* Ability to work with multiple operating systems and containerization platforms (e.g. Docker, Kubernetes, AWS Elastic Container Service, etc.)
* Ability to develop using Microsoft Azure products (e.g. Data Factory, Functions, Databricks, Monitor, etc.)
* Ability to work with large, heterogeneous datasets to build and optimize data pipelines, pipeline architectures and integrated datasets
* Ability to extract business value while considering automation opportunities
* Adept in the use of traditional data integration technologies including ETL/ELT, data replication/CDC and API design and access
* Strong ability to work with and optimize existing ETL/ELT processes and data integration, data preparation flows and helping to move them into production
* Strong ability to work with analytics tools for object\-oriented/object function scripting using R, Python, Java, Scala and/or similar languages
* Strong ability to apply Agile methodologies
* Ability to apply DevOps practices and tools and DataOps principles to data pipelines to improve data flows
* Possess curiosity and desire for ongoing learning about new data initiatives and how to address them
* Ability to continually learn the latest versions of development tools and software products
* Excellent written and oral communication skills
* Ability to successfully manage multiple tasks, concurrent high priority projects and continuous deadlines
* Possess a high degree of initiative, motivation, self\-discipline and good judgment
* Ability to work effectively with diverse individuals and groups
* Ability to learn, focus, understand, and evaluate information and determine appropriate actions
* Ability to accept direction and feedback, as well as tolerate and manage stress
* Ability to see, read, and perform repetitive finger and wrist movement for at least 6 hours/day
* Ability to hear and speak clearly for at least 3\-6 hours/day
**Working Conditions**
 Work Environment(s): ☒ Indoor/Office ☐ Community ☐ Facilities/Security ☐ Outdoor Exposure
 Member/Patient Facing: ☒ No ☐ Telephonic ☐ In Person
 Hazards: May include, but not limited to, physical and ergonomic hazards.
 Equipment: General office equipment
 Travel: May include occasional required or optional travel outside of the workplace; the employee’s personal vehicle, local transit or other means of transportation may be used.
 Work Location: Work from home
**We offer a strong Total Rewards Program.** 
 This includes competitive pay, bonus opportunity, and a comprehensive benefits package. Eligibility for bonuses and benefits is dependent on factors such as the position type and the number of scheduled weekly hours. Benefits\-eligible employees qualify for benefits beginning on the first of the month on or after their start date. CareOregon offers medical, dental, vision, life, AD\&amp;D, and disability insurance, as well as health savings account, flexible spending account(s), lifestyle spending account, employee assistance program, wellness program, discounts, and multiple supplemental benefits (e.g., voluntary life, critical illness, accident, hospital indemnity, identity theft protection, pre\-tax parking, pet insurance, 529 College Savings, etc.). We also offer a strong retirement plan with employer contributions. Benefits\-eligible employees accrue PTO and Paid State Sick Time based on hours worked/scheduled hours and the primary work state. Employees may also receive paid holidays, volunteer time, jury duty, bereavement leave, and more, depending on eligibility. Non\-benefits eligible employees can enjoy 401(k) contributions, Paid State Sick Time, wellness and employee assistance program benefits, and other perks. Please contact your recruiter for more information.
**We are an equal opportunity employer**
 CareOregon is an equal opportunity employer.  The organization selects the best individual for the job based upon job related qualifications, regardless of race, color, religion, sexual orientation, national origin, gender, gender identity, gender expression, genetic information, age, veteran status, ancestry, marital status or disability. The organization will make a reasonable accommodation to known physical or mental limitations of a qualified applicant or employee with a disability unless the accommodation will impose an undue hardship on the operation of our organization.</t>
        </is>
      </c>
    </row>
    <row r="96">
      <c r="A96" t="inlineStr">
        <is>
          <t>li-4377014780</t>
        </is>
      </c>
      <c r="B96" t="inlineStr">
        <is>
          <t>IS Data Engineer</t>
        </is>
      </c>
      <c r="C96" t="inlineStr">
        <is>
          <t>CareOregon</t>
        </is>
      </c>
      <c r="D96" t="inlineStr">
        <is>
          <t>linkedin</t>
        </is>
      </c>
      <c r="E96" t="inlineStr"/>
      <c r="F96" t="inlineStr"/>
      <c r="G96" t="inlineStr">
        <is>
          <t>Washington, United States</t>
        </is>
      </c>
      <c r="H96" t="inlineStr"/>
      <c r="I96" t="inlineStr">
        <is>
          <t>The IS Data Engineer plays a pivotal role in operationalizing and advancing data and analytics for CareOregon’s business initiatives. This involves building, managing and optimizing data pipelines and moving them effectively into production for data and analytics consumers. Consumers include business data analysts, data scientists and other roles that need curated data for data and analytics use cases. The IS Data Engineer ensures compliance with data governance and data security requirements while enabling faster data access, integrated data reuse and acceleration of time\-to\-solution for CareOregon’s data and analytics initiatives.
**Estimated Hiring Range**
 $124,200\.00 \- $151,800\.00
**Bonus Target**
 Bonus \- SIP Target, 5% Annual
 Current CareOregon Employees: Please use the internal Workday site to submit an application for this job.
**Essential Responsibilities**
* Create, maintain and optimize data pipelines as workloads move from development to production for specific use cases.
* Manage data pipelines through stages, beginning with ingestion of data sources through integration to consumption for specific use cases.
* Utilize innovative tools, techniques and architectures to partially or completely automate tasks in order to minimize manual processes, reduce the potential for error and improve productivity.
* Assist with the renovation of data management infrastructure that supports automation in data integration and management.
* Partner with other Information Systems teams, business data analysts and other data and analytics consumers to refine their data requirements for initiatives and consumption.
* Train data and analytics consumers about data pipelines and preparation techniques to make it easier for them to integrate and consume the data they need for their own use cases.
* Apply understanding of data and domains to address emerging data requirements.
* Propose innovative data ingestion, preparation, integration and operationalization techniques to optimally address data requirements.
* Promote CareOregon’s available data and analytics capabilities and expertise to IS staff and department leaders.
* Collaborate with and educate staff and leadership on how to leverage data and analytics capabilities to achieve business goals.
**Required**
**Experience and/or Education**
* Minimum 5 years’ experience in data management, RDBMs required in roles that included all or most of the following functions:
+ Database design and development experience
+ ETL experience
+ Development utilizing tools such as Microsoft SQL Server, Snowflake and/or similar tools
+ Data warehouse technical development that encompasses the data management life cycle and establishes end\-to\-end data warehousing, data management and analytics architecture
+ Experience with multi\-source and multi\-data from different format sources and/or data structure
**Preferred**
* Data management experience within the healthcare industry preferred.
* Utilization of data integration, modeling, optimization and data quality improvement processes
* Development using Microsoft Azure products such as Data Factory, Functions, Databricks, Monitor and/or similar products
* Experience with Security and Compliance.
* 3 years of SQL experience
* 3 years of Snowflake experience
* 3 years of Azure Data Factory experience
**Knowledge, Skills And Abilities Required**
 Knowledge
* In depth knowledge of commonly used database programming languages for relational databases (e.g. SQL)
* In depth knowledge of commonly used cloud\-based data warehouse platforms (e.g. Snowflake, Redshift, etc.)
* Understanding of business intelligence solutions including working knowledge of commonly used data discovery, analytics and BI software tools for semantic layer\-based data discovery (e.g. Tableau, Power BI, etc.)
* Knowledge of emerging data ingestion and integration technologies
* Knowledge of the basic concepts of managed care preferred
* Knowledge of health insurance business entities, relationships and processes preferred
**Skills And Abilities**
* Strong ability to design, build and manage data pipelines for data structures encompassing data transformation, data models, schemas, metadata and workload management
* Strong ability to work with IT and business staff to integrate analytics and data science output into business processes and workflows
* Strong ability to partner with data science teams to leverage data science and refine and optimize machine learning models and algorithms
* Strong ability to collaborate with data governance, quality and security experts to move data pipelines into production in compliance with applicable standards and certification
* Ability to work across multiple deployment environments including cloud, on\-premises and hybrid
* Ability to work with multiple operating systems and containerization platforms (e.g. Docker, Kubernetes, AWS Elastic Container Service, etc.)
* Ability to develop using Microsoft Azure products (e.g. Data Factory, Functions, Databricks, Monitor, etc.)
* Ability to work with large, heterogeneous datasets to build and optimize data pipelines, pipeline architectures and integrated datasets
* Ability to extract business value while considering automation opportunities
* Adept in the use of traditional data integration technologies including ETL/ELT, data replication/CDC and API design and access
* Strong ability to work with and optimize existing ETL/ELT processes and data integration, data preparation flows and helping to move them into production
* Strong ability to work with analytics tools for object\-oriented/object function scripting using R, Python, Java, Scala and/or similar languages
* Strong ability to apply Agile methodologies
* Ability to apply DevOps practices and tools and DataOps principles to data pipelines to improve data flows
* Possess curiosity and desire for ongoing learning about new data initiatives and how to address them
* Ability to continually learn the latest versions of development tools and software products
* Excellent written and oral communication skills
* Ability to successfully manage multiple tasks, concurrent high priority projects and continuous deadlines
* Possess a high degree of initiative, motivation, self\-discipline and good judgment
* Ability to work effectively with diverse individuals and groups
* Ability to learn, focus, understand, and evaluate information and determine appropriate actions
* Ability to accept direction and feedback, as well as tolerate and manage stress
* Ability to see, read, and perform repetitive finger and wrist movement for at least 6 hours/day
* Ability to hear and speak clearly for at least 3\-6 hours/day
**Working Conditions**
 Work Environment(s): ☒ Indoor/Office ☐ Community ☐ Facilities/Security ☐ Outdoor Exposure
 Member/Patient Facing: ☒ No ☐ Telephonic ☐ In Person
 Hazards: May include, but not limited to, physical and ergonomic hazards.
 Equipment: General office equipment
 Travel: May include occasional required or optional travel outside of the workplace; the employee’s personal vehicle, local transit or other means of transportation may be used.
 Work Location: Work from home
**We offer a strong Total Rewards Program.** 
 This includes competitive pay, bonus opportunity, and a comprehensive benefits package. Eligibility for bonuses and benefits is dependent on factors such as the position type and the number of scheduled weekly hours. Benefits\-eligible employees qualify for benefits beginning on the first of the month on or after their start date. CareOregon offers medical, dental, vision, life, AD\&amp;D, and disability insurance, as well as health savings account, flexible spending account(s), lifestyle spending account, employee assistance program, wellness program, discounts, and multiple supplemental benefits (e.g., voluntary life, critical illness, accident, hospital indemnity, identity theft protection, pre\-tax parking, pet insurance, 529 College Savings, etc.). We also offer a strong retirement plan with employer contributions. Benefits\-eligible employees accrue PTO and Paid State Sick Time based on hours worked/scheduled hours and the primary work state. Employees may also receive paid holidays, volunteer time, jury duty, bereavement leave, and more, depending on eligibility. Non\-benefits eligible employees can enjoy 401(k) contributions, Paid State Sick Time, wellness and employee assistance program benefits, and other perks. Please contact your recruiter for more information.
**We are an equal opportunity employer**
 CareOregon is an equal opportunity employer.  The organization selects the best individual for the job based upon job related qualifications, regardless of race, color, religion, sexual orientation, national origin, gender, gender identity, gender expression, genetic information, age, veteran status, ancestry, marital status or disability. The organization will make a reasonable accommodation to known physical or mental limitations of a qualified applicant or employee with a disability unless the accommodation will impose an undue hardship on the operation of our organization.</t>
        </is>
      </c>
    </row>
    <row r="97">
      <c r="A97" t="inlineStr">
        <is>
          <t>li-4375744808</t>
        </is>
      </c>
      <c r="B97" t="inlineStr">
        <is>
          <t>Data Engineer</t>
        </is>
      </c>
      <c r="C97" t="inlineStr">
        <is>
          <t>Jobs via Dice</t>
        </is>
      </c>
      <c r="D97" t="inlineStr">
        <is>
          <t>linkedin</t>
        </is>
      </c>
      <c r="E97" t="inlineStr"/>
      <c r="F97" t="inlineStr"/>
      <c r="G97" t="inlineStr">
        <is>
          <t>Austin, TX</t>
        </is>
      </c>
      <c r="H97" t="inlineStr"/>
      <c r="I97" t="inlineStr">
        <is>
          <t>**Meta Platforms, Inc. (f/k/a Facebook, Inc.) has the following positions in Austin, TX**
 Data Engineer: Design, build, and launch new data models and visualizations in production, leveraging common development toolkits. (ref. code REQ\-2512\-158387: $164,325/year to $199,650/year)
**Individual pay is determined by skills, qualifications, experience, and location. Compensation details listed in this posting reflect the base salary only, and do not include bonus or equity or sales incentives, if applicable. In addition to base salary, Meta offers benefits. Learn more about benefits at Meta at this link: https://www.metacareers.com/benefits. For full information \&amp; to apply online, visit us at the following website http://www.metacareers.com/jobs \&amp; search using the ref code(s) above.**</t>
        </is>
      </c>
    </row>
    <row r="98">
      <c r="A98" t="inlineStr">
        <is>
          <t>li-4377010862</t>
        </is>
      </c>
      <c r="B98" t="inlineStr">
        <is>
          <t>IS Data Engineer</t>
        </is>
      </c>
      <c r="C98" t="inlineStr">
        <is>
          <t>CareOregon</t>
        </is>
      </c>
      <c r="D98" t="inlineStr">
        <is>
          <t>linkedin</t>
        </is>
      </c>
      <c r="E98" t="inlineStr"/>
      <c r="F98" t="inlineStr"/>
      <c r="G98" t="inlineStr">
        <is>
          <t>Utah, United States</t>
        </is>
      </c>
      <c r="H98" t="inlineStr"/>
      <c r="I98" t="inlineStr">
        <is>
          <t>The IS Data Engineer plays a pivotal role in operationalizing and advancing data and analytics for CareOregon’s business initiatives. This involves building, managing and optimizing data pipelines and moving them effectively into production for data and analytics consumers. Consumers include business data analysts, data scientists and other roles that need curated data for data and analytics use cases. The IS Data Engineer ensures compliance with data governance and data security requirements while enabling faster data access, integrated data reuse and acceleration of time\-to\-solution for CareOregon’s data and analytics initiatives.
**Estimated Hiring Range**
 $124,200\.00 \- $151,800\.00
**Bonus Target**
 Bonus \- SIP Target, 5% Annual
 Current CareOregon Employees: Please use the internal Workday site to submit an application for this job.
**Essential Responsibilities**
* Create, maintain and optimize data pipelines as workloads move from development to production for specific use cases.
* Manage data pipelines through stages, beginning with ingestion of data sources through integration to consumption for specific use cases.
* Utilize innovative tools, techniques and architectures to partially or completely automate tasks in order to minimize manual processes, reduce the potential for error and improve productivity.
* Assist with the renovation of data management infrastructure that supports automation in data integration and management.
* Partner with other Information Systems teams, business data analysts and other data and analytics consumers to refine their data requirements for initiatives and consumption.
* Train data and analytics consumers about data pipelines and preparation techniques to make it easier for them to integrate and consume the data they need for their own use cases.
* Apply understanding of data and domains to address emerging data requirements.
* Propose innovative data ingestion, preparation, integration and operationalization techniques to optimally address data requirements.
* Promote CareOregon’s available data and analytics capabilities and expertise to IS staff and department leaders.
* Collaborate with and educate staff and leadership on how to leverage data and analytics capabilities to achieve business goals.
**Required**
**Experience and/or Education**
* Minimum 5 years’ experience in data management, RDBMs required in roles that included all or most of the following functions:
+ Database design and development experience
+ ETL experience
+ Development utilizing tools such as Microsoft SQL Server, Snowflake and/or similar tools
+ Data warehouse technical development that encompasses the data management life cycle and establishes end\-to\-end data warehousing, data management and analytics architecture
+ Experience with multi\-source and multi\-data from different format sources and/or data structure
**Preferred**
* Data management experience within the healthcare industry preferred.
* Utilization of data integration, modeling, optimization and data quality improvement processes
* Development using Microsoft Azure products such as Data Factory, Functions, Databricks, Monitor and/or similar products
* Experience with Security and Compliance.
* 3 years of SQL experience
* 3 years of Snowflake experience
* 3 years of Azure Data Factory experience
**Knowledge, Skills And Abilities Required**
 Knowledge
* In depth knowledge of commonly used database programming languages for relational databases (e.g. SQL)
* In depth knowledge of commonly used cloud\-based data warehouse platforms (e.g. Snowflake, Redshift, etc.)
* Understanding of business intelligence solutions including working knowledge of commonly used data discovery, analytics and BI software tools for semantic layer\-based data discovery (e.g. Tableau, Power BI, etc.)
* Knowledge of emerging data ingestion and integration technologies
* Knowledge of the basic concepts of managed care preferred
* Knowledge of health insurance business entities, relationships and processes preferred
**Skills And Abilities**
* Strong ability to design, build and manage data pipelines for data structures encompassing data transformation, data models, schemas, metadata and workload management
* Strong ability to work with IT and business staff to integrate analytics and data science output into business processes and workflows
* Strong ability to partner with data science teams to leverage data science and refine and optimize machine learning models and algorithms
* Strong ability to collaborate with data governance, quality and security experts to move data pipelines into production in compliance with applicable standards and certification
* Ability to work across multiple deployment environments including cloud, on\-premises and hybrid
* Ability to work with multiple operating systems and containerization platforms (e.g. Docker, Kubernetes, AWS Elastic Container Service, etc.)
* Ability to develop using Microsoft Azure products (e.g. Data Factory, Functions, Databricks, Monitor, etc.)
* Ability to work with large, heterogeneous datasets to build and optimize data pipelines, pipeline architectures and integrated datasets
* Ability to extract business value while considering automation opportunities
* Adept in the use of traditional data integration technologies including ETL/ELT, data replication/CDC and API design and access
* Strong ability to work with and optimize existing ETL/ELT processes and data integration, data preparation flows and helping to move them into production
* Strong ability to work with analytics tools for object\-oriented/object function scripting using R, Python, Java, Scala and/or similar languages
* Strong ability to apply Agile methodologies
* Ability to apply DevOps practices and tools and DataOps principles to data pipelines to improve data flows
* Possess curiosity and desire for ongoing learning about new data initiatives and how to address them
* Ability to continually learn the latest versions of development tools and software products
* Excellent written and oral communication skills
* Ability to successfully manage multiple tasks, concurrent high priority projects and continuous deadlines
* Possess a high degree of initiative, motivation, self\-discipline and good judgment
* Ability to work effectively with diverse individuals and groups
* Ability to learn, focus, understand, and evaluate information and determine appropriate actions
* Ability to accept direction and feedback, as well as tolerate and manage stress
* Ability to see, read, and perform repetitive finger and wrist movement for at least 6 hours/day
* Ability to hear and speak clearly for at least 3\-6 hours/day
**Working Conditions**
 Work Environment(s): ☒ Indoor/Office ☐ Community ☐ Facilities/Security ☐ Outdoor Exposure
 Member/Patient Facing: ☒ No ☐ Telephonic ☐ In Person
 Hazards: May include, but not limited to, physical and ergonomic hazards.
 Equipment: General office equipment
 Travel: May include occasional required or optional travel outside of the workplace; the employee’s personal vehicle, local transit or other means of transportation may be used.
 Work Location: Work from home
**We offer a strong Total Rewards Program.** 
 This includes competitive pay, bonus opportunity, and a comprehensive benefits package. Eligibility for bonuses and benefits is dependent on factors such as the position type and the number of scheduled weekly hours. Benefits\-eligible employees qualify for benefits beginning on the first of the month on or after their start date. CareOregon offers medical, dental, vision, life, AD\&amp;D, and disability insurance, as well as health savings account, flexible spending account(s), lifestyle spending account, employee assistance program, wellness program, discounts, and multiple supplemental benefits (e.g., voluntary life, critical illness, accident, hospital indemnity, identity theft protection, pre\-tax parking, pet insurance, 529 College Savings, etc.). We also offer a strong retirement plan with employer contributions. Benefits\-eligible employees accrue PTO and Paid State Sick Time based on hours worked/scheduled hours and the primary work state. Employees may also receive paid holidays, volunteer time, jury duty, bereavement leave, and more, depending on eligibility. Non\-benefits eligible employees can enjoy 401(k) contributions, Paid State Sick Time, wellness and employee assistance program benefits, and other perks. Please contact your recruiter for more information.
**We are an equal opportunity employer**
 CareOregon is an equal opportunity employer.  The organization selects the best individual for the job based upon job related qualifications, regardless of race, color, religion, sexual orientation, national origin, gender, gender identity, gender expression, genetic information, age, veteran status, ancestry, marital status or disability. The organization will make a reasonable accommodation to known physical or mental limitations of a qualified applicant or employee with a disability unless the accommodation will impose an undue hardship on the operation of our organization.</t>
        </is>
      </c>
    </row>
    <row r="99">
      <c r="A99" t="inlineStr">
        <is>
          <t>li-4374510660</t>
        </is>
      </c>
      <c r="B99" t="inlineStr">
        <is>
          <t>GCP Data Engineer (Health Care Background Must)</t>
        </is>
      </c>
      <c r="C99" t="inlineStr">
        <is>
          <t>SRI Tech Solutions Inc.</t>
        </is>
      </c>
      <c r="D99" t="inlineStr">
        <is>
          <t>linkedin</t>
        </is>
      </c>
      <c r="E99" t="inlineStr"/>
      <c r="F99" t="inlineStr"/>
      <c r="G99" t="inlineStr"/>
      <c r="H99" t="inlineStr"/>
      <c r="I99" t="inlineStr">
        <is>
          <t>**Full Time (USC /GC)** 
**Position :\- GCP Data Engineer (Health Care Background Must)** 
**Location: Across USA any Location** 
**Summary: Strong experience architecting enterprise data platforms on Google Cloud (GCP). The architect will work as a strategic technical partner to design and build a GCP BigQuery\-based Data Lake \&amp; Data Warehouse ecosystem.** 
**The role requires deep hands\-on expertise in data ingestion, transformation, modeling, enrichment, and governance, combined with a strong understanding of clinical healthcare data standards, interoperability, and cloud architecture best practices.** 
**Key Responsibilities:** 
**1\. Data Lake \&amp; Data Platform Architecture (GCP)**
* Architect and design an enterprise\-grade GCP\-based data lakehouse leveraging BigQuery, GCS, Dataproc, Dataflow, Pub/Sub, Cloud Composer, and BigQuery Omni.
* Define data ingestion, hydration, curation, processing and enrichment strategies for large\-scale structured, semi\-structured, and unstructured datasets.
* Create data domain models, canonical models, and consumption\-ready datasets for analytics, AI/ML, and operational data products.
* Design federated data layers and self\-service data products for downstream consumers.
**2\. Data Ingestion \&amp; Pipelines**
* Architect batch, near\-real\-time, and streaming ingestion pipelines using GCP Cloud Dataflow, Pub/Sub, and Dataproc.
* Set up data ingestion for clinical (EHR/EMR, LIS, RIS/PACS) datasets including HL7, FHIR, CCD, DICOM formats.
* Build ingestion pipelines for non\-clinical systems (ERP, HR, payroll, supply chain, finance).
* Architect ingestion from medical devices, IoT, remote patient monitoring, and wearables leveraging IoMT patterns.
* Manage on\-prem → cloud migration pipelines, hybrid cloud data movement, VPN/Interconnect connectivity, and data transfer strategies.
**3\. Data Transformation, Hydration \&amp; Enrichment**
* Build transformation frameworks using BigQuery SQL, Dataflow, Dataproc, or dbt.
* Define curation patterns including bronze/silver/gold layers, canonical healthcare entities, and data marts.
* Implement data enrichment using external social determinants, device signals, clinical event logs, or operational datasets.
* Enable metadata\-driven pipelines for scalable transformations.
**4\. Data Governance \&amp; Quality**
* Establish and operationalize a data governance framework encompassing data stewardship, ownership, classification, and lifecycle policies.
* Implement data lineage, data cataloging, and metadata management using tools such as Dataplex, Data Catalog, Collibra, or Informatica.
* Set up data quality frameworks for validation, profiling, anomaly detection, and SLA monitoring.
* Ensure HIPAA compliance, PHI protection, IAM/RBAC, VPC SC, DLP, encryption, retention, and auditing.
**5\. Cloud Infrastructure \&amp; Networking**
* Work with cloud infrastructure teams to architect VPC networks, subnetting, ingress/egress, firewall policies, VPN/IPSec, Interconnect, and hybrid connectivity.
* Define storage layers, partitioning/clustering design, cost optimization, performance tuning, and capacity planning for BigQuery.
* Understand containerized processing (Cloud Run, GKE) for data services.
**6\. Stakeholder Collaboration**
* Work closely with clinical, operational, research, and IT stakeholders to define data use cases, schema, and consumption models.
* Partner with enterprise architects, security teams, and platform engineering teams on cross\-functional initiatives.
* Guide data engineers and provide architectural oversight on pipeline implementation.
**7\. Hands\-on Leadership**
* Be actively hands\-on in building pipelines, writing transformations, building POCs, and validating architectural patterns.
* Mentor data engineers on best practices, coding standards, and cloud\-native development.
**Required Skills \&amp; Qualifications** 
**Technical Skills (Must\-Have)**
* 10\+ years in data architecture, engineering, or data platform roles.
* Strong expertise in GCP data stack (BigQuery, Dataflow, Composer, GCS, Pub/Sub, Dataproc, Dataplex).
* Hands\-on experience with data ingestion, pipeline orchestration, and transformations.
* Deep understanding of clinical data standards:
* HL7 v2\.x, FHIR, CCD/C\-CDA
* DICOM (for scans and imaging)
* LIS/RIS/PACS data structures
* Experience with device and IoT data ingestion (wearables, remote patient monitoring, clinical devices).
* Experience with ERP datasets (Workday, Oracle, Lawson, PeopleSoft).
* Strong SQL and data modeling skills (3NF, star/snowflake, canonical and logical models).
* Experience with metadata management, lineage, and governance frameworks.
* Solid understanding of HIPAA, PHI/PII handling, DLP, IAM, VPC security.
**Cloud \&amp; Infrastructure**
* Solid understanding of cloud networking, hybrid connectivity, VPC design, firewalling, DNS, service accounts, IAM, and security models.
* Cloud Native Data movement services
* Experience with on\-prem to cloud migrations.</t>
        </is>
      </c>
    </row>
    <row r="100">
      <c r="A100" t="inlineStr">
        <is>
          <t>li-4375752602</t>
        </is>
      </c>
      <c r="B100" t="inlineStr">
        <is>
          <t>Data Engineer (TS/SCI)</t>
        </is>
      </c>
      <c r="C100" t="inlineStr">
        <is>
          <t>Zachary Piper Solutions</t>
        </is>
      </c>
      <c r="D100" t="inlineStr">
        <is>
          <t>linkedin</t>
        </is>
      </c>
      <c r="E100" t="inlineStr"/>
      <c r="F100" t="inlineStr"/>
      <c r="G100" t="inlineStr">
        <is>
          <t>San Diego, CA</t>
        </is>
      </c>
      <c r="H100" t="inlineStr"/>
      <c r="I100" t="inlineStr">
        <is>
          <t>Zachary Piper Solutions is seeking a
 **Data Engineer** 
 to support a newly funded program in San Diego, CA. This position is fully on‑site and requires an active TS/SCI clearance with the ability to pass a CI polygraph within 6 months. The Systems Engineer will support the full lifecycle of fielded C2 and weapon systems, lead design and development activities, generate engineering documentation, and work directly with customers in a technical capacity. This role supports a long‑term program funded through 2030\.
**Work Environment:**
* On‑site in San Diego, CA within secure classified facilities. Requires minimum 75% on‑site presence. Travel up to 25% CONUS/OCONUS may be required based on mission needs.
**Responsibilities:**
* Work directly with customers in a hands‑on technical role, supporting system deployment and implementation planning.
* Lead system design and development activities, producing engineering artifacts, documentation, and technical reports.
* Apply systems engineering principles across all phases of the system lifecycle to ensure program success.
* Prepare and deliver detailed reports, technical briefings, and stakeholder presentations.
* Contribute technical content and tutorials to product documentation and engineering knowledge bases.
* Stay current with emerging technologies including automated testing, distributed databases, software‑defined networking, container orchestration, and DevSecOps.
* Support distributed systems and tools such as Hadoop, HBase/Accumulo, Spark, and Kafka.
* Utilize and automate tools including Puppet, Ansible, Terraform, Bash, PowerShell, and Python.
* Apply strong cybersecurity best practices including secure shell, public‑key encryption, TLS, certificate management, access control, and DoD/IC security processes.
* Provide software sustainment guidance including configuration management processes and documentation.
* Use Agile management tools (Jira, Confluence, GitLab) to represent accurate work status and progress.
* Work on‑site within classified facilities; limited remote work only with explicit sponsor approval.
**Qualifications:**
* Bachelor’s degree in Systems Engineering, Network Engineering, Information Systems, Computer Science, or related field; Master’s degree preferred.
* 5 \-10 years of experience in systems engineering and implementation of engineering principles in professional environments.
* Experience with automation and infrastructure tools such as Puppet, Ansible, Terraform, Bash, PowerShell, and Python.
* Background in automating runtime environments, troubleshooting complex interface systems, and supporting network equipment.
* Experience with distributed systems and data platforms including Hadoop, Accumulo/HBase, Spark, and Kafka.
* Strong understanding of security best practices including encryption, PKI, access control, and DoD/IC compliance.
* Ability to manage multiple tasks, maintain organization, and demonstrate excellent interpersonal communication skills.
* U.S. citizenship required.
* Active TS/SCI clearance required or ability to obtain one; CI polygraph or ability to pass within 6 months.
**Preferred:**
* Experience generating engineering artifacts using Visio, CAD, or similar tools.
* Background in documenting repeatable technical instructions and procedures.
* Familiarity with lab environments, IT equipment, and enterprise‑level software configuration management.
**Compensation:**
* Pay range: $140,000 \- $190,000 (Based on years of relevant experience)
**Benefits:**
* Comprehensive benefits package including medical, dental, vision, 401k, paid time off, federal holidays, and sick leave.
**Application Period: Opens on 02/23/2026 and will be accepted for at least 30 days from the posting date.**</t>
        </is>
      </c>
    </row>
    <row r="101">
      <c r="A101" t="inlineStr">
        <is>
          <t>li-4375758017</t>
        </is>
      </c>
      <c r="B101" t="inlineStr">
        <is>
          <t>Senior Data Engineer</t>
        </is>
      </c>
      <c r="C101" t="inlineStr">
        <is>
          <t>Jobs via Dice</t>
        </is>
      </c>
      <c r="D101" t="inlineStr">
        <is>
          <t>linkedin</t>
        </is>
      </c>
      <c r="E101" t="inlineStr"/>
      <c r="F101" t="inlineStr"/>
      <c r="G101" t="inlineStr"/>
      <c r="H101" t="inlineStr"/>
      <c r="I101" t="inlineStr">
        <is>
          <t>Dice is the leading career destination for tech experts at every stage of their careers. Our client, Mitchell Martin, Inc., is seeking the following. Apply via Dice today!
**Title:** 
 Senior Data Engineer
**Location** 
 : India(Remote)
**Position Type:** 
 Full Time
**Job Description:**
 This full\-time remote position based in India involves designing and maintaining scalable data pipelines and architectures.
 The role ensures data systems are reliable and compliant with regulations, while also mentoring junior engineers.
 Key technologies include various data processing and cloud\-based tools.
 K
 **ey Responsibilities**
 Design and optimize scalable data pipelines using generic data processing tools.
 Manage data workflows with cloud\-based services and ensure fault tolerance.
 Implement and manage workflow orchestration and automate deployment processes.
 Enforce data quality standards and ensure compliance with relevant regulations.
 Collaborate with teams to refine data requirements and conduct code reviews.
**Qualifications**
 Bachelor's or Master's degree in a related technical field.
 6 years of experience in designing and operating data pipelines.
 Proficiency in a programming language for data tasks and experience with data frameworks.
 Strong expertise in SQL for data modeling and query optimization.
 Experience with cloud services and infrastructure automation.
**Core Technologies**
 Python \| SQL \| Cloud Services \| Data Processing Tools \| Workflow Orchestration Tools
**Contact Information**
 Anthony Reddy,
**Onboarding Expectations**
 Learn more about our Onboarding Process here
**EEO Statement**
 Learn more about our EEO policy here</t>
        </is>
      </c>
    </row>
    <row r="102">
      <c r="A102" t="inlineStr">
        <is>
          <t>li-4377008154</t>
        </is>
      </c>
      <c r="B102" t="inlineStr">
        <is>
          <t>Health Services Data Engineer</t>
        </is>
      </c>
      <c r="C102" t="inlineStr">
        <is>
          <t>Booz Allen Hamilton</t>
        </is>
      </c>
      <c r="D102" t="inlineStr">
        <is>
          <t>linkedin</t>
        </is>
      </c>
      <c r="E102" t="inlineStr"/>
      <c r="F102" t="inlineStr"/>
      <c r="G102" t="inlineStr">
        <is>
          <t>McLean, VA</t>
        </is>
      </c>
      <c r="H102" t="inlineStr"/>
      <c r="I102" t="inlineStr">
        <is>
          <t>**Job Number: R0234300**
 Health Services Data Engineer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professional like you to help our clients find answers in their data to impact important missions—from fraud detection to cancer research to national intelligence.
 As a Data Engineer at Booz Allen, you’ll use your expertise to help build advanced technology solutions and lead data engineering activities on some of the most mission\-driven projects in the industry. You’ll guide data engineering activities by overseeing the development and deployment of pipelines that organize and make disparate data meaningful.
 Here, you’ll serve as a technical lead on analytic tasks in the federal health space. You’ll use your expertise to conduct analytic and engineering work as an individual contributor, organize analytic work for small\- to medium\-sized tasks and teams, help teams solve complex coding or analytic issues, and mentor junior analysts and engineers. Support the development and maintenance of scalable data pipelines that supply data in forms needed for business analysis. Identify opportunities to leverage leading\-edge analytic and engineering principles, theories, and concepts solutions to help clients solve new and existing problems. Collaborate with various team members, including quantitative and qualitative analysts, policy experts, developers, communications specialists, and project managers.
 Work with us to use data for good. Here, we focus on growing as a team to make the best solutions for our customers, so you’ll have resources for mentoring and learning new skills and tools. Join our team as we transform healthcare capabilities with cloud technology, enabling data science and advanced analytics applications, artificial intelligence and machine learning, and automation.
 Join us. The world can’t wait.
**You Have:**
* 6\+ years of experience performing data management with health data in SQL and Python, including using Databricks or Snowflake and big data tools or frameworks, such as Spark
* Experience analyzing health insurance claims data in the Chronic Conditions Warehouse (CCW), Integrated Data Repository (IDR), or Centralized Data Repository (CDR)
* Experience with data validation, cleansing, and enrichment techniques to improve the accuracy and completeness of data
* Experience designing, implementing, and optimizing end\-to\-end data pipelines for ingesting, processing, and transforming large volumes of data
* Experience designing and developing ETL workflows using tools, such as Apache Spark or AWS Glue, and monitoring and troubleshooting ETL processes to identify and resolve issues in a timely manner
* Knowledge of healthcare data such as Provider Enrollment, Chain, and Ownership System (PECOS), Master Beneficiary Summary File (MBSF), Standard Analytic Files (SAF), or Prescription Drug Event (PDE) data
* Ability to design and maintain data models, schemas, and database structures to support operations and to build and maintain data integrations with internal and external data sources and APIs
* Ability to communicate and clearly explain complex methodologies, and present findings and recommendations to both technical and non\-technical audiences
* Ability to obtain and maintain a Public Trust or Suitability/Fitness determination based on client requirements
* Bachelor’s degree in an Epidemiology, Economics, Statistics, or Computer Science field
**Nice If You Have:**
* Experience with the federal procurement and proposal process
* Experience managing tasks for others
* Experience with Agile engineering practices
* Knowledge of quantitative methods for the detection of fraud, improper payments, or other payment anomalies
* Knowledge of healthcare pay\-for\-performance based payment adjustments
* Knowledge of quality measure calculation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3">
      <c r="A103" t="inlineStr">
        <is>
          <t>li-4282844227</t>
        </is>
      </c>
      <c r="B103" t="inlineStr">
        <is>
          <t>Databricks Data Engineer - Manager - Consulting - Location Open</t>
        </is>
      </c>
      <c r="C103" t="inlineStr">
        <is>
          <t>EY</t>
        </is>
      </c>
      <c r="D103" t="inlineStr">
        <is>
          <t>linkedin</t>
        </is>
      </c>
      <c r="E103" t="inlineStr"/>
      <c r="F103" t="inlineStr"/>
      <c r="G103" t="inlineStr">
        <is>
          <t>Philadelphia, PA</t>
        </is>
      </c>
      <c r="H103" t="inlineStr"/>
      <c r="I10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4">
      <c r="A104" t="inlineStr">
        <is>
          <t>li-4375761290</t>
        </is>
      </c>
      <c r="B104" t="inlineStr">
        <is>
          <t>Senior Data Platform / Analytics Engineering Focus</t>
        </is>
      </c>
      <c r="C104" t="inlineStr">
        <is>
          <t>WebstaurantStore</t>
        </is>
      </c>
      <c r="D104" t="inlineStr">
        <is>
          <t>linkedin</t>
        </is>
      </c>
      <c r="E104" t="inlineStr"/>
      <c r="F104" t="inlineStr"/>
      <c r="G104" t="inlineStr">
        <is>
          <t>Lititz, PA</t>
        </is>
      </c>
      <c r="H104" t="inlineStr"/>
      <c r="I104" t="inlineStr">
        <is>
          <t>**Job Summary**
 The Enterprise BI \&amp; Analytics Team is the central hub of analytics and data engineering at WebstaurantStore. We transform billions of data points across marketing, supply chain, operations, and customer experience into trusted data foundations and actionable insights. Leveraging a modern data stack, scalable cloud technologies, and innovative DataOps practices, the team empowers smarter decisions, rapid growth, and new opportunities across the business.
 As a Senior Data Platform Engineer, you will architect and own the next generation of our enterprise data integration and ingestion platform. You will lead the creation of a unified ingestion framework into Snowflake—building scalable, repeatable, and cloud\-native, highly performant data pipeline patterns that power analytics and data products across the organization. You will guide our transition from SQL Server to Snowflake, mentor engineers, establish engineering best practices, and collaborate closely with stakeholders to deliver reliable, production\-grade cloud data solutions.
**Responsibilities**
 Senior BI Engineers are technical leaders and trusted partners to BI developers, analysts, and cross functional teams. You will shape the future of our enterprise data platform by driving ingestion architecture, building modern pipelines, and enabling high impact engineering capabilities across the business.
**Key Areas of Ownership**
**Data Platform Engineering \&amp; Cloud Architecture**
* Lead the design, development, and implementation of a standardized cloud data ingestion framework into Snowflake.
* Architect scalable, secure, and reusable ingestion patterns for diverse data sources, including APIs, databases, cloud storage, flat files, and SharePoint.
* Build and maintain Fabric Pipelines to support enterprise\-scale orchestration and workflow automation.
* Develop Python\-based ingestion utilities, automation scripts, and reusable components.
* Establish best practices for ingestion performance, observability, resiliency, error handling, logging, and monitoring.
* Analyze existing ingestion processes and drive modernization, consolidation, and data platform optimization initiatives.
* Support and guide the organization through the transition from SQL Server to Snowflake.
**Leadership \&amp; Team Enablement**
* Serve as the technical authority for data integration and ingestion architecture, providing direction, mentorship, and oversight to BI developers.
* Delegate work effectively and coach team members on ingestion patterns, frameworks, and best practices.
* Conduct code reviews, provide architectural guidance, and ensure adherence to data engineering standards and DevOps principles.
* Collaborate with BI Managers to align resources, timelines, and priorities.
* Promote a culture of knowledge sharing, continuous improvement, and engineering excellence.
**Planning, Analysis \&amp; Delivery**
* Partner with analysts and business stakeholders to understand ingestion requirements and translate them into scalable cloud data solutions.
* Lead the planning, design, and analysis of ingestion workflows and data engineering projects.
* Evaluate new data sources and determine optimal ingestion strategies.
* Contribute to long\-term data platform roadmap and cloud architecture strategy.
* Ensure solutions meet enterprise standards for data quality, governance, and security.
 Physical Requirements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Bachelor’s degree in Computer Science, Information Systems, Engineering, or a related field; or equivalent professional experience.
* 7–10 years of professional experience in data engineering.
* 5\+ years of hands\-on experience with Snowflake, including ingestion, transformation, optimization, and platform performance tuning.
* 4–6 years of experience building data pipelines using Microsoft Fabric Pipelines or equivalent orchestration tools.
* 4–6 years of professional Python experience focused on automation, ingestion utilities, and framework development.
* 5\+ years of enterprise SQL experience, including advanced SQL Server work and hands\-on Change Data Capture (CDC) implementation and support.
* 5\+ years of experience working in Agile/Scrum environments.
* 3\+ years of experience leading data engineering initiatives or serving as a technical lead on ingestion projects.
* Experience working with event\-driven architecture, streaming ingestion, or data contract–based integration models.
* Experience using Qlik Replicate for data movement and replication.
* Experience using dbt Cloud for ELT transformation and orchestration.
* Microsoft Azure experience.
* Certifications in dbt Cloud, Snowflake, or Microsoft Fabric preferred but not required.
 Education
 This role does not require a degree. We value relevant skills and experience and alignment with our core values above all else.
 Desired Traits \&amp; Skills
* Deep expertise in building and maintaining cloud\-based data integration pipelines across diverse platforms.
* Strong proficiency with Snowflake architecture, Snowflake ingestion patterns, and SQL.
* Advanced Python skills for automation, ingestion utilities, and framework development.
* Hands\-on experience with Microsoft Fabric Pipelines or similar orchestration tools.
* Strong understanding of data modeling, data warehousing, and ETL/ELT best practices.
* Ability to lead technical initiatives, mentor team members, and influence engineering direction.
* Strong analytical and problem\-solving skills with the ability to design scalable solutions.
* Excellent communication skills, capable of translating complex technical concepts for nontechnical audiences.
* Ability to manage multiple priorities in a fast\-paced environment.
* High degree of adaptability, emotional intelligence, and collaborative mindset.
* Customer\-focused approach with a commitment to delivering high\-quality solutions.
**Company Overview**
 The foodservice professional’s premier source for restaurant equipment, supplies, and knowledge online. Our purpose is to empower and equip people to run their businesses more profitably and efficiently.
**Benefits**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Available at HQ Locations Only
* On\-Site Fitness Centers
* Dog\-friendly Offices</t>
        </is>
      </c>
    </row>
    <row r="105">
      <c r="A105" t="inlineStr">
        <is>
          <t>li-4375743842</t>
        </is>
      </c>
      <c r="B105" t="inlineStr">
        <is>
          <t>Snowflake &amp; Python Data Engineer</t>
        </is>
      </c>
      <c r="C105" t="inlineStr">
        <is>
          <t>Jobs via Dice</t>
        </is>
      </c>
      <c r="D105" t="inlineStr">
        <is>
          <t>linkedin</t>
        </is>
      </c>
      <c r="E105" t="inlineStr"/>
      <c r="F105" t="inlineStr"/>
      <c r="G105" t="inlineStr">
        <is>
          <t>Jersey City, NJ</t>
        </is>
      </c>
      <c r="H105" t="inlineStr"/>
      <c r="I105" t="inlineStr">
        <is>
          <t>Dice is the leading career destination for tech experts at every stage of their careers. Our client, DRC Systems USA LLC, is seeking the following. Apply via Dice today!
**Role: Snowflake \&amp; Python Data Engineer
 Location: Jersey City, NJ (Onsite / F2F Interview)**
**Job Description:**
 We've refined the requirements to include additional technical expertise in PySpark, Snowflake Cortex AI, and modern Data Warehousing practices.
 Additionally, candidates with recent hands\-on experience in React.js will be highly advantageous.
 The revised JD is included below and has also been updated in GH.
**Job Requirements Senior Snowflake Data Engineer**
* 7\+ years of experience in data engineering or backend development roles
* Strong hands\-on experience with Python, PySpark, and Snowflake
* Proven expertise in Snowflake data modeling, performance tuning, and optimization
* Experience working with Snowflake Cortex AI or similar AI\-enabled data platform capabilities
* Solid understanding of modern data warehousing concepts (dimensional modeling, ELT/ETL, data marts, optimization strategies)
* Advanced SQL skills and experience designing scalable data models
* Experience delivering end\-to\-end data engineering solutions in cloud\-based environments
* Working knowledge of React.js for building or supporting data\-driven front\-end applications
* Strong understanding of distributed data processing frameworks
* Experience with cloud platforms (AWS, Azure, or Google Cloud Platform)
* Strong understanding of data security, governance, and compliance best practices
* Proven ability to collaborate effectively with cross\-functional teams in complex enterprise environments</t>
        </is>
      </c>
    </row>
    <row r="106">
      <c r="A106" t="inlineStr">
        <is>
          <t>li-4377052434</t>
        </is>
      </c>
      <c r="B106" t="inlineStr">
        <is>
          <t>Data Engineer</t>
        </is>
      </c>
      <c r="C106" t="inlineStr">
        <is>
          <t>City of Oxnard</t>
        </is>
      </c>
      <c r="D106" t="inlineStr">
        <is>
          <t>linkedin</t>
        </is>
      </c>
      <c r="E106">
        <f>HYPERLINK("https://www.linkedin.com/jobs/view/4377052434", "https://www.linkedin.com/jobs/view/4377052434")</f>
        <v/>
      </c>
      <c r="F106" t="inlineStr"/>
      <c r="G106" t="inlineStr">
        <is>
          <t>Oxnard, CA</t>
        </is>
      </c>
      <c r="H106" t="inlineStr"/>
      <c r="I106" t="inlineStr">
        <is>
          <t>**This recruitment is open until filled. Early submissions are encouraged as applications will be reviewed on a regular and ongoing basis.**
 The City of Oxnard is seeking a skilled and proactive Data Engineer to support our modernization efforts and optimize data workflows across our 300\+ applications. This role will be responsible for designing, developing, and maintaining ETL pipelines, data transformations, and legacy systems integrations to ensure seamless data flow between city systems and third\-party vendors. You will work closely with integration specialists, database administrators, and business stakeholders to enhance accessibility, reporting, and usability of critical data.
 This role is essential in monitoring and maintaining the data health of the city and aiding decision making through analysis and visualization. Therefore, the ideal candidate will have experience in BI and working with stakeholders to create dashboards and reports.
**What You’ll Do**
* Maintain disparate datasets through ETL pipelines, improve data accessibility, ensure data integrity, and drive and enforce security compliance.
* Prepare strategies for modernizing legacy systems through database migrations or hybrid integrations.
* Collaborate with database administrators and integration specialists to streamline workflows and optimize performance.
* Work with system administrators to ensure data security and access control best practices.
* Support BI initiatives by structuring data and building dashboards for analysts.
* Help train and support business users to use BI tools effectively.
* Maintain technical documentation for data flows, integrations, and system dependencies.
* Analyze data trends, discrepancies, and vendor requests to guide informed decisions.
* Participate in evaluating and recommending software tools and platforms for data work.
**Payroll Title/Classification:** 
 Business Systems Analyst, Senior
**Work Schedule**
 The normal work week is Monday through Friday 8:00 am\-6:00 pm with every other Friday off. This position may be required to be on an on\-call (stand\-by) rotation and you may be required to be available to work additional hours as needed to respond to workload needs.
**The City does not offer hybrid or remote work.**
**Please note:** 
 The Information Technology Department supports public safety personnel including the Police Department on a 24\-hour, 7\-day\-per\-week schedule, therefore, the candidate may be required to be on call on a rotating basis, subject to callback. As part of the selection process, applicants will be required to successfully complete a thorough background investigation, which may include a polygraph exam.
 *This class specification represents only the core areas of responsibilities; specific position assignments will vary depending on the needs of the Department.*
* Design, build, and maintain ETL pipelines to support data exchange between systems.
* Ensure data consistency, integrity, and compliance with governance regulations such as CJIS.
* Develop integration solutions using APIs, web services, and direct database connections.
* Optimize and transform legacy and modern data for use across applications.
* Collaborate with technical teams to structure and optimize databases for accessibility.
* Implement observability mechanisms to ensure critical data workflows and integrations are traceable, auditable, and monitored for failures or anomalies.
* Perform root cause analysis of data errors, failures, and bottlenecks.
* Write documentation for databases, workflows, custom integrations, and reports.
* Conduct unit and integration testing for pipelines and transformations.
* Research, evaluate, and recommend software tools, platforms, and third\-party solutions to meet business and technical requirements.
* Work closely with business leaders, analysts, and department heads to gather requirements and ensure BI solutions align with business objectives.
* Build dashboards and interactive reports, empowering end\-users to access and explore data independently.
* Work cross\-functionally with stakeholders and non\-technical business users.
* Other assigned duties as the role may require.
 The following are the minimum qualifications necessary for entry into the classification:
**Education**
* Bachelor's degree in Computer Science, Business Administration, Information Technology, or a related field.
**Experience**
* Minimum of 5 years of hands\-on experience in Data Engineering, Integration Engineering, Data Analysis, or a similar field.
* Proven experience with custom reporting, dashboards, or BI tools (Power BI, Tableau, Qlik, or similar).
* Strong proficiency in SQL, Python, or other scripting/ETL languages.
* Strong understanding of database systems (MS SQL Server, MySQL, or similar) including database design and optimization.
* Hands\-on experience with ETL processes and tools (SSIS, Talend, Apache Airflow, or similar).
* Knowledge of data modeling, warehousing, and integration protocols (APIs, SFTP, message queues, XML/JSON data exchanges).
**Highly Desirable Experience, Qualifications And/or Certifications**
* Local government or public sector experience especially public safety (police and fire).
* Experience with version control systems (e.g., Git or TFS) and collaborative development workflows (e.g., GitFlow).
* Previous experience in a hybrid role combining technical and business analysis responsibilities.
* Knowledge of cloud\-based data storage and processing (AWS, Azure, etc.).
**Licensing/Certifications**
* Valid CA Class C Driver's License
**Other Requirements**
* Must be able to speak and understand English to effectively communicate with fellow employees, customers, and vendors.
**Application Process**
* Submit NEOGOV/Government Jobs on\-line application.
* Complete and submit responses to the supplemental questions, if required.
* Upload resume, cover letter, proof of degree (transcript), or other requested documents.
 Your application may be rejected as incomplete if you do not include the relevant information in the online application and include the information only on the resume. Applications and/or Supplemental Questionnaires that state "see my resume" or "see my personnel file" are considered incomplete and will not be accepted. Cover letters and/or optional resumes are not accepted in lieu of a completed application.
 The list of qualified candidates established from this recruitment may be used to fill other full\-time, part\-time, and temporary assignments.
 **T** 
**here is currently one (1\) full\-time vacancy within the Information Technology Department.**
 Selected candidate(s) must pass a thorough background investigation.
**UNION MEMBERSHIP:** 
 Positions in this classification are represented by the
 **Oxnard Mid Manager's Association (OMMA).**
**NOTE:** 
 For most positions, the City of Oxnard relies on office automation (Microsoft Office/Google) and web\-based enabled tools, therefore candidates must be proficient and comfortable with computer use to perform functions associated with on\-going work.
 Regular and reliable attendance, effective communication skills, and development of effective working relationships are requirements of all positions.
 Employees are required to participate in the City's direct deposit plan and are paid on a bi\-weekly basis.
 This position requires a 12 month probationary period.
 Pursuant to California Government Code Section 3100, all public employees are required to serve as disaster service workers subject to such disaster service activities as may be assigned to them.
**EQUAL OPPORTUNITY:** 
 The City of Oxnard is an Equal Opportunity Employer and welcomes applications from all qualified applicants. We do not discriminate on the basis of race, color, religion, sex, national origin, age, marital status, medical condition, disability or sexual orientation.
**REASONABLE ACCOMMODATION:** 
 The City of Oxnard makes reasonable accommodation for individuals/people with disabilities. If you believe you require special arrangements to participate in the testing process, you must inform the Human Resources Department in writing no later than the filing date. Applicants who request such accommodation must document their request with an explanation of the type and extent of accommodation required.
**LEGAL REQUIREMENT:** 
 On the first day of employment, new employees must provide proof of citizenship or documentation of legal right to work in the United States in compliance with the Immigration Reform and Control Act of 1986, as amended. The City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For more information on E\-Verify, please contact DHS. 888\-897\-7781 dhs.gov/e\-verify
 If you have any questions regarding this recruitment, please contact
 **Ashley Costello** 
**at ashley.costello@oxnard.org.**
**NOTE:** 
 The provisions of this bulletin do not constitute an expressed or implied contract. Any provision contained in this bulletin may be modified or revoked without notice.</t>
        </is>
      </c>
    </row>
    <row r="107">
      <c r="A107" t="inlineStr">
        <is>
          <t>li-4377060888</t>
        </is>
      </c>
      <c r="B107" t="inlineStr">
        <is>
          <t>Data Engineer</t>
        </is>
      </c>
      <c r="C107" t="inlineStr">
        <is>
          <t>Cargomatic</t>
        </is>
      </c>
      <c r="D107" t="inlineStr">
        <is>
          <t>linkedin</t>
        </is>
      </c>
      <c r="E107">
        <f>HYPERLINK("https://www.linkedin.com/jobs/view/4377060888", "https://www.linkedin.com/jobs/view/4377060888")</f>
        <v/>
      </c>
      <c r="F107" t="inlineStr"/>
      <c r="G107" t="inlineStr">
        <is>
          <t>San Francisco, CA</t>
        </is>
      </c>
      <c r="H107" t="inlineStr"/>
      <c r="I107" t="inlineStr">
        <is>
          <t>Senior Data Architect – Data Engineering
 Location: San Francisco, CA
 Reports To: VP of Engineering
 FLSA Status: Exempt
 Employment Type: Full\-Time
 Compensation: $140,000 – $160,000 annually (based on experience)
**About Cargomatic**
 Cargomatic is transforming the local trucking industry with cutting\-edge technology that connects shippers and carriers in real time. Every product that humans build, grow, or sell has spent time on a truck. Local trucking is the lifeblood of every regional economy, yet this $82 billion industry still relies heavily on outdated systems. Cargomatic is bringing transparency, efficiency, and intelligence to local freight through modern technology and data\-driven solutions.
 We are solving complex, real\-world logistics problems every day. If you thrive in a fast\-paced environment, enjoy building scalable systems, and want to help shape the future of AI\-powered logistics, we’d love to meet you.
 Position Summary
 Cargomatic is seeking a Senior Data Architect – Data Engineering to design and build scalable, cloud\-native data infrastructure that powers analytics, machine learning, and AI\-driven applications. This role combines deep data architecture expertise with hands\-on experience in modern data platforms and LLM\-enabled application development.
 You will lead the design of enterprise\-grade data models, architect RAG systems, implement agentic workflows, and integrate secure, production\-ready LLM capabilities into our ecosystem. This is a high\-impact role with significant ownership, visibility, and opportunity to shape the future of intelligent logistics technology.
 Key Responsibilities
 Data Architecture \&amp; Engineering
* Design and build scalable, cloud\-native data pipelines (batch and streaming) supporting analytics, ML, and AI\-powered applications
* Architect enterprise\-grade data models across data lakes, warehouses, and real\-time systems (Snowflake, Databricks, Kafka, DBT)
* Define standards for data governance, reliability, performance, and cost optimization
* Optimize storage formats and distributed data systems (Parquet, Delta Lake, Iceberg)
 AI \&amp; LLM\-Enabled Systems
* Develop Retrieval\-Augmented Generation (RAG) systems integrating structured and unstructured enterprise data
* Design and implement agentic workflows using frameworks such as LangChain, LangGraph, LlamaIndex, n8n, or similar
* Integrate LLM APIs (OpenAI, Anthropic, or similar) into secure, production\-ready applications
* Implement guardrails, validation layers, monitoring, and evaluation frameworks to mitigate hallucination, prompt injection, and data security risks
 Backend \&amp; API Development
* Build secure backend APIs (Python/FastAPI) to expose AI\-powered capabilities
* Ensure observability, monitoring, and cost controls across AI and data services
* Contribute to microservices architecture and distributed system design
 Collaboration \&amp; Leadership
* Partner cross\-functionally with Product, Engineering, and Operations to translate business requirements into scalable technical solutions
* Mentor junior engineers and contribute to architectural standards and best practices
* Drive innovation in data engineering and AI\-powered logistics systems
**Qualifications**
* Bachelor’s degree in Computer Science or equivalent practical experience
* 8\+ years of software or data engineering experience in production environments
* Strong expertise in data modeling, distributed systems, and scalable cloud architectures
* Hands\-on experience with ETL/ELT frameworks and streaming technologies (Kafka, Spark, HEVO, Snowflake, DBT, etc.)
* Advanced SQL skills and deep understanding of modern storage formats
* Proficiency in Python and RESTful API development
* Experience integrating LLM APIs into production applications
* Strong understanding of system reliability, observability, and cost management in cloud environments
 Desired Experience
* Experience building RAG pipelines including embeddings, vector search, chunking strategies, and hybrid retrieval
* Experience designing multi\-agent or agentic AI workflows with orchestration frameworks
* Knowledge of LLM evaluation, monitoring, and tracing tools (LangSmith or similar)
* Experience with microservices architecture and distributed system design
* Exposure to transportation, logistics, or supply chain domains
* Active GitHub contributions or demonstrated passion for emerging AI and data technologies
 Why Join Cargomatic?
 We offer competitive compensation and a comprehensive benefits package, including:
* Medical, Dental, and Vision insurance
* 401(k) with company match
* Flexible Spending Accounts (FSA)
* Company\-paid Life and Disability insurance
* Flexible Paid Time Off (PTO) and company holidays
* Paid Parental Leave
* Employee Assistance Program (EAP)
* Opportunity to build cutting\-edge AI solutions in a high\-growth logistics technology company
* Collaborative, high\-impact team environment
 Cargomatic is proud to be an Equal Opportunity Employer. We are committed to creating a diverse and inclusive workplace where all employees feel valued and empowered to succeed.</t>
        </is>
      </c>
    </row>
    <row r="108">
      <c r="A108" t="inlineStr">
        <is>
          <t>li-4377059991</t>
        </is>
      </c>
      <c r="B108" t="inlineStr">
        <is>
          <t>Data Engineer</t>
        </is>
      </c>
      <c r="C108" t="inlineStr">
        <is>
          <t>Ford Motor Company</t>
        </is>
      </c>
      <c r="D108" t="inlineStr">
        <is>
          <t>linkedin</t>
        </is>
      </c>
      <c r="E108">
        <f>HYPERLINK("https://www.linkedin.com/jobs/view/4377059991", "https://www.linkedin.com/jobs/view/4377059991")</f>
        <v/>
      </c>
      <c r="F108">
        <f>HYPERLINK("https://efds.fa.em5.oraclecloud.com/hcmUI/CandidateExperience/en/job/59734/?utm_medium=jobboard&amp;utm_source=linkedin&amp;urlHash=ZA9O", "https://efds.fa.em5.oraclecloud.com/hcmUI/CandidateExperience/en/job/59734/?utm_medium=jobboard&amp;utm_source=linkedin&amp;urlHash=ZA9O")</f>
        <v/>
      </c>
      <c r="G108" t="inlineStr">
        <is>
          <t>Dearborn, MI</t>
        </is>
      </c>
      <c r="H108" t="inlineStr"/>
      <c r="I108" t="inlineStr">
        <is>
          <t>**Job Description**
 We are the movers of the world and the makers of the future. We get up every day, roll up our sleeves and build a better world \-\- together. At Ford, we’re all a part of something bigger than ourselves. Are you ready to change the way the world moves?
 Do you believe data tells the real story? We do! Redefining mobility requires quality data, metrics and analytics, as well as insightful interpreters and analysts. That's where
 **Global Data Insight \&amp; Analytics** 
 makes an impact. We advise leadership on business conditions, customer needs and the competitive landscape. With our support, key decision makers can act in meaningful, positive ways. Join us and use your data expertise and analytical skills to drive evidence\-based, timely decision making.
**In this position...**
 We are seeking a talented and driven
 **Data Engineer** 
 to join our team. In this role, you will be instrumental in building and maintaining the foundational data infrastructure that powers our analytics and machine learning initiatives. You will design, develop, and optimize robust data pipelines, ensuring that high\-quality data is accessible, reliable, and scalable across the organization.
**What You'll Do...**
* Design, develop, and maintain scalable ETL/ELT pipelines to ingest data from a variety of internal and external sources.
* Architect and optimize data storage solutions (data warehouses and data lakes) to ensure high performance and cost\-efficiency.
* Ensure data integrity and quality by implementing automated testing, monitoring, and validation frameworks within the data lifecycle.
* Collaborate closely with Data Scientists and Product teams to understand their data requirements and provide "model\-ready" datasets.
* Build and maintain API integrations and microservices to facilitate seamless data movement between systems.
* Implement automation and CI/CD practices for data infrastructure to improve deployment speed and system reliability.
* Troubleshoot and resolve complex data\-related issues, optimizing slow\-running queries and bottlenecks in the data flow.
* Stay up\-to\-date with the latest advancements in data engineering, cloud architecture, and distributed computing technologies.
**You'll have...**
* Master’s degree in Computer Science, Software Engineering, Information Systems, or a closely related quantitative field.
* Demonstrated ability to design and build production\-grade data pipelines.
* Strong experience with data modeling, database design, and storage optimization (SQL and NoSQL).
* Expertise in at least one major programming language used in data engineering (e.g., Python).
* Proficiency in writing complex, highly optimized SQL queries for large\-scale data analysis.
* Experience with workflow orchestration tools.
* Familiarity with distributed computing frameworks.
* Proven ability to translate business requirements into technical data architecture.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 5 – salary grade 8 and ranges from $66,660\- $190,500\.
 For more information on salary and benefits, click here: New Hire Benefits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t>
        </is>
      </c>
    </row>
    <row r="109">
      <c r="A109" t="inlineStr">
        <is>
          <t>li-4377060535</t>
        </is>
      </c>
      <c r="B109" t="inlineStr">
        <is>
          <t>Analytics Engineer</t>
        </is>
      </c>
      <c r="C109" t="inlineStr">
        <is>
          <t>Base Power Company</t>
        </is>
      </c>
      <c r="D109" t="inlineStr">
        <is>
          <t>linkedin</t>
        </is>
      </c>
      <c r="E109">
        <f>HYPERLINK("https://www.linkedin.com/jobs/view/4377060535", "https://www.linkedin.com/jobs/view/4377060535")</f>
        <v/>
      </c>
      <c r="F109">
        <f>HYPERLINK("https://jobs.ashbyhq.com/base-power/5a0c2397-aa62-4b25-998d-e06de50f8387?source=LinkedIn&amp;urlHash=Ajq7", "https://jobs.ashbyhq.com/base-power/5a0c2397-aa62-4b25-998d-e06de50f8387?source=LinkedIn&amp;urlHash=Ajq7")</f>
        <v/>
      </c>
      <c r="G109" t="inlineStr">
        <is>
          <t>Austin, TX</t>
        </is>
      </c>
      <c r="H109" t="inlineStr"/>
      <c r="I109" t="inlineStr">
        <is>
          <t>**About Base**
 Base is America’s next\-generation power company. We’re rebuilding the foundation of modern civilization–electricity–by deploying a vast network of distributed batteries that is transforming today’s fragile, centralized grid into a resilient and abundant system. We are engineers, operators, and creatives solving some of the most complex, interdisciplinary challenges of our time.
**About The Role**
 As an Analytics Engineer at Base, you will sit at the intersection of data, engineering, and business decisions. You will be responsible for transforming raw data into trusted models and insights that drive product, deployments, business operations, supply chain, go\-to\-market, manufacturing, hardware design, and more. You'll enable decision\-making at scale, directly impacting our ability to grow in both new and existing markets.
 Note: This is not a Data Analyst position.
**What You'll Do**
* Develop deep understanding of the domains of the business (e.g., Deployments, Business Operations, Supply Chain, Manufacturing) and build the data models that describe how they work.
* Collaborate deeply with both technical and non\-technical stakeholders, gathering requirements and implementing models that are secure, reliable, timely, and extensible.
* Design and maintain pipelines that transform raw data into analytics\-ready structures.
* Develop internal tools and applications (dashboards, metrics layers, data apps, etc.) that empower real\-time decision\-making.
* Drive data quality standards across the stack, implementing monitoring, observability, and documentation practices that scale.
* Proactively seek out opportunities where analytics can solve business or operational challenges and deliver end\-to\-end solutions.
* Serve as a trusted partner to leadership, helping them run their organizations more effectively with data.
**What You'll Bring**
* 5\+ years of experience in a software or data focused role \- Analytics Engineer, Data Engineer, or Software Engineer
* Demonstrated experience with autonomy and process ownership
* Experience with data stack tools: dbt, Data Warehouses (BigQuery, Snowflake, Redshift), BI Tools (Looker/Tableau), Orchestration (Airflow, Temporal, etc)
* Expert with SQL and experienced with Python or other programming languages (Golang, Javascript, etc)
* Ability to build world\-class data models in a fast, start\-up environment
* Demonstrated aptitude for strategic partnerships and communication with both technical and non\-technical Stakeholders
**About This Team**
 America's power grid is failing—electricity costs have risen even as generation gets cheaper, and blackouts are becoming more common. We're building the software that fixes it. Our team owns the entire stack: firmware that controls batteries in thousands of homes, trading algorithms that buy and sell power in real\-time markets, distributed commanding systems that orchestrate a growing fleet as a single grid asset, factory software for our Austin manufacturing line, and the product experience that makes it all invisible to homeowners. If you want to write code that physically moves electrons, ships hardware, and reshapes critical infrastructure, this is the job.
**Our Values**
* First Principles Thinking: Question assumptions. Principles \&gt; rules.
* Operate at Base Pace: Focus on what matters, act quickly, and learn by doing.
* Give \&amp; Get Feedback: Be direct, be humble, and maintain a growth mindset.
* Everyone’s an Owner: Follow through on commitments and own results.
* Strong Opinions, Loosely Held: Drive clarity and make calls with imperfect information.
* Committed to the Mission: Rebuilding the grid is a big challenge. We work hard because we care deeply about the impact we’re creating. We work in\-person. It’s not a 9\-to\-5\. We are all\-in.
* Fun \&amp; Optimism Coexist with Grit: Collaboration and celebration coincide with the intensity of building real things.
**Do the best work of your life at Base.**</t>
        </is>
      </c>
    </row>
    <row r="110">
      <c r="A110" t="inlineStr">
        <is>
          <t>li-4377050386</t>
        </is>
      </c>
      <c r="B110" t="inlineStr">
        <is>
          <t>Data Engineer</t>
        </is>
      </c>
      <c r="C110" t="inlineStr">
        <is>
          <t>PETADATA</t>
        </is>
      </c>
      <c r="D110" t="inlineStr">
        <is>
          <t>linkedin</t>
        </is>
      </c>
      <c r="E110">
        <f>HYPERLINK("https://www.linkedin.com/jobs/view/4377050386", "https://www.linkedin.com/jobs/view/4377050386")</f>
        <v/>
      </c>
      <c r="F110" t="inlineStr"/>
      <c r="G110" t="inlineStr">
        <is>
          <t>Albany, NY</t>
        </is>
      </c>
      <c r="H110" t="inlineStr"/>
      <c r="I110" t="inlineStr">
        <is>
          <t>**Position: Data Engineer**
**Location: Albany, NY (Onsite/Remote)**
**Experience: 13\+ Years**
**Work type: C2C only**
**Visa Type: H1\-B, GC and US Citizen**
**PETADATA is currently hiring for a Data Engineer for one of their clients.**
**Roles \&amp; Responsibilities**
**Data Pipeline Development**
* Design, build, and maintain scalable data pipelines for ingesting, processing, and transforming data
* Develop batch and real\-time data processing workflows
* Ensure data pipelines are reliable, efficient, and fault\-tolerant
**Data Architecture \&amp; Modeling**
* Design and implement data architectures(data lakes, data warehouses, lakehouses)
* Create and maintain data models, schemas, and metadata
* Optimize data storage and retrieval strategies
**Data Integration**
* Integrate data from multiple sources (databases, APIs, streaming platforms, third\-party tools)
* Handle structured, semi\-structured, and unstructured data
* Implement data validation and quality checks
**Big Data \&amp; Processing Frameworks**
* Work with big data tools such as Apache Spark, Hadoop, Kafka, Flink
* Build streaming and real\-time data processing systems
* Optimize large\-scale data processing performance
**Cloud \&amp; Platform Services**
* Use cloud platforms such as AWS, Azure, or GCP
* Work with services like:
* AWS: S3, Glue, Redshift, EMR, Athena
* Azure: Data Factory, Synapse
* GCP: BigQuery, Dataflow
* Manage cloud\-based data infrastructure
**Database Management**
* Manage and optimize SQL and NoSQL databases
* Implement indexing, partitioning, and performance tuning
* Support data access for analytics, AI, and reporting teams
**Data Quality, Security \&amp; Governance**
* Implement data quality checks, monitoring, and alerts
* Enforce data governance, lineage, and metadata management
* Ensure data security, privacy, and compliance (GDPR, HIPAA, etc.)
**Automation \&amp; Orchestration**
* Automate data workflows using tools like Airflow, Luigi, Prefect
* Schedule, monitor, and troubleshoot data jobs
* Reduce manual processes through automation
**Collaboration \&amp; Support**
* Collaborate with data scientists, analysts, and AI engineers
* Support analytics, BI, and machine learning initiatives
* Translate business requirements into data solutions
**Monitoring \&amp; Optimization**
* Monitor pipeline performance and data freshness
* Identify and resolve data issues and bottlenecks
* Optimize costs and resource usage
**Optional / Senior\-Level Responsibilities**
* Define data engineering standards and best practices
* Lead data platform design and modernization efforts
* Mentor junior data engineers
* Drive data strategy and roadmap planning
**Required Qualifications**
* Bachelor’s or Master’s degree in Computer Science, Engineering, Data Science, or a related field
* Proven experience as a Data Engineer or similar role
* Strong programming skills in Python and SQL (Scala or Java preferred)
* Hands\-on experience with big data frameworks such as Spark, Kafka, Hadoop
* Experience designing and maintaining data pipelines and ETL/ELT processes
* Strong understanding of data modeling, data warehousing, and lakehouse architectures
* Experience with cloud platforms: AWS, Azure, or GCP
* Hands\-on experience with SQL and NoSQL databases
* Experience with workflow orchestration tools (Airflow, Prefect, Luigi)
* Knowledge of data quality, governance, and security best practices
* Strong analytical, troubleshooting, and problem\-solving skills
* Excellent communication and collaboration abilities
**Key Skills \&amp; Tools**
* Languages: Python, SQL, Scala, Java
* Big Data: Spark, Kafka, Hadoop
* Databases: PostgreSQL, MySQL, MongoDB, Cassandra
* Cloud: AWS, Azure, GCP
* Orchestration: Airflow, Prefect
* Data Warehouses: Redshift, Snowflake, BigQuery
**Educational Qualification**
**Bachelor’s or Master’s degree in Computer Science or related field**
**We offer a professional work environment and are given every opportunity to grow in the Information technology world.**
**Note**
**Candidates are required to attend Phone/Video Call / In\-person interviews and after Selection of candidate (He/She) should go through all background checks on Education and Experience.**
**Please email your resume to: keshini@petadata.co**
**After carefully reviewing your experience and skills one of our HR team members will contact you on the next steps.**</t>
        </is>
      </c>
    </row>
    <row r="111">
      <c r="A111" t="inlineStr">
        <is>
          <t>li-4377082368</t>
        </is>
      </c>
      <c r="B111" t="inlineStr">
        <is>
          <t>Analytics Engineer</t>
        </is>
      </c>
      <c r="C111" t="inlineStr">
        <is>
          <t>Minute Media</t>
        </is>
      </c>
      <c r="D111" t="inlineStr">
        <is>
          <t>linkedin</t>
        </is>
      </c>
      <c r="E111">
        <f>HYPERLINK("https://www.linkedin.com/jobs/view/4377082368", "https://www.linkedin.com/jobs/view/4377082368")</f>
        <v/>
      </c>
      <c r="F111" t="inlineStr"/>
      <c r="G111" t="inlineStr">
        <is>
          <t>New York, NY</t>
        </is>
      </c>
      <c r="H111" t="inlineStr"/>
      <c r="I111" t="inlineStr">
        <is>
          <t>Minute Media is a global technology and content company built for the future of sports consumption. Minute Media's proprietary technology platform enables the creation, distribution and monetization of digital content experiences, which powers Minute Media's portfolio of trusted content brands, including Sports Illustrated, The Players' Tribune, and FanSided as well as hundreds of sports leagues, teams, broadcasters, third\-party publishers and advertisers. The technology platform includes, (i) STN Video, an online video platform (OVP), which provides access to a robust sports highlights rights portfolio, and (ii) Magnifi, an AI\-driven SaaS platform, that enables rights holders to detect key moments and create highlights in real time. Minute Media is building the future of how the world connects with sport, powered by innovation, shared globally, and trusted by millions of fans and the partners we serve. Minute Media has offices in the US, UK, Israel, Brazil, Asia and India.
 *For more information, visit* 
*www.minutemedia.com* 
*.* 
 We are seeking an analytical and tech\-savvy Analytics Engineer/ BI Developer to join our team, focusing on our B2B products and content cost analytics. You will bridge the gap between data and business for our publisher\-facing solutions. In this role, you’ll develop Business Intelligence solutions and insights that drive informed decisions for both Minute Media and our content partners. This includes building dashboards to track B2B product performance and analyzing content costs to help optimize our partnerships. If you enjoy turning data into actionable business intelligence and thrive in a fast\-paced media environment, we’d love to meet you.
**What You'll Do**
**﻿**
**Content Cost Analytics \&amp; Reporting** 
* Analyze and report on content costs (licensing, contributors) to assess impact on revenue, margins, and content ROI, and integrate these metrics into centralized data models and the Single Source of Truth in partnership with Data Engineering.
* Automate monthly and quarterly content cost reporting by replacing manual spreadsheets with dynamic Looker dashboards, providing Finance and Partnerships teams with real\-time visibility into spend vs. returns.
**BI Development for Partner Solutions** 
* Design and build scalable data sources, models, and feeds to support B2B analytics, including partner\-facing reporting in Voltax for content performance and earnings.
* Develop and maintain intuitive Looker dashboards tracking key B2B KPIs (e.g., video usage, syndication metrics, revenue share), ensuring data accuracy, consistency, and stakeholder trust.
**Insights \&amp; Collaboration** 
* Collaborate cross\-functionally with Product, Finance, and Partnerships to translate business questions into data analysis and actionable insights.
* Identify trends and optimization opportunities in partner usage and content costs, clearly communicating findings internally and occasionally supporting external partner reporting, enablement, and training.
* Proactively improve analytics offerings by staying current on BI and digital media trends and recommending new metrics or visualizations.
 Requirements:
**What You Have**
* 3\+ years of experience in data analytics, business intelligence, or a related role, ideally in tech, media, or digital content environments.
* Strong SQL skills with experience writing complex queries and transforming data in cloud data warehouses (e.g., BigQuery, Athena), along with a solid understanding of data modeling and ETL processes (e.g., Rivery or similar tools).
* Proven experience building dashboards and reports in BI tools, with Looker strongly preferred (or Tableau/Power BI with ability to ramp quickly).
* Strong analytical mindset with excellent attention to detail, able to ensure data integrity, uncover insights, and balance hands\-on technical work with high\-level analysis and interpretation.
* Strong communication and presentation skills, capable of translating complex data findings into clear, business\-friendly language and visuals.
* Self\-motivated and curious, with a strong interest in understanding how products work and how data can drive improvement.
* BA/BSc or Master’s degree in Data Science, Analytics, Computer Science, or a related field (or equivalent practical experience in a data\-focused role).
**﻿Bonus If You Have**
* Familiarity with the digital media landscape and content economics, including content licensing models and performance metrics.
* Experience working on analytics for B2B or SaaS products, particularly involving data sharing with external partners or clients.
* Knowledge of Voltax or similar online video platforms or content management systems from a data perspective.
* Exposure to financial or accounting concepts to support cost, revenue, and profitability analysis.
* Experience with collaborative analytics and documentation tools (e.g., Cursor, data dictionaries, partner guides).
* Basic scripting or programming skills (Python, R) for advanced data manipulation or extending BI capabilities.
 The expected salary range for this position is between $85,000 \- $95,000 annually. Actual pay will be determined based on skills, experience, and location. The benefits available for this position include a flexible vacation policy, 15 paid holidays, paid parental leave, health insurance, 401(k) retirement plan.
 Not sure that you're 100% qualified but are up for the challenge? We want you to apply!
 Minute Media is committed to creating a diverse and inclusive work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Minute Media participates in E\-Verify.
 Check the URL and email address of any correspondence with Minute Media. If it is not from
 **@** 
 minutemedia.com, treat it as fraudulent. To learn how to protect yourself from recruitment fraud click here.</t>
        </is>
      </c>
    </row>
    <row r="112">
      <c r="A112" t="inlineStr">
        <is>
          <t>li-4377072625</t>
        </is>
      </c>
      <c r="B112" t="inlineStr">
        <is>
          <t>Data Engineer (IT Data Management Entry In-Training to Journey) DOH8822</t>
        </is>
      </c>
      <c r="C112" t="inlineStr">
        <is>
          <t>Washington State Department of Health</t>
        </is>
      </c>
      <c r="D112" t="inlineStr">
        <is>
          <t>linkedin</t>
        </is>
      </c>
      <c r="E112">
        <f>HYPERLINK("https://www.linkedin.com/jobs/view/4377072625", "https://www.linkedin.com/jobs/view/4377072625")</f>
        <v/>
      </c>
      <c r="F112">
        <f>HYPERLINK("https://www.governmentjobs.com/careers/washington/doh/jobs/5246417/data-engineer-it-data-management-entry-in-training-to-journey-doh8822&amp;urlHash=z54c", "https://www.governmentjobs.com/careers/washington/doh/jobs/5246417/data-engineer-it-data-management-entry-in-training-to-journey-doh8822&amp;urlHash=z54c")</f>
        <v/>
      </c>
      <c r="G112" t="inlineStr">
        <is>
          <t>Washington, United States</t>
        </is>
      </c>
      <c r="H112" t="inlineStr"/>
      <c r="I112" t="inlineStr">
        <is>
          <t>****Description****
**Data Engineer**
**IT Data Management Entry In\-Training to Journey**
 This recruitment is open to Washington residents and those residing on the ID/WA and OR/WA borders.
**The Opportunity**
 This position plays a key role in supporting statewide public health data systems that inform decision making across Washington. The team manages enterprise data pipelines, reporting environments, and business intelligence platforms that support critical programs, federal reporting requirements, and public facing dashboards.
 Working within a highly collaborative technical environment, this role supports the movement, transformation, automation, and governance of large data sets across on premises, cloud based, and vendor supported systems. The work directly enables reliable analytics, reporting, and visualization for internal teams, local health jurisdictions, healthcare partners, and federal agencies.
 At the Journey level, this role independently designs, builds, and maintains complex data pipelines and integration processes. At the Entry In Training level, the role develops foundational skills under supervision while contributing to database management, ETL processes, and system implementation activities.
 The goal classification for this position is Journey level.
****In\-Training Classification Information:****
 This position may be filled at either the Data Management Entry In\-Training or Journey level, depending on the selected candidate’s qualifications. The Journey level is the fully qualified, independent performing classification and is the goal level for this role. If hired at the Entry In\-Training level, the employee will work under closer supervision while developing the knowledge and skills necessary to advance to the Journey level. Advancement is based on demonstrated competency and successful completion of training requirements.
****Key Responsibilities Include:****
* Data Engineering and Pipeline Development
+ Design, build, and maintain data pipelines supporting BI and analytics platforms
+ Develop and manage ETL and ELT processes across OLTP and OLAP environments
+ Map and transform operational data into analytical environments
+ Implement data schemas and structures to support high usage reporting engines
+ Automate data processing workflows to improve reliability and efficiency
* Business Intelligence and Reporting Support
+ Support Power BI, SSRS, and related reporting technologies
+ Ensure accurate, secure, and timely delivery of data to dashboards and reporting tools
+ Partner with analysts and subject matter experts to translate business needs into technical solutions
* Database and Application Management
+ Maintain and optimize database environments
+ Conduct capacity planning and performance monitoring
+ Participate in IT Risk Assessment and Security Review processes
+ Support application lifecycle management and migration strategies
* Testing and Quality Assurance
+ Develop and execute unit, integration, and performance testing
+ Implement quality control processes to reduce defects and production issues
+ Troubleshoot complex data and pipeline failures
* Implementation and Collaboration
+ Support system deployments and implementation planning
+ Coordinate with project teams, architects, vendors, and technical partners
+ Assist during public health emergencies as assigned
****What Changes Between Levels****
**Entry In Training**
* Works under general supervision
* Assists with database development and ETL processes
* Supports testing, documentation, and system implementation
* Builds foundational knowledge in data governance, integration, and analytics systems
**Journey Level**
* Works under general direction
* Independently designs and implements complex data solutions
* Leads data pipeline troubleshooting and optimization
* Makes tactical decisions regarding production processes and data delivery
* Provides technical guidance to entry level staff
****Why You’ll Love This Role:****
* The data systems supported by this role inform statewide reporting, federal compliance, public transparency efforts, and mission critical public health operations. Reliable data directly supports healthcare partners, laboratories, and local health jurisdictions across Washington.
* The environments include hundreds of databases and applications supporting a large statewide workforce and significant public funding. The systems are complex, visible, and relied upon daily.
* The role builds and maintains pipelines, automates data movement, manages integrations across cloud and on premises systems, and solves foundational data challenges.
* Entry level hires build toward independent engineering work. Journey level engineers operate with autonomy and influence technical direction. The path is clear and competency based.
* When data flows correctly, programs function. When it doesn’t, operations slow down. This role sits directly in that critical space and helps ensure continuity, reliability, and security of high value systems.
****What You Bring:****
 You bring strong technical and professional competence in data engineering, database systems, and data pipelines, along with a clear achievement orientation that adds measurable value to team outcomes. You use sound analysis and problem\-solving skills to address complex data challenges and communicate technical concepts clearly to diverse audiences. You demonstrate cultural competency, customer service orientation, and strong interpersonal skills when working across business and technical teams. At the Journey level, you provide informal leadership and help align technical work with agency priorities. Above all, you maintain professional conduct, accept feedback, collaborate effectively, and contribute to a positive and accountable work environment.
****Required Qualifications****
 There are multiple pathways to qualify for this position. You must meet one of the options provided and any additional criteria listed. Experience may have been gained through paid or unpaid activities. Please ensure any relevant experience defined belo w is outlined in your cover letter, resume, and/or applicant profile. Experience may have been gained concurrently.
****Entry Level/In\-Training Requirements:****
* Option 1: Four (4\) years of professional experience in one or more of the following data disciplines: Data pipeline, Data processing, Data migration, ETL, Database development, Application development.
* Option 2: An Associate’s degree or higher in Information Technology program or a closely related field; and two (2\) years of professional experience in one or more of the following data disciplines: Data pipeline, Data processing, Data migration, ETL, Database development, application development.
* Option 3: A bachelor’s degree in Information Technology program or a closely related field; and one (1\) year of professional experience in one or more of the following data disciplines: Data pipeline, Data processing, Data migration, ETL, Database development, application development.
****Preferred Qualifications****
 While these aren’t required, having them can help you stand out as a candidate.
* One (1\) or more years of using Python or Machine Learning.
* Knowledge of ETL processing
* Knowledge of replication, high availability, and clustering technologies
* Familiarity with version control and deployment processes
* Knowledge of Salesforce or completed Salesforce training
* Knowledge of HL7
****Journey Level Requirements:****
* Option1: Eight (8\) years of full\-time equivalent, professional experience in one or more of the following IT disciplines: Systems development, data administration, database management, data pipeline engineering.
* Option 2: An Associate’s degree or higher in Information Technology program or a closely related field; and six (6\) years of full\-time equivalent, professional experience in one or more of the following IT disciplines: Systems development, data administration, database management, data pipeline engineering.
* Option 3: A Bachelor’s degree or higher in Information Technology program or a closely related field; and four (4\) years of full\-time equivalent, professional experience in one or more of the following IT disciplines: Systems development, data administration, database management, data pipeline engineering.
****Additional Required Knowledge, Skills, Abilities, And Experience****
* Two (2\) or more years, of professional experience in the software development field.
* Experience in the SQL Data Administration at an Enterprise level demonstrating the ability to perform SQL Server 2012/2014/2016/2019 database administration.
* Building and maintaining reports in SSRS
* Developing SSIS packages, Building Cubes and Datamart in SSAS.
* Experience in data architecture, data administration, data analysis, data modeling, reports development, data pipeline development or database administration
****Preferred Qualifications****
 While these aren’t required, having them can help you stand out as a candidate.
* Two (2\) or more years of experience at the expert level in MS Power BI.
* Demonstrated extensive advanced experience using and or managing SQL Server Reporting Services(SSRS).
* Experience developing web\-based applications, databases, and visualizations.
* Demonstrated experience working with and implementing Business Intelligence tools such as Tableau, developing and/or using business intelligence reports.
* Three (3\) years’ experience working with large\-scale distributed systems such as Hadoop/Spark/Storm, data warehousing systems such as Redshift or BigQuery, event brokers such as Kafka or Google Cloud Pub/Sub, and/or databases such as HBase/Cassandra.
* Experience with cloud computing platforms like AWS, Google Cloud or Microsoft Azure
* Experience building data pipelines at Internet scale (terabytes per day)
****Employee Benefits****
 We offer a solid benefits package that supports you and your family’s health, financial security, and work\-life balance. You’ll have access to comprehensive medical, dental, and vision coverage, life and long\-term disability insurance, flexible spending and health savings accounts, and retirement plans that help you plan for tomorrow while you’re living today. Paid holidays, vacation and sick leave help you recharge, and additional programs like dependent care assistance and professional development opportunities add value beyond basic coverage. Join us and enjoy benefits designed to care for you as much as you care about public health. Learn more about DOH benefits and see how we support your life at work and beyond by visiting Work@Health .
**OIT: Shaping a Healthier Future Through Innovation**
 The Office of Innovation and Technology works to harness technology and data to advance public health, supporting over 220 systems and 305 applications, including critical programs like the Immunization Registry. We drive interoperability, strengthen cybersecurity, and promote health equity, delivering impactful solutions that empower communities. Our team fosters a culture of curiosity, critical thinking, and collaboration, where every member’s contribution shapes a healthier future.
****About The Washington State Department Of Health****
 We're nearly 2,000 professionals across Washington working together to protect and improve community health. Guided by our values of Equity, Innovation, and Engagement, we address health disparities, respond to emerging challenges, and strengthen systems that support resilience. At DOH, we help reduce barriers, collaborate with diverse communities, and champion equitable health outcomes. We’re passionate people who are driven to make a difference in public health. Explore more about the Department of Health, our programs, and our impact by visiting our website .
****Working Conditions:****
 The following describes the working conditions of this position, with or without reasonable accommodation.
****Work Setting:****
* This position may work from home, a DOH facility, or remotely from an alternate location. The official duty station for this position is home\-based. If onsite work is requested by the supervisor, the request will be planned and communicated in advance.
* Work is performed almost exclusively indoors in an office environment. Exposure to hazards is limited to those commonly found in government office environments.
****Schedule:****
* Standard business hours are Monday – Friday from 8 a.m. to 5 p.m., but the incumbent may be expected to adjust the work schedule to meet business needs and to meet deadlines for system implementations.
* Occasionally the you may be contacted outside of business hours to address emergency or urgent business needs and is expected to assist, if possible. Maintenance windows vary from team to team but are scheduled in advance. This position may participate in stand\-by coverage to support agency systems. An alternative flex schedule may be allowed.
****Travel Requirements:****
* Travel is not required to perform the duties of this position; however some travel may be expected, and is typically local or regional, to meet with clients, conduct business, or attend or provide training. When driving for state business, the employee must be able to legally operate a state or privately\-owned vehicle; OR provide alternate transportation while on state business.
****Tools \&amp; Equipment:****
* Duties require the use of standard office furniture and equipment (e.g., desk, filing cabinet, computer, printer, telephone, fax machine, copy machine, etc.) May be issued an agency mobile device or use a BYOD device. Will use VPN connectivity for remote access.
****Customer Interactions:****
* Frequent contact (likely daily) with clients, including some contact with those who may be angry, distraught, or frustrated
****Other:****
* This position is covered by a bargaining unit for which the Washington Federation of State Employees (WFSE) is the exclusive representative.
* The DOH campus is a smoke\-free, drug\-free, alcohol\-free, scent\-neutral environment.
* This position may be required to conduct and/or participate in public health emergency preparedness and response activities.
****APPLICATION DIRECTIONS** 
 :**
 We’re committed to a fair and equitable hiring process. Only materials submitted through the official application will be considered. Emailed resumes or documents won’t be accepted or shared with the hiring manager.
 Click “Apply” to complete your application. Attach your resume, cover letter, and DD\-214 (if applicable). List at least three professional references, directly in your Applicant Profile or as a separate attachment, including a supervisor, a peer, and someone you’ve supervised or led (if applicable).
**DO NOT INCLUDE** 
 private details like your SSN or birth year, personal photos, transcripts, certifications, diplomas, projects, portfolios, or letters of recommendation.
**Veterans Preference** 
 : Applicants wishing to claim Veterans Preference must attach a copy of their DD\-214 (Member 4 copy), NGB 22, or a signed verification of service letter from the United States Department of Veterans Affairs to their application. Please remove or cover any personally identifiable data such as social security numbers and birth year
**Equity, Diversity, and Inclusion** 
 : We regard diversity as the foundation of our strength, recognizing that differing insights and abilities enable us to reflect the unique needs of the communities we serve.
 DOH is an equal\-opportunity employer. We prohibit discrimination based on race/ethnicity/color, creed, sex, pregnancy, age, religion, national origin, marital status, the presence or perception of a disability, veteran’s status, military status, genetic information, sexual orientation, gender expression, or gender identity.
**Questions and Accommodations:** 
 If you have questions, need assistance with the application process, require an accommodation, or would like to request this posting in an alternative format, please contact
 **Shawnelle Goalder,** 
 Talent Acquisition Consultant/Recruiter at employment@doh.wa.gov and reference DOHxxxx in the subject.
**Technical Support** 
 : Reach out to NEOGOV directly at 1\-855\-524\-5627 for technical support and login issues.
**SUBSCRIBE to DOH Job Alerts**
**Supplemental Information**
 This recruitment may be used to fill positions of the same job classification across the agency. Once all the position(s) from the recruitment are filled, the candidate pool may be used to fill additional open positions for the next sixty (60\) days.
 Only applicants who follow the directions and complete the Application Process in full will have their responses reviewed for consideration.
 Experience and education selected, listed, or detailed in the Supplemental Questions must be verifiable on the submitted applicant profile.</t>
        </is>
      </c>
    </row>
    <row r="113">
      <c r="A113" t="inlineStr">
        <is>
          <t>li-4374545237</t>
        </is>
      </c>
      <c r="B113" t="inlineStr">
        <is>
          <t>Data Engineer (Associate)</t>
        </is>
      </c>
      <c r="C113" t="inlineStr">
        <is>
          <t>Huron</t>
        </is>
      </c>
      <c r="D113" t="inlineStr">
        <is>
          <t>linkedin</t>
        </is>
      </c>
      <c r="E113">
        <f>HYPERLINK("https://www.linkedin.com/jobs/view/4374545237", "https://www.linkedin.com/jobs/view/4374545237")</f>
        <v/>
      </c>
      <c r="F113" t="inlineStr"/>
      <c r="G113" t="inlineStr">
        <is>
          <t>Chicago, IL</t>
        </is>
      </c>
      <c r="H113" t="inlineStr"/>
      <c r="I113"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Huron is a global consultancy that collaborates with clients to drive strategic growth, ignite innovation, and navigate constant change. We're seeking a Data Engineer to join the Data Science \&amp; Machine Learning team in our Commercial Digital practice, where you'll design, build, and optimize the data infrastructure that powers intelligent systems across Financial Services, Manufacturing, Energy \&amp; Utilities, and other commercial industries.
 This isn't a maintenance role or a ticket queue—you'll own the full data lifecycle from source integration through analytics\-ready delivery. You'll build pipelines that matter: real\-time data architectures that feed mission\-critical ML models, transformation layers that turn messy enterprise data into trusted datasets, and orchestration systems that ensure reliability at scale. Our clients are Fortune 500 companies looking for partners who can engineer solutions, not just write SQL.
 The variety is real. In your first year, you might architect a lakehouse solution for a global manufacturer's IoT data, build a real\-time streaming pipeline for a financial services firm's trading analytics, and design a data mesh implementation for a utility company's distribution systems. If you thrive on solving complex data challenges and shipping production systems that ML teams and analysts depend on, this role is for you
 What You'll Do
* Design and build end\-to\-end data pipelines (batch and streaming)—from source extraction and ingestion through transformation, quality validation, and delivery. You own the data infrastructure, not just a piece of it.
* Develop modern data transformation layers using dbt, implementing modular SQL models, testing frameworks, documentation, and CI/CD practices that ensure data quality and maintainability.
* Build and orchestrate workflows using Microsoft Fabric, Apache Airflow, Dagster, Databricks Workflows, or similar tools to automate complex data processing at scale.
* Architect lakehouse solutions using open table formats (Delta Lake, Apache Iceberg) on Microsoft Fabric, Snowflake, and Databricks—designing schemas, optimizing performance, and implementing governance frameworks.
* Ensure data quality and observability—implementing testing frameworks (dbt tests, Great Expectations), monitoring, alerting, and lineage tracking that maintain trust in data assets.
* Collaborate directly with clients to understand business requirements, translate data needs into technical solutions, and communicate architecture decisions to both technical and executive audiences.
**Required Qualifications**
* 2\+ years of hands\-on experience building and deploying data pipelines in production—not just ad\-hoc queries and exports. You've built ETL/ELT systems that run reliably and scale.
* Strong SQL and Python programming skills with experience in PySpark for distributed data processing. SQL for analytics and data modeling; Python/PySpark for pipeline development and large\-scale transformations.
* Experience building data pipelines that serve AI/ML systems, including feature engineering workflows, vector embeddings for retrieval\-augmented generation (RAG), and data quality frameworks that ensure model reproducibility. Familiarity with emerging agent integration standards such as MCP (Model Context Protocol) and A2A (Agent\-to\-Agent), and the ability to design data services and APIs that can be discovered and consumed by autonomous AI agents.
* Experience with modern data transformation tools, particularly dbt (data build tool). You understand modular SQL development, testing, and documentation practices.
* Experience with cloud data platforms and lakehouse architectures—Snowflake, Databricks, and familiarity with open table formats (Delta Lake, Apache Iceberg). We're platform\-flexible but Microsoft\-preferred.
* Familiarity with workflow orchestration tools such as Apache Airflow, Dagster, Prefect, or Microsoft Data Factory. You understand DAGs, scheduling, and dependency management.
* Solid understanding of data modeling concepts: dimensional modeling, data vault, normalization/denormalization, and knowing when different approaches are appropriate.
* Ability to communicate technical concepts to non\-technical stakeholders and work effectively with cross\-functional teams including data scientists, analysts, and business users.
* Bachelor's degree in Computer Science, Engineering, Mathematics, or related technical field (or equivalent practical experience).
* Willingness to travel approximately 30% to client sites as needed.
**Preferred Qualifications**
* Experience in Financial Services, Manufacturing, or Energy \&amp; Utilities industries.
* Background in building data infrastructure for ML/AI systems—feature stores (Feast, Databricks Feature Store), training data pipelines, vector databases for RAG/LLM workloads, or model serving architectures.
* Experience with real\-time and streaming data architectures using Kafka, Spark Streaming, Flink, or Azure Event Hubs, including CDC patterns for data synchronization.
* Familiarity with MCP (Model Context Protocol) or similar standards for AI system data integration.
* Experience with data quality and observability frameworks such as Great Expectations, Soda, Monte Carlo, or dbt tests.
* Experience with high\-performance Python data tools such as Polars or DuckDB for efficient data processing.
* Knowledge of data governance, cataloging, and lineage tools (Unity Catalog, Purview, Alation, or similar).
* Familiarity with DataOps and CI/CD practices for data pipelines—version control, automated testing, and deployment automation.
* Cloud certifications (Snowflake SnowPro, Databricks Data Engineer, Azure Data Engineer, or AWS Data Analytics).
* Consulting experience or demonstrated ability to work across multiple domains and adapt quickly to new problem spaces.
* Contributions to open\-source data engineering projects or active participation in the dbt/data community.
* Master's degree in a technical field.
 Why Huron
**Variety that accelerates your growth.** 
 In consulting, you'll work across industries and data architectures that would take a decade to encounter at a single company. Our Commercial segment spans Financial Services, Manufacturing, Energy \&amp; Utilities, and more—each engagement is a new data ecosystem to master and a new platform to ship.
**Impact you can measure.** 
 Our clients are Fortune 500 companies making significant investments in data infrastructure. The pipelines you build will power real decisions—the ML models that drive production schedules, the dashboards that inform pricing strategies, the data products that enable self\-service analytics. You'll see your work become the foundation others build on.
**A team that builds.** 
 Huron's Data Science \&amp; Machine Learning team is a close\-knit group of practitioners, not just advisors. We write code, build pipelines, and deploy platforms. You'll work alongside engineers and data scientists who understand the craft and push each other to improve.
**Investment in your development.** 
 We provide resources for continuous learning, conference attendance, and certification. As our DSML practice grows, there's significant opportunity to take on technical leadership and shape our data engineering capabilities.
****Position Level****
 Associate
****Country****
 United States of America</t>
        </is>
      </c>
    </row>
    <row r="114">
      <c r="A114" t="inlineStr">
        <is>
          <t>li-4377034050</t>
        </is>
      </c>
      <c r="B114" t="inlineStr">
        <is>
          <t>Analytics Engineer</t>
        </is>
      </c>
      <c r="C114" t="inlineStr">
        <is>
          <t>Minute Media</t>
        </is>
      </c>
      <c r="D114" t="inlineStr">
        <is>
          <t>linkedin</t>
        </is>
      </c>
      <c r="E114">
        <f>HYPERLINK("https://www.linkedin.com/jobs/view/4377034050", "https://www.linkedin.com/jobs/view/4377034050")</f>
        <v/>
      </c>
      <c r="F114" t="inlineStr"/>
      <c r="G114" t="inlineStr">
        <is>
          <t>New York, NY</t>
        </is>
      </c>
      <c r="H114" t="inlineStr"/>
      <c r="I114" t="inlineStr">
        <is>
          <t>Minute Media is a global technology and content company built for the future of sports consumption. Minute Media's proprietary technology platform enables the creation, distribution and monetization of digital content experiences, which powers Minute Media's portfolio of trusted content brands, including Sports Illustrated, The Players' Tribune, and FanSided as well as hundreds of sports leagues, teams, broadcasters, third\-party publishers and advertisers. The technology platform includes, (i) STN Video, an online video platform (OVP), which provides access to a robust sports highlights rights portfolio, and (ii) Magnifi, an AI\-driven SaaS platform, that enables rights holders to detect key moments and create highlights in real time. Minute Media is building the future of how the world connects with sport, powered by innovation, shared globally, and trusted by millions of fans and the partners we serve. Minute Media has offices in the US, UK, Israel, Brazil, Asia and India.
 *For more information, visit* 
*www.minutemedia.com* 
*.* 
 We are seeking an analytical and tech\-savvy Analytics Engineer/ BI Developer to join our team, focusing on our B2B products and content cost analytics. You will bridge the gap between data and business for our publisher\-facing solutions. In this role, you’ll develop Business Intelligence solutions and insights that drive informed decisions for both Minute Media and our content partners. This includes building dashboards to track B2B product performance and analyzing content costs to help optimize our partnerships. If you enjoy turning data into actionable business intelligence and thrive in a fast\-paced media environment, we’d love to meet you.
**What You'll Do**
**﻿**
**Content Cost Analytics \&amp; Reporting** 
* Analyze and report on content costs (licensing, contributors) to assess impact on revenue, margins, and content ROI, and integrate these metrics into centralized data models and the Single Source of Truth in partnership with Data Engineering.
* Automate monthly and quarterly content cost reporting by replacing manual spreadsheets with dynamic Looker dashboards, providing Finance and Partnerships teams with real\-time visibility into spend vs. returns.
**BI Development for Partner Solutions** 
* Design and build scalable data sources, models, and feeds to support B2B analytics, including partner\-facing reporting in Voltax for content performance and earnings.
* Develop and maintain intuitive Looker dashboards tracking key B2B KPIs (e.g., video usage, syndication metrics, revenue share), ensuring data accuracy, consistency, and stakeholder trust.
**Insights \&amp; Collaboration** 
* Collaborate cross\-functionally with Product, Finance, and Partnerships to translate business questions into data analysis and actionable insights.
* Identify trends and optimization opportunities in partner usage and content costs, clearly communicating findings internally and occasionally supporting external partner reporting, enablement, and training.
* Proactively improve analytics offerings by staying current on BI and digital media trends and recommending new metrics or visualizations.
 Requirements:
**What You Have**
* 3\+ years of experience in data analytics, business intelligence, or a related role, ideally in tech, media, or digital content environments.
* Strong SQL skills with experience writing complex queries and transforming data in cloud data warehouses (e.g., BigQuery, Athena), along with a solid understanding of data modeling and ETL processes (e.g., Rivery or similar tools).
* Proven experience building dashboards and reports in BI tools, with Looker strongly preferred (or Tableau/Power BI with ability to ramp quickly).
* Strong analytical mindset with excellent attention to detail, able to ensure data integrity, uncover insights, and balance hands\-on technical work with high\-level analysis and interpretation.
* Strong communication and presentation skills, capable of translating complex data findings into clear, business\-friendly language and visuals.
* Self\-motivated and curious, with a strong interest in understanding how products work and how data can drive improvement.
* BA/BSc or Master’s degree in Data Science, Analytics, Computer Science, or a related field (or equivalent practical experience in a data\-focused role).
**﻿Bonus If You Have**
* Familiarity with the digital media landscape and content economics, including content licensing models and performance metrics.
* Experience working on analytics for B2B or SaaS products, particularly involving data sharing with external partners or clients.
* Knowledge of Voltax or similar online video platforms or content management systems from a data perspective.
* Exposure to financial or accounting concepts to support cost, revenue, and profitability analysis.
* Experience with collaborative analytics and documentation tools (e.g., Cursor, data dictionaries, partner guides).
* Basic scripting or programming skills (Python, R) for advanced data manipulation or extending BI capabilities.
 The expected salary range for this position is between $85,000 \- $95,000 annually. Actual pay will be determined based on skills, experience, and location. The benefits available for this position include a flexible vacation policy, 15 paid holidays, paid parental leave, health insurance, 401(k) retirement plan.
 Not sure that you're 100% qualified but are up for the challenge? We want you to apply!
 Minute Media is committed to creating a diverse and inclusive work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Minute Media participates in E\-Verify.
 Check the URL and email address of any correspondence with Minute Media. If it is not from
 **@** 
 minutemedia.com, treat it as fraudulent. To learn how to protect yourself from recruitment fraud click here.</t>
        </is>
      </c>
    </row>
    <row r="115">
      <c r="A115" t="inlineStr">
        <is>
          <t>li-4377072350</t>
        </is>
      </c>
      <c r="B115" t="inlineStr">
        <is>
          <t>REMOTE- Junior Data Engineer</t>
        </is>
      </c>
      <c r="C115" t="inlineStr">
        <is>
          <t>Lensa</t>
        </is>
      </c>
      <c r="D115" t="inlineStr">
        <is>
          <t>linkedin</t>
        </is>
      </c>
      <c r="E115">
        <f>HYPERLINK("https://www.linkedin.com/jobs/view/4377072350", "https://www.linkedin.com/jobs/view/4377072350")</f>
        <v/>
      </c>
      <c r="F115">
        <f>HYPERLINK("https://lensa.com/cgw/799075ddcb0a4ae2bd16d0430cd5a32etjo1?jpsi=directemployers_no_redirect&amp;publisher_preference=easier_apply&amp;utm_campaign=Computer%20Occupations&amp;utm_medium=slot&amp;utm_source=linkedin&amp;utm_term=jse&amp;urlHash=-0Ys", "https://lensa.com/cgw/799075ddcb0a4ae2bd16d0430cd5a32etjo1?jpsi=directemployers_no_redirect&amp;publisher_preference=easier_apply&amp;utm_campaign=Computer%20Occupations&amp;utm_medium=slot&amp;utm_source=linkedin&amp;utm_term=jse&amp;urlHash=-0Ys")</f>
        <v/>
      </c>
      <c r="G115" t="inlineStr">
        <is>
          <t>Fort Worth, TX</t>
        </is>
      </c>
      <c r="H115" t="inlineStr"/>
      <c r="I11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One of the largest logistics and transportation employers in the US is seeking a Jr. Data Engineer to join their expanding team. The Jr. Data Engineer will play a crucial role in understanding business problems and assisting in designing solutions that transform complex ideas into sustainable processes. This individual will focus on supporting the onboarding of new lines of business into the data analytics team. Their responsibilities will include assisting in the full life cycle of data engineering, from gathering requirements from internal customers to building data pipelines, testing, reporting, and maintaining solutions. Additionally, the Jr. Data Engineer will support escalation tasks, contribute to system development, help automate processes, maintain internal systems, and assist in data modeling. They will use their growing expertise in data structures specific to the company's operating systems to help turn data into valuable business insights.
 We are a company committed to creating inclusive environments where people can bring their full, authentic selves to work every day. We are an equal opportunity employer that believes everyone matters. Qualified candidates will receive consideration for employment opportunities without regard to race, religion, sex, age, marital status, national origin, sexual orientation, citizenship status, disability, or any other status or characteristic protected by applicable laws, regulations, and ordinances. If you need assistance and/or a reasonable accommodation due to a disability during the application or recruiting process, please send a request to Human Resources Request Form (https://airtable.com/app21VjYyxLDIX0ez/shrOg4IQS1J6dRiMo) . The EEOC "Know Your Rights" Poster is available here (https://www.eeoc.gov/sites/default/files/2023\-06/22\-088\_EEOC\_KnowYourRights6\.12ScreenRdr.pdf) .
 To learn more about how we collect, keep, and process your private information, please review Insight Global's Workforce Privacy Policy: https://insightglobal.com/workforce\-privacy\-policy/ .
**Skills And Requirements**
 2\-5\+ years' experience of data engineer experience
 Strong ADF experience (creating pipelines from scratch/ knowledge of connectors and activities following architect plan)
 Strong knowledge of SQL (Mostly working with SQL scripting implementing into ADF)
 Understanding of full life cycle data engineering
 Extremely detail oriented and ability to provide effective updates
 Strong communication for working with internal/ external customers
 Strong critical thinking skills Python or Spark experience (Small environment is in Python\- basic level scripting and reviews)
 DevOps Experience
 Data Bricks Experience
 Background in Logistics
 Agile Methodologies
 Experience with cloud (Azure specifically)
 If you have questions about this posting, please contact support@lensa.com</t>
        </is>
      </c>
    </row>
    <row r="116">
      <c r="A116" t="inlineStr">
        <is>
          <t>li-4377022975</t>
        </is>
      </c>
      <c r="B116" t="inlineStr">
        <is>
          <t>Data Engineer III</t>
        </is>
      </c>
      <c r="C116" t="inlineStr">
        <is>
          <t>Mulligan Funding, LLC</t>
        </is>
      </c>
      <c r="D116" t="inlineStr">
        <is>
          <t>linkedin</t>
        </is>
      </c>
      <c r="E116">
        <f>HYPERLINK("https://www.linkedin.com/jobs/view/4377022975", "https://www.linkedin.com/jobs/view/4377022975")</f>
        <v/>
      </c>
      <c r="F116" t="inlineStr"/>
      <c r="G116" t="inlineStr">
        <is>
          <t>San Diego, CA</t>
        </is>
      </c>
      <c r="H116" t="inlineStr"/>
      <c r="I116" t="inlineStr">
        <is>
          <t>*Headquartered in San Diego, Mulligan Funding serves as a leading provider of working capital (Up to $5M) to the small and medium\-sized businesses that fuel our country. Since 2008, we have prided ourselves on our collaborative, innovative, and customer\-focused approach. Enjoying a period of unprecedented growth, driven by the combination of cutting\-edge technology, human touch, and unwavering integrity, we are looking to add to our people first culture, with highly motivated and results\-oriented professionals, to push the limits of what’s possible while creating value for all of our partners.*
 As a
 *Data Engineer III* 
 , you are responsible for leveraging data to drive business initiatives and ensuring the reliability, scalability, and accuracy of the data pipeline. You will collaborate closely with Data Analysts and Data Scientists to generate and validate data used for business decision\-making and predictive modeling. This role operates within high\-volume data environments integrating PostgreSQL, Azure Cosmos DB, and a modern Data Lakehouse architecture.
**You will:**
* Design, implement, and optimize ETL and ELT pipelines using dbt to extract, transform, and load data into the data warehouse
* Build, evolve, and maintain infrastructure for optimal data transformation and integration using Azure Event Hub or Event Grid, PostgreSQL, and Azure Cosmos DB
* Manage and monitor complex data processing and storage infrastructure, including Data Lakes leveraging Apache Iceberg table formats
* Perform advanced manipulation and analysis of large datasets using Trino for distributed SQL querying across diverse data sources
* Utilize Python for high\-performance data manipulation, scripting, and process automation
* Containerize and orchestrate data workloads using Docker and Kubernetes to ensure scalability and reliability
* Develop architectural frameworks and tools that enable Data Science teams to build, train, and scale machine learning models on the Azure Machine Learning Platform
* Automate and optimize data processes while implementing robust logging and monitoring practices
* Partner strategically with Analytics and cross\-functional teams to deliver scalable data solutions within agreed timelines
* Monitor, troubleshoot, and remediate complex data quality issues, including database schema modifications
* Support data governance initiatives, including cataloging and lineage tracking
* Collaborate with senior engineers to design data models, develop summarized datasets, and build data APIs with minimal guidance
* Coach and mentor junior engineers on complex technical challenges
* Write scripts and queries to support ad hoc data analysis
* Perform other duties as assigned
**You have:**
* 5\+ years of relevant data engineering experience
* A Bachelor’s degree in a related field
* Expert\-level SQL and advanced experience with PostgreSQL schema design and query optimization
* Deep proficiency in dbt for developing and managing modular, documented ETL and ELT pipelines
* Advanced Python skills, including experience with pandas and polars for high\-performance data manipulation
* Hands\-on experience with Azure Event Hub or Event Grid subscriptions and Azure Cosmos DB for streaming data storage
* Experience managing Data Lake environments using Apache Iceberg table formats
* Proficiency with Trino for federated SQL queries across disparate data sources
* Experience with Git and modern source code management practices
* Strong understanding of data management systems, data warehousing, and data modeling concepts
* Ability to communicate effectively with both technical and non\-technical stakeholders
**You may also have:**
* Familiarity with Docker and Kubernetes for orchestrating data workloads and microservices
* Experience supporting Machine Learning teams through the Azure Machine Learning Platform
* Familiarity with R, Scala, or other scripting languages for automation
* Experience with data governance tools for cataloging and lineage tracking
**We offer:**
* Comprehensive medical, vision and dental benefits that give you peace of mind
* Flexible Spending Accounts (FSA) that let you use pre\-tax dollars to cover healthcare expenses
* A fantastic 401K with matching contributions that helps you plan for retirement and build wealth over time
* Generous sick, vacation, and holiday benefits that give you the time and flexibility you need to enjoy life
* A gym membership contribution that supports your well\-being, and helps you stay energized and focused
* An internal referral program that rewards you for bringing talented people to the team
* Company events that foster a positive and inclusive culture, and create opportunities to bond and grow with your colleagues
 Mulligan Funding is an Equal Opportunity Employer (EOE) and takes great pride in building a diverse work environment. Qualified applicants are considered for employment without regard to age, race, religion, gender, national origin, sexual orientation, disability or veteran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 reasonable estimate of the salary range for this role is $126,100 to $159,200 per year. In order to provide a competitive compensation package, Mulligan Funding takes into account a variety of factors including but not limited to market compensation data, relevant experience, skills, education, and certifications.</t>
        </is>
      </c>
    </row>
    <row r="117">
      <c r="A117" t="inlineStr">
        <is>
          <t>li-4377020896</t>
        </is>
      </c>
      <c r="B117" t="inlineStr">
        <is>
          <t>Data Engineer</t>
        </is>
      </c>
      <c r="C117" t="inlineStr">
        <is>
          <t>CVS Health</t>
        </is>
      </c>
      <c r="D117" t="inlineStr">
        <is>
          <t>linkedin</t>
        </is>
      </c>
      <c r="E117">
        <f>HYPERLINK("https://www.linkedin.com/jobs/view/4377020896", "https://www.linkedin.com/jobs/view/4377020896")</f>
        <v/>
      </c>
      <c r="F117" t="inlineStr"/>
      <c r="G117" t="inlineStr">
        <is>
          <t>Buffalo Grove, IL</t>
        </is>
      </c>
      <c r="H117" t="inlineStr"/>
      <c r="I117"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If you’re eager to make a real impact in the health care industry through your own meaningful contributions, explore a role in technology with CVS Health. Our journey calls for technical innovators and data visionaries: come help us pave the way.
 At CVS Health, we possess an extensive repository of healthcare data that spans over 150 million individuals, providing an unparalleled foundation for ambitious Data Engineers. In this role, you will engage with complex business challenges, harnessing modern tools and technologies to securely store, process, transform, and enrich terabyte to petabyte scale healthcare data. Your work will underpin data\-driven business decisions and contribute to our mission of delivering industry\-best data products / software with a customer\-first mindset and team\-oriented approach.
 As a Data Engineer, you will be instrumental in designing, developing, and maintaining optimal data pipelines to assemble large and intricate datasets, catering to the business requirements of various CVS lines of business. Collaborating closely with teams, you will craft tools to provide actionable insights and integrate them with consumer touchpoints.
 As leaders in healthcare, our analytics and engineering teams deliver innovative solutions to business problems by collaborating with cross\-functional teams in a dynamic and agile environment. You will be part of a team that values collaboration and encourages innovative thinking at all levels. You will be intellectually challenged to solve problems associated with large scale complex, structured and unstructured data, that will allow you to grow your technical skills and engineering expertise.
 This role will work onsite in our Buffalo Grove, IL office 3 days per week (every other week).
**Required Qualifications**
* 1\+ years of experience with SQL, NoSQL
* 1\+ years of experience with Python
* 1\+ years of experience with Data warehouses (such as data modeling and technical architectures) and infrastructure components
* 1\+ years of experience with ETL/ELT, and building high\-volume data pipelines
* 1\+ year experience designing and building data engineering solutions in cloud environments (preferably GCP, open to AWS or Azure)
* 1\+ years of experience with reporting/analytic tools
* 1\+ years of experience with query optimization, data structures, transformation, metadata, dependency, and workload management
* 1\+ years of experience with Big data and cloud architecture
**Preferred Qualifications**
* Experience building Agentic AI solutions
* Experience with complex systems and solving challenging analytical problems
* Strong collaboration and communication skills within and across teams
* Experience with Git, CI/CD pipeline, and other DevOps principles/best practices
* Experience with bash shell scripts, UNIX utilities \&amp; UNIX Commands
* Understanding of software development methodologies including waterfall and agile
* Ability to leverage multiple tools and programming languages to analyze and manipulate data sets from disparate data sources
* Knowledge of API development
* Google Professional Data Engineer Certification
* Knowledge of microservices and SOA
* Formal SAFe and/or agile experience
* Previous healthcare experience and domain knowledge
**Education**
* Bachelor’s Degree or equivalent work experience in Computer Science, Information Systems, Data Engineering, Data Analytics, Machine Learning, or related field required
* Master’s Degree preferred
**Anticipated Weekly Hours**
 40
**Time Type**
 Full time
**Pay Range**
**The Typical Pay Range For This Role Is**
 $79,310\.00 \- $158,620\.00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03/30/2026
 Qualified applicants with arrest or conviction records will be considered for employment in accordance with all federal, state and local laws.</t>
        </is>
      </c>
    </row>
    <row r="118">
      <c r="A118" t="inlineStr">
        <is>
          <t>li-4377054400</t>
        </is>
      </c>
      <c r="B118" t="inlineStr">
        <is>
          <t>Data Engineer</t>
        </is>
      </c>
      <c r="C118" t="inlineStr">
        <is>
          <t>Diverge Health</t>
        </is>
      </c>
      <c r="D118" t="inlineStr">
        <is>
          <t>linkedin</t>
        </is>
      </c>
      <c r="E118">
        <f>HYPERLINK("https://www.linkedin.com/jobs/view/4377054400", "https://www.linkedin.com/jobs/view/4377054400")</f>
        <v/>
      </c>
      <c r="F118" t="inlineStr"/>
      <c r="G118" t="inlineStr"/>
      <c r="H118" t="inlineStr"/>
      <c r="I118" t="inlineStr">
        <is>
          <t>*At Diverge Health we are passionate about improving health access and outcomes for those most in need. We partner with primary care providers to improve the engagement and management of their Medicaid patients, offering independent practices with specialized resources and clinical programs to close gaps in care. Our teams work to address medical, social and behavioral patient needs, lowering healthcare costs and improving patient lives. Guided by our core values of humility, continuous learning and feeling the weight, our team is on a mission to strengthen communities from within, unlocking people's ability to live their healthiest lives.*
**We are looking for a Data Engineer to join our team!** 
 Reporting to the Data Engineering Manager, the Data Engineer will be passionate about our mission to support those who need help most in our healthcare system.  This role will be part of our Data Engineering team and work closely with other technical leaders on the team including data engineering, data science, and application development to help design and optimize our data architectures.
**Who We Are:** 
 We are a team of entrepreneurs passionate about improving health access and outcomes for those most in need. We partner with primary care providers to improve the engagement and management of their Medicaid patients, providing independent practices with access to specialized resources and clinical programs to address medical, social, and behavioral patient needs. Our care ecosystem is equipped with enhanced technology and data interfaces to enable provider and patient success in a value\-based environment. Guided by our core values of humility, continuous learning and feeling the weight, our team is on a mission to strengthen communities from within, unlocking people's ability to live their healthiest lives.
 Our technology organization is a small, growing team of problem solvers committed to improving healthcare outcomes for disadvantaged populations.  Our fully remote workforce strives to be…
* Innovative – We love creative problem solvers capable of outside the box solutioning, and who work hard to find simple solutions to hard problems.
* Independent – We take ownership of problems and have pride in our solutions, while working independently and supporting each other’s efforts.
* Adaptive – As a small team, we all lean across the breadth of our technologies and love to learn new technologies and dive into new areas \- and to figure things out as we go.
**What We Do:** 
 We create and execute our technology enablement efforts – from software development to data/analytics, to infrastructure, and enterprise technologies. We work collaboratively across internal stakeholders to understand business problems and needs, and design \&amp; implement solutions that support our mission of providing effective and transformative patient\-centered care.
 We work on an ever\-expanding set of technology platforms and are always seeking the simplest, most cost\-effective way to solve problems.  We build solutions leveraging back\-end services and databases (Snowflake SQL ), data integrations and data warehouses (leveraging such tools as DBT, Hightouch \&amp; Dagster), healthcare analytics (across Snowflake data stores, Sigma reporting, cloud data and analytics services), and more, all deployed across automated, serverless infrastructures wherever possible.
**How You Can Help Us:** 
 Here are some key areas where we’re looking to make our team stronger:
* Experience building, optimizing, and maintaining data pipelines – in particular, data pipeline development and maintenance with Python, Snowflake SQL, and DBT. Strong examples of automating data flows and optimizing performance and reliability will demonstrate this experience, regardless of technology choices. Experience with Salesforce is a plus!
* Data orchestration experience – practical experience in using data or workflow orchestration tools (such as Dagster, Prefect, Airflow, etc) to manage and schedule data workflows. Examples designing automated workflows that ensure data quality, reliability, handling failures, and monitoring data pipeline performance to support timely and accurate data delivery will demonstrate this experience.
* Strong knowledge of common medical formats – hands on experience in integration with claims, EHRs and CRMs into data warehouses and operational systems. An understanding of claims consolidation, ICD, CPT and NDC codes are preferred as well as experience with front\-end patient lookup software.
* Problem\-solving and optimization in data engineering – an ability to look at existing data flows, identify bottlenecks, and optimize performance and cost efficiency, when necessary.  Provide some examples of how you’ve done this in the past.
* Adaptability and eagerness to learn – excitement about learning new tools and technologies (e.g., new cloud platforms, additional ETL tools, or advanced orchestration methods). Give us samples on mastering new skills and applying them to improve data processes or pipelines.
* Proven experience in complex healthcare environments – we’re looking for someone who has proven themselves in multiple environments – and with healthcare data specifically.   This could be demonstrated with 7\+ years of experience in data engineering and 7\+ years of experience in healthcare, or by providing examples of handling the intricacies of healthcare data in highly complex environments.
* Leadership, collaboration and communication within and across functional teams – work closely with data scientists, analysts, engineers, and business stakeholders to understand data needs and implement data solutions and lead a team in implementing cross\-functional engineering projects simultaneously.   Showcasing your cross\-team collaboration and leadership to solve real business problems would demonstrate this experience.
* Focus on reliable and scalable solutions – design and implement data pipelines that are not only functional but also scalable and maintainable. Examples of ensuring data integrity, handling data failures gracefully, and creating monitoring and alerting mechanisms are important for this role.
 And as potential bonus areas, we’re also interested to hear more about
* Knowledge of some of our specific tools — Salesforce, Hightouch, Sigma—but it’s not a hard requirement.
* Abilities and experience with other languages and technology stacks – Python, Hadoop, Glue, etc. – no one tool solves every task, so having a bigger toolbelt is always a plus!
* Teamwork, leadership, mentorship, and history helping teams and teammates grow and get stronger – being able to lift a coworker shows a commitment to more than oneself.
* Start\-up or small company experience – start\-ups have no silos or boundaries like larger companies might, so showing how you’ve been in such an environment before helps prove that you can do it again.
**This is a full\-time, exempt, salaried position. Commensurate on candidate experience, the expected base salary range for this role is $145,000\-$155,000\.**
***At this time, we are unable to support hiring in Alaska and Hawaii due to our primary operations being based in the Eastern and Central time zones.***
**Our Investors**
 Diverge Health is funded by GV and incubated by Triple Aim Partners, which since 2019 has partnered with entrepreneurs to co\-found and launch eight companies focused on improving the quality, experience and total cost of healthcare.
 At Diverge Health we believe that a diverse set of backgrounds and experiences enrich our teams and enable us to realize our mission. If you do not have experience in all areas detailed above, we encourage you to share your unique background with us and how it might be additive to our team.
**Special Considerations**
*Diverge Health is dedicated to the principles of Diversity, Equity and Inclusion and Equal Employment Opportunities for all employees and applicants for employment. We do not discriminate on the basis of race, color, religion, age, sex, national origin, disability status, genetics, protected veteran status, sexual orientation, gender identity or expression, reproductive health decisions, family responsibilities or any other characteristic protected by the federal, state or local laws. Our decision to hire, promote, discipline, or discharge, will be based on merit, competence, performance and business needs.*
**At this time, we are unable to support hiring in Alaska and Hawaii due to our primary operations being based in the Eastern and Central time zones* 
 .*</t>
        </is>
      </c>
    </row>
    <row r="119">
      <c r="A119" t="inlineStr">
        <is>
          <t>li-4375770514</t>
        </is>
      </c>
      <c r="B119" t="inlineStr">
        <is>
          <t>Senior Data &amp; Analytics Engineer (AWS / BI)</t>
        </is>
      </c>
      <c r="C119" t="inlineStr">
        <is>
          <t>Quantam</t>
        </is>
      </c>
      <c r="D119" t="inlineStr">
        <is>
          <t>linkedin</t>
        </is>
      </c>
      <c r="E119">
        <f>HYPERLINK("https://www.linkedin.com/jobs/view/4375770514", "https://www.linkedin.com/jobs/view/4375770514")</f>
        <v/>
      </c>
      <c r="F119" t="inlineStr"/>
      <c r="G119" t="inlineStr">
        <is>
          <t>Lansing, MI</t>
        </is>
      </c>
      <c r="H119" t="inlineStr"/>
      <c r="I119" t="inlineStr">
        <is>
          <t>Quantam Solutions provides IT solutions and consulting for various clients. We offer competitive hourly wages, health benefits, paid time off, and a 401(k) plan. We are currently seeking a
 **Senior Data \&amp; Analytics Engineer** 
 . The work schedule is hybrid, with two days onsite in Lansing, MI. There is no option for a fully remote work schedule. A Bachelor’s Degree is required for this position.
 We are seeking an experienced Senior Report Developer to function as a Data Analyst and Dashboard Developer within the MDHHS Analytics and Visualization Division. This position is responsible for analyzing complex datasets, delivering actionable insights, and developing dynamic, interactive dashboards using Power BI, SAP BusinessObjects, Crystal Reports, and BI Query. The role also includes designing and optimizing cloud\-native data and AI platforms using Amazon Web Services (AWS) to enable advanced analytics, machine learning, and real\-time data processing. The ideal candidate will possess strong analytical expertise, advanced reporting tool proficiency, and the ability to convert business requirements into impactful visualizations and scalable data solutions.
**Key Responsibilities:** 
* Analyze large, complex datasets to uncover trends, patterns, and actionable insights for business stakeholders.
* Design, develop, and maintain interactive dashboards and reports using Power BI, SAP BusinessObjects, and Crystal Reports.
* Develop and optimize SQL queries and scripts for data extraction, transformation, and performance tuning.
* Create and enhance queries in Hummingbird BI Query to support business intelligence and analytical reporting needs.
* Architect and implement end\-to\-end data pipelines utilizing AWS services such as Amazon S3, Glue, Lambda, EMR, Redshift, Kinesis, and SageMaker.
* Design, build, and optimize scalable cloud\-native data and AI platforms to support advanced analytics and machine learning initiatives.
* Develop and maintain robust ETL/ELT workflows while ensuring data quality, governance, security, and compliance across distributed systems.
* Collaborate with business stakeholders to gather requirements and translate them into technical specifications and reporting solutions.
* Partner with cross\-functional teams, including data architects, business analysts, and application developers, to align data solutions with organizational objectives.
* Ensure data accuracy, integrity, and compliance with MDHHS standards and policies.
* Provide subject matter expertise in reporting tools and support troubleshooting and performance optimization efforts.
* Document data flows, reporting standards, and development processes to support ongoing maintenance and knowledge sharing.
**Required Qualifications:** 
* Bachelor’s degree in Computer Science, Information Systems, Data Analytics, or a related field.
* Minimum of 3 years of experience in report development and data analysis within large\-scale environments.
* At least 3 years of experience in AI data engineering using AWS platforms.
* Minimum of 3 years of experience with Python, PySpark, and advanced data structures.
* At least 3 years of experience working with Teradata Data Warehouse and ETL utilities.
* Hands\-on experience with AWS cloud and AI platforms.
* Proficiency in SQL, Hummingbird BI/Query, SAP Business Objects, Tableau, and Power BI.
* Strong experience in dashboard development and data visualization best practices.
* Solid understanding of relational database systems and data warehouse concepts, preferably Teradata.
* Excellent analytical, problem\-solving, and communication skills.
**Preferred Qualifications:** 
* Experience supporting Medicaid or healthcare\-related reporting initiatives.
* Familiarity with performance optimization techniques for business intelligence tools.
* Experience working with cloud data platforms such as AWS, Azure, or GCP and integrating them with Teradata.
* Ability to design and implement modern data architectures that support advanced analytics and machine learning.
* Broad familiarity with BI and reporting tools.
* Exposure to Agile and DevOps methodologies.
* Knowledge of data governance, security, and compliance standards.
* Bachelor’s degree in Computer Science, Software Engineering, or a related technical discipline.
**Soft Skills:** 
* Strong interpersonal skills with the ability to collaborate across teams and effectively communicate technical concepts to non\-technical stakeholders.
* Excellent time management and organizational abilities to manage multiple priorities and meet deadlines.
* Adaptability and flexibility to thrive in a dynamic environment with evolving business requirements.
* Strong critical thinking skills and attention to detail to ensure reporting accuracy and quality.
* Proactive problem\-solving mindset with initiative to improve processes and solutions.
* Ability to contribute positively to team culture and support shared organizational goals.</t>
        </is>
      </c>
    </row>
    <row r="120">
      <c r="A120" t="inlineStr">
        <is>
          <t>li-4377035213</t>
        </is>
      </c>
      <c r="B120" t="inlineStr">
        <is>
          <t>Data Engineer</t>
        </is>
      </c>
      <c r="C120" t="inlineStr">
        <is>
          <t>Kforce Inc</t>
        </is>
      </c>
      <c r="D120" t="inlineStr">
        <is>
          <t>linkedin</t>
        </is>
      </c>
      <c r="E120">
        <f>HYPERLINK("https://www.linkedin.com/jobs/view/4377035213", "https://www.linkedin.com/jobs/view/4377035213")</f>
        <v/>
      </c>
      <c r="F120" t="inlineStr"/>
      <c r="G120" t="inlineStr">
        <is>
          <t>Fort Lauderdale, FL</t>
        </is>
      </c>
      <c r="H120" t="inlineStr"/>
      <c r="I120" t="inlineStr">
        <is>
          <t>**Responsibilities**
 Kforce has a client in Fort Lauderdale, FL that is seeking a Data Engineer. Summary: The Data Engineer supports operations and conducts data analytics projects to provide information and insights to stakeholders for decision\-making or solution development. This role implements data standards and deploys automation tools to extract, synthesize, and validate data from different sources and transform data into usable metrics. The Data Engineer constructs data sets, monitors data quality, troubleshoots and resolves database issues to ensure data integrity. He/she utilizes scripting and querying tools like Python, R or SQL, data visualization/BI tools, statistical methods, and data modeling to produce reports, data files, and dashboards. This position collaborates with stakeholders to understand their needs, objectives, and requirements. Job Responsibilities:
* Data Analysis: Collect, analyze, and compile data from multiple sources to create comprehensive and informative reports
* SQL Mastery: Develop, optimize, and troubleshoot complex SQL queries for efficient data extraction and transformation
* Report Creation: Design and maintain visually compelling report templates and dashboards using Power BI, Tableau, or advanced Excel
* Collaborative Engagement: Partner with the CIO and department heads to understand reporting needs and translate them into actionable insights
* Data Quality Assurance: Ensure the accuracy, consistency, and reliability of all reports through thorough validation and documentation practices
* Process Enhancement: Continuously refine and streamline reporting processes for maximum efficiency and timely delivery
* Leadership and Influence: Coach, mentor, and develop team members directly and indirectly
**Requirements**
* A Bachelor's degree in Computer Science, Data Science, Business Analytics, or a related field is ideal
* 7\+ years as a Report Writer, Data Analyst, or in a similar role focused on report development is required
* Must possess advanced skills in writing, optimizing, and troubleshooting complex SQL queries
* Must have strong experience with data visualization tools (e.g., Power BI, Tableau, or equivalent software) with the ability to extrapolate and make recommendations or decisions
* Must have advanced knowledge of MS Excel, including pivot tables, VLOOKUPs, and data modeling
* A strong analytical mindset, attention to detail, problem\-solving capabilities, and excellent written and verbal communication is ideal
* Familiarity with business intelligence best practices; Knowledge of data governance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21">
      <c r="A121" t="inlineStr">
        <is>
          <t>li-4374550019</t>
        </is>
      </c>
      <c r="B121" t="inlineStr">
        <is>
          <t>Specialist, Data Engineer</t>
        </is>
      </c>
      <c r="C121" t="inlineStr">
        <is>
          <t>Nationwide</t>
        </is>
      </c>
      <c r="D121" t="inlineStr">
        <is>
          <t>linkedin</t>
        </is>
      </c>
      <c r="E121">
        <f>HYPERLINK("https://www.linkedin.com/jobs/view/4374550019", "https://www.linkedin.com/jobs/view/4374550019")</f>
        <v/>
      </c>
      <c r="F121" t="inlineStr"/>
      <c r="G121" t="inlineStr">
        <is>
          <t>Columbus, OH</t>
        </is>
      </c>
      <c r="H121" t="inlineStr"/>
      <c r="I121"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
***This role does not qualify for employer\-sponsored work authorization. Nationwide does not participate in the Stem OPT Extension program.***
 This position is within the IDS DBO organization, supporting the HA Databases (HA DB) application area—a portfolio of highly available Oracle databases, including INDA, CPPF, ODBS, VLDM, EXPLAIN, and IWDB—that store core annuity, pension, and investment data to support critical back\-office and digital experiences.
**Key Responsibilities**
* Design, build, and maintain data products and pipelines (batch and streaming) to support reporting, analytics, dashboards, data science, and operational processes.
* Acquire, transform, and integrate data from multiple internal and external sources, including structured, semi‑structured, and unstructured data.
* Develop data models and data flows (e.g., dimensional models, data building blocks) that align to business needs and enterprise standards.
* Translate business requirements into technical stories, estimates, and implementation plans for agile delivery teams.
* Implement and monitor data quality controls to ensure accuracy, completeness, and reliability of production data; create and run unit and integration tests for data solutions.
* Build and support APIs and data access methods to expose curated data to downstream consumers and applications.
* Apply DevSecOps practices, including use of CI/CD pipelines, version control, and automated testing, in line with enterprise standards.
* Partner with data architects, analysts, and business stakeholders to ensure solutions meet business objectives, data governance expectations, and security/privacy requirements.
**Technical Skills**
* Proficiency in SQL and at least one modern programming or scripting language such as Python and UNIX shell scripting.
* Experience with cloud data platforms and infrastructure (e.g., Snowflake, Databricks, or similar), including security and access management.
* Familiarity with ETL/ELT tools like Informatica, data pipelines, and orchestration frameworks.
* Working knowledge of modern data storage technologies (relational, dimensional, big data, and unstructured data stores).
**Job Description Summary**
 Nationwide’s industry leading workforce is passionate about creating data solutions that are secure, reliable and efficient in support of our mission to provide extraordinary care. Nationwide embraces an agile work environment and collaborative culture through the understanding of business processes, relationship entities and requirements using data analysis, quality, visualization, governance, engineering, robotic process automation, and machine learning to produce targeted data solutions. If you have the drive and desire to be part of a future forward data enabled culture, we want to hear from you.
 As a Data Engineer you’ll be responsible for acquiring, curating, and publishing data for analytical or operational uses. Data should be in a ready\-to\-use form that creates a single version of the truth across all data consumers, including business users, data scientists, and Technology. Ready\-to\-use data can be for both real time and batch data processes and may include unstructured data. Successful data engineers have the skills typically required for the full lifecycle software engineering development from translating requirements into design, development, testing, deployment, and production maintenance tasks. You’ll have the opportunity to work with various technologies from big data, relational and SQL databases, unstructured data technology, and programming languages.
**Job Description**
**Key Responsibilities:**
* Provides basic to moderate technical consultation on data product projects by analyzing end to end data product requirements and existing business processes to lead in the design, development and implementation of data products.
* Produces data building blocks, data models, and data flows for varying client demands such as dimensional data, standard and ad hoc reporting, data feeds, dashboard reporting, and data science research \&amp; exploration
* Applies secure software and systems engineering practices throughout the delivery lifecycle to ensure our data and technology solutions are protected from threats and vulnerabilities.
* Translates business data stories into a technical story breakdown structure and work estimate so value and fit for a schedule or sprint is determined.
* Creates simple to moderate business user access methods to structured and unstructured data by such techniques such as mapping data to a common data model, NLP, transforming data as necessary to satisfy business rules, AI, statistical computations and validation of data content.
* Assists the enterprise DevSecOps team and other internal organizations on CI/CD best practices experience using JIRA, Jenkins, Confluence etc.
* Implements production processes and systems to monitor data quality, ensuring production data is always accurate and available for key stakeholders and business processes that depend on it.
* Develops and maintains scalable data pipelines for both streaming and batch requirements and builds out new API integrations to support continuing increases in data volume and complexity.
* Writes and performs data unit/integration tests for data quality With input from a business requirements/story, creates and executes testing data and scripts to validate that quality and completeness criteria are satisfied. Can create automated testing programs and data that are re\-usable for future code changes.
* Practices code management and integration with engineering Git principle and practice repositories.
**May Perform Other Responsibilities As Assigned.**
**Reporting Relationships:** 
 Reports to Manager/Director Data Leader.
**Typical Skills And Experiences**
**Education** 
 : Undergraduate studies in computer science, management information systems, business, statistics, math, a related field or comparable experience and education strongly preferred. Graduate studies in business, statistics, math, computer science or a related field are a plus.
**License/Certification/Designation** 
 : Certifications are not required but encouraged.
**Experience** 
 : Three to five years of relevant experience with data quality rules, data management organization/standards, practices and software development. Experience in data warehousing, statistical analysis, data models, and queries. One to three years’ experience with Cloud technology and infrastructure including security and access management. Insurance/financial services industry knowledge a plus.
**Knowledge, Abilities and Skills** 
 : Data application and practices knowledge. Moderate to advanced skills with modern programming and scripting languages (e.g., SQL, R, Python, Spark, UNIX Shell scripting, Perl, or Ruby). Good problem solving, oral and written communication skills.
 Other criteria, including leadership skills, competencies and experiences may take precedence.
 Staffing exceptions to the above must be approved by the hiring manager’s leader and HR Business Partner.
**Values:** 
 Regularly and consistently demonstrates the Nationwide Values.
**Job Conditions**
**Overtime Eligibility:** 
 Exempt (Not Eligible)
**Working Conditions** 
 : Normal office environment.
**ADA** 
 :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click here.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Specialist, Data Engineer : $95,500\.00\-$177,500\.00
 The expected starting salary range for Specialist, Data Engineer : $95,500\.00 \- $143,500\.00</t>
        </is>
      </c>
    </row>
    <row r="122">
      <c r="A122" t="inlineStr">
        <is>
          <t>li-4377054997</t>
        </is>
      </c>
      <c r="B122" t="inlineStr">
        <is>
          <t>Jr. Analytics Engineer</t>
        </is>
      </c>
      <c r="C122" t="inlineStr">
        <is>
          <t>Lensa</t>
        </is>
      </c>
      <c r="D122" t="inlineStr">
        <is>
          <t>linkedin</t>
        </is>
      </c>
      <c r="E122">
        <f>HYPERLINK("https://www.linkedin.com/jobs/view/4377054997", "https://www.linkedin.com/jobs/view/4377054997")</f>
        <v/>
      </c>
      <c r="F122" t="inlineStr"/>
      <c r="G122" t="inlineStr">
        <is>
          <t>Chicago, IL</t>
        </is>
      </c>
      <c r="H122" t="inlineStr"/>
      <c r="I12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CIBC. Clicking "Apply Now" or "Read more" on Lensa redirects you to the job board/employer site. Any information collected there is subject to their terms and privacy notice.
 We’re building a relationship\-oriented bank for the modern world. We need talented, passionate professionals who are dedicated to doing what’s right for our clients.
 At CIBC, we embrace your strengths and your ambitions, so you are empowered at work. Our team members have what they need to make a meaningful impact and are truly valued for who they are and what they contribute.
 To learn more about CIBC, please visit CIBC.com (https://www.cibc.com/en/about\-cibc.html)
**What You'll Be Doing**
* Data modeling and transformation
* Maintain dimensional and semantic models that support self\-serve analytics and BI.
* Establish and govern a consistent metrics layer to ensure a single source of truth.
* Data quality, observability, and governance
* Implement testing, data contracts, and monitoring to proactively detect and resolve data issues.
* Partner with data engineering to enforce SLAs, lineage, and change management.
* Uphold data privacy and security best practices appropriate for regulated environments.
* Pipeline orchestration and reliability
* Maintain, schedule, and optimize workflows for performance and cost.
* Streamline deployments and validations
* Business partnership and enablement
* Collaborate with analysts and stakeholders to translate business logic into reusable models and metrics.
* Build scalable, audited datasets for dashboards, self\-serve, and analytical use cases.
* Provide guidance on data definitions, documentation, and analytics best practices.
* Continuous improvement
* Identify opportunities to simplify the stack, reduce technical debt, and improve developer experience.
* Contribute to standards for coding, documentation, and peer review.
* Please include links or examples that showcase your data models, dbt projects, testing approach, and documentation.
* If applicable, indicate experience with financial services datasets or regulated data environments.
**How You'll Succeed**
* Trusted, documented, and testable data models power critical dashboards and analyses.
* A governed metrics layer reduces duplicative logic and conflicting KPIs.
* Robust pipeline monitoring and CI/CD reduce incidents and accelerate releases.
* Clear runbooks, documentation, and developer standards improve team velocity.
* Positive feedback from stakeholders on data reliability, transparency, and usability.
**Who You Are**
* You know that details matter. You notice things that others don't. Your critical thinking skills help to inform your decision making.
* You're motivated by collective success. You know that teamwork can transform a good idea into a great one. You know that an inclusive team that enjoys working together can bring a vision to life.
* You're digitally savvy. You seek out innovative solutions and embrace evolving technologies. You can easily adapt to new tools and trends.
* You give meaning to data. You enjoy investigating complex problems and making sense of information. You communicate detailed information in a meaningful way.
* You have a degree/diploma in Business and/or a related field of study.
* Values matter to you . You bring your real self to work and you live our values \- trust, teamwork, and accountability.
**What CIBC Offers**
 At CIBC, our people are our greatest asset. You’ll become part of a diverse community that acknowledges everyone’s unique talents, and empowers teams to do what’s right for the client and to do it well. As part of our team, you will
 **:**
* Thrive: Benefit from an open and approachable culture that provides the flexibility and support you need to integrate your life at work and home.
* Connect: Work in a place where the right technology and infrastructure foster innovation, collaboration, and creativity.
* Develop: Grow your skills and career through our best\-in\-class onboarding experience, ongoing learning opportunities, individual development planning, and comprehensive product training.
* Prosper: Share in our collective success with a competitive salary, incentive pay, banking benefits, health benefits programs, retirement savings, and more.
**The anticipated start date for this role is early June 2026\.**
*At CIBC, we offer a competitive total rewards package. This role has an expected salary of* 
***$72,500***
*for the market based on experience, qualifications, and location of the position. The successful candidate may be eligible to participate in the relevant business unit’s incentive compensation plan, which may also include a discretionary bonus component. CIBC offers a full range of benefits and programs to meet our employee’s needs; including Medical, Dental, Vision, Health Savings Account, Life Insurance, Disability, and Other Insurance Plans, Paid Time Off (including Sick Leave, Parental Leave and Vacation), Holidays and 401(k), in addition to other special perks reserved for our team members.*
*This position does not offer visa sponsorship.*
 California residents — your privacy rights regarding your actual or prospective employment (https://us.cibc.com/en/about\-us/california\-consumer\-privacy\-act\-employment.html)
 California Residents: CCPA Employee Privacy Rights \| CIBC US
 As a California resident, you have certain rights with respect to the personal information that CIBC collects. Learn more about the CPPA for employment.
**What CIBC Offers**
 At CIBC, your goals are a priority. We start with your strengths and ambitions as an employee and strive to create opportunities to tap into your potential. We aspire to give you a career, rather than just a paycheck.
* We work to recognize you in meaningful, personalized ways including a competitive salary, incentive pay, banking benefits, a benefits program\*, a vacation offering, wellbeing support, and MomentMakers, our social, points\-based recognition program.
* Our spaces and technological toolkit will make it simple to bring together great minds to create innovative solutions that make a difference for our clients.
* We cultivate a culture where you can express your ambition through initiatives like Purpose Day; a paid day off dedicated for you to use to invest in your growth and development.
* Subject to plan and program terms and conditions
**What You Need To Know**
* CIBC is committed to creating an inclusive environment where all team members and clients feel like they belong. We seek applicants with a wide range of abilities and we provide an accessible candidate experience. If you need accommodation, please contact Mailbox.careers\-carrieres@cibc.com
* You need to be legally eligible to work at the location(s) specified above and, where applicable, must have a valid work or study permit.
* We may ask you to complete an attribute\-based assessment and other skills tests (such as simulation, coding, MS Office). Our goal for the application process is to get to know more about you, all that you have to offer, and give you the opportunity to learn more about us.
**Job Location**
 IL\-70 W Madison St, 8th Fl
**Employment Type**
 Regular
**Weekly Hours**
 40
**Skills**
 Analytics, Application Configuration, Business Logic, Data Engineering, Data Modeling, Infrastructure Management (IM), Project Coordination, Semantics, Technical Support, Use Cases
 At CIBC, we are in business to help our clients, employees and shareholders achieve what is important to them. Our ability to create value for all CIBC stakeholders is driven by a business culture based on common values: Trust, Teamwork and Accountability.
 Working with CIBC makes you a part of a work environment committed to our clients, employees and communities \- a place where you can excel.
 Every day, our 44,000 employees help our clients achieve their financial goals, because what matters to our clients, matters to us.
 If you have questions about this posting, please contact support@lensa.com</t>
        </is>
      </c>
    </row>
    <row r="123">
      <c r="A123" t="inlineStr">
        <is>
          <t>li-4377084005</t>
        </is>
      </c>
      <c r="B123" t="inlineStr">
        <is>
          <t>Senior Data Engineer</t>
        </is>
      </c>
      <c r="C123" t="inlineStr">
        <is>
          <t>Bright Vision Technologies</t>
        </is>
      </c>
      <c r="D123" t="inlineStr">
        <is>
          <t>linkedin</t>
        </is>
      </c>
      <c r="E123">
        <f>HYPERLINK("https://www.linkedin.com/jobs/view/4377084005", "https://www.linkedin.com/jobs/view/4377084005")</f>
        <v/>
      </c>
      <c r="F123" t="inlineStr"/>
      <c r="G123" t="inlineStr">
        <is>
          <t>Jersey City, NJ</t>
        </is>
      </c>
      <c r="H123" t="inlineStr"/>
      <c r="I123" t="inlineStr">
        <is>
          <t>Bright Vision Technologies has an immediate contract opportunity for a
 **Senior Data Engineer**
**Location: Jersey City, NJ (Remote)
 Duration: 6\+ Months with Possible Extension
 Required Experience:**
* 5 \- 8 years of professional experience in data engineering, data architecture, or backend systems at scale
* Proven ability to design and optimize complex data systems for performance, scalability, and security
* Deep understanding of data modeling, ETL/ELT principles, and workflow orchestration
* Experience with modern software development practices, including CI/CD, testing, and infrastructure automation
* Strong communication and collaboration skills, with the ability to explain complex data concepts to diverse audiences
* A passion for creating clarity and insight through data, not just managing pipelines.
**Preferred Experience**
* Hands\-on experience with Databricks and/or Azure\-based data architectures
* Background in building data systems that support machine learning or AI\-driven applications
* Experience leading modernization or migration of large\-scale data platforms
* Familiarity with observability and cost\-optimization strategies for distributed data systems
 At BVTeck,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
 GxOlffvBdu</t>
        </is>
      </c>
    </row>
    <row r="124">
      <c r="A124" t="inlineStr">
        <is>
          <t>li-4377043073</t>
        </is>
      </c>
      <c r="B124" t="inlineStr">
        <is>
          <t>Data Engineer Analyst</t>
        </is>
      </c>
      <c r="C124" t="inlineStr">
        <is>
          <t>Bespoke Technologies, Inc.</t>
        </is>
      </c>
      <c r="D124" t="inlineStr">
        <is>
          <t>linkedin</t>
        </is>
      </c>
      <c r="E124">
        <f>HYPERLINK("https://www.linkedin.com/jobs/view/4377043073", "https://www.linkedin.com/jobs/view/4377043073")</f>
        <v/>
      </c>
      <c r="F124">
        <f>HYPERLINK("http://bespoketechinc.applytojob.com/apply/Jmtx1WMEPQ?source=LinkedIn&amp;urlHash=qIuu", "http://bespoketechinc.applytojob.com/apply/Jmtx1WMEPQ?source=LinkedIn&amp;urlHash=qIuu")</f>
        <v/>
      </c>
      <c r="G124" t="inlineStr">
        <is>
          <t>Herndon, VA</t>
        </is>
      </c>
      <c r="H124" t="inlineStr"/>
      <c r="I124" t="inlineStr">
        <is>
          <t>**BT\-154 – Data Engineer Analyst**
 Skill Level: Senior
 Location: Chantilly/Herndon
* MUST HAVE A TS/SCI CLEARANCE TO APPLY. Those without an active security clearance will not be considered.\*\*
**Role Description**
 As a Data Engineer at the Senior Analyst level, you will be a key contributor to the team responsible for building and maintaining the data pipelines for a Data Platform. This is a hands\-on role where you will support the development, deployment, and operation of critical data infrastructure. You will work closely with senior engineers, applying your technical skills to execute tasks, troubleshoot issues, and learn the foundations of enterprise\-scale data engineering.
**Responsibilities**
* Assist in the development and maintenance of ETL/ELT data pipelines using established patterns and tools.
* Utilize reusable pipeline templates and Infrastructure\-as\-Code (IaC) scripts to deploy data flows consistently and efficiently.
* Support the O\&amp;M of existing pipelines by monitoring performance, troubleshooting failures, and responding to alerts.
* Execute data quality checks and assist in the implementation of data validation rules
* Work with senior team members to test and deploy new pipeline features and optimizations.
* Contribute to the creation and maintenance of technical documentation for data pipelines and processes.
**Required Qualifications**
* 2\+ years of experience in a data\-focused role (e.g., data engineering, backend development, database administration).
* Experience with Python and SQL for data manipulation and scripting.
* Familiarity with data engineering concepts, including ETL processes and data warehousing.
* Exposure to cloud environments (e.g., AWS, Azure) and data platforms like Databricks or Snowflake.
* Basic understanding of Agile/Scrum methodologies.
* A strong desire to learn and grow in the data engineering field.
* Active Top Secret/SCI security clearance.
**Preferred Qualifications**
* Direct experience with data platforms.
* Experience with Spark/PySpark.
* Familiarity with Infrastructure\-as\-Code tools like Terraform.
* Exposure to data orchestration tools (e.g., Airflow) or CI/CD pipelines.</t>
        </is>
      </c>
    </row>
    <row r="125">
      <c r="A125" t="inlineStr">
        <is>
          <t>li-4376003580</t>
        </is>
      </c>
      <c r="B125" t="inlineStr">
        <is>
          <t>Principal Data Engineer - Databricks</t>
        </is>
      </c>
      <c r="C125" t="inlineStr">
        <is>
          <t>Alaska Airlines</t>
        </is>
      </c>
      <c r="D125" t="inlineStr">
        <is>
          <t>linkedin</t>
        </is>
      </c>
      <c r="E125">
        <f>HYPERLINK("https://www.linkedin.com/jobs/view/4376003580", "https://www.linkedin.com/jobs/view/4376003580")</f>
        <v/>
      </c>
      <c r="F125">
        <f>HYPERLINK("https://rr.jobsyn.org/636A5CD62C664281813A5F45D5D9BA176503&amp;urlHash=LRPf", "https://rr.jobsyn.org/636A5CD62C664281813A5F45D5D9BA176503&amp;urlHash=LRPf")</f>
        <v/>
      </c>
      <c r="G125" t="inlineStr">
        <is>
          <t>SeaTac, WA</t>
        </is>
      </c>
      <c r="H125" t="inlineStr"/>
      <c r="I125" t="inlineStr">
        <is>
          <t>**Company** 
 Alaska Airlines
**The Team**
 Guided by our purpose, core values, and leadership principles, we are creating an airline people love. Our corporate teams set the strategies and operational plans to ensure the success of our company. Whether we use our expertise in accounting, human resources, finance, planning, legal, marketing, or any of our operational divisions, our shared passion for travel and our guests is what motivates us to achieve excellence each day. If you share our passion for creating an airline people love, we want to hear from you.
**Role Summary**
 The Principal Data Engineer is the sole subject matter expert in designing, optimizing, implementing and advancing Alaska Air Group’s Enterprise Data platform using Databricks. As an individual contributor, this role defines long\-term strategy for driving innovation, mentoring teams, partnering on the best technical implementation of Databricks, and ensuring the platform is scalable, secure, and aligned with Business and ITS goals.
**Key Duties**
* Act as lead subject matter expert in designing and implementing high\-performance batch or real\-time data pipelines using Apache Spark, Delta Live Tables, and Structured Streaming on Databricks.
* Collaborate with data scientists, analysts, and engineering teams to deliver robust, production grade solutions.
* Define and enforce best practices for workspace governance, job orchestration, and CI/CD integration.
* Optimize cluster configurations, spark parameters, and job execution plans for cost efficiency and speed.
* Evaluate and implement new Databricks features to enhance platform capabilities. Champion the usage and raise awareness of these new features across the teams.
* Exercise considerable latitude and initiative to troubleshoot and resolve performance bottlenecks, memory issues, and streaming latency challenges.
* Lead development and mentor engineers on real\-time streaming solutions, spark internals, delta table optimization strategies, and advanced debugging techniques.
* Implement and manage Unity Catalog for centralized governance, data lineage, and fine\-grained access control.
* Monitor Databricks costs, identify, evaluate and drive implementation for cost reduction opportunities.
* Lead efforts to standardize tagging and metadata practices across the AAG Databricks environment to improve cost attribution, accountability, and reporting.
* Focus on continuous improvement in system reliability through automation and monitoring, including implementation of automated unit testing. Document and create best practices for the development of future teams.
* Collaborate directly with Enterprise Architecture and Security to develop and plan the platforms architecture and security strategies.
* Act as a forward thinker to help ensure that new capabilities are evaluated, implemented, and operationalized.
**Job\-Specific Experience, Education \&amp; Skills**
**Required**
* 7 years of experience in data engineering, big data platforms, and analytics, including independent work on large\-scale data architectures or a related area.
* Bachelor’s degree, or an additional two years of relevant training/experience in lieu of this degree.
* Expert\-level proficiency in Databricks, Apache Spark.
* Deep understanding of Databricks configurations and hands\-on experience with real\-time streaming using Structured Streaming and Delta Live tables.
* Strong coding skills with Python, SQL and PySpark.
* Expert knowledge and experience in Infrastructure as Code (ARM, Terraform) and CI/CD pipeline (Azure DevOps and/or GitHub preferred).
* Proven ability to optimize data pipelines for performance, reliability, and cost.
* Familiarity with Unity Catalog, Lakehouse Federation.
* Ability to work collaboratively with cross functional teams to understand objectives, gather automation requirements, write technical specifications, and perform in a lead role.
* Experience with Kafka.
* Excellent communication skills and a proven ability to collaborate or contribute to technical debate and design choices with a variety of team members.
* High school diploma or equivalent.
* Minimum age of 18\.
* Must be authorized to work in the U.S.
**Preferred**
* Familiarity with Azure, MLflow.
* Certifications such as Databricks Certified Data Engineer Professional or Azure Solutions Architect Expert.
* Experience in Agile (Scrum) or Kanban development methodologies.
* Experience estimating effort and establishing timelines for projects.
* Experience conveying knowledge to diverse groups of people, such as classes, brown bag meetings, or seminars to ensure a consistent application of standards is established.
**Job\-Specific Leadership Expectations**
 Embody our values to own safety, do the right thing, be caring and kind, and deliver performance.
**Salary Range**
 $138,500 \- $207,750 / year
**Salary Details**
 Pay will be based on multiple factors, including and not limited to location, relevant experience/level and skillset while balancing internal equity relative to other Alaska/Hawaiian/Horizon employees. Alaska/Hawaiian/Horizon is committed to fair, unbiased compensation along with competitive benefits in all locations in which we operate.
**Note:** 
 We don’t typically hire at the top of the range.
**Total Rewards**
*Alaska Airlines, Hawaiian Airlines and Horizon Air pay and benefits can vary by company, location, number of regularly scheduled hours worked, length of employment, and employment status.*
* Free stand\-by travel privileges on Alaska Airlines, Hawaiian Airlines \&amp; Horizon Air
* Comprehensive well\-being programs including medical, dental and vision benefits
* Generous 401k match program
* Quarterly and annual bonus plans
* Generous holiday and paid time off
 For more information about Alaska/Hawaiian/Horizon Total Rewards please visit our career site and view benefits.
**Regulatory Information**
**Equal Employment Opportunity Policy Statement**
 It is the policy of Alaska Airlines, Hawaiian Airlines and Horizon Air to comply with all applicable federal, state and local laws governing nondiscrimination in employment and to ensure equal opportunity in all terms, conditions, and benefits of employment or potential employment.
 We also prohibit discrimination and harassment against any employee or applicant for employment because of race, color, religion, sex, national origin, age, disability, veteran status, genetic information and other legally protected categories.
 We have established an EEO Compliance Program under Section 503 of the Rehabilitation Act of 1973 (“Section 503”) and the Vietnam Era Veteran’s Readjustment Assistance Act of 1974 (“VEVRAA”). All applicants and employees are treated without regard to their race, color, religion, sex, national origin, disability or protected veteran status. In addition, we have established an audit and reporting system to allow for effective measurement of its equal employment opportunity activities.
**To Implement This Policy, We Will**
* Recruit, hire, train and promote qualified persons in all job titles, without regard to race, color, religion, sex, national origin, age, disability, veteran status, genetic information and any other legally protected categories;
* Ensure that employment decisions are based only on valid job requirements; and
* Ensure that all personnel actions and employment activities such as compensation, benefits, promotions, layoffs, return from layoff, Alaska Airlines, Hawaiian Airlines and Horizon Air sponsored programs, and tuition assistance will be administered without regard to race, color, religion, sex, national origin, age, disability, veteran status, genetic information and other legally protected categories.
 Employees and applicants for employment will not be subjected to harassment, intimidation, threats, coercion or discrimination because they have engaged or may engage in (1\) filing a complaint, (2\) opposing any act or practice made unlawful by, or exercising any other right protected by, any Federal, State or local law requiring equal opportunity, including Section 503 and the equal opportunity provisions of VEVRAA, or (3\) assisting or participating in any investigation, compliance evaluation, hearing, or any other activity related to the administration of any Federal, State or local law requiring equal opportunity, including Section 503 and the equal opportunity provisions of
 VEVRAA.
**Government Contractor \&amp; Department of Transportation (DOT) Regulations**
 Alaska Airlines, Hawaiian Airlines \&amp; Horizon Air are regulated by the Department of Transportation (DOT – regulations, 49 CFR part 40\) and all applicants are advised that post\-offer and/or pre\-employment drug testing will be conducted to determine the presence of marijuana, cocaine, opioids, phencyclidine (PCP) and amphetamines or a metabolite of these drugs prior to any offer or employment or transfer into a safety\-sensitive position. Failure to submit to testing or positive indications of drug use will render the applicant ineligible for employment with Alaska Airlines/Hawaiian Airlines/Horizon Air and any employment offer will be withdrawn.
**Employment Type** 
 Full\-Time
**FLSA Status** 
 Exempt
**Regular/Temporary** 
 Regular
**L:** 
 \\</t>
        </is>
      </c>
    </row>
    <row r="126">
      <c r="A126" t="inlineStr">
        <is>
          <t>li-4377018685</t>
        </is>
      </c>
      <c r="B126" t="inlineStr">
        <is>
          <t>Senior Data Engineer</t>
        </is>
      </c>
      <c r="C126" t="inlineStr">
        <is>
          <t>Procore Technologies</t>
        </is>
      </c>
      <c r="D126" t="inlineStr">
        <is>
          <t>linkedin</t>
        </is>
      </c>
      <c r="E126">
        <f>HYPERLINK("https://www.linkedin.com/jobs/view/4377018685", "https://www.linkedin.com/jobs/view/4377018685")</f>
        <v/>
      </c>
      <c r="F126">
        <f>HYPERLINK("https://careers.procore.com/jobs/senior-data-engineer-austin-texas-united-states-3e651056-d99f-4075-8e66-51b900d2d5af?source=linkedin_limited_listing&amp;utm_source=linkedin_limited_listing&amp;urlHash=blIb", "https://careers.procore.com/jobs/senior-data-engineer-austin-texas-united-states-3e651056-d99f-4075-8e66-51b900d2d5af?source=linkedin_limited_listing&amp;utm_source=linkedin_limited_listing&amp;urlHash=blIb")</f>
        <v/>
      </c>
      <c r="G126" t="inlineStr">
        <is>
          <t>Austin, TX</t>
        </is>
      </c>
      <c r="H126" t="inlineStr"/>
      <c r="I126" t="inlineStr">
        <is>
          <t>We are looking for a Senior Data Engineer to join Procore Data team. In this role, you will be responsible for building the data architecture that connects Procore’s global ecosystem. You will work across diverse domains to create a unified, high\-fidelity view of our customers, projects, and users.
 This is a "Data Engineering first" role that leverages AI and Machine Learning to solve complex Entity Resolution challenges. You will use the modern data stack to transform fragmented data from across the enterprise into a cohesive, intelligent data foundation that powers our global strategy.
**What you’ll do:**
* Develop and maintain scalable ETL pipelines using Apache Spark. You will implement partitioning strategies and apply performance tuning techniques while utilizing modern open table formats like Delta Lake and Apache Iceberg to manage data consistency
* As a Senior Data Engineer, you will drive engineering excellence through code reviews, mentorship, and the implementation of CI/CD best practices for data.
* Develop and deploy AI/ML models and probabilistic matching logic to link and deduplicate entities across disparate business domains.
* Design canonical data models that provide a 360\-degree view of the enterprise, ensuring that a "Customer" in Sales matches the "Customer" in our Product and Marketing engines.
* Implement AI\-driven workflows to automatically clean, normalize, and enrich enterprise records, ensuring that our customers are working with the most accurate information possible.
* Architect complex, modular data transformations, ensuring that the "logic layer" of our data stack is robust, testable, and highly performant.
* Manage sophisticated, multi\-stage workflows in Airflow, integrating Python\-based scripts directly into the data lifecycle.
**What we’re looking for:**
* Bachelor's degree in Computer Science or a similar technical field of study
* 4\+ years of technical experience in a Data or Software Engineering role.
* Ability to write complex analytical queries and production\-grade Python code.
* Strong experience with Databricks, Airflow, Spark, AWS, Gitlab.
* Experience developing lightweight data services using Python frameworks (e.g., FastAPI, Flask) and integrating with external REST APIs. You understand how to handle authentication, rate limiting, and robust error handling.
* Practical experience using AI techniques (e.g., record linkage, fuzzy matching, or LLM\-based classification) to solve data quality and identity problems.
**Additional Information**
**Base Pay Range:**
 140,960\.00 \- 193,820\.00 USD Annual
**For Los Angeles County (unincorporated) Candidates:**
 Procore will consider for employment all qualified applicants, including those with arrest or conviction records, in accordance with the requirements of applicable federal, state, and local laws, including the City of Los Angeles’ Fair Chance Initiative for Hiring Ordinance, the Los Angeles County Fair Chance Ordinance for Employers, and the California Fair Chance Act.
 A criminal history may have a direct, adverse, and negative relationship on the following job duties, potentially resulting in the withdrawal of the conditional offer of employment: 1\. appropriately managing, accessing, and handling confidential information including proprietary and trade secret information, as well as accessing Procore's information technology systems and platforms; 2\. interacting with and occasionally having unsupervised contact with internal/external customers, stakeholders, and/or colleagues; and 3\. exercising sound judgment.</t>
        </is>
      </c>
    </row>
    <row r="127">
      <c r="A127" t="inlineStr">
        <is>
          <t>li-4377030555</t>
        </is>
      </c>
      <c r="B127" t="inlineStr">
        <is>
          <t>Data Engineer</t>
        </is>
      </c>
      <c r="C127" t="inlineStr">
        <is>
          <t>Bespoke Technologies, Inc.</t>
        </is>
      </c>
      <c r="D127" t="inlineStr">
        <is>
          <t>linkedin</t>
        </is>
      </c>
      <c r="E127">
        <f>HYPERLINK("https://www.linkedin.com/jobs/view/4377030555", "https://www.linkedin.com/jobs/view/4377030555")</f>
        <v/>
      </c>
      <c r="F127">
        <f>HYPERLINK("http://bespoketechinc.applytojob.com/apply/0hXd0czfBH?source=LinkedIn&amp;urlHash=3ZWL", "http://bespoketechinc.applytojob.com/apply/0hXd0czfBH?source=LinkedIn&amp;urlHash=3ZWL")</f>
        <v/>
      </c>
      <c r="G127" t="inlineStr">
        <is>
          <t>Herndon, VA</t>
        </is>
      </c>
      <c r="H127" t="inlineStr"/>
      <c r="I127" t="inlineStr">
        <is>
          <t>**BT\-152 – Data Engineer**
 Skill Level: Mid
 Location: Chantilly/Herndon
* MUST HAVE AN ACTIVE TS OR TS/SCI CLEARANCE TO APPLY. Those without an active security clearance will not be considered.\*\*
**Role Description**
 As a Data Engineer, you will be a hands\-on builder and a key member of the team creating and sustaining the data lifeblood of the platform. You will apply your technical skills to develop, deploy, and maintain resilient and efficient data pipelines. This role is perfect for a practitioner who is passionate about leveraging modern tools and automation to solve complex data challenges and deliver high\-quality data solutions.
**Responsibilities**
* Design, develop, and maintain robust and scalable data pipelines for both new development and ongoing operations \&amp; maintenance (O\&amp;M).
* Build new pipelines using modern, modular patterns like Databricks Delta Live Tables, adhering to established governance standards.
* Implement reusable pipeline templates and automated monitoring patterns to ensure consistency and scalability across all data flows.
* Utilize Infrastructure\-as\-Code (IaC) with tools like Terraform to create consistent and repeatable CI/CD deployments.
* Integrate automated data quality checks and profiling using frameworks like Great Expectations to ensure data integrity and validate SLAs.
* Troubleshoot pipeline issues, optimize performance, and contribute to the continuous improvement of O\&amp;M processes.
* Participate in code reviews and create clear documentation for ETL mappings, code, and deployment processes.
**Required Qualifications**
* 4\+ years of experience in data engineering.
* Experience with the development and maintenance of extract, transform, and load (ETL) tools and services.
* Proficiency in Python, SQL, and Spark/PySpark.
* Experience with cloud data platforms (e.g., AWS, Azure) and data engineering platforms like Databricks, Palantir, or Snowflake.
* Experience working in an Agile/Scrum environment.
**Preferred Qualifications**
* Direct experience with the data platform.
* Experience working in high\-security environments (e.g., SIPR, JWICS).
* Hands\-on experience with Databricks Delta Live Tables and Terraform.
* Familiarity with data orchestration tools (e.g., Airflow) and containerization (Docker, Kubernetes).
* Knowledge of COTS and open\-source data engineering tools such as NiFi or ElasticSearch.</t>
        </is>
      </c>
    </row>
    <row r="128">
      <c r="A128" t="inlineStr">
        <is>
          <t>li-4377080374</t>
        </is>
      </c>
      <c r="B128" t="inlineStr">
        <is>
          <t>Data Engineer</t>
        </is>
      </c>
      <c r="C128" t="inlineStr">
        <is>
          <t>Haystack</t>
        </is>
      </c>
      <c r="D128" t="inlineStr">
        <is>
          <t>linkedin</t>
        </is>
      </c>
      <c r="E128">
        <f>HYPERLINK("https://www.linkedin.com/jobs/view/4377080374", "https://www.linkedin.com/jobs/view/4377080374")</f>
        <v/>
      </c>
      <c r="F128">
        <f>HYPERLINK("https://us.haystackapp.io/roles/698d4824602dc9520599dee3?src=linkedin&amp;urlHash=4f1m", "https://us.haystackapp.io/roles/698d4824602dc9520599dee3?src=linkedin&amp;urlHash=4f1m")</f>
        <v/>
      </c>
      <c r="G128" t="inlineStr"/>
      <c r="H128" t="inlineStr"/>
      <c r="I128" t="inlineStr">
        <is>
          <t>**Data Engineer \- Corporate Technology Data Engineering \&amp; Analytics \| United States \| Remote**
 We're working with a leading financial services firm on this exciting opportunity.
 Join our dynamic team and drive digital transformation by building cutting\-edge data solutions, including streaming and batch pipelines, data marts, and data warehouses. This pivotal role allows you to innovate with technologies like Python, Spark, and SQL, making a lasting impact on a global scale.
**The Role**
* Design, build, and measure complex ELT jobs for high\-integrity data assets.
* Establish robust data collection and processing pipelines for Investment Management.
* Develop comprehensive data quality standards and implement effective tools.
* Collaborate with Data Analysts, Architects, and BI developers to create scalable data solutions.
* Translate high\-level business requirements into detailed technical specifications.
**What You'll Need**
* 8\+ years in data analytics, data modeling, and database design.
* 5\+ years with ELT methodologies and tools.
* 5\+ years designing, developing, tuning, and troubleshooting SQL.
* 3\+ years of coding and scripting experience (Python, Java, Scala).
* 2\+ years of experience with Spark framework.
**What's On Offer**
* Play a pivotal role in driving data and technology strategy.
* Collaborate with a global team on high\-impact corporate technology initiatives.
* Shape the future of technology within a leading financial organization.
* Opportunity to work with cutting\-edge tools like Informatica, Vertica, and Snowflake.
**Apply via Haystack today!**</t>
        </is>
      </c>
    </row>
    <row r="129">
      <c r="A129" t="inlineStr">
        <is>
          <t>li-4376022258</t>
        </is>
      </c>
      <c r="B129" t="inlineStr">
        <is>
          <t>Data Engineer Co-op</t>
        </is>
      </c>
      <c r="C129" t="inlineStr">
        <is>
          <t>MegazoneCloud US</t>
        </is>
      </c>
      <c r="D129" t="inlineStr">
        <is>
          <t>linkedin</t>
        </is>
      </c>
      <c r="E129">
        <f>HYPERLINK("https://www.linkedin.com/jobs/view/4376022258", "https://www.linkedin.com/jobs/view/4376022258")</f>
        <v/>
      </c>
      <c r="F129">
        <f>HYPERLINK("https://jobs.ashbyhq.com/megazone/ef48f5ae-8274-4294-adb3-a138616a4b34/application?utm_source=YvDXQKbM1o&amp;source=Linkedin&amp;urlHash=Gfon", "https://jobs.ashbyhq.com/megazone/ef48f5ae-8274-4294-adb3-a138616a4b34/application?utm_source=YvDXQKbM1o&amp;source=Linkedin&amp;urlHash=Gfon")</f>
        <v/>
      </c>
      <c r="G129" t="inlineStr">
        <is>
          <t>Rochester, NY</t>
        </is>
      </c>
      <c r="H129" t="inlineStr"/>
      <c r="I129" t="inlineStr">
        <is>
          <t>**Who We’re Looking For**
 Megazone Cloud is looking for a
 **Data Engineer Co\-op** 
 who is a "builder" at heart and eager to apply technical skills to real\-world customer problems. We need students who are curious, driven, and comfortable asking "what if?" to solve complex challenges.
 You should be passionate about data engineering and ready to transition from classroom theory to professional execution. We value a "jack of all trades" approach—someone who is ready to jump into a fast\-moving environment and learn a modern tech stack by doing the work.
**What You'll Do**
* Direct Contribution: Work as a real member of the technical team, helping build and maintain the data pipelines that power our business and client solutions.
* Technical Mentorship: Collaborate with senior engineers under a "force multiplier" leadership philosophy designed to level up your technical expertise.
* Development: Write and optimize Python and SQL code to automate processes and manage data workflows.
* Project Integration: Participate in team meetings and technical discovery, bringing a fresh perspective to design discussions.
* Tooling \&amp; Ecosystems: Gain hands\-on exposure to AWS, Databricks, and Snowflake.
* Cross\-Functional Collaboration: Work alongside data science and infrastructure teams to see how high\-growth startups scale.
**What You Bring (Requirements)**
* Education: Currently pursuing a Bachelor’s or Master’s degree in Computer Science, Data Science, or a related technical field.
* Timeline: Expected graduation date of December 2026 or later.
* Core Skills: Academic or project\-based experience with Python and SQL.
* Foundations: A solid understanding of data structures, algorithms, and database principles.
* Mindset: A strategic "builder" mentality and a genuine thirst for technical knowledge.
* Communication: Ability to communicate technical ideas clearly and work effectively within a team.
* Eligibility: Must be currently eligible to work in the US.
**Bonus Points**
* Projects involving AWS, Databricks, or Snowflake.
* Coursework in GenAI or MLOps.
* A link to your GitHub or a portfolio of your technical work.
**Why You’ll Love It Here**
* Our Product is Our People: We invest in people who invest in themselves; your growth is our growth.
* True Servant Leadership: Our CTO and management team are here to empower you and clear roadblocks, not to micromanage.
* Flat Organization, Real Impact: Your designs and input directly shape our technical roadmap and our clients' success.
* A "Learn\-from\-it" Culture: We move fast—mistakes are treated as learning opportunities, not failures.
**NOTE:** 
*We are unable to provide sponsorship for this position.*
**Why You'll Love It Here**
* Our Product is Our People: We live by this. We invest in people who invest in themselves. Your growth is our growth.
* True Servant Leadership: Our CTO leads with a "force multiplier" philosophy. Management is here to empower you and clear roadblocks, not to micromanage. We won't ask you to do anything we're not willing to do ourselves.
* Flat Organization, Real Impact: Your voice and designs will directly shape our technical roadmap and our clients' success. You'll work on the latest tech to solve real problems.
* A "Learn\-from\-it" Culture: We're moving fast and building new things. We believe mistakes are learning opportunities, not failures.
 We seek diverse talent who are ready to make an immediate impact. We believe that innovation thrives when teams are built with a variety of backgrounds, experiences, and perspectives. If you are excited by this mission, we encourage you to apply, even if your experience doesn't perfectly match every qualification listed.
**Megazone Cloud is an Equal Opportunity Employer and participates in E\-Verify to confirm the employment eligibility of all new hires.**</t>
        </is>
      </c>
    </row>
    <row r="130">
      <c r="A130" t="inlineStr">
        <is>
          <t>li-4377091390</t>
        </is>
      </c>
      <c r="B130" t="inlineStr">
        <is>
          <t>Senior Data Engineer, Proprietary Research</t>
        </is>
      </c>
      <c r="C130" t="inlineStr">
        <is>
          <t>Point72</t>
        </is>
      </c>
      <c r="D130" t="inlineStr">
        <is>
          <t>linkedin</t>
        </is>
      </c>
      <c r="E130">
        <f>HYPERLINK("https://www.linkedin.com/jobs/view/4377091390", "https://www.linkedin.com/jobs/view/4377091390")</f>
        <v/>
      </c>
      <c r="F130">
        <f>HYPERLINK("https://careers.point72.com/CSJobDetail?jobName=senior-data-engineer-proprietary-research&amp;jobCode=PMI-0014491&amp;urlHash=U2Ng", "https://careers.point72.com/CSJobDetail?jobName=senior-data-engineer-proprietary-research&amp;jobCode=PMI-0014491&amp;urlHash=U2Ng")</f>
        <v/>
      </c>
      <c r="G130" t="inlineStr">
        <is>
          <t>New York, United States</t>
        </is>
      </c>
      <c r="H130" t="inlineStr"/>
      <c r="I130" t="inlineStr">
        <is>
          <t>**About Proprietary Research**
 On our proprietary research team—Market Intelligence—you’ll partner with our Investment Professionals and Compliance team to uncover insights about companies, industries, and the broader economy through deep fundamental research and applying data science and engineering techniques to alternative data sets. You’ll work alongside a talented team with diverse skills, backgrounds, and perspectives. Our industry researchers, product managers, and data scientists and engineers work together to build compliant research products that answer the questions our investment professionals care about most. We look for other bright, motivated, and collaborative people to join our team and grow with us—more than 90% of the leaders in our group were promoted from within.
 What you’ll do
 Senior Data Engineers on the Proprietary Research team design and build solutions that enable investment professionals to effortlessly extract insights from large, complex structured and unstructured data sets. As a senior member of our Data Engineering team, you will help set technical direction and work closely with investment professionals, researchers, and data scientists to design, build, and launch robust end\-to\-end data pipelines and tools that that help extract the most value out of Point72’s data assets. In this role, you will:
* Develop and support big data processing pipelines including but not limited to ingestion, transformation, and end\-customer delivery
* Build out cloud\-based infrastructure using distributed techniques for other data engineers / data scientists / researchers
* Be at the forefront of new technology developments with respect to the handling and processing of big data and conduct proof of concepts evaluations of new technologies
* Build and support visualization and exploration capabilities around our big data sets
**What Excites You**
* Technical leadership through hands\-on development
* Having a broad impact on architecture and team processes
* Transforming large unstructured, data sets into valuable investment research inputs
* Learning and working with industry\-leading cloud\-computing technologies
* Speaking with experts both inside and outside the firm to understand data needs and offerings
* Fast\-paced work environments that at times require switching gears to address the needs of the business
* Working as part of a cross\-functional team made up of Investment, Research, and Compliance professionals
**What Excites Us**
* Ability to directly or indirectly lead development efforts involving multiple engineers and stakeholders
* Excellent attention to detail, organization, and project management skills
* Superb business intuition and a solution orientated, methodological approach to problem solving
* Ability to collaborate and build relationships across multiple business units within the firm
* People who “elevate the room” through their work ethic, curiosity, and solution\-orientated attitude
* Adherence to the highest ethical standards working closely with the firm’s Compliance team
**What’s Required**
* 5\+ years of experience in Data Engineering or related development work with distributed data technology
* Experience with system design and leading multi\-person development efforts
* Strong experience in Python development
* Experience with Spark and Cloud computing is a plus
* Track record of delivering novel and innovative solutions to challenges
* Knowledge of/experience with graph databases is a plus
 We take care of our people
 We invest in our people, their careers, their health, and their well\-being. When you work here, we provide:
* Fully\-paid health care benefits
* Generous parental and family leave policies
* Mental and physical wellness programs
* Volunteer opportunities
* Non\-profit matching gift program
* Support for employee\-led affinity groups representing women, minorities and the LGBTQ\+ community
* Tuition assistance
* A 401(k) savings program with an employer match and more
**About Point72**
 Point72 is a leading global alternative investment firm led by Steven A. Cohen. Building on more than 30 years of investing experience, Point72 seeks to deliver superior returns for its investors through fundamental and systematic investing strategies across asset classes and geographies. We aim to attract and retain the industry’s brightest talent by cultivating an investor\-led culture and committing to our people’s long\-term growth. For more information, visit www.Point72\.com/about.
 The annual base salary range for this role is $250,000\-$300,000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t>
        </is>
      </c>
    </row>
    <row r="131">
      <c r="A131" t="inlineStr">
        <is>
          <t>li-4375814335</t>
        </is>
      </c>
      <c r="B131" t="inlineStr">
        <is>
          <t>Senior Data Engineer (Informatica/Databricks)</t>
        </is>
      </c>
      <c r="C131" t="inlineStr">
        <is>
          <t>CACI International Inc</t>
        </is>
      </c>
      <c r="D131" t="inlineStr">
        <is>
          <t>linkedin</t>
        </is>
      </c>
      <c r="E131">
        <f>HYPERLINK("https://www.linkedin.com/jobs/view/4375814335", "https://www.linkedin.com/jobs/view/4375814335")</f>
        <v/>
      </c>
      <c r="F131" t="inlineStr"/>
      <c r="G131" t="inlineStr">
        <is>
          <t>Ashburn, VA</t>
        </is>
      </c>
      <c r="H131" t="inlineStr"/>
      <c r="I131" t="inlineStr">
        <is>
          <t>Job Title: Senior Data Engineer (Informatica/Databricks)
 Job Category: Information Technology
 Time Type: Full time
 Minimum Clearance Required to Start: None
 Employee Type: Regular
 Percentage of Travel Required: Up to 10%
 Type of Travel: Local
 \* \* \*
**The Opportunity**
 CACI is currently looking for a highly skilled and experienced Senior Data Engineer (Informatica/Databricks) with agile methodology experience to join our BEAGLE (Border Enforcement Applications for Government Leading\-Edge Information Technology) Agile Solution Factory (ASF) Team supporting Customs and Border Protection (CBP) client located in Northern Virginia! Join this passionate team of industry\-leading individuals supporting the best practices in Agile Software Development for the Department of Homeland Security (DHS).
 As a member of the BEAGLE ASF Team, you will support the men and women charged with safeguarding the American people and enhancing the Nation’s safety, security, and prosperity. CBP agents and officers are on the front lines, every day, protecting our national security by combining customs, immigration, border security, and agricultural protection into one coordinated and supportive activity.
 ASF programs thrive in a culture of innovation and are constantly seeking individuals who can bring creative ideas to solve complex problems, both technical and procedural at the team and portfolio levels. The ability to be adaptable and to work constructively with a technically diverse and geographically separated team is crucial. You should have worked with or have a strong interest in agile software development practices and delivering deployable software in short sprints
**Responsibilities**
* Design, develop, and maintain robust and scalable data warehouse architectures and ETL/ELT data pipelines using Databricks or a similar cloud\-based platform.
* Optimize and troubleshoot data pipelines and warehouse performance to ensure efficient and reliable data processing.
* Work with database developers and administrators across multiple product teams.
* Serve as a data and technology expert across a broad and diverse set of mission critical applications
* Modernize the data warehouse environment by migrating the platform to Databricks
* Evaluating existing data sets and reporting architectures to identify strategic gaps and apply modern technologies to creatively achieve superior mission outcomes.
* Analyze project\-related problems and create innovative solutions involving technology, analytic methodologies, and advanced solution components.
* Create or augment business and operational intelligence tools using languages such as SQL, Spark, and Python to detect trends, patterns, and non\-obvious relationships in large, complex, and disparate data sets.
* Actively participate in Agile Scrum sprint planning, artifact creation, sprint testing, regression testing, demonstrations, retrospectives and solution releases
**Qualifications**
* Must be a U.S. Citizen with the ability to pass CBP background investigation, criteria includes but is not limited to:
* 3 year check for felony convictions
* 1 year check for illegal drug use
* 1 year check for misconduct such as theft or fraud
* 7\+ years of professional experience working on complex data challenges in the areas of data architecture and engineering
* 7\+ years of professional experience working on complex data challenges in the areas of data architecture and engineering
* Proven 7\+ years of experience automating ELT data pipelines using Informatica.
* Experience with cloud platforms (e.g., AWS, Azure, GCP) and services related to data storage and processing (e.g., S3, ADLS).
* Experience building and optimizing data pipelines for batch and/or streaming data.
* 3\-5 years of Databricks experience. Alternative/equivalent technologies: Significant experience with Snowflake, Google BigQuery, or Microsoft Azure Synapse Analytics will also be considered.
* Experience with Databricks, including extensive hands\-on experience with PySpark, Python, SQL, Kafka, and Databricks notebooks. Strong experience with data modeling techniques (e.g., dimensional modeling, data vault) and database design.
* Database skillset for AWS RDS concepts, and understanding of database principles used by tools such Oracle, PostgreSQL and Databricks
* Strong software development background using Agile or DevOps methods and deep familiarity with cloud\-native technologies.
* Candidates with one or more of the above skillsets are encouraged to apply.
**Desired**
* 5\-10 years of DHS, DoD, or IC experience working in complex data environments, including the architecture and optimization of data schemas, terabyte\-scale ETL, etc.
* Exposure to implementing or migrating to Cloud environments like Amazon Web Services (AWS) or Microsoft Azure.
* Previous experience as an Enterprise\-level Data Architect, Data Engineer, Data Scientist, or Data Analyst.
 Ability to apply advanced principles, theories, and concepts, and contribute to the development of innovative principles and ideas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$113,200 \- $237,800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32">
      <c r="A132" t="inlineStr">
        <is>
          <t>li-4377030304</t>
        </is>
      </c>
      <c r="B132" t="inlineStr">
        <is>
          <t>Senior Data Engineer - Snowflake - (US based - Remote in EST - Independent contractor)</t>
        </is>
      </c>
      <c r="C132" t="inlineStr">
        <is>
          <t>CompassX Group</t>
        </is>
      </c>
      <c r="D132" t="inlineStr">
        <is>
          <t>linkedin</t>
        </is>
      </c>
      <c r="E132">
        <f>HYPERLINK("https://www.linkedin.com/jobs/view/4377030304", "https://www.linkedin.com/jobs/view/4377030304")</f>
        <v/>
      </c>
      <c r="F132" t="inlineStr"/>
      <c r="G132" t="inlineStr"/>
      <c r="H132" t="inlineStr"/>
      <c r="I132" t="inlineStr">
        <is>
          <t>CompassX is a boutique business and technology consulting firm. We help Fortune 500 and high\-growth clients deliver their most strategic initiatives, from enterprise transformations to digital and data\-driven projects. With over 15 years of proven results, we’ve expanded across industries including financial services, pharmaceuticals, aerospace, consumer products, and quick service restaurants.
 We are honored to be recognized as a three\-time winner of Consulting Magazine’s Best Boutique Firms to Work For, and previously recognized as a “Best Place to Work” in Southern California and one of INC.’s 5000 fastest\-growing private companies in the U.S.
 We are seeking a Senior Data Engineer (Contract) to support several upcoming client projects across different stages of data maturity. Some engagements involve standing up data environments from scratch, while others focus on building upon and enhancing existing infrastructure.
 This role is hands\-on and delivery\-focused, contributing to high\-impact initiatives such as provisioning new Snowflake environments, developing and optimizing DBT pipelines, and strengthening data foundations for commercial\-scale analytics. You may support clients launching newly independent entities, modernizing legacy platforms, or scaling analytics capabilities during periods of growth.
 You’ll collaborate with experienced CompassX consultants and client stakeholders on technically challenging projects that sit at the core of business decision\-making. The work requires strong execution, sound architectural judgment, and the ability to move between greenfield builds and complex, evolving enterprise environments.
**What You'll Do**
* Architect from Scratch: Lead the foundational setup of new data environments, including Snowflake provisioning, SSO configuration, and initial system architecture
* Build Data Pipelines: Design, build, and manage scalable data pipelines and ETL/ELT processes to transform raw data into actionable insights
* Scale Commercial Analytics: Support the scaling of engineering teams to handle high volumes of commercial projects while maintaining business continuity during organizational transitions
* Implement DBT Models: Develop and maintain robust DBT data models to support semantic layer build\-outs and advanced analytics capabilities
* Collaborate Cross\-Functionally: Partner closely with business leaders and stakeholders to bridge the gap between technical delivery and strategic objectives
* Support Custom Applications: Provide engineering support for custom backend applications, ensuring seamless data integration and reliable exposure to end users
* Drive Data Standards: Establish and enforce best practices for data engineering, architecture, and deployments that can scale across multiple organizations
**What We're Looking For**
* Broad Engineering Expertise: Proven experience in data engineering with a strong focus on building pipelines, supporting custom applications, and leading deployments
* Cloud Proficiency: Hands\-on experience with Snowflake and other modern cloud data platforms such as AWS, Azure, or GCP
* Mastery of DBT: Strong technical expertise in DBT for scalable data transformation, modeling, and semantic layer development
* Architecture Mindset: Demonstrated ability to design and build systems from the ground up, not just extend existing infrastructure
* SQL and Python Mastery: Advanced SQL and Python skills for complex data modeling, performance optimization, and pipeline development
* Consulting Prowess: Ability to balance deep technical expertise with business acumen, confidently navigating complex stakeholder environments
* Agile Flexibility: Comfortable operating in a nimble, mid\-size consulting environment where priorities can shift, and adaptability is key
 Our consultants say CompassX is a place where they can truly find their own path. As part of a smaller firm, they see the impact of their work, have an identity, and know their voice matters. They value the freedom to take the reins of their careers, shape their client work, and maintain a direct line to leadership.
 With CompassX’s focus on serving local Southern California clients, consultants not only build lasting relationships but also see the results of their work in the communities where they live.
 At CompassX, you won’t just follow a path \- you’ll create one.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This is an independent contractor position; the rate will vary based on experience. This will be on a 1099 contractor basis.
 CompassX is unable to provide visa sponsorship. However, we can engage consultants who hold valid work authorization through a third\-party employer (e.g., H\-1B holders contracting through their sponsoring employer). If this applies to you, please note it in your application.</t>
        </is>
      </c>
    </row>
    <row r="133">
      <c r="A133" t="inlineStr">
        <is>
          <t>li-4375783138</t>
        </is>
      </c>
      <c r="B133" t="inlineStr">
        <is>
          <t>10607 – Software Engineer III (Data Engineer)</t>
        </is>
      </c>
      <c r="C133" t="inlineStr">
        <is>
          <t>Hyundai AutoEver America</t>
        </is>
      </c>
      <c r="D133" t="inlineStr">
        <is>
          <t>linkedin</t>
        </is>
      </c>
      <c r="E133">
        <f>HYPERLINK("https://www.linkedin.com/jobs/view/4375783138", "https://www.linkedin.com/jobs/view/4375783138")</f>
        <v/>
      </c>
      <c r="F133" t="inlineStr"/>
      <c r="G133" t="inlineStr">
        <is>
          <t>Irvine, CA</t>
        </is>
      </c>
      <c r="H133" t="inlineStr"/>
      <c r="I133" t="inlineStr">
        <is>
          <t>**10607 – Software Engineer III (Data Engineer), Irvine, CA**
**Company Overview**
 Hyundai AutoEver America (HAEA) is the dynamic IT powerhouse behind Hyundai Motor Corporation, a Fortune 500 global leader in the automotive industry. As a key affiliate, we provide cutting\-edge IT services and support to top brands including Kia, Genesis, Hyundai Translead, Hyundai Mobis, Hyundai Capital, and Glovis.
 HAEA offers a truly global and collaborative environment. Here, you’ll drive innovation, boost operational efficiency, and help shape the future of mobility for the Hyundai Motor Group.
 At HAEA, we understand that IT is the cornerstone of today’s fast\-evolving digital world. By uniting all IT resources under one roof, we deliver consistent, top\-quality solutions while serving as the crucial information link between Hyundai’s Global Headquarters and North American operations.
 If you’re passionate about technology and eager to make a real impact at a world\-class company, Hyundai AutoEver America is the place to grow your career. Join us and be part of the transformation that’s driving the future of automotive innovation.
**Role Overview**
 We are seeking a motivated and detail\-oriented Data Engineer to join our data engineering team. The role focuses on developing workflow automation using Apache Airflow and building scalable data pipelines. You will collaborate with data scientists, analysts, and engineering teams to ensure seamless data integration and optimize data\-driven processes.
**What You Will Do**
* Design, build, and maintain scalable data pipelines and ETL processes to transform and integrate data from multiple sources.
* Develop workflow automation using Apache Airflow and manage production batches with performance tuning.
* Create and optimize data models, schemas, and database structures for scalability and efficiency.
* Implement best practices in data warehouse and MDM applications, ensuring data governance, security, and quality.
* Collaborate with data scientists, analysts, and business stakeholders to translate requirements into technical solutions.
* Develop scripts and automation tools to streamline data processing and pipeline operations.
* Implement automated monitoring, alerting systems, and maintain documentation for pipelines and data models.
* Create reports and visualizations to communicate pipeline performance and data insights.
**Basic Qualifications**
* Bachelor’s degree in Computer Science, Information Technology, or related field.
* 10\+ years of experience in data warehouse and MDM applications.
* Extensive knowledge of SQL and relational databases.
* Strong programming skills in Python and PL/SQL.
* 10\+ years of experience working with Informatica.
* Knowledge of Informatica IDMC and PowerCenter is a must.
* Knowledge of big data technologies such as Apache Spark, Hadoop, or equivalent cloud\-based services.
* Strong understanding of data governance, security, and quality practices in cloud environments.
 Please note this job description is not designed to cover or contain a comprehensive listing of activities, duties or responsibilities that are required of the employee for this job. Duties, responsibilities and activities may change at any time with or without notice.
 Salary Range \- $96,500 to $138,061
 In addition to a competitive salary, this position offers a fantastic benefits package that includes comprehensive medical/dental coverage, generous PTO, education assistance, and annual merit increase eligibility in a growth\-focused work environment.
 Team Culture:
 Our team thrives on collaboration, innovation, and continuous learning. We foster a supportive environment where every member is encouraged to share ideas and contribute to problem\-solving. We value:
* Passion for Technology: We are enthusiastic about emerging technologies and their potential to transform the automotive industry.
* Agility: We work in an agile environment, adapting quickly to changes and continuously improving our processes.
* Teamwork: We believe in the power of teamwork and collaboration, supporting each other to achieve common goals.
* Growth: We prioritize personal and professional growth, offering opportunities for learning and development.
* Inclusivity: We maintain an inclusive culture where diverse perspectives are valued, and everyone feels welcome.
*Our Company adheres to the equal employment opportunity guidelines set forth by federal, state and local laws. The information requested on this form is sought in good faith and will not be used to discriminate against the applicant based on race, religion or creed, color, national origin, ancestry, physical disability, mental disability, medical condition, genetic characteristics, marital status, sex or gender (which includes pregnancy, childbirth, or related circumstances), gender identity, gender expression, age, citizenship, sexual orientation, family care or medical leave status, military and veteran status, political affiliation, or any other characteristic protected by federal, state and local laws.*</t>
        </is>
      </c>
    </row>
    <row r="134">
      <c r="A134" t="inlineStr">
        <is>
          <t>li-4376010599</t>
        </is>
      </c>
      <c r="B134" t="inlineStr">
        <is>
          <t>Machine Learning Engineer - Backend/Data Engineer: Agentic Workflows, Siri Core Modeling</t>
        </is>
      </c>
      <c r="C134" t="inlineStr">
        <is>
          <t>Apple</t>
        </is>
      </c>
      <c r="D134" t="inlineStr">
        <is>
          <t>linkedin</t>
        </is>
      </c>
      <c r="E134">
        <f>HYPERLINK("https://www.linkedin.com/jobs/view/4376010599", "https://www.linkedin.com/jobs/view/4376010599")</f>
        <v/>
      </c>
      <c r="F134" t="inlineStr"/>
      <c r="G134" t="inlineStr">
        <is>
          <t>Cupertino, CA</t>
        </is>
      </c>
      <c r="H134" t="inlineStr"/>
      <c r="I134" t="inlineStr">
        <is>
          <t>**Summary**
 Imagine what you could do here. At Apple, great ideas have a way of becoming great products, services, and customer experiences very quickly. Bring passion and dedication to your job and there’s no telling what you could accomplish.
 Do you want to make Siri and Apple products more intelligent for our users? The Siri \&amp; Information Intelligence team is building groundbreaking technology to revolutionize how users interact with Apple devices.
 As part of this group, you will contribute to build the infrastructure to power the development of multi\-modal agentic workflows.
**Description**
 We design, build and maintain infrastructure to support agentic workflows for Siri. Our team is in charge of data generation, introspection and evaluation frameworks that are key to efficiently developing foundation models and agentic workflows for Siri applications. In this team you will have the opportunity to work at the intersection of with cutting edge foundation models and products.
**Minimum Qualifications**
* Strong background in computer science: algorithms, data structures and system design
* Strong Python skills
* Experience building multi\-turn agent evaluation systems (model\-as\-a\-judge, human evaluations, graders/rubrics, metrics, simulation environments, etc.)
* Experience with SQL/NoSQL database technologies, data warehouse frameworks like BigQuery/Snowflake/RedShift/Iceberg and data pipeline frameworks like GCP Dataflow/Apache Beam/Spark/Kafka
**Preferred Qualifications**
* Experience with large scale distributed system design, operation and optimization
* Experience with Vector Databases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35">
      <c r="A135" t="inlineStr">
        <is>
          <t>li-4364542982</t>
        </is>
      </c>
      <c r="B135" t="inlineStr">
        <is>
          <t>Staff Analytics Engineer</t>
        </is>
      </c>
      <c r="C135" t="inlineStr">
        <is>
          <t>Intrado</t>
        </is>
      </c>
      <c r="D135" t="inlineStr">
        <is>
          <t>linkedin</t>
        </is>
      </c>
      <c r="E135">
        <f>HYPERLINK("https://www.linkedin.com/jobs/view/4364542982", "https://www.linkedin.com/jobs/view/4364542982")</f>
        <v/>
      </c>
      <c r="F135" t="inlineStr"/>
      <c r="G135" t="inlineStr"/>
      <c r="H135" t="inlineStr"/>
      <c r="I135" t="inlineStr">
        <is>
          <t>**About Us**
 Intrado is dedicated to saving lives and protecting communities, helping them prepare for, respond to, and recover from critical events. Our cutting\-edge company strives to become the most trusted, data\-centric emergency services partner by uniting fragmented communications into actionable intelligence for first responders. At Intrado, all of our work truly matters.
**Responsibilities/Qualifications**
 We are seeking an exceptional
 **Staff Analytics Engineer** 
 to transform our raw data into trusted business insights. In this pivotal role, you will partner with a newly hired Staff Data Engineer to architect the end\-to\-end delivery of our data ecosystem, ensuring that our leadership team has the timely, actionable insights they need to make informed decisions.
 You will not just build tables; you will own the gold layer, transforming technical complexity into clear, reliable business logic. Your work will directly impact our ability to execute on our strategic plan by ensuring that metrics are defined consistently, trusted, and available quickly to leadership. You will champion a "data as a product" mindset, ensuring that the Business Operations team provides insights that power data\-driven decisions across the company.
 This is a demanding role in a results\-oriented environment with high expectations for agency, speed, and ownership.
**Key Responsibilities**
* End\-to\-End Data Architecture: You will partner with the Staff Data Engineer to architect the complete data lifecycle. While they build the infrastructure, you will own the gold layer, designing the semantic layer and transforming silver level data in Databricks into optimized fact and dimension tables that serve as the single source of truth for the company.
* Business Logic \&amp; Strategy: Translate complex, ambiguous business questions into concrete technical definitions. You will act as the key technical liaison to build consensus on enterprise\-wide metric definitions, ensuring consistent logic across all reports.
* Data as a Product: Champion a product\-oriented mindset by setting the standard for robust documentation, testing, and data model design.
* Mentorship \&amp; Standards: You will lead by example on best practices and code quality to ensure engineering rigor.
* Performance Tuning: Optimize the connection between Databricks and Power BI, designing models that balance computational load with query latency to ensure dashboards perform.
**Required Qualifications**
* Experience: 10\+ years of relevant, progressive experience in Analytics Engineering, Software Engineering, or Data Engineering, with at least 4 years working in large\-scale data lake/warehouse environments (e.g., Databricks). Prior ownership of large\-scale data systems and business\-critical metrics.
* Data Modeling Expertise: Mastery of dimensional modeling best practices. You must be an expert in designing modular, reusable, and performant data models (Star Schema, Snowflake Schema) that serve as the foundation for analytics
* Advanced SQL \&amp; Optimization: Proficiency in advanced SQL techniques and performance tuning.
* LLM Application: Experience leveraging LLMs and AI\-assisted development tools to accelerate data engineering workflows, improve code quality, and automate repetitive technical tasks.
* Intermediate to Advanced Python: Strong expertise in Python for scripting, automation, and data manipulation (Pandas).
* Data Visualization Architecture: Deep proficiency in Power BI or Tableau, understanding how to architect semantic models that enable polished, high\-performance dashboards for executive stakeholders.
* Business Acumen \&amp; Communication: Strong ability to translate technical concepts into business value. You must be able to partner with non\-technical stakeholders to define gold level metrics and manage projects across teams.
* Education: Bachelor’s degree in Computer Science, Software Engineering, Data Engineering, or a closely related technical field.
**Preferred Qualifications**
* Master’s or equivalent in Computer Science, Data Science, Analytics or Engineering
* Prior experience working in a technology company or SaaS environment
**Total Rewards**
 Want to love where you work? At Intrado, we offer a comprehensive benefits package that includes what you’d expect (medical, dental, vision, life and disability coverage, paid time off, a 401(k) retirement plan, and several that go above and beyond – paid parental leave, access to a robust library of personal and professional training resources, employee discounts, critical illness, hospital indemnity, access to legal support, pet insurance, identity theft protection, an EAP (Employee Assistance Program) that includes free mental health resources/support, and more! Apply today to join us in
 ***work worth doing***
 !
 The starting salary is anticipated between $210,000 and $225,000 and will be commensurate with experience. This position is bonus eligible.
 Intrado is an Equal Opportunity Employer – Veterans/Disabled and Other Protected Categories. Our Company welcomes and encourages applications of individuals with disabilities. Accommodations are available on request for candidates taking part in all aspects of the selection process. Intrado maintains a Drug Free Workplace.</t>
        </is>
      </c>
    </row>
    <row r="136">
      <c r="A136" t="inlineStr">
        <is>
          <t>li-4370823981</t>
        </is>
      </c>
      <c r="B136" t="inlineStr">
        <is>
          <t>Sr. Data Engineer</t>
        </is>
      </c>
      <c r="C136" t="inlineStr">
        <is>
          <t>Accenture Federal Services</t>
        </is>
      </c>
      <c r="D136" t="inlineStr">
        <is>
          <t>linkedin</t>
        </is>
      </c>
      <c r="E136">
        <f>HYPERLINK("https://www.linkedin.com/jobs/view/4370823981", "https://www.linkedin.com/jobs/view/4370823981")</f>
        <v/>
      </c>
      <c r="F136" t="inlineStr"/>
      <c r="G136" t="inlineStr">
        <is>
          <t>Washington, DC</t>
        </is>
      </c>
      <c r="H136" t="inlineStr"/>
      <c r="I136"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within global Accenture. Recognized as a Glassdoor Top 100 Best Place to Work, we offer a collaborative and caring community where you feel like you belong and are empowered to grow, learn and thrive through hands\-on experience, certifications, industry training and more.
 Join us to drive positive, lasting change that moves missions and the government forward!
**The work:**
 If you’ve ever wanted to bring true product thinking and commercial data engineering practices into government, this is the role. We’re hiring for a Sr. Data Engineer to join our Civilian portfolio at Accenture Federal Services, where our teams are building modern digital products that directly improve everyday experiences for the public.
 As a Sr. Data Engineer, you will play a pivotal role in building a robust data platform (in Databricks) to be used by skilled data professionals analyzing and improving a highly visible online product. What makes this opportunity stand out is the client: mission\-driven, product\-oriented, and moving with a speed and mindset you’d expect from a Silicon Valley product company.
 Note: The role can be remote or in\-person in D.C., but U.S. citizenship is required. Databricks experience is \+\+
 Key Responsibilities:
* Architecting and building scalable data platforms in AWS and Databricks
* Designing and implementing robust data pipelines, optimizing data infrastructure, and enhancing data feeds to improve quality, availability, and scalability
* Collaborating in a small, interactive scrum team of highly skilled data professionals to deliver in agile environment
**Here's what you need:**
* 5\+ years designing and implementing robust data pipelines, optimizing data infrastructure, and enhancing data feeds
* Experience with ETL and API data interfaces
* Experience with Open\-source technologies and data streaming in Apache Kafka
* Prior design and implementation of Medallian Data Architecture
* Strong communication skills and ability to work in fast\-paced, collaborative team
* Must be a US Citizen, eligible for Public Trust clearance
**Preferred experience:**
* Extensive engineering experience in Databricks Platforms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
 The pay range for the states of California, Colorado, Hawaii, Illinois, Maryland, Massachusetts, Minnesota, New Jersey, New York, Washington, Vermont, the District of Columbia, and the city of Cleveland is:
 $116,900—$243,100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137">
      <c r="A137" t="inlineStr">
        <is>
          <t>li-4376019180</t>
        </is>
      </c>
      <c r="B137" t="inlineStr">
        <is>
          <t>Biotech Data Engineer (1120271)</t>
        </is>
      </c>
      <c r="C137" t="inlineStr">
        <is>
          <t>The Judge Group</t>
        </is>
      </c>
      <c r="D137" t="inlineStr">
        <is>
          <t>linkedin</t>
        </is>
      </c>
      <c r="E137">
        <f>HYPERLINK("https://www.linkedin.com/jobs/view/4376019180", "https://www.linkedin.com/jobs/view/4376019180")</f>
        <v/>
      </c>
      <c r="F137">
        <f>HYPERLINK("https://www.judge.com/jobs/details/1120271/?utm_source=linkedin&amp;urlHash=DcfN", "https://www.judge.com/jobs/details/1120271/?utm_source=linkedin&amp;urlHash=DcfN")</f>
        <v/>
      </c>
      <c r="G137" t="inlineStr">
        <is>
          <t>Westlake Village, CA</t>
        </is>
      </c>
      <c r="H137" t="inlineStr"/>
      <c r="I137" t="inlineStr">
        <is>
          <t>**Location:** 
 WESTLAKE VILLAGE, CA, USA
**Salary:** 
 $140,000\.00 USD Annually \- $150,000\.00 USD Annually
**Description**
**Job Title: Biotech Data Engineer**
**Location:** 
 100% Remote (U.S.)
**Salary Range:** 
 $140,000 – $150,000 (flexible based on experience)
**Travel:** 
 Up to 20%
**Reports To:** 
 Director of Business Intelligence
**About The Role**
 We are seeking an experienced
 **Biotech Data Engineer** 
 to design, build, and maintain scalable data platforms that support analytics, AI/ML, and reporting across commercial functions. This role will focus heavily on
 **Azure Databricks–based architectures** 
 and will play a key role in advancing the company’s
 **data and AI strategy** 
 .
 The ideal candidate brings strong hands‑on data engineering skills, experience in the
 **pharma or biotech industry** 
 , and the ability to collaborate across technical and business teams to deliver high‑impact data solutions.
**What You’ll Do** 
**Data Engineering \&amp; Architecture**
* Design, build, and maintain scalable, reliable, and cost‑efficient data pipelines using Azure Databricks to support analytics, machine learning, data science, and operational use cases
* Lead data engineering initiatives that enable AI/ML models, LLM integrations, and AI‑driven applications, ensuring alignment with enterprise and business priorities
* Architect and implement data integration frameworks across AdTech and MarTech ecosystems, including Google Analytics, media campaign platforms, Salesforce, and third‑party marketing APIs
**Data Integration \&amp; Development**
* Manage and optimize data ingestion, transformation, and storage using Python, PySpark, and SQL
* Integrate structured and unstructured data sources from internal and external systems
* Design and maintain API integrations, including Python‑ and PySpark‑based services and AI/LLM‑powered APIs for advanced analytics and automation
**Platform Ownership \&amp; Governance**
* Administer and maintain Azure data platforms (Databricks, Azure Data Factory, Azure DevOps) to ensure reliability, security, and operational excellence
* Ensure data quality, integrity, and consistency through validation, monitoring, and alerting
* Implement and enforce data governance, security, and compliance standards in partnership with IT, InfoSec, and data governance teams
**Collaboration \&amp; Strategy**
* Partner with analytics, marketing, commercial operations, and core technology teams to deliver fit‑for‑purpose commercial data products
* Translate data and AI strategy into technical architecture, design documentation, and implementation roadmaps
* Participate in architecture discussions, design reviews, CI/CD workflows, and Agile ceremonies
**Optimization \&amp; Continuous Improvement**
* Monitor and optimize performance, scalability, and cost across Azure cloud environments
* Develop and maintain architecture diagrams, pipeline specifications, and technical documentation
* Evaluate and recommend new Azure services, frameworks, and AI integration tools
* Drive automation, observability, and standardization across data workflows
**Required Qualifications**
* Bachelor’s degree in Computer Science, Engineering, Data Science, or a related field
* 5\+ years of experience in data engineering, data architecture, or cloud platforms
* Prior pharma or biotech industry experience, preferably within commercial data (sales, marketing, market access, payer data)
* Strong hands‑on experience with Azure Cloud, including Databricks, Azure Data Factory, and Azure DevOps
* Advanced skills in Python, PySpark, and SQL
* Experience building and consuming API‑based integrations in ETL pipelines
* Experience integrating AI models and APIs (e.g., OpenAI API, Databricks AI models)
* Ability to independently design end‑to‑end data pipelines while following architectural best practices
* Strong collaboration skills with the ability to translate business needs into technical solutions
**Preferred Qualifications**
* Experience with Databricks Unity Catalog or Databricks One
* Familiarity with MarTech and AdTech platforms and data ecosystems
* Knowledge of consumer, patient, or HCP data
* Experience with identity resolution platforms (e.g., LiveRamp, Acxiom, Experian)
* Experience with Customer Data Platforms (CDPs)
* Exposure to marketing automation tools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ldeline@judge.com
*This job and many more are available through The Judge Group. Find us on the web at www.judge.com*</t>
        </is>
      </c>
    </row>
    <row r="138">
      <c r="A138" t="inlineStr">
        <is>
          <t>li-4377099195</t>
        </is>
      </c>
      <c r="B138" t="inlineStr">
        <is>
          <t>Data Engineer - Adobe Experience Platform Engineer</t>
        </is>
      </c>
      <c r="C138" t="inlineStr">
        <is>
          <t>Capgemini</t>
        </is>
      </c>
      <c r="D138" t="inlineStr">
        <is>
          <t>linkedin</t>
        </is>
      </c>
      <c r="E138">
        <f>HYPERLINK("https://www.linkedin.com/jobs/view/4377099195", "https://www.linkedin.com/jobs/view/4377099195")</f>
        <v/>
      </c>
      <c r="F138">
        <f>HYPERLINK("https://www.capgemini.com/jobs/384809-en_US_SAPBTP/Data-Engineer\u002d\u002d-Adobe-Experience-Platform-Engineer&amp;urlHash=vWd9", "https://www.capgemini.com/jobs/384809-en_US_SAPBTP/Data-Engineer\u002d\u002d-Adobe-Experience-Platform-Engineer&amp;urlHash=vWd9")</f>
        <v/>
      </c>
      <c r="G138" t="inlineStr">
        <is>
          <t>Tampa, FL</t>
        </is>
      </c>
      <c r="H138" t="inlineStr"/>
      <c r="I138"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**About The Role You're Considering**
 Capgemini is looking to hire an AEP Architect to join our team. The ideal candidate is responsible for designing the end\-to\-end Adobe Experience Platform (AEP) architecture, ensuring integration with client’s enterprise data sources (Snowflake, Kafka, EventHub), and enabling campaign migration from Unica to AEP/AJO.
 Your role
* Define overall AEP data \&amp; solution architecture (XDM schemas, datasets, profiles, identities).
* Integrate AEP with enterprise systems: Snowflake, Kafka, EventHub, SDKs.
* Enable identity stitching with client’s UXID solution.
* Partner with business teams to modernize campaigns for Adobe Journey Optimizer (AJO).
* Ensure governance: DULE, TTL, sensitivity classification, privacy \&amp; consent enforcement.
* Provide technical leadership, best practices, and performance optimization.
* Support decommissioning of Unica by ensuring continuity of campaigns in Adobe stack.
**Your Skills And Experience**
* 8–12 years in data/MarTech architecture, with 3–5 years in Adobe AEP/RTCDP/AJO.
* Strong expertise in data modeling (XDM), profile/identity resolution.
* Hands\-on with Snowflake, Kafka/EventHub, Azure Data Factory/Synapse.
* Experience migrating from legacy campaign tools (Unica preferred).
* Knowledge of APIs, real\-time data ingestion, and streaming architectures.
* Should be Subject matter expert in end to end web analytics implementation / Tracking and Analysis
* Collaborate with data scientists, marketing, and engineering teams to define data models and identity resolution strategies.
* Ensure data governance, privacy, and compliance across all data flows.
* Build APIs and connectors for real\-time data ingestion and activation.
* Optimize performance, scalability, and cost\-efficiency of the CDP infrastructure.
* Provide technical leadership and mentoring to junior engineers.
* Adobe Certified Expert – AEP.highly preferred.
* Comfortable using BI tools (Power BI, Tableau) for analysis, validation, and visualization
 The base compensation range for this role in the posted location is: $125,190 \- $203,800\.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39">
      <c r="A139" t="inlineStr">
        <is>
          <t>li-4376020070</t>
        </is>
      </c>
      <c r="B139" t="inlineStr">
        <is>
          <t>Data Engineer</t>
        </is>
      </c>
      <c r="C139" t="inlineStr">
        <is>
          <t>Fairview Health Services</t>
        </is>
      </c>
      <c r="D139" t="inlineStr">
        <is>
          <t>linkedin</t>
        </is>
      </c>
      <c r="E139">
        <f>HYPERLINK("https://www.linkedin.com/jobs/view/4376020070", "https://www.linkedin.com/jobs/view/4376020070")</f>
        <v/>
      </c>
      <c r="F139">
        <f>HYPERLINK("https://careers.fairview.org/jobs/164003/Data+Engineer?lang=en-US&amp;mode=apply&amp;iis=LinkedIn&amp;urlHash=Q8sM", "https://careers.fairview.org/jobs/164003/Data+Engineer?lang=en-US&amp;mode=apply&amp;iis=LinkedIn&amp;urlHash=Q8sM")</f>
        <v/>
      </c>
      <c r="G139" t="inlineStr">
        <is>
          <t>Minneapolis, MN</t>
        </is>
      </c>
      <c r="H139" t="inlineStr"/>
      <c r="I139" t="inlineStr">
        <is>
          <t>**Job Overview**
 Fairview Health Services seeks applicants for Data Engineer at its location in Minneapolis, MN.
* Duties include implementation, maintenance and architecture of the MHealth Fairview data environment, leveraging data tools to acquire, restructure, and store enterprise data in a data warehouse and data marts.
* Plan, design and deploy enterprise data strategies by analyzing and translating business needs into long\-term solution data models.
* Support Fairview’s partnership with major academic institution focusing on healthcare research.
* Benefits: comprehensive package to include PTO, Medical, Dental, Vision, Retirement Savings.
* Epic data integration; ETL processes; data validation;
**Requirements**
* Master’s degree in Technology Management, Computer Science, Data Engineering or related, plus 3 years experience (or Bachelor’s degree plus 5 years exp.) in healthcare data engineering to include: Epic Data Models (Caboodle, Cogito, Clarity, Clinical)
* Experience with C, C\+\+; Java, Python, RDBMS (Oracle, MS Access, MySql, PostgreSQL,);
* Experience performing Oracle to Microsoft SQL mappings;
* Experience with NoSQL databases (Hbase, Cassandra);
* Experience with Big Data Ecosystem utilizing Hadoop, MapReduce, Hive, Pig, Oozie, Sqoop, Kafka, Spark);
* Experience with ETL and data integration tools (IBM DataStage, DBeaver, ER/Studio for data modeling and transformation; experience developing ETL Flow Dashboards for data pipeline monitoring and reporting;
* Experience with Power BI Development, creating interactive reports and dashboards for data visualization and analytics.
* Interpreting statistical reliability and data quality within healthcare datasets
* Experience supporting clinical research initiatives;
**Benefit Overview**
 Fairview offers a generous benefit package including but not limited to medical, dental, vision plans, life insurance, short\-term and long\-term disability insurance, PTO and Sick and Safe Time, tuition reimbursement, retirement, early access to earned wages, and more! Please follow this link foradditional information: https://www.fairview.org/careers/benefits/noncontract
**Compensation Disclaimer**
 The posted pay range is for a 40\-hour workweek (1\.0 FTE). The actual rate of pay offered within this range may depend on several factors, such as FTE, skills, knowledge, relevant education, experience, and market conditions. Additionally, our organization values pay equity and considers the internal equity of our team when making any offer. Hiring at the maximum of the range is not typical. If your role is eligible for a sign\-on bonus, the bonus program that is approved and in place at the time of offer, is what will be honored.
**EEO Statement**
 EEO/Vet/Disabled: All qualified applicants will receive consideration without regard to any lawfully protected status</t>
        </is>
      </c>
    </row>
    <row r="140">
      <c r="A140" t="inlineStr">
        <is>
          <t>li-4377078323</t>
        </is>
      </c>
      <c r="B140" t="inlineStr">
        <is>
          <t>Data Engineer</t>
        </is>
      </c>
      <c r="C140" t="inlineStr">
        <is>
          <t>Booz Allen Hamilton</t>
        </is>
      </c>
      <c r="D140" t="inlineStr">
        <is>
          <t>linkedin</t>
        </is>
      </c>
      <c r="E140">
        <f>HYPERLINK("https://www.linkedin.com/jobs/view/4377078323", "https://www.linkedin.com/jobs/view/4377078323")</f>
        <v/>
      </c>
      <c r="F140">
        <f>HYPERLINK("https://careers.boozallen.com/careers/JobDetail?jobId=121098&amp;source=JB-16500&amp;urlHash=2mQA", "https://careers.boozallen.com/careers/JobDetail?jobId=121098&amp;source=JB-16500&amp;urlHash=2mQA")</f>
        <v/>
      </c>
      <c r="G140" t="inlineStr">
        <is>
          <t>San Diego, CA</t>
        </is>
      </c>
      <c r="H140" t="inlineStr"/>
      <c r="I140" t="inlineStr">
        <is>
          <t>**Job Number: R0234574**
 Data Engineer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
 As a Data Engineer, you will be at the forefront of unlocking the potential within vast datasets. You will be responsible for designing, building, and maintaining the scalable data pipelines and infrastructure necessary to support our advanced analytics, machine learning, and artificial intelligence initiatives. Your work will involve everything from data extraction and transformation to loading and modeling, ensuring that data is ready for analysis and use in cutting\-edge applications. You will collaborate with data scientists, AI/ML engineers, and solutions architects to solve complex problems and deliver data\-driven solutions for our clients.
 You will design, construct, install, test, and maintain highly scalable data management systems and robust data pipelines. In supporting this effort, you will perform comprehensive data cleaning, anomaly detection, and preparation to ensure data quality and integrity. You will collaborate with mission partners to prepare, format, and tag existing documentation and data to be used by an internal generative AI tool. You will integrate new data sources and manage data flows across various systems. You will assist with the implementation of enterprise IT systems, applications, and infrastructure, ensuring security and compliance. You will work with database management systems, knowledge graphs, ontologies, and vector databases. You will support the operationalization of models through enterprise DataOps, DevSecOps, and MLOps processes.
 Work with us to use data for good.
 Join us. The world can’t wait.
**You Have:**
* 3\+ years of experience in Data Engineering, Data Science, or Software Engineering
* Experience with Palantir products such as AIP, Gotham, and Foundry
* Experience with database management, data modeling, data cleaning, and both structured and unstructured data
* Experience in programming with languages such as Python, R, Java, or C\+\+
* Experience with SQL and procedural SQL languages, such as PL/SQL or pgSQL
* Knowledge of cloud services, including AWS, Azure, or Google Cloud
* TS/SCI clearance
* Bachelor’s degree in Computer Science, Computer Engineering, or Data Science
**Nice If You Have:**
* Experience with big data technologies, such as HDFS, Accumulo, Hive, Kafka, and Spark
* Experience with data engineering and data science tools, including Databricks, ElasticSearch, Apache NiFi, or StreamSets
* Experience implementing AI/ML solutions and deploying models, including LLMs, locally or via cloud technologies
* Knowledge of enterprise CI/CD practices and tools, such as Git, Jenkins, and Docker
* Knowledge of federal information security policies, standards, and risk management processes
* Master’s degree in a relevant technical field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1">
      <c r="A141" t="inlineStr">
        <is>
          <t>li-4374522648</t>
        </is>
      </c>
      <c r="B141" t="inlineStr">
        <is>
          <t>Sr. Consultant / Data Engineer</t>
        </is>
      </c>
      <c r="C141" t="inlineStr">
        <is>
          <t>rockITdata</t>
        </is>
      </c>
      <c r="D141" t="inlineStr">
        <is>
          <t>linkedin</t>
        </is>
      </c>
      <c r="E141">
        <f>HYPERLINK("https://www.linkedin.com/jobs/view/4374522648", "https://www.linkedin.com/jobs/view/4374522648")</f>
        <v/>
      </c>
      <c r="F141" t="inlineStr"/>
      <c r="G141" t="inlineStr"/>
      <c r="H141" t="inlineStr"/>
      <c r="I141" t="inlineStr">
        <is>
          <t>Driven by Innovation and built on Trust, rockITdata is a unique SDVOSB services company that partners with leading commercial healthcare/life sciences organizations on cutting edge innovations \- think AI, automation and data transformation. We then bring those commercially tested solutions to government entities to deliver predictable, measurable impact for the American taxpayer and consumer.
**Job Description**
 rockITdata is seeking a Senior Consultant / Data Engineer to join our Emerging Solutions team. We specialize in providing strategic insights and transformative solutions to healthcare organizations, including providers, payers, pharmaceutical companies, and biotechnology firms.
 The Senior Consultant will play a critical role in driving client success for some of the world’s largest healthcare organizations.
**Key Responsibilities**
* Design and create complex data visualization dashboards to communicate insights effectively
* Develop and test data workflows to transform, cleans and structure data for consumption
* Perform in\-depth data analysis to support strategic decision\-making
* Apply AI and ML concepts to bring innovation to clients
* Develop business cases, strategic recommendations, and implementation plans
* Collaborate with cross\-functional teams to identify and solve complex business challenges and demonstrate subject matter insights
* Support client engagement from initial discovery through final recommendation and implementation.
**Required Qualifications**
* Must have a BA/BS Degree
* Must have 3\+ years’ experience in the data and analytics space
* Advanced proficiency in data analysis tools (e.g. Python, R, SQL)
* Expert\-level skills in Talend (or similar) and data visualization platforms (e.g. Qlik, Tableau, Power BI)
* Strong statistical analysis and predictive modeling capabilities
* Advanced Excel and database management skills
* Exceptional communication skills (written and verbal)
* Strong presentation and storytelling abilities
* Ability to build and maintain client relationships
* Critical thinking and problem\-solving expertise
* Ability to lead project development
**Preferred Qualifications**
* Experience working with healthcare clients and healthcare\-specific data systems and electronic health records (EHR)
* Familiarity with healthcare regulatory environments (HIPAA, ACA)
* Experience in data privacy and security protocols
**Here at rockITdata, we are committed to following our 10 Guiding Principles.**
 Our Guiding Principles define our culture. They’re who we are, how we work, and what inspires us to be the best. We empower our people to be themselves and encourage an entrepreneurial way of thinking. In our challenging, fast\-paced environment, no day is the same.
 Know the Why.
 Value People Above All Else.
 Transparency to a Fault.
 Progress, Not Perfection.
 Be Good by Doing Good.
 Smart People Can Disagree.
 Bend but Don’t Break.
 Represent Your Brand.
 Think Differently.
 Be Amazing, Be Fearless, Smile, Have Fun!
 Interested in joining something unique? Join us on our rockIT ship as we begin to blast off to the next chapter in our organization!
*rockITdata has become aware of a recruitment scam where unauthorized individuals are impersonating rockITdata recruiters, issuing fake job offers, and attempting to setup payment for the job seeker’s new hire costs. No one is ever required to complete any monetary transactions before starting employment with rockITdata. Legitimate rockITdata communications only come from @rockitdata.com email addresses and our official Applicant Tracking system, JazzHR (@applytojob.com email addresses). Please refer to our official Careers page at www.rockitdata.com/careers to accurately submit your application with us. You may also verify any suspicious communication by contacting our recruitment team directly through our official email, dreamjob@rockitdata.com.*
*rockITdata is an equal opportunity employer and is committed to non\-discrimination in all employment practices and decisions. All qualified applicants will receive consideration for employment without regard to disability status, veteran status or any characteristic protected by Federal, state, or local law.*
*rockITdata wants all interested and qualified candidates to be able to use our career site to review and apply for employment opportunities. If you have a disability and need an accommodation to access the application process, please contact us for assistance at dreamjob@rockitdata.com.*</t>
        </is>
      </c>
    </row>
    <row r="142">
      <c r="A142" t="inlineStr">
        <is>
          <t>li-4377071961</t>
        </is>
      </c>
      <c r="B142" t="inlineStr">
        <is>
          <t>Data Engineer II - Snowflake, Python</t>
        </is>
      </c>
      <c r="C142" t="inlineStr">
        <is>
          <t>Centene Corporation</t>
        </is>
      </c>
      <c r="D142" t="inlineStr">
        <is>
          <t>linkedin</t>
        </is>
      </c>
      <c r="E142">
        <f>HYPERLINK("https://www.linkedin.com/jobs/view/4377071961", "https://www.linkedin.com/jobs/view/4377071961")</f>
        <v/>
      </c>
      <c r="F142">
        <f>HYPERLINK("https://ad.doubleclick.net/ddm/clk/416849445;275979402;z?https://jobs.centene.com/us/en/jobs/1630573/data-engineer-ii-snowflake-python/?utm_source=linkedin.com&amp;utm_medium=social_media&amp;utm_campaign=always_on-full_scrape_&amp;utm_content=job_posting&amp;ss=paid&amp;source=LinkedIn&amp;urlHash=Df8B", "https://ad.doubleclick.net/ddm/clk/416849445;275979402;z?https://jobs.centene.com/us/en/jobs/1630573/data-engineer-ii-snowflake-python/?utm_source=linkedin.com&amp;utm_medium=social_media&amp;utm_campaign=always_on-full_scrape_&amp;utm_content=job_posting&amp;ss=paid&amp;source=LinkedIn&amp;urlHash=Df8B")</f>
        <v/>
      </c>
      <c r="G142" t="inlineStr">
        <is>
          <t>Missouri, United States</t>
        </is>
      </c>
      <c r="H142" t="inlineStr"/>
      <c r="I142"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Develops and operationalizes data pipelines to make data available for consumption (reports and advanced analytics), including data ingestion, data transformation, data validation / quality, data pipeline optimization, and orchestration. Engages with the DevSecOps Engineer during continuous integration and continuous deployment.
* Designs and implements standardized data management procedures around data staging, data ingestion, data preparation, data provisioning, and data destruction (scripts, programs, automation, assisted by automation, etc.)
* Designs, develops, implements, tests, documents, and operates large\-scale, high\-volume, high\-performance data structures for business intelligence analytics
* Designs, develops, and maintains scheduled processes supporting automated daily, weekly and monthly refreshes
* Ensure quality of technical solutions as data moves across Centene’s environments
* Provides insight into the changing data environment, data processing, data storage, and utilization requirements for the company and offers suggestions for solutions
* Develops, constructs, tests, and maintains architectures using programming language and tools
* Identifies ways to improve data reliability, efficiency, and quality; use data to discover tasks that can be automated
* Performs other duties as assigned
* Complies with all policies and standards
**Education/Experience** 
 A Bachelor's degree in a quantitative or business field (e.g., statistics, mathematics, engineering, computer science) and requires 2 – 4 years of related experience.
 Or equivalent experience acquired through accomplishments of applicable knowledge, duties, scope and skill reflective of the level of this position.
**Technical Skills**
* Experience with SQL and/or PL\-SQL
* Teradata or Snowflake desired including experience developing intermediate to large data pipelines in Snowflake
* Hands on experience with Python or other languages
* Experience with Power BI or other data visualization tools
* Knowledge of CI/CD including automated deployments (Gitlab or other tools)
* Familiarity diagnosing system issues, data validation and quality assurance testing
* Implementation of common engineering best practices including documentation in project management tools such as JIRA
**Soft Skills**
* Seeks to learn new technology and stay up to date with trends in data analysis and data engineering
* Ability to identify problems and procedural irregularities, collect data, establish facts, and draw conclusions
* Ability to work independently
 Pay Range $63,600\.00 \- $114,600\.00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143">
      <c r="A143" t="inlineStr">
        <is>
          <t>li-4374536346</t>
        </is>
      </c>
      <c r="B143" t="inlineStr">
        <is>
          <t>Data Engineer (Manager)</t>
        </is>
      </c>
      <c r="C143" t="inlineStr">
        <is>
          <t>Huron</t>
        </is>
      </c>
      <c r="D143" t="inlineStr">
        <is>
          <t>linkedin</t>
        </is>
      </c>
      <c r="E143">
        <f>HYPERLINK("https://www.linkedin.com/jobs/view/4374536346", "https://www.linkedin.com/jobs/view/4374536346")</f>
        <v/>
      </c>
      <c r="F143" t="inlineStr"/>
      <c r="G143" t="inlineStr">
        <is>
          <t>Chicago, IL</t>
        </is>
      </c>
      <c r="H143" t="inlineStr"/>
      <c r="I143"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Huron is a global consultancy that collaborates with clients to drive strategic growth, ignite innovation, and navigate constant change. We're seeking a Data Engineering Manager to join the Data Science \&amp; Machine Learning team in our Commercial Digital practice, where you'll lead the design, development, and delivery of data infrastructure that powers intelligent systems across Financial Services, Manufacturing, Energy \&amp; Utilities, and other commercial industries.
 Managers play a vibrant, integral role at Huron. Their invaluable knowledge reflects in the projects they manage and the teams they lead. Known for building long\-standing partnerships with clients, they collaborate with colleagues to solve their most important challenges. Our Managers also spend significant time mentoring junior staff on the engagement team—sharing expertise, feedback, and encouragement. This promotes a culture of respect, unity, collaboration, and personal achievement.
 This isn't a maintenance role or a ticket queue—you'll own the full data lifecycle from source integration through analytics\-ready delivery, while leading and developing a team of data engineers. You'll build systems that matter: real\-time data architectures that feed mission\-critical ML models, transformation layers that turn messy enterprise data into trusted datasets, and orchestration systems that ensure reliability at scale. Our clients are Fortune 500 companies looking for partners who can engineer and lead, not just advise.
 The variety is real. In your first year, you might lead a lakehouse implementation for a global manufacturer's IoT data, oversee a real\-time streaming architecture for a financial services firm's trading analytics, and architect a data mesh strategy for a utility company's distribution systems—all while developing the next generation of data engineering talent at Huron. If you thrive on solving complex data challenges, shipping production systems, and building high\-performing teams, this role is for you.
 What You'll Do
* Lead and mentor junior data engineers—provide technical guidance, conduct code reviews, and support professional development. Foster a culture of continuous learning and high\-quality engineering practices within the team.
* Manage complex multi\-workstream data engineering projects—oversee project planning, resource allocation, and delivery timelines. Ensure projects meet quality standards and client expectations while maintaining technical excellence.
* Design and architect end\-to\-end data solutions—from source extraction and ingestion through transformation, quality validation, and delivery. Make key technical decisions and own the overall data architecture.
* Lead development of modern data transformation layers using dbt—implementing modular SQL models, testing frameworks, documentation, and CI/CD practices that ensure data quality and maintainability at scale.
* Architect lakehouse solutions using open table formats (Delta Lake, Apache Iceberg) on Microsoft Fabric, Snowflake, and Databricks—designing schemas, optimizing performance, and implementing governance frameworks.
* Establish DataOps best practices—define and implement CI/CD pipelines for data assets, data quality monitoring, observability, lineage tracking, and automated testing standards to ensure data infrastructure remains reliable in production.
* Serve as a trusted advisor to clients—build long\-standing partnerships, understand business problems, translate data requirements into technical solutions, and communicate architecture decisions to both technical and executive audiences.
* Contribute to business development—participate in business development activities, develop reusable assets and methodologies, and help shape the technical direction of Huron's data engineering capabilities.
**Required Qualifications**
* 5\+ years of hands\-on experience building and deploying data pipelines in production—not just ad\-hoc queries and exports. You've built ETL/ELT systems that run reliably, scale, and are maintained over time.
* Experience leading and developing technical teams—including coaching, mentorship, code review, and performance management. Demonstrated ability to build high\-performing teams and develop junior talent.
* Strong SQL and Python programming skills with deep experience in PySpark for distributed data processing. SQL for analytics and data modeling; Python/PySpark for pipeline development and large\-scale transformations.
* Experience building data pipelines that serve AI/ML systems, including feature engineering workflows, vector embeddings for retrieval\-augmented generation (RAG), and data quality frameworks that ensure model reproducibility. Familiarity with emerging agent integration standards such as MCP (Model Context Protocol) and A2A (Agent\-to\-Agent), and the ability to design data services and APIs that can be discovered and consumed by autonomous AI agents.
* Experience with modern data transformation tools, dbt particularly. You understand modular SQL development, testing, documentation practices, and how to implement these at scale across teams.
* Experience with cloud data platforms and lakehouse architectures—Snowflake, Databricks, Microsoft Fabric, and familiarity with open table formats (Delta Lake, Apache Iceberg). We're platform\-flexible but Microsoft\-preferred.
* Proficiency with workflow orchestration tools such as Apache Airflow, Dagster, Prefect, or Microsoft Data Factory. You understand DAGs, scheduling, dependency management, and how to design reliable orchestration at scale.
* Solid foundation in data modeling concepts: dimensional modeling, data vault, normalization/denormalization, and understanding of when different approaches are appropriate for different use cases.
* Excellent communication and client management skills—ability to communicate technical concepts to non\-technical stakeholders, lead client meetings, and build trusted relationships with executive audiences.
* Bachelor's degree in Computer Science, Engineering, Mathematics, or related technical field (or equivalent practical experience).
* Willingness to travel approximately 30% to client sites as needed.
**Preferred Qualifications**
* Experience in Financial Services, Manufacturing, or Energy \&amp; Utilities industries.
* Background in building data infrastructure for ML/AI systems—feature stores (Feast, Databricks Feature Store), training data pipelines, vector databases for RAG/LLM workloads, or model serving architectures.
* Experience with real\-time and streaming data architectures using Kafka, Spark Streaming, Flink, or Azure Event Hubs, including CDC patterns for data synchronization.
* Familiarity with MCP (Model Context Protocol), A2A (Agent\-to\-Agent), or similar standards for AI system data integration.
* Experience with data quality and observability frameworks such as Great Expectations, Soda, Monte Carlo, or dbt tests at enterprise scale.
* Knowledge of data governance, cataloging, and lineage tools (Unity Catalog, Purview, Alation, or similar).
* Experience with high\-performance Python data tools such as Polars or DuckDB for efficient data processing.
* Cloud certifications (Snowflake SnowPro, Databricks Data Engineer, Azure Data Engineer, or AWS Data Analytics).
* Consulting experience or demonstrated ability to work across multiple domains and adapt quickly to new problem spaces.
* Contributions to open\-source data engineering projects or active participation in the dbt/data community.
* Master's degree or PhD in a technical field.
 Why Huron
**Variety that accelerates your growth.** 
 In consulting, you'll work across industries and data architectures that would take a decade to encounter at a single company. Our Commercial segment spans Financial Services, Manufacturing, Energy \&amp; Utilities, and more—each engagement is a new data ecosystem to master and a new platform to ship.
**Impact you can measure.** 
 Our clients are Fortune 500 companies making significant investments in data infrastructure. The pipelines you build will power real decisions—the ML models that drive production schedules, the dashboards that inform pricing strategies, the data products that enable self\-service analytics. You'll see your work become the foundation others build on.
**A team that builds.** 
 Huron's Data Science \&amp; Machine Learning team is a close\-knit group of practitioners, not just advisors. We write code, build pipelines, and deploy platforms. You'll work alongside engineers and data scientists who understand the craft and push each other to improve.
**Investment in your development.** 
 We provide resources for continuous learning, conference attendance, and certification. As our DSML practice grows, there's significant opportunity to take on technical leadership, shape our capabilities, and advance to senior leadership roles.
****Position Level****
 Manager
****Country****
 United States of America</t>
        </is>
      </c>
    </row>
    <row r="144">
      <c r="A144" t="inlineStr">
        <is>
          <t>li-4377078635</t>
        </is>
      </c>
      <c r="B144" t="inlineStr">
        <is>
          <t>Data Engineer III</t>
        </is>
      </c>
      <c r="C144" t="inlineStr">
        <is>
          <t>Bank of America</t>
        </is>
      </c>
      <c r="D144" t="inlineStr">
        <is>
          <t>linkedin</t>
        </is>
      </c>
      <c r="E144">
        <f>HYPERLINK("https://www.linkedin.com/jobs/view/4377078635", "https://www.linkedin.com/jobs/view/4377078635")</f>
        <v/>
      </c>
      <c r="F144">
        <f>HYPERLINK("https://careers.bankofamerica.com/en-us/job-detail/26005638/data-engineer-iii-charlotte-north-carolina-united-states&amp;urlHash=Rj8g", "https://careers.bankofamerica.com/en-us/job-detail/26005638/data-engineer-iii-charlotte-north-carolina-united-states&amp;urlHash=Rj8g")</f>
        <v/>
      </c>
      <c r="G144" t="inlineStr">
        <is>
          <t>Charlotte, NC</t>
        </is>
      </c>
      <c r="H144" t="inlineStr"/>
      <c r="I144"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driving efforts to develop and deliver complex data solutions to accomplish technology and business goals. Key responsibilities include leading code design and delivery tasks with the integration, cleaning, transformation and control of data in operational and analytical data systems. Job expectations include liaising with vendors and working with stakeholders and Product and Software Engineering teams to implement data requirements, analyzing performance, and researching and troubleshooting issues within system engineering domains.
 Enterprise BI Technology (EBIT) team is seeking a Power BI Technical Lead and Architect to lead Power BI Cloud initiative and SSRS migrations to Power BI Platform. As a Technical Lead, you will be responsible for leading development and support of Power BI COE and will work closely with the rest of the Power BI team and business peers to effectively execute Business Intelligence project initiatives. This person should be able to deliver in a fast\-paced and deadline\-driven environment.
**Responsibilities:**
* Leads story refinement and delivery of requirements through the delivery lifecycle and assists team members in resolving technical complexities
* Codes complex solutions to integrate, clean, transform, and control data, builds processes supporting data transformation, data structures, metadata, data quality controls, dependency, and workload management, assembles complex data sets, and communicates required information for deployment
* Leads documentation of system requirements, collaborates with development teams to understand data requirements and feasibility, and leverages architectural components to develop client requirements
* Leads testing teams to develop test plans, contributes to existing test suites including integration, regression, and performance, analyzes test reports, identifies test issues and errors, and leads triage of underlying causes
* Leads work efforts with technology partners and stakeholders to close gaps in data management standards adherence, negotiates paths forward by thinking outside the box to identify and communicate solutions to complex problems, and leverages knowledge of information systems, techniques, and processes
* Leads complex information technology projects to ensure on\-time delivery and adherence to release processes and risk management and defines and builds data pipelines to enable data\-informed decision making
* Mentors Data Engineers to enable continuous development and monitors key performance indicators and internal controls
**Required Qualification:**
* 10\+ years of Data Analytics and Reporting experience.
* 3\+ years of Tech lead experience.
* Hands\-on development Experience using Power BI.
* Development experience using other reporting tools like Tableau, MicroStrategy and Cognos.
* Good Analytical and Communication Skills
* Competent with Report Server and its metadata in SQL Server.
* Proven advanced skill and experience with Power BI development and administration.
* Proficient with querying languages, such as ANSI\-SQL, T\-SQL
* Problem solving / troubleshooting experience /skills to assist Production Support in issue resolution.
* Proven ability to independently champion business intelligence principles with business owners, application owners, data analysts and DBAs
* Proven ability to handle multiple projects while meeting deadlines and documenting progress towards those deadlines.
* Excellent communication skills (must be able to interface with both technical and business leaders in the organization)
* Ability to be a self\-starter that can provide leadership.
* Comprehensive understanding of the Agile Development process
* Bachelor's degree in computer science or related field
**Desired Qualification:**
* Experience leading or supporting enterprise Power BI Cloud implementations
* Hands‑on experience with SSRS modernization and migration to Power BI / PBIRS
* Familiarity with Power BI Premium and Microsoft Fabric capacity planning
* Experience establishing COE standards, governance frameworks, and operating models
* Prior experience mentoring or leading BI engineers and developers
* Strong understanding of enterprise BI security and compliance requirements
* Experience working with executive stakeholders and influencing technical direction
**Skills:**
* Analytical Thinking
* Application Development
* Data Management
* DevOps Practices
* Solution Design
* Agile Practices
* Collaboration
* Decision Making
* Risk Management
* Test Engineering
* Architecture
* Business Acumen
* Data Quality Management
* Financial Management
* Solution Delivery Process
**Shift:**
 1st shift (United States of America)
**Hours Per Week:**
 40</t>
        </is>
      </c>
    </row>
    <row r="145">
      <c r="A145" t="inlineStr">
        <is>
          <t>li-4375789926</t>
        </is>
      </c>
      <c r="B145" t="inlineStr">
        <is>
          <t>Data Engineer</t>
        </is>
      </c>
      <c r="C145" t="inlineStr">
        <is>
          <t>Jobs via Dice</t>
        </is>
      </c>
      <c r="D145" t="inlineStr">
        <is>
          <t>linkedin</t>
        </is>
      </c>
      <c r="E145">
        <f>HYPERLINK("https://www.linkedin.com/jobs/view/4375789926", "https://www.linkedin.com/jobs/view/4375789926")</f>
        <v/>
      </c>
      <c r="F145">
        <f>HYPERLINK("https://click.appcast.io/t/srgKG5dXtplhAAuDjq_jMws1cGp_v_RJBqTgyg3Budg=&amp;urlHash=r4Oo", "https://click.appcast.io/t/srgKG5dXtplhAAuDjq_jMws1cGp_v_RJBqTgyg3Budg=&amp;urlHash=r4Oo")</f>
        <v/>
      </c>
      <c r="G145" t="inlineStr">
        <is>
          <t>Albany, NY</t>
        </is>
      </c>
      <c r="H145" t="inlineStr"/>
      <c r="I145" t="inlineStr">
        <is>
          <t>Dice is the leading career destination for tech experts at every stage of their careers. Our client, PETADATA, is seeking the following. Apply via Dice today!
**Position: Data Engineer**
**Location: Albany, NY (Onsite/Remote)**
**Experience: 13\+ Years**
**Work type: C2C only**
**Visa Type: H1\-B, and**
**PETADATA is currently hiring for a Data Engineer for one of their clients.**
**Roles \&amp; Responsibilities:**
**Data Pipeline Development**
* Design, build, and maintain scalable data pipelines for ingesting, processing, and transforming data
* Develop batch and real\-time data processing workflows
* Ensure data pipelines are reliable, efficient, and fault\-tolerant
**Data Architecture \&amp; Modeling**
* Design and implement data architectures(data lakes, data warehouses, lakehouses)
* Create and maintain data models, schemas, and metadata
* Optimize data storage and retrieval strategies
**Data Integration**
* Integrate data from multiple sources (databases, APIs, streaming platforms, third\-party tools)
* Handle structured, semi\-structured, and unstructured data
* Implement data validation and quality checks
**Big Data \&amp; Processing Frameworks**
* Work with big data tools such as Apache Spark, Hadoop, Kafka, Flink
* Build streaming and real\-time data processing systems
* Optimize large\-scale data processing performance
**Cloud \&amp; Platform Services**
* Use cloud platforms such as AWS, Azure, or Google Cloud Platform
* Work with services like:
* AWS: S3, Glue, Redshift, EMR, Athena
* Azure: Data Factory, Synapse
* Google Cloud Platform: BigQuery, Dataflow
* Manage cloud\-based data infrastructure
**Database Management**
* Manage and optimize SQL and NoSQL databases
* Implement indexing, partitioning, and performance tuning
* Support data access for analytics, AI, and reporting teams
**Data Quality, Security \&amp; Governance**
* Implement data quality checks, monitoring, and alerts
* Enforce data governance, lineage, and metadata management
* Ensure data security, privacy, and compliance (GDPR, HIPAA, etc.)
**Automation \&amp; Orchestration**
* Automate data workflows using tools like Airflow, Luigi, Prefect
* Schedule, monitor, and troubleshoot data jobs
* Reduce manual processes through automation
**Collaboration \&amp; Support**
* Collaborate with data scientists, analysts, and AI engineers
* Support analytics, BI, and machine learning initiatives
* Translate business requirements into data solutions
**Monitoring \&amp; Optimization**
* Monitor pipeline performance and data freshness
* Identify and resolve data issues and bottlenecks
* Optimize costs and resource usage
**Optional / Senior\-Level Responsibilities**
* Define data engineering standards and best practices
* Lead data platform design and modernization efforts
* Mentor junior data engineers
* Drive data strategy and roadmap planning
**Required Qualifications:**
* Bachelor's or Master's degree in Computer Science, Engineering, Data Science, or a related field
* Proven experience as a Data Engineer or similar role
* Strong programming skills in Python and SQL (Scala or Java preferred)
* Hands\-on experience with big data frameworks such as Spark, Kafka, Hadoop
* Experience designing and maintaining data pipelines and ETL/ELT processes
* Strong understanding of data modeling, data warehousing, and lakehouse architectures
* Experience with cloud platforms: AWS, Azure, or Google Cloud Platform
* Hands\-on experience with SQL and NoSQL databases
* Experience with workflow orchestration tools (Airflow, Prefect, Luigi)
* Knowledge of data quality, governance, and security best practices
* Strong analytical, troubleshooting, and problem\-solving skills
* Excellent communication and collaboration abilities
**Key Skills \&amp; Tools**
* Languages: Python, SQL, Scala, Java
* Big Data: Spark, Kafka, Hadoop
* Databases: PostgreSQL, MySQL, MongoDB, Cassandra
* Cloud: AWS, Azure, Google Cloud Platform
* Orchestration: Airflow, Prefect
* Data Warehouses: Redshift, Snowflake, BigQuery
**Educational Qualification:**
**Bachelor's or Master's degree in Computer Science or related field**
**We offer a professional work environment and are given every opportunity to grow in the Information technology world.**
**Note:**
**Candidates are required to attend Phone/Video Call / In\-person interviews and after Selection of candidate (He/She) should go through all background checks on Education and Experience.**
**Please email your resume to:**
**After carefully reviewing your experience and skills one of our HR team members will contact you on the next steps.**</t>
        </is>
      </c>
    </row>
    <row r="146">
      <c r="A146" t="inlineStr">
        <is>
          <t>li-4374667336</t>
        </is>
      </c>
      <c r="B146" t="inlineStr">
        <is>
          <t>Application Security Data Engineer</t>
        </is>
      </c>
      <c r="C146" t="inlineStr">
        <is>
          <t>Vanguard</t>
        </is>
      </c>
      <c r="D146" t="inlineStr">
        <is>
          <t>linkedin</t>
        </is>
      </c>
      <c r="E146">
        <f>HYPERLINK("https://www.linkedin.com/jobs/view/4374667336", "https://www.linkedin.com/jobs/view/4374667336")</f>
        <v/>
      </c>
      <c r="F146">
        <f>HYPERLINK("https://vanguard.wd5.myworkdayjobs.com/en-US/vanguard_external/job/Malvern-PA/Application-Security-Data-Engineer_175257-1?source=LinkedIn&amp;urlHash=Nvtu", "https://vanguard.wd5.myworkdayjobs.com/en-US/vanguard_external/job/Malvern-PA/Application-Security-Data-Engineer_175257-1?source=LinkedIn&amp;urlHash=Nvtu")</f>
        <v/>
      </c>
      <c r="G146" t="inlineStr">
        <is>
          <t>Malvern, PA</t>
        </is>
      </c>
      <c r="H146" t="inlineStr"/>
      <c r="I146" t="inlineStr">
        <is>
          <t>**Responsibilities**
* Writes ETL (Extract / Transform / Load) processes, designs database systems, and develops tools for real\-time and offline analytic processing.
* Troubleshoots software and processes for data consistency and integrity. Integrates large scale data from a variety of sources for business, technology, and risk stakeholders to generate insight and make decisions.
* Translates requirements into design specifications and code. Responsible for writing complex programs, ad hoc queries, and reports. Ensures that all code is well structured, includes sufficient documentation, and is easy to maintain and reuse.
* Partners with internal clients to gain an enhanced understanding of security functions and informational needs. Gains expertise in tools, technologies, and applications/databases in specific to the firm’s USP program.
* Possesses a deep understanding of security vulnerability analysis, risk scoring, and prioritization, incorporating threat intelligence, exploitability, and environmental context.
* Leads all phases of solution development. Explains technical considerations at related meetings, including those with internal clients and less experienced team members.
* Tests code thoroughly for accuracy of intended purpose. Reviews end product with the client to ensure adequate understanding. Provides data analysis guidance as required.
* Designs and conducts training sessions on tools and data sources used by the team and self provisioners. Provides job aids to team members and business users.
* Tests and implements new software releases through regression testing. Identifies issues and engages with vendors to resolve and elevate software into production.
* Participates in special projects and performs other duties as assigned.
**Qualifications**
 Minimum 5 years of relevant work experience, with at least 2 years in designing and maintaining data pipelines, ETL processes and database architectures.
 Hands\-on experience with Amazon Redshift, Amazon S3, Tableau, and with proficiency in cloud\-native ETL and data pipeline tools
 NIST CSF mapping experience, risk‑centric dashboarding, production analytics deployments, and/or vulnerability management domain knowledge
 Bachelor’s degree in Information Systems, Computer Science, Engineering, Cybersecurity, Data Science, or equivalent experience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147">
      <c r="A147" t="inlineStr">
        <is>
          <t>li-4374678122</t>
        </is>
      </c>
      <c r="B147" t="inlineStr">
        <is>
          <t>Senior Application Security Data Engineer</t>
        </is>
      </c>
      <c r="C147" t="inlineStr">
        <is>
          <t>Vanguard</t>
        </is>
      </c>
      <c r="D147" t="inlineStr">
        <is>
          <t>linkedin</t>
        </is>
      </c>
      <c r="E147">
        <f>HYPERLINK("https://www.linkedin.com/jobs/view/4374678122", "https://www.linkedin.com/jobs/view/4374678122")</f>
        <v/>
      </c>
      <c r="F147">
        <f>HYPERLINK("https://vanguard.wd5.myworkdayjobs.com/en-US/vanguard_external/job/Malvern-PA/Senior-Application-Security-Data-Engineer_175258-1?source=LinkedIn&amp;urlHash=3VtP", "https://vanguard.wd5.myworkdayjobs.com/en-US/vanguard_external/job/Malvern-PA/Senior-Application-Security-Data-Engineer_175258-1?source=LinkedIn&amp;urlHash=3VtP")</f>
        <v/>
      </c>
      <c r="G147" t="inlineStr">
        <is>
          <t>Dallas, TX</t>
        </is>
      </c>
      <c r="H147" t="inlineStr"/>
      <c r="I147" t="inlineStr">
        <is>
          <t>**Responsibilities:**
* Provides expert\-level system analysis, design, development, and implementation of applications and databases, including integration of third‑party products, ensuring required performance levels are met.
* Leads all phases of solution development, recommending appropriate design and build/buy options, ensuring the viability, scalability, and security of IT deliverables.
* Translates business and technical requirements into design specifications and code; writes complex programs, ETL processes, ad hoc queries, and reports, ensuring code quality, documentation, maintainability, and reusability.
* Designs database systems and develops tools supporting real‑time and offline analytic processing; integrates large‑scale data from multiple sources to ensure data consistency, integrity, and usability.
* Conducts and oversees testing activities, including unit, regression, functionality, performance, and security testing; validates solutions with clients to ensure requirements and intended outcomes are met.
* Promotes code through development, test, and production environments in accordance with change management processes; submits required documentation and provides post‑implementation production support.
* Participates in and leads design, code, and test reviews throughout the development lifecycle; identifies issues, resolves elevated problems, and recommends enterprise‑wide improvements.
* Serves as a subject matter expert in software development methodologies, architecture standards, and data engineering best practices; mentors and trains less‑experienced staff.
* Designs and delivers training on tools, data sources, and processes for technical teams and business users; creates job aids and reusable enablement materials.
* Evaluates, tests, and implements new software releases; troubleshoots issues and partners with vendors to resolve defects and deploy solutions to production.
* Partners with internal clients to understand business, security, and risk needs; builds expertise in firm‑specific tools, technologies, applications, and databases, including those supporting the USP program.
* Possesses a deep understanding of security vulnerability analysis, risk scoring, and prioritization, incorporating threat intelligence, exploitability, and environmental context.
* Communicates technical concepts and considerations effectively to both technical and non‑technical stakeholders in meetings and project forums.
* Participates in special projects and performs other duties as assigned.
**Education \&amp; Experience:**
 Minimum 8 years of relevant work experience, with at least 2 years in designing and maintaining data pipelines, ETL processes and database architectures.
 Hands\-on experience with Amazon Redshift, Amazon S3, Tableau, and with proficiency in cloud\-native ETL and data pipeline tools
 NIST CSF mapping experience, risk‑centric dashboarding, production analytics deployments, and/or vulnerability management domain knowledge
 Bachelor’s degree in Information Systems, Computer Science, Engineering, Cybersecurity, Data Science, or equivalent experience. Graduate degree preferred.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148">
      <c r="A148" t="inlineStr">
        <is>
          <t>li-4377038892</t>
        </is>
      </c>
      <c r="B148" t="inlineStr">
        <is>
          <t>Senior Lead, Data Platform Engineer - Data Governance</t>
        </is>
      </c>
      <c r="C148" t="inlineStr">
        <is>
          <t>Salesforce</t>
        </is>
      </c>
      <c r="D148" t="inlineStr">
        <is>
          <t>linkedin</t>
        </is>
      </c>
      <c r="E148">
        <f>HYPERLINK("https://www.linkedin.com/jobs/view/4377038892", "https://www.linkedin.com/jobs/view/4377038892")</f>
        <v/>
      </c>
      <c r="F148">
        <f>HYPERLINK("https://salesforce.wd12.myworkdayjobs.com/External_Career_Site/job/Washington\u002d\u002d-Seattle/Senior-Lead\u002d\u002dData-Platform-Engineer\u002d\u002d-Data-Governance_JR324777?source=LinkedIn_Jobs&amp;urlHash=qZQP", "https://salesforce.wd12.myworkdayjobs.com/External_Career_Site/job/Washington\u002d\u002d-Seattle/Senior-Lead\u002d\u002dData-Platform-Engineer\u002d\u002d-Data-Governance_JR324777?source=LinkedIn_Jobs&amp;urlHash=qZQP")</f>
        <v/>
      </c>
      <c r="G148" t="inlineStr">
        <is>
          <t>Chicago, IL</t>
        </is>
      </c>
      <c r="H148" t="inlineStr"/>
      <c r="I14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
 **Senior Lead Data Platform Engineer** 
 to drive the technical implementation of
 **Trust and Data Governance** 
 within our Customer Success Data Platform. In this role, you will architect systems that ensure our product and customer data—both structured and unstructured—is
 **reliable, compliant, and AI\-ready** 
 . You’ll work at the intersection of
 **data engineering, metadata management, and AI** 
 , building frameworks that empower our enterprise to innovate with confidence.
 Our ideal candidate has extensive
 **engineering experience** 
 , a strong track record of implementing
 **data governance at scale** 
 , and a passion for enabling AI\-ready data platforms.
 What You’ll Do
* Architect Governance for AI Readiness
* Define and execute the technical strategy for data trust, ensuring both structured metrics and unstructured datasets are AI\-ready.
* Build and scale discovery capabilities and metadata frameworks so users can find and apply trusted datasets efficiently.
* Improve data quality through well\-governed instrumentation and schema practices across the platform.
* Metadata \&amp; Semantic Engineering
* Design and implement automated ways to expose data quality and usability metadata through knowledge graphs.
* Enable semantic understanding and automated reasoning to accelerate AI\-powered application development.
* Manage metadata as a product, leveraging Graph Databases or ontology management tools to bridge raw data and AI agents.
* Frameworks \&amp; Compliance
* Establish and maintain quality assessment frameworks, benchmarks, and automated reporting to align with global data standards.
* Implement technical controls for data retention, access, and classification.
* Ensure the platform meets rigorous external regulatory requirements, including GDPR, CCPA, and SOX.
* Champion the Data Marketplace
* Operate the platform as a two\-sided marketplace, supporting both data engineers producing data and application developers consuming it.
* Partner with users to understand pain points in data usability and build solutions that reduce time\-to\-find and time\-to\-use.
 What We’re Looking For
**Engineering Expertise**
* 8\+ years in data platform or infrastructure engineering, with experience in data streaming, telemetry, or observability domains.
**Governance Mastery**
* Proven track record implementing internal data policies (classification, access) and external regulations (GDPR, CCPA).
**Technical Proficiency**
* Deep knowledge of event\-driven architectures, instrumentation schemas, Kafka, and real\-time data pipelines.
* Hands\-on experience with Graph Databases or Ontology management to support AI consumption.
* Experience in the Salesforce ecosystem (Data360, Agentforce, Service Cloud, etc.) is a plus.
**Strategic Execution**
* Ability to align technical roadmaps with industry trends and deliver high\-impact features in complex enterprise environments.
**Communication**
* Exceptional skill in distilling technical complexity for diverse audiences and driving functional alignment.
 Why Join This Team?
 At
 **Salesforce** 
 , we are shaping the future of business at the intersection of
 **AI \+ Data \+ CRM** 
 . You will be at the heart of this mission, building the
 **foundation of trust** 
 that enables our global customers to innovate and succeed. Join us to empower enterprise\-scale AI initiatives with
 **data you can trust** 
 .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$172,500 \- $260,100 annually. The range represents base salary only, and does not include company bonus, incentive for sales roles, equity or benefits, as applicable.</t>
        </is>
      </c>
    </row>
    <row r="149">
      <c r="A149" t="inlineStr">
        <is>
          <t>li-4374661986</t>
        </is>
      </c>
      <c r="B149" t="inlineStr">
        <is>
          <t>Senior Application Security Data Engineer</t>
        </is>
      </c>
      <c r="C149" t="inlineStr">
        <is>
          <t>Vanguard</t>
        </is>
      </c>
      <c r="D149" t="inlineStr">
        <is>
          <t>linkedin</t>
        </is>
      </c>
      <c r="E149">
        <f>HYPERLINK("https://www.linkedin.com/jobs/view/4374661986", "https://www.linkedin.com/jobs/view/4374661986")</f>
        <v/>
      </c>
      <c r="F149" t="inlineStr"/>
      <c r="G149" t="inlineStr">
        <is>
          <t>Charlotte, NC</t>
        </is>
      </c>
      <c r="H149" t="inlineStr"/>
      <c r="I149" t="inlineStr">
        <is>
          <t>**Responsibilities:**
* Provides expert\-level system analysis, design, development, and implementation of applications and databases, including integration of third‑party products, ensuring required performance levels are met.
* Leads all phases of solution development, recommending appropriate design and build/buy options, ensuring the viability, scalability, and security of IT deliverables.
* Translates business and technical requirements into design specifications and code; writes complex programs, ETL processes, ad hoc queries, and reports, ensuring code quality, documentation, maintainability, and reusability.
* Designs database systems and develops tools supporting real‑time and offline analytic processing; integrates large‑scale data from multiple sources to ensure data consistency, integrity, and usability.
* Conducts and oversees testing activities, including unit, regression, functionality, performance, and security testing; validates solutions with clients to ensure requirements and intended outcomes are met.
* Promotes code through development, test, and production environments in accordance with change management processes; submits required documentation and provides post‑implementation production support.
* Participates in and leads design, code, and test reviews throughout the development lifecycle; identifies issues, resolves elevated problems, and recommends enterprise‑wide improvements.
* Serves as a subject matter expert in software development methodologies, architecture standards, and data engineering best practices; mentors and trains less‑experienced staff.
* Designs and delivers training on tools, data sources, and processes for technical teams and business users; creates job aids and reusable enablement materials.
* Evaluates, tests, and implements new software releases; troubleshoots issues and partners with vendors to resolve defects and deploy solutions to production.
* Partners with internal clients to understand business, security, and risk needs; builds expertise in firm‑specific tools, technologies, applications, and databases, including those supporting the USP program.
* Possesses a deep understanding of security vulnerability analysis, risk scoring, and prioritization, incorporating threat intelligence, exploitability, and environmental context.
* Communicates technical concepts and considerations effectively to both technical and non‑technical stakeholders in meetings and project forums.
* Participates in special projects and performs other duties as assigned.
**Education \&amp; Experience:**
 Minimum 8 years of relevant work experience, with at least 2 years in designing and maintaining data pipelines, ETL processes and database architectures.
 Hands\-on experience with Amazon Redshift, Amazon S3, Tableau, and with proficiency in cloud\-native ETL and data pipeline tools
 NIST CSF mapping experience, risk‑centric dashboarding, production analytics deployments, and/or vulnerability management domain knowledge
 Bachelor’s degree in Information Systems, Computer Science, Engineering, Cybersecurity, Data Science, or equivalent experience. Graduate degree preferred.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150">
      <c r="A150" t="inlineStr">
        <is>
          <t>li-4374674193</t>
        </is>
      </c>
      <c r="B150" t="inlineStr">
        <is>
          <t>Senior Application Security Data Engineer</t>
        </is>
      </c>
      <c r="C150" t="inlineStr">
        <is>
          <t>Vanguard</t>
        </is>
      </c>
      <c r="D150" t="inlineStr">
        <is>
          <t>linkedin</t>
        </is>
      </c>
      <c r="E150">
        <f>HYPERLINK("https://www.linkedin.com/jobs/view/4374674193", "https://www.linkedin.com/jobs/view/4374674193")</f>
        <v/>
      </c>
      <c r="F150">
        <f>HYPERLINK("https://vanguard.wd5.myworkdayjobs.com/en-US/vanguard_external/job/Malvern-PA/Senior-Application-Security-Data-Engineer_175258-1?source=LinkedIn&amp;urlHash=3VtP", "https://vanguard.wd5.myworkdayjobs.com/en-US/vanguard_external/job/Malvern-PA/Senior-Application-Security-Data-Engineer_175258-1?source=LinkedIn&amp;urlHash=3VtP")</f>
        <v/>
      </c>
      <c r="G150" t="inlineStr">
        <is>
          <t>Malvern, PA</t>
        </is>
      </c>
      <c r="H150" t="inlineStr"/>
      <c r="I150" t="inlineStr">
        <is>
          <t>**Responsibilities:**
* Provides expert\-level system analysis, design, development, and implementation of applications and databases, including integration of third‑party products, ensuring required performance levels are met.
* Leads all phases of solution development, recommending appropriate design and build/buy options, ensuring the viability, scalability, and security of IT deliverables.
* Translates business and technical requirements into design specifications and code; writes complex programs, ETL processes, ad hoc queries, and reports, ensuring code quality, documentation, maintainability, and reusability.
* Designs database systems and develops tools supporting real‑time and offline analytic processing; integrates large‑scale data from multiple sources to ensure data consistency, integrity, and usability.
* Conducts and oversees testing activities, including unit, regression, functionality, performance, and security testing; validates solutions with clients to ensure requirements and intended outcomes are met.
* Promotes code through development, test, and production environments in accordance with change management processes; submits required documentation and provides post‑implementation production support.
* Participates in and leads design, code, and test reviews throughout the development lifecycle; identifies issues, resolves elevated problems, and recommends enterprise‑wide improvements.
* Serves as a subject matter expert in software development methodologies, architecture standards, and data engineering best practices; mentors and trains less‑experienced staff.
* Designs and delivers training on tools, data sources, and processes for technical teams and business users; creates job aids and reusable enablement materials.
* Evaluates, tests, and implements new software releases; troubleshoots issues and partners with vendors to resolve defects and deploy solutions to production.
* Partners with internal clients to understand business, security, and risk needs; builds expertise in firm‑specific tools, technologies, applications, and databases, including those supporting the USP program.
* Possesses a deep understanding of security vulnerability analysis, risk scoring, and prioritization, incorporating threat intelligence, exploitability, and environmental context.
* Communicates technical concepts and considerations effectively to both technical and non‑technical stakeholders in meetings and project forums.
* Participates in special projects and performs other duties as assigned.
**Education \&amp; Experience:**
 Minimum 8 years of relevant work experience, with at least 2 years in designing and maintaining data pipelines, ETL processes and database architectures.
 Hands\-on experience with Amazon Redshift, Amazon S3, Tableau, and with proficiency in cloud\-native ETL and data pipeline tools
 NIST CSF mapping experience, risk‑centric dashboarding, production analytics deployments, and/or vulnerability management domain knowledge
 Bachelor’s degree in Information Systems, Computer Science, Engineering, Cybersecurity, Data Science, or equivalent experience. Graduate degree preferred.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151">
      <c r="A151" t="inlineStr">
        <is>
          <t>li-4376024279</t>
        </is>
      </c>
      <c r="B151" t="inlineStr">
        <is>
          <t>Machine Learning Engineer - Backend/Data Engineer: Agentic Workflows, Siri Core Modeling</t>
        </is>
      </c>
      <c r="C151" t="inlineStr">
        <is>
          <t>Apple</t>
        </is>
      </c>
      <c r="D151" t="inlineStr">
        <is>
          <t>linkedin</t>
        </is>
      </c>
      <c r="E151">
        <f>HYPERLINK("https://www.linkedin.com/jobs/view/4376024279", "https://www.linkedin.com/jobs/view/4376024279")</f>
        <v/>
      </c>
      <c r="F151" t="inlineStr"/>
      <c r="G151" t="inlineStr">
        <is>
          <t>Sunnyvale, CA</t>
        </is>
      </c>
      <c r="H151" t="inlineStr"/>
      <c r="I151" t="inlineStr">
        <is>
          <t>**Summary**
 Imagine what you could do here. At Apple, great ideas have a way of becoming great products, services, and customer experiences very quickly. Bring passion and dedication to your job and there’s no telling what you could accomplish.
 Do you want to make Siri and Apple products more intelligent for our users? The Siri \&amp; Information Intelligence team is building groundbreaking technology to revolutionize how users interact with Apple devices.
 As part of this group, you will contribute to build the infrastructure to power the development of multi\-modal agentic workflows.
**Description**
 We design, build and maintain infrastructure to support agentic workflows for Siri. Our team is in charge of data generation, introspection and evaluation frameworks that are key to efficiently developing foundation models and agentic workflows for Siri applications. In this team you will have the opportunity to work at the intersection of with cutting edge foundation models and products.
**Minimum Qualifications**
* Strong background in computer science: algorithms, data structures and system design
* Strong Python skills
* Experience building multi\-turn agent evaluation systems (model\-as\-a\-judge, human evaluations, graders/rubrics, metrics, simulation environments, etc.)
* Experience with SQL/NoSQL database technologies, data warehouse frameworks like BigQuery/Snowflake/RedShift/Iceberg and data pipeline frameworks like GCP Dataflow/Apache Beam/Spark/Kafka
**Preferred Qualifications**
* Experience with large scale distributed system design, operation and optimization
* Experience with Vector Databases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2026-02-24T03:33:04Z</dcterms:created>
  <dcterms:modified xsi:type="dcterms:W3CDTF">2026-02-24T03:33:04Z</dcterms:modified>
</cp:coreProperties>
</file>