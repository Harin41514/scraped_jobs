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0"/>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in-cf4e320a103759f6</t>
        </is>
      </c>
      <c r="B2" t="inlineStr">
        <is>
          <t>Sr. Applied Scientist, Amazon Ads</t>
        </is>
      </c>
      <c r="C2" t="inlineStr">
        <is>
          <t>Amazon.com</t>
        </is>
      </c>
      <c r="D2" t="inlineStr">
        <is>
          <t>indeed</t>
        </is>
      </c>
      <c r="E2" t="inlineStr"/>
      <c r="F2" t="inlineStr"/>
      <c r="G2" t="inlineStr">
        <is>
          <t>Brooklyn, NY, US</t>
        </is>
      </c>
      <c r="H2" s="1" t="n">
        <v>45998</v>
      </c>
      <c r="I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
      <c r="A3" t="inlineStr">
        <is>
          <t>in-61fd44ec8f339648</t>
        </is>
      </c>
      <c r="B3" t="inlineStr">
        <is>
          <t>Sr. Applied Scientist, Amazon Ads</t>
        </is>
      </c>
      <c r="C3" t="inlineStr">
        <is>
          <t>Amazon.com</t>
        </is>
      </c>
      <c r="D3" t="inlineStr">
        <is>
          <t>indeed</t>
        </is>
      </c>
      <c r="E3" t="inlineStr"/>
      <c r="F3" t="inlineStr"/>
      <c r="G3" t="inlineStr">
        <is>
          <t>Tukwila, WA, US</t>
        </is>
      </c>
      <c r="H3" s="1" t="n">
        <v>45998</v>
      </c>
      <c r="I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
      <c r="A4" t="inlineStr">
        <is>
          <t>in-7197f9b67df51b13</t>
        </is>
      </c>
      <c r="B4" t="inlineStr">
        <is>
          <t>Sr. Applied Scientist, Amazon Ads</t>
        </is>
      </c>
      <c r="C4" t="inlineStr">
        <is>
          <t>Amazon.com</t>
        </is>
      </c>
      <c r="D4" t="inlineStr">
        <is>
          <t>indeed</t>
        </is>
      </c>
      <c r="E4" t="inlineStr"/>
      <c r="F4" t="inlineStr"/>
      <c r="G4" t="inlineStr">
        <is>
          <t>Boulder, CO, US</t>
        </is>
      </c>
      <c r="H4" s="1" t="n">
        <v>45998</v>
      </c>
      <c r="I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
      <c r="A5" t="inlineStr">
        <is>
          <t>in-d915e8a365060c59</t>
        </is>
      </c>
      <c r="B5" t="inlineStr">
        <is>
          <t>Sr. Applied Scientist, Amazon Ads</t>
        </is>
      </c>
      <c r="C5" t="inlineStr">
        <is>
          <t>Amazon.com</t>
        </is>
      </c>
      <c r="D5" t="inlineStr">
        <is>
          <t>indeed</t>
        </is>
      </c>
      <c r="E5" t="inlineStr"/>
      <c r="F5" t="inlineStr"/>
      <c r="G5" t="inlineStr">
        <is>
          <t>Seattle, WA, US</t>
        </is>
      </c>
      <c r="H5" s="1" t="n">
        <v>45998</v>
      </c>
      <c r="I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
      <c r="A6" t="inlineStr">
        <is>
          <t>in-675588ad3bd38f99</t>
        </is>
      </c>
      <c r="B6" t="inlineStr">
        <is>
          <t>Sr. Applied Scientist, Amazon Ads</t>
        </is>
      </c>
      <c r="C6" t="inlineStr">
        <is>
          <t>Amazon.com</t>
        </is>
      </c>
      <c r="D6" t="inlineStr">
        <is>
          <t>indeed</t>
        </is>
      </c>
      <c r="E6" t="inlineStr"/>
      <c r="F6" t="inlineStr"/>
      <c r="G6" t="inlineStr">
        <is>
          <t>Sunnyvale, CA, US</t>
        </is>
      </c>
      <c r="H6" s="1" t="n">
        <v>45998</v>
      </c>
      <c r="I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
      <c r="A7" t="inlineStr">
        <is>
          <t>in-ccbaaba11ad30056</t>
        </is>
      </c>
      <c r="B7" t="inlineStr">
        <is>
          <t>Sr. Applied Scientist, Amazon Ads</t>
        </is>
      </c>
      <c r="C7" t="inlineStr">
        <is>
          <t>Amazon.com</t>
        </is>
      </c>
      <c r="D7" t="inlineStr">
        <is>
          <t>indeed</t>
        </is>
      </c>
      <c r="E7" t="inlineStr"/>
      <c r="F7" t="inlineStr"/>
      <c r="G7" t="inlineStr">
        <is>
          <t>New York, NY, US</t>
        </is>
      </c>
      <c r="H7" s="1" t="n">
        <v>45998</v>
      </c>
      <c r="I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
      <c r="A8" t="inlineStr">
        <is>
          <t>in-fbc9cfabf62a7da7</t>
        </is>
      </c>
      <c r="B8" t="inlineStr">
        <is>
          <t>Sr. Applied Scientist, Amazon Ads</t>
        </is>
      </c>
      <c r="C8" t="inlineStr">
        <is>
          <t>Amazon.com</t>
        </is>
      </c>
      <c r="D8" t="inlineStr">
        <is>
          <t>indeed</t>
        </is>
      </c>
      <c r="E8" t="inlineStr"/>
      <c r="F8" t="inlineStr"/>
      <c r="G8" t="inlineStr">
        <is>
          <t>Corvallis, OR, US</t>
        </is>
      </c>
      <c r="H8" s="1" t="n">
        <v>45998</v>
      </c>
      <c r="I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
      <c r="A9" t="inlineStr">
        <is>
          <t>in-4915f4f20957515d</t>
        </is>
      </c>
      <c r="B9" t="inlineStr">
        <is>
          <t>Sr. Applied Scientist, Amazon Ads</t>
        </is>
      </c>
      <c r="C9" t="inlineStr">
        <is>
          <t>Amazon.com</t>
        </is>
      </c>
      <c r="D9" t="inlineStr">
        <is>
          <t>indeed</t>
        </is>
      </c>
      <c r="E9" t="inlineStr"/>
      <c r="F9" t="inlineStr"/>
      <c r="G9" t="inlineStr">
        <is>
          <t>Boston, MA, US</t>
        </is>
      </c>
      <c r="H9" s="1" t="n">
        <v>45998</v>
      </c>
      <c r="I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
      <c r="A10" t="inlineStr">
        <is>
          <t>in-232c86889f9080ff</t>
        </is>
      </c>
      <c r="B10" t="inlineStr">
        <is>
          <t>Sr. Applied Scientist, Amazon Ads</t>
        </is>
      </c>
      <c r="C10" t="inlineStr">
        <is>
          <t>Amazon.com</t>
        </is>
      </c>
      <c r="D10" t="inlineStr">
        <is>
          <t>indeed</t>
        </is>
      </c>
      <c r="E10" t="inlineStr"/>
      <c r="F10" t="inlineStr"/>
      <c r="G10" t="inlineStr">
        <is>
          <t>Palo Alto, CA, US</t>
        </is>
      </c>
      <c r="H10" s="1"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in-756dbe4b69655468</t>
        </is>
      </c>
      <c r="B11" t="inlineStr">
        <is>
          <t>Sr. Applied Scientist, Amazon Ads</t>
        </is>
      </c>
      <c r="C11" t="inlineStr">
        <is>
          <t>Amazon.com</t>
        </is>
      </c>
      <c r="D11" t="inlineStr">
        <is>
          <t>indeed</t>
        </is>
      </c>
      <c r="E11" t="inlineStr"/>
      <c r="F11" t="inlineStr"/>
      <c r="G11" t="inlineStr">
        <is>
          <t>Santa Monica, CA, US</t>
        </is>
      </c>
      <c r="H11" s="1" t="n">
        <v>45998</v>
      </c>
      <c r="I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
      <c r="A12" t="inlineStr">
        <is>
          <t>in-f29d44a9aefb4992</t>
        </is>
      </c>
      <c r="B12" t="inlineStr">
        <is>
          <t>Applied Scientist II, Prime Video - Personalization and Discovery Science, Personalization and Discovery Science</t>
        </is>
      </c>
      <c r="C12" t="inlineStr">
        <is>
          <t>Amazon.com</t>
        </is>
      </c>
      <c r="D12" t="inlineStr">
        <is>
          <t>indeed</t>
        </is>
      </c>
      <c r="E12" t="inlineStr"/>
      <c r="F12" t="inlineStr"/>
      <c r="G12" t="inlineStr">
        <is>
          <t>Sunnyvale, CA, US</t>
        </is>
      </c>
      <c r="H12" s="1" t="n">
        <v>45930</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in-2eb7614b1413e427</t>
        </is>
      </c>
      <c r="B13" t="inlineStr">
        <is>
          <t>Applied Scientist II, Prime Video - Personalization and Discovery Science, Personalization and Discovery Science</t>
        </is>
      </c>
      <c r="C13" t="inlineStr">
        <is>
          <t>Amazon.com</t>
        </is>
      </c>
      <c r="D13" t="inlineStr">
        <is>
          <t>indeed</t>
        </is>
      </c>
      <c r="E13" t="inlineStr"/>
      <c r="F13" t="inlineStr"/>
      <c r="G13" t="inlineStr">
        <is>
          <t>New York, NY, US</t>
        </is>
      </c>
      <c r="H13" s="1" t="n">
        <v>45930</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in-4eaa9ad8d5d10edd</t>
        </is>
      </c>
      <c r="B14" t="inlineStr">
        <is>
          <t>Applied Scientist II, Prime Video - Personalization and Discovery Science, Personalization and Discovery Science</t>
        </is>
      </c>
      <c r="C14" t="inlineStr">
        <is>
          <t>Amazon.com</t>
        </is>
      </c>
      <c r="D14" t="inlineStr">
        <is>
          <t>indeed</t>
        </is>
      </c>
      <c r="E14" t="inlineStr"/>
      <c r="F14" t="inlineStr"/>
      <c r="G14" t="inlineStr">
        <is>
          <t>Seattle, WA, US</t>
        </is>
      </c>
      <c r="H14" s="1" t="n">
        <v>45930</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in-3cc80c94e1bd1f01</t>
        </is>
      </c>
      <c r="B15" t="inlineStr">
        <is>
          <t>Applied Scientist II, Prime Video - Personalization and Discovery Science</t>
        </is>
      </c>
      <c r="C15" t="inlineStr">
        <is>
          <t>Amazon.com</t>
        </is>
      </c>
      <c r="D15" t="inlineStr">
        <is>
          <t>indeed</t>
        </is>
      </c>
      <c r="E15" t="inlineStr"/>
      <c r="F15" t="inlineStr"/>
      <c r="G15" t="inlineStr">
        <is>
          <t>New York, NY, US</t>
        </is>
      </c>
      <c r="H15" s="1" t="n">
        <v>45881</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in-1be45389c40c1a10</t>
        </is>
      </c>
      <c r="B16" t="inlineStr">
        <is>
          <t>Sr. Applied Scientist, Prime Video - Personalization and Discovery Science</t>
        </is>
      </c>
      <c r="C16" t="inlineStr">
        <is>
          <t>Amazon.com</t>
        </is>
      </c>
      <c r="D16" t="inlineStr">
        <is>
          <t>indeed</t>
        </is>
      </c>
      <c r="E16" t="inlineStr"/>
      <c r="F16" t="inlineStr"/>
      <c r="G16" t="inlineStr">
        <is>
          <t>New York, NY, US</t>
        </is>
      </c>
      <c r="H16" s="1" t="n">
        <v>45881</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in-a5ff7471ae346392</t>
        </is>
      </c>
      <c r="B17" t="inlineStr">
        <is>
          <t>Sr. Applied Scientist, Prime Video - Personalization and Discovery Science</t>
        </is>
      </c>
      <c r="C17" t="inlineStr">
        <is>
          <t>Amazon.com</t>
        </is>
      </c>
      <c r="D17" t="inlineStr">
        <is>
          <t>indeed</t>
        </is>
      </c>
      <c r="E17" t="inlineStr"/>
      <c r="F17" t="inlineStr"/>
      <c r="G17" t="inlineStr">
        <is>
          <t>Sunnyvale, CA, US</t>
        </is>
      </c>
      <c r="H17" s="1" t="n">
        <v>45881</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in-3e2dc976a18cdf98</t>
        </is>
      </c>
      <c r="B18" t="inlineStr">
        <is>
          <t>Applied Scientist II, Prime Video - Personalization and Discovery Science</t>
        </is>
      </c>
      <c r="C18" t="inlineStr">
        <is>
          <t>Amazon.com</t>
        </is>
      </c>
      <c r="D18" t="inlineStr">
        <is>
          <t>indeed</t>
        </is>
      </c>
      <c r="E18" t="inlineStr"/>
      <c r="F18" t="inlineStr"/>
      <c r="G18" t="inlineStr">
        <is>
          <t>Sunnyvale, CA, US</t>
        </is>
      </c>
      <c r="H18" s="1" t="n">
        <v>45881</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in-828edff1f48e3d38</t>
        </is>
      </c>
      <c r="B19" t="inlineStr">
        <is>
          <t>Applied Scientist II, Prime Video - Personalization and Discovery Science</t>
        </is>
      </c>
      <c r="C19" t="inlineStr">
        <is>
          <t>Amazon.com</t>
        </is>
      </c>
      <c r="D19" t="inlineStr">
        <is>
          <t>indeed</t>
        </is>
      </c>
      <c r="E19" t="inlineStr"/>
      <c r="F19" t="inlineStr"/>
      <c r="G19" t="inlineStr">
        <is>
          <t>Seattle, WA, US</t>
        </is>
      </c>
      <c r="H19" s="1" t="n">
        <v>45881</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in-d25b6515c0243958</t>
        </is>
      </c>
      <c r="B20" t="inlineStr">
        <is>
          <t>Sr. Applied Scientist, Prime Video - Personalization and Discovery Science</t>
        </is>
      </c>
      <c r="C20" t="inlineStr">
        <is>
          <t>Amazon.com</t>
        </is>
      </c>
      <c r="D20" t="inlineStr">
        <is>
          <t>indeed</t>
        </is>
      </c>
      <c r="E20" t="inlineStr"/>
      <c r="F20" t="inlineStr"/>
      <c r="G20" t="inlineStr">
        <is>
          <t>Seattle, WA, US</t>
        </is>
      </c>
      <c r="H20" s="1" t="n">
        <v>45881</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in-e211211ee94282db</t>
        </is>
      </c>
      <c r="B21" t="inlineStr">
        <is>
          <t>Applied Scientist II, Physics Simulation, Amazon Industrial Robotics</t>
        </is>
      </c>
      <c r="C21" t="inlineStr">
        <is>
          <t>Amazon.com</t>
        </is>
      </c>
      <c r="D21" t="inlineStr">
        <is>
          <t>indeed</t>
        </is>
      </c>
      <c r="E21" t="inlineStr"/>
      <c r="F21" t="inlineStr"/>
      <c r="G21" t="inlineStr">
        <is>
          <t>Reading, MA, US</t>
        </is>
      </c>
      <c r="H21" s="1" t="n">
        <v>46057</v>
      </c>
      <c r="I21"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We are seeking a talented Applied Scientist to join our advanced robotics team, focusing on developing and applying cutting\-edge simulation methodologies for advanced robotics systems. This role centers on research and development of physics\-based simulation techniques, sim\-to\-real transfer methods, and machine learning approaches that enable rapid development, testing, and validation of robotic systems operating in complex, real\-world environments.
Key job responsibilities  
* Advance physics\-based simulation fidelity for contact\-rich manipulation and locomotion
* Design and build high\-performance simulation tools integrated into a production robotics stack
* Translate research ideas into robust, scalable software pipelines
* Develop methods to quantify and reduce simulation\-to\-reality gaps across design, safety, and control
* Architect scalable simulation solutions for rigid and deformable body dynamics
* Build simulation pipelines optimized for large\-scale reinforcement and policy learning
* Establish frameworks for continuous simulation improvement using real\-world deployment data
* Collaborate with engineering, science, and safety teams on simulation requirements and validation
About the team  
Our team is building a comprehensive simulation platform for advanced robotics development, combining locomotion and manipulation capabilities. We operate at the cutting edge of physics simulation, reinforcement learning, and sim\-to\-real transfer, collaborating with world\-class robotics engineers, applied scientists, and mechanical designers in a fast\-paced, innovation\-driven environment.
This role uniquely combines fundamental research with real\-world deployment. You will pursue core research questions in physics\-based simulation while seeing your work translated into production systems, validated on real hardware, and informed by deployment data. Working alongside Simulation Software Engineers, you will help transform research ideas into scalable, production\-grade simulation capabilities that directly impact how robots are designed, trained, and deployed.
**BASIC QUALIFICATIONS**
------------------------
* Currently has, or is in the process of obtaining, a PhD in computer science, computer engineering, or related field
* 2\+ years of science, technology, engineering or related field experience
* Deep expertise in physics\-based simulation, including rigid and deformable dynamics, contact mechanics, computational geometry, and numerical methods
* Experience designing and optimizing physics\-based simulation systems for high\-performance and large\-scale computing environments
* Strong programming skills in C\+\+ and Python, with an emphasis on maintainable, performance\-critical code
* Working knowledge of modern physics engines such as MuJoCo, Isaac Lab, Drake, and Newton
**PREFERRED QUALIFICATIONS**
----------------------------
* Experience with reinforcement learning and policy training in simulation
* Familiarity with differentiable physics, learned simulation models, or neural physics engines
* Background in contact\-rich manipulation or legged locomotion simulation
* Experience with robotics model formats and pipelines (e.g., URDF, SDF, USD)
* Expertise in GPU\-accelerated computing and algorithms
* Experience deploying simulation\-trained policies on real robotic systems
* Demonstrated research leadership, from project conception through publication and deployment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22">
      <c r="A22" t="inlineStr">
        <is>
          <t>in-65d6416554cad2f7</t>
        </is>
      </c>
      <c r="B22" t="inlineStr">
        <is>
          <t>Applied Scientist II, Physics Simulation, Amazon Industrial Robotics</t>
        </is>
      </c>
      <c r="C22" t="inlineStr">
        <is>
          <t>Amazon.com</t>
        </is>
      </c>
      <c r="D22" t="inlineStr">
        <is>
          <t>indeed</t>
        </is>
      </c>
      <c r="E22" t="inlineStr"/>
      <c r="F22" t="inlineStr"/>
      <c r="G22" t="inlineStr">
        <is>
          <t>Reading, MA, US</t>
        </is>
      </c>
      <c r="H22" s="1" t="n">
        <v>46057</v>
      </c>
      <c r="I22"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We are seeking a talented Applied Scientist to join our advanced robotics team, focusing on developing and applying cutting\-edge simulation methodologies for advanced robotics systems. This role centers on research and development of physics\-based simulation techniques, sim\-to\-real transfer methods, and machine learning approaches that enable rapid development, testing, and validation of robotic systems operating in complex, real\-world environments.
Key job responsibilities  
* Advance physics\-based simulation fidelity for contact\-rich manipulation and locomotion
* Design and build high\-performance simulation tools integrated into a production robotics stack
* Translate research ideas into robust, scalable software pipelines
* Develop methods to quantify and reduce simulation\-to\-reality gaps across design, safety, and control
* Architect scalable simulation solutions for rigid and deformable body dynamics
* Build simulation pipelines optimized for large\-scale reinforcement and policy learning
* Establish frameworks for continuous simulation improvement using real\-world deployment data
* Collaborate with engineering, science, and safety teams on simulation requirements and validation
About the team  
Our team is building a comprehensive simulation platform for advanced robotics development, combining locomotion and manipulation capabilities. We operate at the cutting edge of physics simulation, reinforcement learning, and sim\-to\-real transfer, collaborating with world\-class robotics engineers, applied scientists, and mechanical designers in a fast\-paced, innovation\-driven environment.
This role uniquely combines fundamental research with real\-world deployment. You will pursue core research questions in physics\-based simulation while seeing your work translated into production systems, validated on real hardware, and informed by deployment data. Working alongside Simulation Software Engineers, you will help transform research ideas into scalable, production\-grade simulation capabilities that directly impact how robots are designed, trained, and deployed.
**BASIC QUALIFICATIONS**
------------------------
* Currently has, or is in the process of obtaining, a PhD in computer science, computer engineering, or related field
* 2\+ years of science, technology, engineering or related field experience
* Deep expertise in physics\-based simulation, including rigid and deformable dynamics, contact mechanics, computational geometry, and numerical methods
* Experience designing and optimizing physics\-based simulation systems for high\-performance and large\-scale computing environments
* Strong programming skills in C\+\+ and Python, with an emphasis on maintainable, performance\-critical code
* Working knowledge of modern physics engines such as MuJoCo, Isaac Lab, Drake, and Newton
**PREFERRED QUALIFICATIONS**
----------------------------
* Experience with reinforcement learning and policy training in simulation
* Familiarity with differentiable physics, learned simulation models, or neural physics engines
* Background in contact\-rich manipulation or legged locomotion simulation
* Experience with robotics model formats and pipelines (e.g., URDF, SDF, USD)
* Expertise in GPU\-accelerated computing and algorithms
* Experience deploying simulation\-trained policies on real robotic systems
* Demonstrated research leadership, from project conception through publication and deployment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23">
      <c r="A23" t="inlineStr">
        <is>
          <t>in-05d7220a6e2d5294</t>
        </is>
      </c>
      <c r="B23" t="inlineStr">
        <is>
          <t>Sr. Applied Scientist - SLAM, Amazon Industrial Robotics</t>
        </is>
      </c>
      <c r="C23" t="inlineStr">
        <is>
          <t>Amazon.com</t>
        </is>
      </c>
      <c r="D23" t="inlineStr">
        <is>
          <t>indeed</t>
        </is>
      </c>
      <c r="E23" t="inlineStr"/>
      <c r="F23" t="inlineStr"/>
      <c r="G23" t="inlineStr">
        <is>
          <t>Reading, MA, US</t>
        </is>
      </c>
      <c r="H23" s="1" t="n">
        <v>46050</v>
      </c>
      <c r="I23"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24">
      <c r="A24" t="inlineStr">
        <is>
          <t>in-7949184f020e705f</t>
        </is>
      </c>
      <c r="B24" t="inlineStr">
        <is>
          <t>Sr. Applied Scientist - SLAM, Amazon Industrial Robotics</t>
        </is>
      </c>
      <c r="C24" t="inlineStr">
        <is>
          <t>Amazon.com</t>
        </is>
      </c>
      <c r="D24" t="inlineStr">
        <is>
          <t>indeed</t>
        </is>
      </c>
      <c r="E24" t="inlineStr"/>
      <c r="F24" t="inlineStr"/>
      <c r="G24" t="inlineStr">
        <is>
          <t>Reading, MA, US</t>
        </is>
      </c>
      <c r="H24" s="1" t="n">
        <v>46050</v>
      </c>
      <c r="I24"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25">
      <c r="A25" t="inlineStr">
        <is>
          <t>in-fd74b40b9baa285b</t>
        </is>
      </c>
      <c r="B25" t="inlineStr">
        <is>
          <t>Principal Applied Scientist, Sensing, Industrial Robotics Group</t>
        </is>
      </c>
      <c r="C25" t="inlineStr">
        <is>
          <t>Amazon.com</t>
        </is>
      </c>
      <c r="D25" t="inlineStr">
        <is>
          <t>indeed</t>
        </is>
      </c>
      <c r="E25" t="inlineStr"/>
      <c r="F25" t="inlineStr"/>
      <c r="G25" t="inlineStr">
        <is>
          <t>Reading, MA, US</t>
        </is>
      </c>
      <c r="H25" s="1" t="n">
        <v>46050</v>
      </c>
      <c r="I25"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26">
      <c r="A26" t="inlineStr">
        <is>
          <t>in-37aa838b467474f6</t>
        </is>
      </c>
      <c r="B26" t="inlineStr">
        <is>
          <t>Principal Applied Scientist, Sensing, Industrial Robotics Group</t>
        </is>
      </c>
      <c r="C26" t="inlineStr">
        <is>
          <t>Amazon.com</t>
        </is>
      </c>
      <c r="D26" t="inlineStr">
        <is>
          <t>indeed</t>
        </is>
      </c>
      <c r="E26" t="inlineStr"/>
      <c r="F26" t="inlineStr"/>
      <c r="G26" t="inlineStr">
        <is>
          <t>Reading, MA, US</t>
        </is>
      </c>
      <c r="H26" s="1" t="n">
        <v>46050</v>
      </c>
      <c r="I26"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27">
      <c r="A27" t="inlineStr">
        <is>
          <t>in-8e8cd7089830be66</t>
        </is>
      </c>
      <c r="B27" t="inlineStr">
        <is>
          <t>Sr. Applied Scientist, Sponsored Products Off-Search Sourcing</t>
        </is>
      </c>
      <c r="C27" t="inlineStr">
        <is>
          <t>Amazon.com</t>
        </is>
      </c>
      <c r="D27" t="inlineStr">
        <is>
          <t>indeed</t>
        </is>
      </c>
      <c r="E27" t="inlineStr"/>
      <c r="F27" t="inlineStr"/>
      <c r="G27" t="inlineStr">
        <is>
          <t>Palo Alto, CA, US</t>
        </is>
      </c>
      <c r="H27" s="1" t="n">
        <v>46049</v>
      </c>
      <c r="I27"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28">
      <c r="A28" t="inlineStr">
        <is>
          <t>in-0170cff21177b702</t>
        </is>
      </c>
      <c r="B28" t="inlineStr">
        <is>
          <t>Sr. Applied Scientist, Sponsored Products Off-Search Sourcing</t>
        </is>
      </c>
      <c r="C28" t="inlineStr">
        <is>
          <t>Amazon.com</t>
        </is>
      </c>
      <c r="D28" t="inlineStr">
        <is>
          <t>indeed</t>
        </is>
      </c>
      <c r="E28" t="inlineStr"/>
      <c r="F28" t="inlineStr"/>
      <c r="G28" t="inlineStr">
        <is>
          <t>Seattle, WA, US</t>
        </is>
      </c>
      <c r="H28" s="1" t="n">
        <v>46049</v>
      </c>
      <c r="I28"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29">
      <c r="A29" t="inlineStr">
        <is>
          <t>in-36cc4a47705b67b5</t>
        </is>
      </c>
      <c r="B29" t="inlineStr">
        <is>
          <t>Sr. Applied Scientist, Sponsored Products Off-Search Sourcing</t>
        </is>
      </c>
      <c r="C29" t="inlineStr">
        <is>
          <t>Amazon.com</t>
        </is>
      </c>
      <c r="D29" t="inlineStr">
        <is>
          <t>indeed</t>
        </is>
      </c>
      <c r="E29" t="inlineStr"/>
      <c r="F29" t="inlineStr"/>
      <c r="G29" t="inlineStr">
        <is>
          <t>New York, NY, US</t>
        </is>
      </c>
      <c r="H29" s="1" t="n">
        <v>46049</v>
      </c>
      <c r="I29"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30">
      <c r="A30" t="inlineStr">
        <is>
          <t>in-6579d80899f62538</t>
        </is>
      </c>
      <c r="B30" t="inlineStr">
        <is>
          <t>Principal Applied Scientist, AWS Science of Security</t>
        </is>
      </c>
      <c r="C30" t="inlineStr">
        <is>
          <t>Amazon.com</t>
        </is>
      </c>
      <c r="D30" t="inlineStr">
        <is>
          <t>indeed</t>
        </is>
      </c>
      <c r="E30" t="inlineStr"/>
      <c r="F30" t="inlineStr"/>
      <c r="G30" t="inlineStr">
        <is>
          <t>Arlington, VA, US</t>
        </is>
      </c>
      <c r="H30" s="1" t="n">
        <v>46049</v>
      </c>
      <c r="I30"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31">
      <c r="A31" t="inlineStr">
        <is>
          <t>in-4dbfb33a28952eed</t>
        </is>
      </c>
      <c r="B31" t="inlineStr">
        <is>
          <t>Principal Applied Scientist, AWS Science of Security</t>
        </is>
      </c>
      <c r="C31" t="inlineStr">
        <is>
          <t>Amazon.com</t>
        </is>
      </c>
      <c r="D31" t="inlineStr">
        <is>
          <t>indeed</t>
        </is>
      </c>
      <c r="E31" t="inlineStr"/>
      <c r="F31" t="inlineStr"/>
      <c r="G31" t="inlineStr">
        <is>
          <t>Seattle, WA, US</t>
        </is>
      </c>
      <c r="H31" s="1" t="n">
        <v>46049</v>
      </c>
      <c r="I31"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32">
      <c r="A32" t="inlineStr">
        <is>
          <t>in-ebd6ba92841921b6</t>
        </is>
      </c>
      <c r="B32" t="inlineStr">
        <is>
          <t>Principal Applied Scientist, AWS Science of Security</t>
        </is>
      </c>
      <c r="C32" t="inlineStr">
        <is>
          <t>Amazon.com</t>
        </is>
      </c>
      <c r="D32" t="inlineStr">
        <is>
          <t>indeed</t>
        </is>
      </c>
      <c r="E32" t="inlineStr"/>
      <c r="F32" t="inlineStr"/>
      <c r="G32" t="inlineStr">
        <is>
          <t>New York, NY, US</t>
        </is>
      </c>
      <c r="H32" s="1" t="n">
        <v>46049</v>
      </c>
      <c r="I32"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33">
      <c r="A33" t="inlineStr">
        <is>
          <t>in-5942f266e0849cad</t>
        </is>
      </c>
      <c r="B33" t="inlineStr">
        <is>
          <t>Senior Applied Scientist, Amazon Industrial Robotics</t>
        </is>
      </c>
      <c r="C33" t="inlineStr">
        <is>
          <t>Amazon.com</t>
        </is>
      </c>
      <c r="D33" t="inlineStr">
        <is>
          <t>indeed</t>
        </is>
      </c>
      <c r="E33" t="inlineStr"/>
      <c r="F33" t="inlineStr"/>
      <c r="G33" t="inlineStr">
        <is>
          <t>Reading, MA, US</t>
        </is>
      </c>
      <c r="H33" s="1" t="n">
        <v>46048</v>
      </c>
      <c r="I33"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4">
      <c r="A34" t="inlineStr">
        <is>
          <t>in-5d1b1de23ec0a22a</t>
        </is>
      </c>
      <c r="B34" t="inlineStr">
        <is>
          <t>Senior Applied Scientist, Amazon Industrial Robotics</t>
        </is>
      </c>
      <c r="C34" t="inlineStr">
        <is>
          <t>Amazon.com</t>
        </is>
      </c>
      <c r="D34" t="inlineStr">
        <is>
          <t>indeed</t>
        </is>
      </c>
      <c r="E34" t="inlineStr"/>
      <c r="F34" t="inlineStr"/>
      <c r="G34" t="inlineStr">
        <is>
          <t>Reading, MA, US</t>
        </is>
      </c>
      <c r="H34" s="1" t="n">
        <v>46048</v>
      </c>
      <c r="I34"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5">
      <c r="A35" t="inlineStr">
        <is>
          <t>in-9f0b14d39b977644</t>
        </is>
      </c>
      <c r="B35" t="inlineStr">
        <is>
          <t>Applied Scientist II, Prime Video Personalization and Discovery Science</t>
        </is>
      </c>
      <c r="C35" t="inlineStr">
        <is>
          <t>Amazon.com</t>
        </is>
      </c>
      <c r="D35" t="inlineStr">
        <is>
          <t>indeed</t>
        </is>
      </c>
      <c r="E35" t="inlineStr"/>
      <c r="F35" t="inlineStr"/>
      <c r="G35" t="inlineStr">
        <is>
          <t>Sunnyvale, CA, US</t>
        </is>
      </c>
      <c r="H35" s="1" t="n">
        <v>46047</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6">
      <c r="A36" t="inlineStr">
        <is>
          <t>in-bc8c4f8c3a7f6a6b</t>
        </is>
      </c>
      <c r="B36" t="inlineStr">
        <is>
          <t>Applied Scientist II, Prime Video Personalization and Discovery Science</t>
        </is>
      </c>
      <c r="C36" t="inlineStr">
        <is>
          <t>Amazon.com</t>
        </is>
      </c>
      <c r="D36" t="inlineStr">
        <is>
          <t>indeed</t>
        </is>
      </c>
      <c r="E36" t="inlineStr"/>
      <c r="F36" t="inlineStr"/>
      <c r="G36" t="inlineStr">
        <is>
          <t>New York, NY, US</t>
        </is>
      </c>
      <c r="H36" s="1" t="n">
        <v>46047</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7">
      <c r="A37" t="inlineStr">
        <is>
          <t>in-6aeef324bc45f27f</t>
        </is>
      </c>
      <c r="B37" t="inlineStr">
        <is>
          <t>Applied Scientist, Amazon Connect</t>
        </is>
      </c>
      <c r="C37" t="inlineStr">
        <is>
          <t>Amazon Web Services</t>
        </is>
      </c>
      <c r="D37" t="inlineStr">
        <is>
          <t>indeed</t>
        </is>
      </c>
      <c r="E37" t="inlineStr"/>
      <c r="F37" t="inlineStr"/>
      <c r="G37" t="inlineStr">
        <is>
          <t>New York, NY, US</t>
        </is>
      </c>
      <c r="H37" s="1" t="n">
        <v>46047</v>
      </c>
      <c r="I37"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8">
      <c r="A38" t="inlineStr">
        <is>
          <t>in-a2c68d0e00395360</t>
        </is>
      </c>
      <c r="B38" t="inlineStr">
        <is>
          <t>Applied Scientist, Amazon Connect</t>
        </is>
      </c>
      <c r="C38" t="inlineStr">
        <is>
          <t>Amazon Web Services</t>
        </is>
      </c>
      <c r="D38" t="inlineStr">
        <is>
          <t>indeed</t>
        </is>
      </c>
      <c r="E38" t="inlineStr"/>
      <c r="F38" t="inlineStr"/>
      <c r="G38" t="inlineStr">
        <is>
          <t>Seattle, WA, US</t>
        </is>
      </c>
      <c r="H38" s="1" t="n">
        <v>46047</v>
      </c>
      <c r="I38"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9">
      <c r="A39" t="inlineStr">
        <is>
          <t>in-428c9fadbaaf60e9</t>
        </is>
      </c>
      <c r="B39" t="inlineStr">
        <is>
          <t>Applied Scientist II, Prime Video Personalization and Discovery Science</t>
        </is>
      </c>
      <c r="C39" t="inlineStr">
        <is>
          <t>Amazon.com</t>
        </is>
      </c>
      <c r="D39" t="inlineStr">
        <is>
          <t>indeed</t>
        </is>
      </c>
      <c r="E39" t="inlineStr"/>
      <c r="F39" t="inlineStr"/>
      <c r="G39" t="inlineStr">
        <is>
          <t>Seattle, WA, US</t>
        </is>
      </c>
      <c r="H39" s="1" t="n">
        <v>46047</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0">
      <c r="A40" t="inlineStr">
        <is>
          <t>in-f3467a0213ee34bd</t>
        </is>
      </c>
      <c r="B40" t="inlineStr">
        <is>
          <t>Applied Scientist II, Prime Video Personalization and Discovery Science</t>
        </is>
      </c>
      <c r="C40" t="inlineStr">
        <is>
          <t>Amazon.com</t>
        </is>
      </c>
      <c r="D40" t="inlineStr">
        <is>
          <t>indeed</t>
        </is>
      </c>
      <c r="E40" t="inlineStr"/>
      <c r="F40" t="inlineStr"/>
      <c r="G40" t="inlineStr">
        <is>
          <t>New York, NY, US</t>
        </is>
      </c>
      <c r="H40" s="1" t="n">
        <v>46038</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1">
      <c r="A41" t="inlineStr">
        <is>
          <t>in-7514c51617506c75</t>
        </is>
      </c>
      <c r="B41" t="inlineStr">
        <is>
          <t>Applied Scientist II, Prime Video Personalization and Discovery Science</t>
        </is>
      </c>
      <c r="C41" t="inlineStr">
        <is>
          <t>Amazon.com</t>
        </is>
      </c>
      <c r="D41" t="inlineStr">
        <is>
          <t>indeed</t>
        </is>
      </c>
      <c r="E41" t="inlineStr"/>
      <c r="F41" t="inlineStr"/>
      <c r="G41" t="inlineStr">
        <is>
          <t>Seattle, WA, US</t>
        </is>
      </c>
      <c r="H41" s="1" t="n">
        <v>46038</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2">
      <c r="A42" t="inlineStr">
        <is>
          <t>in-8b811db8a93c69f0</t>
        </is>
      </c>
      <c r="B42" t="inlineStr">
        <is>
          <t>Applied Scientist II, Prime Video Personalization and Discovery Science</t>
        </is>
      </c>
      <c r="C42" t="inlineStr">
        <is>
          <t>Amazon.com</t>
        </is>
      </c>
      <c r="D42" t="inlineStr">
        <is>
          <t>indeed</t>
        </is>
      </c>
      <c r="E42" t="inlineStr"/>
      <c r="F42" t="inlineStr"/>
      <c r="G42" t="inlineStr">
        <is>
          <t>Sunnyvale, CA, US</t>
        </is>
      </c>
      <c r="H42" s="1" t="n">
        <v>46038</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3">
      <c r="A43" t="inlineStr">
        <is>
          <t>in-ffe878b773af888b</t>
        </is>
      </c>
      <c r="B43" t="inlineStr">
        <is>
          <t>Applied Scientist, Safety ML</t>
        </is>
      </c>
      <c r="C43" t="inlineStr">
        <is>
          <t>Amazon.com</t>
        </is>
      </c>
      <c r="D43" t="inlineStr">
        <is>
          <t>indeed</t>
        </is>
      </c>
      <c r="E43" t="inlineStr"/>
      <c r="F43" t="inlineStr"/>
      <c r="G43" t="inlineStr">
        <is>
          <t>Seattle, WA, US</t>
        </is>
      </c>
      <c r="H43" s="1" t="n">
        <v>46037</v>
      </c>
      <c r="I4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44">
      <c r="A44" t="inlineStr">
        <is>
          <t>in-42e2dcbc6106bd83</t>
        </is>
      </c>
      <c r="B44" t="inlineStr">
        <is>
          <t>Applied Scientist, Safety ML</t>
        </is>
      </c>
      <c r="C44" t="inlineStr">
        <is>
          <t>Amazon.com</t>
        </is>
      </c>
      <c r="D44" t="inlineStr">
        <is>
          <t>indeed</t>
        </is>
      </c>
      <c r="E44" t="inlineStr"/>
      <c r="F44" t="inlineStr"/>
      <c r="G44" t="inlineStr">
        <is>
          <t>San Francisco, CA, US</t>
        </is>
      </c>
      <c r="H44" s="1" t="n">
        <v>46037</v>
      </c>
      <c r="I4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45">
      <c r="A45" t="inlineStr">
        <is>
          <t>in-2b8e21349aeee4c0</t>
        </is>
      </c>
      <c r="B45" t="inlineStr">
        <is>
          <t>Applied Scientist, LLM Code Agents, Kiro Science</t>
        </is>
      </c>
      <c r="C45" t="inlineStr">
        <is>
          <t>Amazon.com</t>
        </is>
      </c>
      <c r="D45" t="inlineStr">
        <is>
          <t>indeed</t>
        </is>
      </c>
      <c r="E45" t="inlineStr"/>
      <c r="F45" t="inlineStr"/>
      <c r="G45" t="inlineStr">
        <is>
          <t>Seattle, WA, US</t>
        </is>
      </c>
      <c r="H45" s="1" t="n">
        <v>46035</v>
      </c>
      <c r="I45"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46">
      <c r="A46" t="inlineStr">
        <is>
          <t>in-46350ab55f6448f0</t>
        </is>
      </c>
      <c r="B46" t="inlineStr">
        <is>
          <t>Applied Scientist, LLM Code Agents, Kiro Science</t>
        </is>
      </c>
      <c r="C46" t="inlineStr">
        <is>
          <t>Amazon.com</t>
        </is>
      </c>
      <c r="D46" t="inlineStr">
        <is>
          <t>indeed</t>
        </is>
      </c>
      <c r="E46" t="inlineStr"/>
      <c r="F46" t="inlineStr"/>
      <c r="G46" t="inlineStr">
        <is>
          <t>Santa Clara, CA, US</t>
        </is>
      </c>
      <c r="H46" s="1" t="n">
        <v>46035</v>
      </c>
      <c r="I46"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47">
      <c r="A47" t="inlineStr">
        <is>
          <t>in-d61a2de781c1cec6</t>
        </is>
      </c>
      <c r="B47" t="inlineStr">
        <is>
          <t>Applied Scientist II, Prime Video Personalization and Discovery Science</t>
        </is>
      </c>
      <c r="C47" t="inlineStr">
        <is>
          <t>Amazon.com</t>
        </is>
      </c>
      <c r="D47" t="inlineStr">
        <is>
          <t>indeed</t>
        </is>
      </c>
      <c r="E47" t="inlineStr"/>
      <c r="F47" t="inlineStr"/>
      <c r="G47" t="inlineStr">
        <is>
          <t>Sunnyvale, CA, US</t>
        </is>
      </c>
      <c r="H47" s="1" t="n">
        <v>46034</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48">
      <c r="A48" t="inlineStr">
        <is>
          <t>in-980b84f52cf2f0f0</t>
        </is>
      </c>
      <c r="B48" t="inlineStr">
        <is>
          <t>Applied Scientist II, Prime Video Personalization and Discovery Science</t>
        </is>
      </c>
      <c r="C48" t="inlineStr">
        <is>
          <t>Amazon.com</t>
        </is>
      </c>
      <c r="D48" t="inlineStr">
        <is>
          <t>indeed</t>
        </is>
      </c>
      <c r="E48" t="inlineStr"/>
      <c r="F48" t="inlineStr"/>
      <c r="G48" t="inlineStr">
        <is>
          <t>Seattle, WA, US</t>
        </is>
      </c>
      <c r="H48" s="1" t="n">
        <v>46034</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49">
      <c r="A49" t="inlineStr">
        <is>
          <t>in-7725f7b5631bdf1b</t>
        </is>
      </c>
      <c r="B49" t="inlineStr">
        <is>
          <t>Applied Scientist, Alexa Smart Home</t>
        </is>
      </c>
      <c r="C49" t="inlineStr">
        <is>
          <t>Amazon.com</t>
        </is>
      </c>
      <c r="D49" t="inlineStr">
        <is>
          <t>indeed</t>
        </is>
      </c>
      <c r="E49" t="inlineStr"/>
      <c r="F49" t="inlineStr"/>
      <c r="G49" t="inlineStr">
        <is>
          <t>Seattle, WA, US</t>
        </is>
      </c>
      <c r="H49" s="1" t="n">
        <v>46033</v>
      </c>
      <c r="I49"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0">
      <c r="A50" t="inlineStr">
        <is>
          <t>in-7a7bef55935890a6</t>
        </is>
      </c>
      <c r="B50" t="inlineStr">
        <is>
          <t>Applied Scientist, Alexa Smart Home</t>
        </is>
      </c>
      <c r="C50" t="inlineStr">
        <is>
          <t>Amazon.com</t>
        </is>
      </c>
      <c r="D50" t="inlineStr">
        <is>
          <t>indeed</t>
        </is>
      </c>
      <c r="E50" t="inlineStr"/>
      <c r="F50" t="inlineStr"/>
      <c r="G50" t="inlineStr">
        <is>
          <t>Sunnyvale, CA, US</t>
        </is>
      </c>
      <c r="H50" s="1" t="n">
        <v>46033</v>
      </c>
      <c r="I50"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1">
      <c r="A51" t="inlineStr">
        <is>
          <t>in-0c59e89e55df861c</t>
        </is>
      </c>
      <c r="B51" t="inlineStr">
        <is>
          <t>Applied Scientist, AWS Applied AI Solutions</t>
        </is>
      </c>
      <c r="C51" t="inlineStr">
        <is>
          <t>Amazon Web Services</t>
        </is>
      </c>
      <c r="D51" t="inlineStr">
        <is>
          <t>indeed</t>
        </is>
      </c>
      <c r="E51" t="inlineStr"/>
      <c r="F51" t="inlineStr"/>
      <c r="G51" t="inlineStr">
        <is>
          <t>New York, NY, US</t>
        </is>
      </c>
      <c r="H51" s="1" t="n">
        <v>46030</v>
      </c>
      <c r="I51"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2">
      <c r="A52" t="inlineStr">
        <is>
          <t>in-6549be334d7baa97</t>
        </is>
      </c>
      <c r="B52" t="inlineStr">
        <is>
          <t>Applied Scientist, AWS Applied AI Solutions</t>
        </is>
      </c>
      <c r="C52" t="inlineStr">
        <is>
          <t>Amazon Web Services</t>
        </is>
      </c>
      <c r="D52" t="inlineStr">
        <is>
          <t>indeed</t>
        </is>
      </c>
      <c r="E52" t="inlineStr"/>
      <c r="F52" t="inlineStr"/>
      <c r="G52" t="inlineStr">
        <is>
          <t>Seattle, WA, US</t>
        </is>
      </c>
      <c r="H52" s="1" t="n">
        <v>46030</v>
      </c>
      <c r="I52"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3">
      <c r="A53" t="inlineStr">
        <is>
          <t>in-77363dcfc6d5f129</t>
        </is>
      </c>
      <c r="B53" t="inlineStr">
        <is>
          <t>Applied Scientist II, Prime Video Personalization and Discovery Science</t>
        </is>
      </c>
      <c r="C53" t="inlineStr">
        <is>
          <t>Amazon.com</t>
        </is>
      </c>
      <c r="D53" t="inlineStr">
        <is>
          <t>indeed</t>
        </is>
      </c>
      <c r="E53" t="inlineStr"/>
      <c r="F53" t="inlineStr"/>
      <c r="G53" t="inlineStr">
        <is>
          <t>New York, NY, US</t>
        </is>
      </c>
      <c r="H53" s="1" t="n">
        <v>46028</v>
      </c>
      <c r="I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4">
      <c r="A54" t="inlineStr">
        <is>
          <t>in-a23d3c0f8d9a8bb9</t>
        </is>
      </c>
      <c r="B54" t="inlineStr">
        <is>
          <t>Applied Scientist II, Prime Video Personalization and Discovery Science</t>
        </is>
      </c>
      <c r="C54" t="inlineStr">
        <is>
          <t>Amazon.com</t>
        </is>
      </c>
      <c r="D54" t="inlineStr">
        <is>
          <t>indeed</t>
        </is>
      </c>
      <c r="E54" t="inlineStr"/>
      <c r="F54" t="inlineStr"/>
      <c r="G54" t="inlineStr">
        <is>
          <t>Seattle, WA, US</t>
        </is>
      </c>
      <c r="H54" s="1" t="n">
        <v>46028</v>
      </c>
      <c r="I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5">
      <c r="A55" t="inlineStr">
        <is>
          <t>in-0541571f06290346</t>
        </is>
      </c>
      <c r="B55" t="inlineStr">
        <is>
          <t>Applied Scientist II, Prime Video Personalization and Discovery Science</t>
        </is>
      </c>
      <c r="C55" t="inlineStr">
        <is>
          <t>Amazon.com</t>
        </is>
      </c>
      <c r="D55" t="inlineStr">
        <is>
          <t>indeed</t>
        </is>
      </c>
      <c r="E55" t="inlineStr"/>
      <c r="F55" t="inlineStr"/>
      <c r="G55" t="inlineStr">
        <is>
          <t>Sunnyvale, CA, US</t>
        </is>
      </c>
      <c r="H55" s="1" t="n">
        <v>46028</v>
      </c>
      <c r="I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6">
      <c r="A56" t="inlineStr">
        <is>
          <t>in-a6628b052ad41b7f</t>
        </is>
      </c>
      <c r="B56" t="inlineStr">
        <is>
          <t>Applied Scientist, Last Mile Delivery Automation</t>
        </is>
      </c>
      <c r="C56" t="inlineStr">
        <is>
          <t>Amazon.com</t>
        </is>
      </c>
      <c r="D56" t="inlineStr">
        <is>
          <t>indeed</t>
        </is>
      </c>
      <c r="E56" t="inlineStr"/>
      <c r="F56" t="inlineStr"/>
      <c r="G56" t="inlineStr">
        <is>
          <t>Santa Clara, CA, US</t>
        </is>
      </c>
      <c r="H56" s="1" t="n">
        <v>46026</v>
      </c>
      <c r="I56"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in-4d51708947f50939</t>
        </is>
      </c>
      <c r="B57" t="inlineStr">
        <is>
          <t>Applied Scientist, Last Mile Delivery Automation</t>
        </is>
      </c>
      <c r="C57" t="inlineStr">
        <is>
          <t>Amazon.com</t>
        </is>
      </c>
      <c r="D57" t="inlineStr">
        <is>
          <t>indeed</t>
        </is>
      </c>
      <c r="E57" t="inlineStr"/>
      <c r="F57" t="inlineStr"/>
      <c r="G57" t="inlineStr">
        <is>
          <t>Bellevue, WA, US</t>
        </is>
      </c>
      <c r="H57" s="1" t="n">
        <v>46026</v>
      </c>
      <c r="I57"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in-14fa5dc675521b63</t>
        </is>
      </c>
      <c r="B58" t="inlineStr">
        <is>
          <t>Senior Applied Scientist, Sponsored Products and Brands, Off-Search</t>
        </is>
      </c>
      <c r="C58" t="inlineStr">
        <is>
          <t>Amazon.com</t>
        </is>
      </c>
      <c r="D58" t="inlineStr">
        <is>
          <t>indeed</t>
        </is>
      </c>
      <c r="E58" t="inlineStr"/>
      <c r="F58" t="inlineStr"/>
      <c r="G58" t="inlineStr">
        <is>
          <t>Palo Alto, CA, US</t>
        </is>
      </c>
      <c r="H58" s="1" t="n">
        <v>46017</v>
      </c>
      <c r="I58"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in-2f57a6a8b7be2748</t>
        </is>
      </c>
      <c r="B59" t="inlineStr">
        <is>
          <t>Senior Applied Scientist, Sponsored Products and Brands, Off-Search</t>
        </is>
      </c>
      <c r="C59" t="inlineStr">
        <is>
          <t>Amazon.com</t>
        </is>
      </c>
      <c r="D59" t="inlineStr">
        <is>
          <t>indeed</t>
        </is>
      </c>
      <c r="E59" t="inlineStr"/>
      <c r="F59" t="inlineStr"/>
      <c r="G59" t="inlineStr">
        <is>
          <t>New York, NY, US</t>
        </is>
      </c>
      <c r="H59" s="1" t="n">
        <v>46017</v>
      </c>
      <c r="I59"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in-675aa10561335556</t>
        </is>
      </c>
      <c r="B60" t="inlineStr">
        <is>
          <t>Senior Applied Scientist, Sponsored Products and Brands, Off-Search</t>
        </is>
      </c>
      <c r="C60" t="inlineStr">
        <is>
          <t>Amazon.com</t>
        </is>
      </c>
      <c r="D60" t="inlineStr">
        <is>
          <t>indeed</t>
        </is>
      </c>
      <c r="E60" t="inlineStr"/>
      <c r="F60" t="inlineStr"/>
      <c r="G60" t="inlineStr">
        <is>
          <t>Seattle, WA, US</t>
        </is>
      </c>
      <c r="H60" s="1" t="n">
        <v>46017</v>
      </c>
      <c r="I60"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in-6b1bec4e8b0e0177</t>
        </is>
      </c>
      <c r="B61" t="inlineStr">
        <is>
          <t>Applied Scientist II, Prime Video - Personalization and Discovery Science</t>
        </is>
      </c>
      <c r="C61" t="inlineStr">
        <is>
          <t>Amazon.com</t>
        </is>
      </c>
      <c r="D61" t="inlineStr">
        <is>
          <t>indeed</t>
        </is>
      </c>
      <c r="E61" t="inlineStr"/>
      <c r="F61" t="inlineStr"/>
      <c r="G61" t="inlineStr">
        <is>
          <t>Seattle, WA, US</t>
        </is>
      </c>
      <c r="H61" s="1" t="n">
        <v>46012</v>
      </c>
      <c r="I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2">
      <c r="A62" t="inlineStr">
        <is>
          <t>in-89b5911d80d92233</t>
        </is>
      </c>
      <c r="B62" t="inlineStr">
        <is>
          <t>Applied Scientist II, Prime Video - Personalization and Discovery Science</t>
        </is>
      </c>
      <c r="C62" t="inlineStr">
        <is>
          <t>Amazon.com</t>
        </is>
      </c>
      <c r="D62" t="inlineStr">
        <is>
          <t>indeed</t>
        </is>
      </c>
      <c r="E62" t="inlineStr"/>
      <c r="F62" t="inlineStr"/>
      <c r="G62" t="inlineStr">
        <is>
          <t>Sunnyvale, CA, US</t>
        </is>
      </c>
      <c r="H62" s="1" t="n">
        <v>46012</v>
      </c>
      <c r="I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3">
      <c r="A63" t="inlineStr">
        <is>
          <t>in-149b12c0de73ec46</t>
        </is>
      </c>
      <c r="B63" t="inlineStr">
        <is>
          <t>Applied Scientist, Delivery Foundation Model</t>
        </is>
      </c>
      <c r="C63" t="inlineStr">
        <is>
          <t>Amazon.com</t>
        </is>
      </c>
      <c r="D63" t="inlineStr">
        <is>
          <t>indeed</t>
        </is>
      </c>
      <c r="E63" t="inlineStr"/>
      <c r="F63" t="inlineStr"/>
      <c r="G63" t="inlineStr">
        <is>
          <t>Bellevue, WA, US</t>
        </is>
      </c>
      <c r="H63" s="1" t="n">
        <v>46009</v>
      </c>
      <c r="I6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64">
      <c r="A64" t="inlineStr">
        <is>
          <t>in-1f9e9dbf6126a0d6</t>
        </is>
      </c>
      <c r="B64" t="inlineStr">
        <is>
          <t>Applied Scientist, Delivery Foundation Model</t>
        </is>
      </c>
      <c r="C64" t="inlineStr">
        <is>
          <t>Amazon.com</t>
        </is>
      </c>
      <c r="D64" t="inlineStr">
        <is>
          <t>indeed</t>
        </is>
      </c>
      <c r="E64" t="inlineStr"/>
      <c r="F64" t="inlineStr"/>
      <c r="G64" t="inlineStr">
        <is>
          <t>Santa Clara, CA, US</t>
        </is>
      </c>
      <c r="H64" s="1" t="n">
        <v>46009</v>
      </c>
      <c r="I6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65">
      <c r="A65" t="inlineStr">
        <is>
          <t>in-a2b425d753a20a2e</t>
        </is>
      </c>
      <c r="B65" t="inlineStr">
        <is>
          <t>Principal Applied Scientist, Kiro Science</t>
        </is>
      </c>
      <c r="C65" t="inlineStr">
        <is>
          <t>Amazon Web Services</t>
        </is>
      </c>
      <c r="D65" t="inlineStr">
        <is>
          <t>indeed</t>
        </is>
      </c>
      <c r="E65" t="inlineStr"/>
      <c r="F65" t="inlineStr"/>
      <c r="G65" t="inlineStr">
        <is>
          <t>New York, NY, US</t>
        </is>
      </c>
      <c r="H65" s="1" t="n">
        <v>45999</v>
      </c>
      <c r="I65"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66">
      <c r="A66" t="inlineStr">
        <is>
          <t>in-b30832eda158ac61</t>
        </is>
      </c>
      <c r="B66" t="inlineStr">
        <is>
          <t>Principal Applied Scientist, Kiro Science</t>
        </is>
      </c>
      <c r="C66" t="inlineStr">
        <is>
          <t>Amazon Web Services</t>
        </is>
      </c>
      <c r="D66" t="inlineStr">
        <is>
          <t>indeed</t>
        </is>
      </c>
      <c r="E66" t="inlineStr"/>
      <c r="F66" t="inlineStr"/>
      <c r="G66" t="inlineStr">
        <is>
          <t>Santa Clara, CA, US</t>
        </is>
      </c>
      <c r="H66" s="1" t="n">
        <v>45999</v>
      </c>
      <c r="I66"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67">
      <c r="A67" t="inlineStr">
        <is>
          <t>in-54a8578b20d77a28</t>
        </is>
      </c>
      <c r="B67" t="inlineStr">
        <is>
          <t>Sr. Applied Scientist, SPB Advertiser Guidance</t>
        </is>
      </c>
      <c r="C67" t="inlineStr">
        <is>
          <t>Amazon.com</t>
        </is>
      </c>
      <c r="D67" t="inlineStr">
        <is>
          <t>indeed</t>
        </is>
      </c>
      <c r="E67" t="inlineStr"/>
      <c r="F67" t="inlineStr"/>
      <c r="G67" t="inlineStr">
        <is>
          <t>Seattle, WA, US</t>
        </is>
      </c>
      <c r="H67" s="1" t="n">
        <v>45981</v>
      </c>
      <c r="I6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68">
      <c r="A68" t="inlineStr">
        <is>
          <t>in-add1755237374682</t>
        </is>
      </c>
      <c r="B68" t="inlineStr">
        <is>
          <t>Sr. Applied Scientist, SPB Advertiser Guidance</t>
        </is>
      </c>
      <c r="C68" t="inlineStr">
        <is>
          <t>Amazon.com</t>
        </is>
      </c>
      <c r="D68" t="inlineStr">
        <is>
          <t>indeed</t>
        </is>
      </c>
      <c r="E68" t="inlineStr"/>
      <c r="F68" t="inlineStr"/>
      <c r="G68" t="inlineStr">
        <is>
          <t>New York, NY, US</t>
        </is>
      </c>
      <c r="H68" s="1" t="n">
        <v>45981</v>
      </c>
      <c r="I6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69">
      <c r="A69" t="inlineStr">
        <is>
          <t>in-498d07343097ec87</t>
        </is>
      </c>
      <c r="B69" t="inlineStr">
        <is>
          <t>Sr. Applied Scientist, SPB Advertiser Guidance</t>
        </is>
      </c>
      <c r="C69" t="inlineStr">
        <is>
          <t>Amazon.com</t>
        </is>
      </c>
      <c r="D69" t="inlineStr">
        <is>
          <t>indeed</t>
        </is>
      </c>
      <c r="E69" t="inlineStr"/>
      <c r="F69" t="inlineStr"/>
      <c r="G69" t="inlineStr">
        <is>
          <t>Palo Alto, CA, US</t>
        </is>
      </c>
      <c r="H69" s="1" t="n">
        <v>45981</v>
      </c>
      <c r="I6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70">
      <c r="A70" t="inlineStr">
        <is>
          <t>in-b8f9e283f1b548ca</t>
        </is>
      </c>
      <c r="B70" t="inlineStr">
        <is>
          <t>Principal Applied Scientist, Sponsored Products and Brands</t>
        </is>
      </c>
      <c r="C70" t="inlineStr">
        <is>
          <t>Amazon.com</t>
        </is>
      </c>
      <c r="D70" t="inlineStr">
        <is>
          <t>indeed</t>
        </is>
      </c>
      <c r="E70" t="inlineStr"/>
      <c r="F70" t="inlineStr"/>
      <c r="G70" t="inlineStr">
        <is>
          <t>Seattle, WA, US</t>
        </is>
      </c>
      <c r="H70" s="1" t="n">
        <v>45979</v>
      </c>
      <c r="I7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in-8c115153e31439e6</t>
        </is>
      </c>
      <c r="B71" t="inlineStr">
        <is>
          <t>Principal Applied Scientist, Sponsored Products and Brands</t>
        </is>
      </c>
      <c r="C71" t="inlineStr">
        <is>
          <t>Amazon.com</t>
        </is>
      </c>
      <c r="D71" t="inlineStr">
        <is>
          <t>indeed</t>
        </is>
      </c>
      <c r="E71" t="inlineStr"/>
      <c r="F71" t="inlineStr"/>
      <c r="G71" t="inlineStr">
        <is>
          <t>New York, NY, US</t>
        </is>
      </c>
      <c r="H71" s="1" t="n">
        <v>45979</v>
      </c>
      <c r="I7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in-7447cdb23c4b91b4</t>
        </is>
      </c>
      <c r="B72" t="inlineStr">
        <is>
          <t>Applied Scientist, Personalization, DTx Science</t>
        </is>
      </c>
      <c r="C72" t="inlineStr">
        <is>
          <t>Amazon.com</t>
        </is>
      </c>
      <c r="D72" t="inlineStr">
        <is>
          <t>indeed</t>
        </is>
      </c>
      <c r="E72" t="inlineStr"/>
      <c r="F72" t="inlineStr"/>
      <c r="G72" t="inlineStr">
        <is>
          <t>New York, NY, US</t>
        </is>
      </c>
      <c r="H72" s="1" t="n">
        <v>45979</v>
      </c>
      <c r="I72"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3">
      <c r="A73" t="inlineStr">
        <is>
          <t>in-b4dc7f2382e3d2b1</t>
        </is>
      </c>
      <c r="B73" t="inlineStr">
        <is>
          <t>Applied Scientist, Personalization, DTx Science</t>
        </is>
      </c>
      <c r="C73" t="inlineStr">
        <is>
          <t>Amazon.com</t>
        </is>
      </c>
      <c r="D73" t="inlineStr">
        <is>
          <t>indeed</t>
        </is>
      </c>
      <c r="E73" t="inlineStr"/>
      <c r="F73" t="inlineStr"/>
      <c r="G73" t="inlineStr">
        <is>
          <t>Seattle, WA, US</t>
        </is>
      </c>
      <c r="H73" s="1" t="n">
        <v>45979</v>
      </c>
      <c r="I73"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4">
      <c r="A74" t="inlineStr">
        <is>
          <t>in-eba2737026c5619d</t>
        </is>
      </c>
      <c r="B74" t="inlineStr">
        <is>
          <t>Senior Applied Scientist, Sponsored Products and Brands</t>
        </is>
      </c>
      <c r="C74" t="inlineStr">
        <is>
          <t>Amazon.com</t>
        </is>
      </c>
      <c r="D74" t="inlineStr">
        <is>
          <t>indeed</t>
        </is>
      </c>
      <c r="E74" t="inlineStr"/>
      <c r="F74" t="inlineStr"/>
      <c r="G74" t="inlineStr">
        <is>
          <t>New York, NY, US</t>
        </is>
      </c>
      <c r="H74" s="1" t="n">
        <v>45979</v>
      </c>
      <c r="I7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75">
      <c r="A75" t="inlineStr">
        <is>
          <t>in-dff435f82d7c4d8a</t>
        </is>
      </c>
      <c r="B75" t="inlineStr">
        <is>
          <t>Senior Applied Scientist, Sponsored Products and Brands</t>
        </is>
      </c>
      <c r="C75" t="inlineStr">
        <is>
          <t>Amazon.com</t>
        </is>
      </c>
      <c r="D75" t="inlineStr">
        <is>
          <t>indeed</t>
        </is>
      </c>
      <c r="E75" t="inlineStr"/>
      <c r="F75" t="inlineStr"/>
      <c r="G75" t="inlineStr">
        <is>
          <t>Seattle, WA, US</t>
        </is>
      </c>
      <c r="H75" s="1" t="n">
        <v>45979</v>
      </c>
      <c r="I7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76">
      <c r="A76" t="inlineStr">
        <is>
          <t>in-954282f73e84bf73</t>
        </is>
      </c>
      <c r="B76" t="inlineStr">
        <is>
          <t>Sr. Applied Scientist, Sponsored Products</t>
        </is>
      </c>
      <c r="C76" t="inlineStr">
        <is>
          <t>Amazon.com</t>
        </is>
      </c>
      <c r="D76" t="inlineStr">
        <is>
          <t>indeed</t>
        </is>
      </c>
      <c r="E76" t="inlineStr"/>
      <c r="F76" t="inlineStr"/>
      <c r="G76" t="inlineStr">
        <is>
          <t>New York, NY, US</t>
        </is>
      </c>
      <c r="H76" s="1" t="n">
        <v>45976</v>
      </c>
      <c r="I76"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77">
      <c r="A77" t="inlineStr">
        <is>
          <t>in-bc872d9e0db92e68</t>
        </is>
      </c>
      <c r="B77" t="inlineStr">
        <is>
          <t>Sr. Applied Scientist, Sponsored Products</t>
        </is>
      </c>
      <c r="C77" t="inlineStr">
        <is>
          <t>Amazon.com</t>
        </is>
      </c>
      <c r="D77" t="inlineStr">
        <is>
          <t>indeed</t>
        </is>
      </c>
      <c r="E77" t="inlineStr"/>
      <c r="F77" t="inlineStr"/>
      <c r="G77" t="inlineStr">
        <is>
          <t>Arlington, VA, US</t>
        </is>
      </c>
      <c r="H77" s="1" t="n">
        <v>45976</v>
      </c>
      <c r="I77"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78">
      <c r="A78" t="inlineStr">
        <is>
          <t>in-46b64bde2fa949b6</t>
        </is>
      </c>
      <c r="B78" t="inlineStr">
        <is>
          <t>Sr. Applied Scientist, Sponsored Products</t>
        </is>
      </c>
      <c r="C78" t="inlineStr">
        <is>
          <t>Amazon.com</t>
        </is>
      </c>
      <c r="D78" t="inlineStr">
        <is>
          <t>indeed</t>
        </is>
      </c>
      <c r="E78" t="inlineStr"/>
      <c r="F78" t="inlineStr"/>
      <c r="G78" t="inlineStr">
        <is>
          <t>Seattle, WA, US</t>
        </is>
      </c>
      <c r="H78" s="1" t="n">
        <v>45976</v>
      </c>
      <c r="I78"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79">
      <c r="A79" t="inlineStr">
        <is>
          <t>in-8e0475ce9891f6c2</t>
        </is>
      </c>
      <c r="B79" t="inlineStr">
        <is>
          <t>Applied Scientist, AWS Agentic AI</t>
        </is>
      </c>
      <c r="C79" t="inlineStr">
        <is>
          <t>Amazon Web Services</t>
        </is>
      </c>
      <c r="D79" t="inlineStr">
        <is>
          <t>indeed</t>
        </is>
      </c>
      <c r="E79" t="inlineStr"/>
      <c r="F79" t="inlineStr"/>
      <c r="G79" t="inlineStr">
        <is>
          <t>New York, NY, US</t>
        </is>
      </c>
      <c r="H79" s="1" t="n">
        <v>45962</v>
      </c>
      <c r="I7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in-7a3947a6a35a379b</t>
        </is>
      </c>
      <c r="B80" t="inlineStr">
        <is>
          <t>Applied Scientist, AWS Agentic AI</t>
        </is>
      </c>
      <c r="C80" t="inlineStr">
        <is>
          <t>Amazon Web Services</t>
        </is>
      </c>
      <c r="D80" t="inlineStr">
        <is>
          <t>indeed</t>
        </is>
      </c>
      <c r="E80" t="inlineStr"/>
      <c r="F80" t="inlineStr"/>
      <c r="G80" t="inlineStr">
        <is>
          <t>Santa Clara, CA, US</t>
        </is>
      </c>
      <c r="H80" s="1" t="n">
        <v>45962</v>
      </c>
      <c r="I8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in-8bf1035640deff72</t>
        </is>
      </c>
      <c r="B81" t="inlineStr">
        <is>
          <t>Applied Scientist, AWS Agentic AI</t>
        </is>
      </c>
      <c r="C81" t="inlineStr">
        <is>
          <t>Amazon Web Services</t>
        </is>
      </c>
      <c r="D81" t="inlineStr">
        <is>
          <t>indeed</t>
        </is>
      </c>
      <c r="E81" t="inlineStr"/>
      <c r="F81" t="inlineStr"/>
      <c r="G81" t="inlineStr">
        <is>
          <t>Seattle, WA, US</t>
        </is>
      </c>
      <c r="H81" s="1" t="n">
        <v>45962</v>
      </c>
      <c r="I8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in-6b9a9b6e998f7625</t>
        </is>
      </c>
      <c r="B82" t="inlineStr">
        <is>
          <t>Principal Applied Scientist, Advertiser Growth, Amazon Sponsored Products &amp; Brands</t>
        </is>
      </c>
      <c r="C82" t="inlineStr">
        <is>
          <t>Amazon.com</t>
        </is>
      </c>
      <c r="D82" t="inlineStr">
        <is>
          <t>indeed</t>
        </is>
      </c>
      <c r="E82" t="inlineStr"/>
      <c r="F82" t="inlineStr"/>
      <c r="G82" t="inlineStr">
        <is>
          <t>Palo Alto, CA, US</t>
        </is>
      </c>
      <c r="H82" s="1" t="n">
        <v>45942</v>
      </c>
      <c r="I8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in-246cf58b5b6eb402</t>
        </is>
      </c>
      <c r="B83" t="inlineStr">
        <is>
          <t>Principal Applied Scientist, Advertiser Growth, Amazon Sponsored Products &amp; Brands</t>
        </is>
      </c>
      <c r="C83" t="inlineStr">
        <is>
          <t>Amazon.com</t>
        </is>
      </c>
      <c r="D83" t="inlineStr">
        <is>
          <t>indeed</t>
        </is>
      </c>
      <c r="E83" t="inlineStr"/>
      <c r="F83" t="inlineStr"/>
      <c r="G83" t="inlineStr">
        <is>
          <t>Seattle, WA, US</t>
        </is>
      </c>
      <c r="H83" s="1" t="n">
        <v>45942</v>
      </c>
      <c r="I8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in-771650e3ba26b3ac</t>
        </is>
      </c>
      <c r="B84" t="inlineStr">
        <is>
          <t>Principal Applied Scientist, Advertiser Growth, Amazon Sponsored Products &amp; Brands</t>
        </is>
      </c>
      <c r="C84" t="inlineStr">
        <is>
          <t>Amazon.com</t>
        </is>
      </c>
      <c r="D84" t="inlineStr">
        <is>
          <t>indeed</t>
        </is>
      </c>
      <c r="E84" t="inlineStr"/>
      <c r="F84" t="inlineStr"/>
      <c r="G84" t="inlineStr">
        <is>
          <t>New York, NY, US</t>
        </is>
      </c>
      <c r="H84" s="1" t="n">
        <v>45942</v>
      </c>
      <c r="I8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in-4a73cd4e8881d75d</t>
        </is>
      </c>
      <c r="B85" t="inlineStr">
        <is>
          <t>Applied Scientist, Workplace Health &amp; Safety</t>
        </is>
      </c>
      <c r="C85" t="inlineStr">
        <is>
          <t>Amazon.com</t>
        </is>
      </c>
      <c r="D85" t="inlineStr">
        <is>
          <t>indeed</t>
        </is>
      </c>
      <c r="E85" t="inlineStr"/>
      <c r="F85" t="inlineStr"/>
      <c r="G85" t="inlineStr">
        <is>
          <t>Bellevue, WA, US</t>
        </is>
      </c>
      <c r="H85" s="1" t="n">
        <v>45917</v>
      </c>
      <c r="I85"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in-bfb454be22dfc1ec</t>
        </is>
      </c>
      <c r="B86" t="inlineStr">
        <is>
          <t>Applied Scientist, Workplace Health &amp; Safety</t>
        </is>
      </c>
      <c r="C86" t="inlineStr">
        <is>
          <t>Amazon.com</t>
        </is>
      </c>
      <c r="D86" t="inlineStr">
        <is>
          <t>indeed</t>
        </is>
      </c>
      <c r="E86" t="inlineStr"/>
      <c r="F86" t="inlineStr"/>
      <c r="G86" t="inlineStr">
        <is>
          <t>Nashville, TN, US</t>
        </is>
      </c>
      <c r="H86" s="1" t="n">
        <v>45917</v>
      </c>
      <c r="I8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in-90c8d16a0c742b5c</t>
        </is>
      </c>
      <c r="B87" t="inlineStr">
        <is>
          <t>Senior Applied Scientist, AWS Marketplace &amp; Partner Services</t>
        </is>
      </c>
      <c r="C87" t="inlineStr">
        <is>
          <t>Amazon Web Services</t>
        </is>
      </c>
      <c r="D87" t="inlineStr">
        <is>
          <t>indeed</t>
        </is>
      </c>
      <c r="E87" t="inlineStr"/>
      <c r="F87" t="inlineStr"/>
      <c r="G87" t="inlineStr">
        <is>
          <t>Austin, TX, US</t>
        </is>
      </c>
      <c r="H87" s="1" t="n">
        <v>45902</v>
      </c>
      <c r="I87" t="inlineStr">
        <is>
          <t>**DESCRIPTION**
---------------
The AWS Marketplace \&amp; Partner Services Science team seeks an experienced Applied Scientist to drive innovation across multiple AI domains, including Context Engineering in Agent\-based Systems, Agent Evaluation Frameworks, and Next\-generation Software Recommendations. This role will be instrumental in revolutionizing how customers discover software solutions for cloud migrations and modernization initiatives.  
The ideal candidate thrives in an environment of scientific rigor and practical application, demonstrating both technical excellence and business acumen. They should be passionate about mentoring others and contributing to a culture of continuous learning and innovation. This role directly influences how thousands of AWS customers discover and implement software solutions, making it crucial for AWS Marketplace's growth and customer success. The position offers the opportunity to shape the future of AI\-driven software recommendations while working with innovative technologies at AWS scale.  
Key job responsibilities  
* Design and optimize context engineering solutions for large language models and agent\-based systems
* Establish evaluation frameworks and metrics for measuring agent performance and effectiveness
* Collaborate with cross\-functional teams, such as Product and Engineering leaders, to translate scientific innovations into customer value
* Mentor Scientists and influence scientific approach across the organization
About the team  
The AWS Marketplace \&amp; Partner Services Science team is at the forefront of developing and deploying AI/ML systems that serve multiple critical stakeholders:  
* AWS Customers: Through the AWS Marketplace, we support Discovery tools that streamline cloud adoption and innovation.
* AWS Partners: Via Partner Central, we offer advanced tools and insights to enhance collaboration and drive mutual growth.
* Internal AWS Sellers: We equip our sales force with data\-driven recommendations to better serve our customers and partners.
Our primary objective is to accelerate cloud migrations and modernizations, fostering innovation for AWS customers while simultaneously supporting the growth and success of our extensive partner network.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building machine learning models or developing algorithms for business application experience
* Experience programming in Java, C\+\+, Python or related language
**PREFERRED QUALIFICATIONS**
----------------------------
\- \- Deep expertise in state\-of\-the\-art AI approaches, particularly in recommendation systems and agent\-based architectures  
\- \- Demonstrated experience in prompt engineering and context optimization for large language models  
\- \- Track record of delivering production\-scale AI solutions  
\- \- Excellent ability to evaluate technical feasibility and communicate complex concepts to business stakeholders  
\- \- Proven experience in mentoring technical teams and driving collaborative research initiatives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in-7f4356d0c6b88254</t>
        </is>
      </c>
      <c r="B88" t="inlineStr">
        <is>
          <t>Senior Applied Scientist, AWS Marketplace &amp; Partner Services</t>
        </is>
      </c>
      <c r="C88" t="inlineStr">
        <is>
          <t>Amazon Web Services</t>
        </is>
      </c>
      <c r="D88" t="inlineStr">
        <is>
          <t>indeed</t>
        </is>
      </c>
      <c r="E88" t="inlineStr"/>
      <c r="F88" t="inlineStr"/>
      <c r="G88" t="inlineStr">
        <is>
          <t>Seattle, WA, US</t>
        </is>
      </c>
      <c r="H88" s="1" t="n">
        <v>45902</v>
      </c>
      <c r="I88" t="inlineStr">
        <is>
          <t>**DESCRIPTION**
---------------
The AWS Marketplace \&amp; Partner Services Science team seeks an experienced Applied Scientist to drive innovation across multiple AI domains, including Context Engineering in Agent\-based Systems, Agent Evaluation Frameworks, and Next\-generation Software Recommendations. This role will be instrumental in revolutionizing how customers discover software solutions for cloud migrations and modernization initiatives.  
The ideal candidate thrives in an environment of scientific rigor and practical application, demonstrating both technical excellence and business acumen. They should be passionate about mentoring others and contributing to a culture of continuous learning and innovation. This role directly influences how thousands of AWS customers discover and implement software solutions, making it crucial for AWS Marketplace's growth and customer success. The position offers the opportunity to shape the future of AI\-driven software recommendations while working with innovative technologies at AWS scale.  
Key job responsibilities  
* Design and optimize context engineering solutions for large language models and agent\-based systems
* Establish evaluation frameworks and metrics for measuring agent performance and effectiveness
* Collaborate with cross\-functional teams, such as Product and Engineering leaders, to translate scientific innovations into customer value
* Mentor Scientists and influence scientific approach across the organization
About the team  
The AWS Marketplace \&amp; Partner Services Science team is at the forefront of developing and deploying AI/ML systems that serve multiple critical stakeholders:  
* AWS Customers: Through the AWS Marketplace, we support Discovery tools that streamline cloud adoption and innovation.
* AWS Partners: Via Partner Central, we offer advanced tools and insights to enhance collaboration and drive mutual growth.
* Internal AWS Sellers: We equip our sales force with data\-driven recommendations to better serve our customers and partners.
Our primary objective is to accelerate cloud migrations and modernizations, fostering innovation for AWS customers while simultaneously supporting the growth and success of our extensive partner network.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building machine learning models or developing algorithms for business application experience
* Experience programming in Java, C\+\+, Python or related language
**PREFERRED QUALIFICATIONS**
----------------------------
\- \- Deep expertise in state\-of\-the\-art AI approaches, particularly in recommendation systems and agent\-based architectures  
\- \- Demonstrated experience in prompt engineering and context optimization for large language models  
\- \- Track record of delivering production\-scale AI solutions  
\- \- Excellent ability to evaluate technical feasibility and communicate complex concepts to business stakeholders  
\- \- Proven experience in mentoring technical teams and driving collaborative research initiatives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in-d0347ce97abc4759</t>
        </is>
      </c>
      <c r="B89" t="inlineStr">
        <is>
          <t>Sr. Applied Scientist, Prime Video - Personalization and Discovery Science</t>
        </is>
      </c>
      <c r="C89" t="inlineStr">
        <is>
          <t>Amazon.com</t>
        </is>
      </c>
      <c r="D89" t="inlineStr">
        <is>
          <t>indeed</t>
        </is>
      </c>
      <c r="E89" t="inlineStr"/>
      <c r="F89" t="inlineStr"/>
      <c r="G89" t="inlineStr">
        <is>
          <t>Sunnyvale, CA, US</t>
        </is>
      </c>
      <c r="H89" s="1" t="n">
        <v>45896</v>
      </c>
      <c r="I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90">
      <c r="A90" t="inlineStr">
        <is>
          <t>in-f1a2c736400c7a68</t>
        </is>
      </c>
      <c r="B90" t="inlineStr">
        <is>
          <t>Sr. Applied Scientist, Prime Video - Personalization and Discovery Science</t>
        </is>
      </c>
      <c r="C90" t="inlineStr">
        <is>
          <t>Amazon.com</t>
        </is>
      </c>
      <c r="D90" t="inlineStr">
        <is>
          <t>indeed</t>
        </is>
      </c>
      <c r="E90" t="inlineStr"/>
      <c r="F90" t="inlineStr"/>
      <c r="G90" t="inlineStr">
        <is>
          <t>Seattle, WA, US</t>
        </is>
      </c>
      <c r="H90" s="1" t="n">
        <v>45896</v>
      </c>
      <c r="I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91">
      <c r="A91" t="inlineStr">
        <is>
          <t>in-e5cd123dbffa17ca</t>
        </is>
      </c>
      <c r="B91" t="inlineStr">
        <is>
          <t>Sr. Applied Scientist, Prime Video - Personalization and Discovery Science</t>
        </is>
      </c>
      <c r="C91" t="inlineStr">
        <is>
          <t>Amazon.com</t>
        </is>
      </c>
      <c r="D91" t="inlineStr">
        <is>
          <t>indeed</t>
        </is>
      </c>
      <c r="E91" t="inlineStr"/>
      <c r="F91" t="inlineStr"/>
      <c r="G91" t="inlineStr">
        <is>
          <t>New York, NY, US</t>
        </is>
      </c>
      <c r="H91" s="1" t="n">
        <v>45896</v>
      </c>
      <c r="I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92">
      <c r="A92" t="inlineStr">
        <is>
          <t>in-0e5523d27539061d</t>
        </is>
      </c>
      <c r="B92" t="inlineStr">
        <is>
          <t>Applied Scientist II, Prime Video , Personalization and Discovery Science</t>
        </is>
      </c>
      <c r="C92" t="inlineStr">
        <is>
          <t>Amazon.com</t>
        </is>
      </c>
      <c r="D92" t="inlineStr">
        <is>
          <t>indeed</t>
        </is>
      </c>
      <c r="E92" t="inlineStr"/>
      <c r="F92" t="inlineStr"/>
      <c r="G92" t="inlineStr">
        <is>
          <t>Sunnyvale, CA, US</t>
        </is>
      </c>
      <c r="H92" s="1" t="n">
        <v>45886</v>
      </c>
      <c r="I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93">
      <c r="A93" t="inlineStr">
        <is>
          <t>in-762fbf48c35e8958</t>
        </is>
      </c>
      <c r="B93" t="inlineStr">
        <is>
          <t>Applied Scientist II, Prime Video , Personalization and Discovery Science</t>
        </is>
      </c>
      <c r="C93" t="inlineStr">
        <is>
          <t>Amazon.com</t>
        </is>
      </c>
      <c r="D93" t="inlineStr">
        <is>
          <t>indeed</t>
        </is>
      </c>
      <c r="E93" t="inlineStr"/>
      <c r="F93" t="inlineStr"/>
      <c r="G93" t="inlineStr">
        <is>
          <t>New York, NY, US</t>
        </is>
      </c>
      <c r="H93" s="1" t="n">
        <v>45886</v>
      </c>
      <c r="I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94">
      <c r="A94" t="inlineStr">
        <is>
          <t>in-c6a847ea579f3d44</t>
        </is>
      </c>
      <c r="B94" t="inlineStr">
        <is>
          <t>Applied Scientist II, Prime Video , Personalization and Discovery Science</t>
        </is>
      </c>
      <c r="C94" t="inlineStr">
        <is>
          <t>Amazon.com</t>
        </is>
      </c>
      <c r="D94" t="inlineStr">
        <is>
          <t>indeed</t>
        </is>
      </c>
      <c r="E94" t="inlineStr"/>
      <c r="F94" t="inlineStr"/>
      <c r="G94" t="inlineStr">
        <is>
          <t>Seattle, WA, US</t>
        </is>
      </c>
      <c r="H94" s="1" t="n">
        <v>45886</v>
      </c>
      <c r="I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95">
      <c r="A95" t="inlineStr">
        <is>
          <t>in-800da7c57e919f1d</t>
        </is>
      </c>
      <c r="B95" t="inlineStr">
        <is>
          <t>Sr. Applied Scientist, Prime Video - Personalization and Discovery Science</t>
        </is>
      </c>
      <c r="C95" t="inlineStr">
        <is>
          <t>Amazon.com</t>
        </is>
      </c>
      <c r="D95" t="inlineStr">
        <is>
          <t>indeed</t>
        </is>
      </c>
      <c r="E95" t="inlineStr"/>
      <c r="F95" t="inlineStr"/>
      <c r="G95" t="inlineStr">
        <is>
          <t>New York, NY, US</t>
        </is>
      </c>
      <c r="H95" s="1" t="n">
        <v>45886</v>
      </c>
      <c r="I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in-9ddb41a445389738</t>
        </is>
      </c>
      <c r="B96" t="inlineStr">
        <is>
          <t>Sr. Applied Scientist, Prime Video - Personalization and Discovery Science</t>
        </is>
      </c>
      <c r="C96" t="inlineStr">
        <is>
          <t>Amazon.com</t>
        </is>
      </c>
      <c r="D96" t="inlineStr">
        <is>
          <t>indeed</t>
        </is>
      </c>
      <c r="E96" t="inlineStr"/>
      <c r="F96" t="inlineStr"/>
      <c r="G96" t="inlineStr">
        <is>
          <t>Sunnyvale, CA, US</t>
        </is>
      </c>
      <c r="H96" s="1" t="n">
        <v>45886</v>
      </c>
      <c r="I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in-500fb3a256021ddd</t>
        </is>
      </c>
      <c r="B97" t="inlineStr">
        <is>
          <t>Sr. Applied Scientist, Prime Video - Personalization and Discovery Science</t>
        </is>
      </c>
      <c r="C97" t="inlineStr">
        <is>
          <t>Amazon.com</t>
        </is>
      </c>
      <c r="D97" t="inlineStr">
        <is>
          <t>indeed</t>
        </is>
      </c>
      <c r="E97" t="inlineStr"/>
      <c r="F97" t="inlineStr"/>
      <c r="G97" t="inlineStr">
        <is>
          <t>Seattle, WA, US</t>
        </is>
      </c>
      <c r="H97" s="1" t="n">
        <v>45886</v>
      </c>
      <c r="I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in-7761397008714606</t>
        </is>
      </c>
      <c r="B98" t="inlineStr">
        <is>
          <t>Applied Scientist III, StoreGen</t>
        </is>
      </c>
      <c r="C98" t="inlineStr">
        <is>
          <t>Amazon.com</t>
        </is>
      </c>
      <c r="D98" t="inlineStr">
        <is>
          <t>indeed</t>
        </is>
      </c>
      <c r="E98" t="inlineStr"/>
      <c r="F98" t="inlineStr"/>
      <c r="G98" t="inlineStr">
        <is>
          <t>Sunnyvale, CA, US</t>
        </is>
      </c>
      <c r="H98" s="1" t="n">
        <v>45868</v>
      </c>
      <c r="I98"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in-009bc59ff6fb8d65</t>
        </is>
      </c>
      <c r="B99" t="inlineStr">
        <is>
          <t>Applied Scientist III, StoreGen</t>
        </is>
      </c>
      <c r="C99" t="inlineStr">
        <is>
          <t>Amazon.com</t>
        </is>
      </c>
      <c r="D99" t="inlineStr">
        <is>
          <t>indeed</t>
        </is>
      </c>
      <c r="E99" t="inlineStr"/>
      <c r="F99" t="inlineStr"/>
      <c r="G99" t="inlineStr">
        <is>
          <t>Seattle, WA, US</t>
        </is>
      </c>
      <c r="H99" s="1" t="n">
        <v>45868</v>
      </c>
      <c r="I99"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in-a2974df715cbeb0c</t>
        </is>
      </c>
      <c r="B100" t="inlineStr">
        <is>
          <t>Sr. Applied Scientist, Amazon Advertising</t>
        </is>
      </c>
      <c r="C100" t="inlineStr">
        <is>
          <t>Amazon.com</t>
        </is>
      </c>
      <c r="D100" t="inlineStr">
        <is>
          <t>indeed</t>
        </is>
      </c>
      <c r="E100" t="inlineStr"/>
      <c r="F100" t="inlineStr"/>
      <c r="G100" t="inlineStr">
        <is>
          <t>Simi Valley, CA, US</t>
        </is>
      </c>
      <c r="H100" s="1" t="n">
        <v>45851</v>
      </c>
      <c r="I10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in-6aa61f42fd43b083</t>
        </is>
      </c>
      <c r="B101" t="inlineStr">
        <is>
          <t>Sr. Applied Scientist, Amazon Advertising</t>
        </is>
      </c>
      <c r="C101" t="inlineStr">
        <is>
          <t>Amazon.com</t>
        </is>
      </c>
      <c r="D101" t="inlineStr">
        <is>
          <t>indeed</t>
        </is>
      </c>
      <c r="E101" t="inlineStr"/>
      <c r="F101" t="inlineStr"/>
      <c r="G101" t="inlineStr">
        <is>
          <t>Los Angeles, CA, US</t>
        </is>
      </c>
      <c r="H101" s="1" t="n">
        <v>45851</v>
      </c>
      <c r="I10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in-8eb23ec23f2cbb73</t>
        </is>
      </c>
      <c r="B102" t="inlineStr">
        <is>
          <t>Sr. Applied Scientist, Amazon Advertising</t>
        </is>
      </c>
      <c r="C102" t="inlineStr">
        <is>
          <t>Amazon.com</t>
        </is>
      </c>
      <c r="D102" t="inlineStr">
        <is>
          <t>indeed</t>
        </is>
      </c>
      <c r="E102" t="inlineStr"/>
      <c r="F102" t="inlineStr"/>
      <c r="G102" t="inlineStr">
        <is>
          <t>Palo Alto, CA, US</t>
        </is>
      </c>
      <c r="H102" s="1" t="n">
        <v>45851</v>
      </c>
      <c r="I10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in-bcd80a5de9ee8878</t>
        </is>
      </c>
      <c r="B103" t="inlineStr">
        <is>
          <t>Sr. Applied Scientist, Amazon Advertising</t>
        </is>
      </c>
      <c r="C103" t="inlineStr">
        <is>
          <t>Amazon.com</t>
        </is>
      </c>
      <c r="D103" t="inlineStr">
        <is>
          <t>indeed</t>
        </is>
      </c>
      <c r="E103" t="inlineStr"/>
      <c r="F103" t="inlineStr"/>
      <c r="G103" t="inlineStr">
        <is>
          <t>Seattle, WA, US</t>
        </is>
      </c>
      <c r="H103" s="1" t="n">
        <v>45851</v>
      </c>
      <c r="I10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in-c3a531d7fe90048d</t>
        </is>
      </c>
      <c r="B104" t="inlineStr">
        <is>
          <t>Sr. Applied Scientist, Amazon Advertising</t>
        </is>
      </c>
      <c r="C104" t="inlineStr">
        <is>
          <t>Amazon.com</t>
        </is>
      </c>
      <c r="D104" t="inlineStr">
        <is>
          <t>indeed</t>
        </is>
      </c>
      <c r="E104" t="inlineStr"/>
      <c r="F104" t="inlineStr"/>
      <c r="G104" t="inlineStr">
        <is>
          <t>Arlington, VA, US</t>
        </is>
      </c>
      <c r="H104" s="1" t="n">
        <v>45851</v>
      </c>
      <c r="I10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in-da34774b63190f47</t>
        </is>
      </c>
      <c r="B105" t="inlineStr">
        <is>
          <t>Sr. Applied Scientist, Amazon Advertising</t>
        </is>
      </c>
      <c r="C105" t="inlineStr">
        <is>
          <t>Amazon.com</t>
        </is>
      </c>
      <c r="D105" t="inlineStr">
        <is>
          <t>indeed</t>
        </is>
      </c>
      <c r="E105" t="inlineStr"/>
      <c r="F105" t="inlineStr"/>
      <c r="G105" t="inlineStr">
        <is>
          <t>New York, NY, US</t>
        </is>
      </c>
      <c r="H105" s="1" t="n">
        <v>45851</v>
      </c>
      <c r="I10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in-be8e606902890521</t>
        </is>
      </c>
      <c r="B106" t="inlineStr">
        <is>
          <t>Sr. Applied Scientist, Amazon Advertising</t>
        </is>
      </c>
      <c r="C106" t="inlineStr">
        <is>
          <t>Amazon.com</t>
        </is>
      </c>
      <c r="D106" t="inlineStr">
        <is>
          <t>indeed</t>
        </is>
      </c>
      <c r="E106" t="inlineStr"/>
      <c r="F106" t="inlineStr"/>
      <c r="G106" t="inlineStr">
        <is>
          <t>Austin, TX, US</t>
        </is>
      </c>
      <c r="H106" s="1" t="n">
        <v>45851</v>
      </c>
      <c r="I10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in-26d2cbc2e863f3b4</t>
        </is>
      </c>
      <c r="B107" t="inlineStr">
        <is>
          <t>Sr. Applied Scientist, Amazon Advertising</t>
        </is>
      </c>
      <c r="C107" t="inlineStr">
        <is>
          <t>Amazon.com</t>
        </is>
      </c>
      <c r="D107" t="inlineStr">
        <is>
          <t>indeed</t>
        </is>
      </c>
      <c r="E107" t="inlineStr"/>
      <c r="F107" t="inlineStr"/>
      <c r="G107" t="inlineStr">
        <is>
          <t>West Hollywood, CA, US</t>
        </is>
      </c>
      <c r="H107" s="1" t="n">
        <v>45851</v>
      </c>
      <c r="I10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in-159eaf75886c71c1</t>
        </is>
      </c>
      <c r="B108" t="inlineStr">
        <is>
          <t>Applied Scientist, Prime Video - Personalization and Discovery Science</t>
        </is>
      </c>
      <c r="C108" t="inlineStr">
        <is>
          <t>Amazon.com</t>
        </is>
      </c>
      <c r="D108" t="inlineStr">
        <is>
          <t>indeed</t>
        </is>
      </c>
      <c r="E108" t="inlineStr"/>
      <c r="F108" t="inlineStr"/>
      <c r="G108" t="inlineStr">
        <is>
          <t>New York, NY, US</t>
        </is>
      </c>
      <c r="H108" s="1" t="n">
        <v>45845</v>
      </c>
      <c r="I10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09">
      <c r="A109" t="inlineStr">
        <is>
          <t>in-e159dd7cb103ae09</t>
        </is>
      </c>
      <c r="B109" t="inlineStr">
        <is>
          <t>Applied Scientist, Prime Video - Personalization and Discovery Science</t>
        </is>
      </c>
      <c r="C109" t="inlineStr">
        <is>
          <t>Amazon.com</t>
        </is>
      </c>
      <c r="D109" t="inlineStr">
        <is>
          <t>indeed</t>
        </is>
      </c>
      <c r="E109" t="inlineStr"/>
      <c r="F109" t="inlineStr"/>
      <c r="G109" t="inlineStr">
        <is>
          <t>Seattle, WA, US</t>
        </is>
      </c>
      <c r="H109" s="1" t="n">
        <v>45845</v>
      </c>
      <c r="I10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10">
      <c r="A110" t="inlineStr">
        <is>
          <t>in-3b952018c19890d9</t>
        </is>
      </c>
      <c r="B110" t="inlineStr">
        <is>
          <t>Applied Scientist, Prime Video - Personalization and Discovery Science</t>
        </is>
      </c>
      <c r="C110" t="inlineStr">
        <is>
          <t>Amazon.com</t>
        </is>
      </c>
      <c r="D110" t="inlineStr">
        <is>
          <t>indeed</t>
        </is>
      </c>
      <c r="E110" t="inlineStr"/>
      <c r="F110" t="inlineStr"/>
      <c r="G110" t="inlineStr">
        <is>
          <t>Sunnyvale, CA, US</t>
        </is>
      </c>
      <c r="H110" s="1" t="n">
        <v>45845</v>
      </c>
      <c r="I1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11">
      <c r="A111" t="inlineStr">
        <is>
          <t>in-045208fe6e626508</t>
        </is>
      </c>
      <c r="B111" t="inlineStr">
        <is>
          <t>Sr. Applied Scientist, Sales AI</t>
        </is>
      </c>
      <c r="C111" t="inlineStr">
        <is>
          <t>Amazon.com</t>
        </is>
      </c>
      <c r="D111" t="inlineStr">
        <is>
          <t>indeed</t>
        </is>
      </c>
      <c r="E111" t="inlineStr"/>
      <c r="F111" t="inlineStr"/>
      <c r="G111" t="inlineStr">
        <is>
          <t>New York, NY, US</t>
        </is>
      </c>
      <c r="H111" s="1" t="n">
        <v>45830</v>
      </c>
      <c r="I11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in-0d411c74c17c4a8b</t>
        </is>
      </c>
      <c r="B112" t="inlineStr">
        <is>
          <t>Sr. Applied Scientist, Sales AI</t>
        </is>
      </c>
      <c r="C112" t="inlineStr">
        <is>
          <t>Amazon.com</t>
        </is>
      </c>
      <c r="D112" t="inlineStr">
        <is>
          <t>indeed</t>
        </is>
      </c>
      <c r="E112" t="inlineStr"/>
      <c r="F112" t="inlineStr"/>
      <c r="G112" t="inlineStr">
        <is>
          <t>Seattle, WA, US</t>
        </is>
      </c>
      <c r="H112" s="1" t="n">
        <v>45830</v>
      </c>
      <c r="I11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in-4a97678972c9bda5</t>
        </is>
      </c>
      <c r="B113" t="inlineStr">
        <is>
          <t>Sr. Applied Scientist, Sales AI</t>
        </is>
      </c>
      <c r="C113" t="inlineStr">
        <is>
          <t>Amazon.com</t>
        </is>
      </c>
      <c r="D113" t="inlineStr">
        <is>
          <t>indeed</t>
        </is>
      </c>
      <c r="E113" t="inlineStr"/>
      <c r="F113" t="inlineStr"/>
      <c r="G113" t="inlineStr">
        <is>
          <t>Sunnyvale, CA, US</t>
        </is>
      </c>
      <c r="H113" s="1" t="n">
        <v>45830</v>
      </c>
      <c r="I11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in-7c87261c748b6691</t>
        </is>
      </c>
      <c r="B114" t="inlineStr">
        <is>
          <t>Principal Applied Scientist, Delivery Foundation Model</t>
        </is>
      </c>
      <c r="C114" t="inlineStr">
        <is>
          <t>Amazon.com</t>
        </is>
      </c>
      <c r="D114" t="inlineStr">
        <is>
          <t>indeed</t>
        </is>
      </c>
      <c r="E114" t="inlineStr"/>
      <c r="F114" t="inlineStr"/>
      <c r="G114" t="inlineStr">
        <is>
          <t>Santa Clara, CA, US</t>
        </is>
      </c>
      <c r="H114" s="1" t="n">
        <v>45810</v>
      </c>
      <c r="I11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5">
      <c r="A115" t="inlineStr">
        <is>
          <t>in-210821cbef76074e</t>
        </is>
      </c>
      <c r="B115" t="inlineStr">
        <is>
          <t>Principal Applied Scientist, Delivery Foundation Model</t>
        </is>
      </c>
      <c r="C115" t="inlineStr">
        <is>
          <t>Amazon.com</t>
        </is>
      </c>
      <c r="D115" t="inlineStr">
        <is>
          <t>indeed</t>
        </is>
      </c>
      <c r="E115" t="inlineStr"/>
      <c r="F115" t="inlineStr"/>
      <c r="G115" t="inlineStr">
        <is>
          <t>Austin, TX, US</t>
        </is>
      </c>
      <c r="H115" s="1" t="n">
        <v>45810</v>
      </c>
      <c r="I11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6">
      <c r="A116" t="inlineStr">
        <is>
          <t>in-17eb3d25a6bcbc9b</t>
        </is>
      </c>
      <c r="B116" t="inlineStr">
        <is>
          <t>Principal Applied Scientist, Delivery Foundation Model</t>
        </is>
      </c>
      <c r="C116" t="inlineStr">
        <is>
          <t>Amazon.com</t>
        </is>
      </c>
      <c r="D116" t="inlineStr">
        <is>
          <t>indeed</t>
        </is>
      </c>
      <c r="E116" t="inlineStr"/>
      <c r="F116" t="inlineStr"/>
      <c r="G116" t="inlineStr">
        <is>
          <t>New York, NY, US</t>
        </is>
      </c>
      <c r="H116" s="1" t="n">
        <v>45810</v>
      </c>
      <c r="I11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7">
      <c r="A117" t="inlineStr">
        <is>
          <t>in-f23d85161004d11f</t>
        </is>
      </c>
      <c r="B117" t="inlineStr">
        <is>
          <t>Principal Applied Scientist, Delivery Foundation Model</t>
        </is>
      </c>
      <c r="C117" t="inlineStr">
        <is>
          <t>Amazon.com</t>
        </is>
      </c>
      <c r="D117" t="inlineStr">
        <is>
          <t>indeed</t>
        </is>
      </c>
      <c r="E117" t="inlineStr"/>
      <c r="F117" t="inlineStr"/>
      <c r="G117" t="inlineStr">
        <is>
          <t>Bellevue, WA, US</t>
        </is>
      </c>
      <c r="H117" s="1" t="n">
        <v>45810</v>
      </c>
      <c r="I11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8">
      <c r="A118" t="inlineStr">
        <is>
          <t>in-8d3de3802e503b33</t>
        </is>
      </c>
      <c r="B118" t="inlineStr">
        <is>
          <t>Senior Applied Scientist, Delivery Foundation Model</t>
        </is>
      </c>
      <c r="C118" t="inlineStr">
        <is>
          <t>Amazon.com</t>
        </is>
      </c>
      <c r="D118" t="inlineStr">
        <is>
          <t>indeed</t>
        </is>
      </c>
      <c r="E118" t="inlineStr"/>
      <c r="F118" t="inlineStr"/>
      <c r="G118" t="inlineStr">
        <is>
          <t>Santa Clara, CA, US</t>
        </is>
      </c>
      <c r="H118" s="1" t="n">
        <v>45806</v>
      </c>
      <c r="I11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in-0515455cf6a4465e</t>
        </is>
      </c>
      <c r="B119" t="inlineStr">
        <is>
          <t>Senior Applied Scientist, Delivery Foundation Model</t>
        </is>
      </c>
      <c r="C119" t="inlineStr">
        <is>
          <t>Amazon.com</t>
        </is>
      </c>
      <c r="D119" t="inlineStr">
        <is>
          <t>indeed</t>
        </is>
      </c>
      <c r="E119" t="inlineStr"/>
      <c r="F119" t="inlineStr"/>
      <c r="G119" t="inlineStr">
        <is>
          <t>New York, NY, US</t>
        </is>
      </c>
      <c r="H119" s="1" t="n">
        <v>45806</v>
      </c>
      <c r="I11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in-cf825ca9c3245241</t>
        </is>
      </c>
      <c r="B120" t="inlineStr">
        <is>
          <t>Senior Applied Scientist, Delivery Foundation Model</t>
        </is>
      </c>
      <c r="C120" t="inlineStr">
        <is>
          <t>Amazon.com</t>
        </is>
      </c>
      <c r="D120" t="inlineStr">
        <is>
          <t>indeed</t>
        </is>
      </c>
      <c r="E120" t="inlineStr"/>
      <c r="F120" t="inlineStr"/>
      <c r="G120" t="inlineStr">
        <is>
          <t>Bellevue, WA, US</t>
        </is>
      </c>
      <c r="H120" s="1" t="n">
        <v>45806</v>
      </c>
      <c r="I12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in-76e7aff12a854fd2</t>
        </is>
      </c>
      <c r="B121" t="inlineStr">
        <is>
          <t>Sr. Applied Scientist - Privacy, Privacy Engineering</t>
        </is>
      </c>
      <c r="C121" t="inlineStr">
        <is>
          <t>Amazon.com</t>
        </is>
      </c>
      <c r="D121" t="inlineStr">
        <is>
          <t>indeed</t>
        </is>
      </c>
      <c r="E121" t="inlineStr"/>
      <c r="F121" t="inlineStr"/>
      <c r="G121" t="inlineStr">
        <is>
          <t>San Francisco, CA, US</t>
        </is>
      </c>
      <c r="H121" s="1" t="n">
        <v>45787</v>
      </c>
      <c r="I121"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in-768b84e2bd343ba9</t>
        </is>
      </c>
      <c r="B122" t="inlineStr">
        <is>
          <t>Sr. Applied Scientist - Privacy, Privacy Engineering</t>
        </is>
      </c>
      <c r="C122" t="inlineStr">
        <is>
          <t>Amazon.com</t>
        </is>
      </c>
      <c r="D122" t="inlineStr">
        <is>
          <t>indeed</t>
        </is>
      </c>
      <c r="E122" t="inlineStr"/>
      <c r="F122" t="inlineStr"/>
      <c r="G122" t="inlineStr">
        <is>
          <t>Seattle, WA, US</t>
        </is>
      </c>
      <c r="H122" s="1" t="n">
        <v>45787</v>
      </c>
      <c r="I12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in-99d43192794a135e</t>
        </is>
      </c>
      <c r="B123" t="inlineStr">
        <is>
          <t>Sr. Applied Scientist - Privacy, Privacy Engineering</t>
        </is>
      </c>
      <c r="C123" t="inlineStr">
        <is>
          <t>Amazon.com</t>
        </is>
      </c>
      <c r="D123" t="inlineStr">
        <is>
          <t>indeed</t>
        </is>
      </c>
      <c r="E123" t="inlineStr"/>
      <c r="F123" t="inlineStr"/>
      <c r="G123" t="inlineStr">
        <is>
          <t>Santa Clara, CA, US</t>
        </is>
      </c>
      <c r="H123" s="1" t="n">
        <v>45787</v>
      </c>
      <c r="I123"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in-60b6fad425057472</t>
        </is>
      </c>
      <c r="B124" t="inlineStr">
        <is>
          <t>Sr. Applied Scientist - Privacy, Privacy Engineering</t>
        </is>
      </c>
      <c r="C124" t="inlineStr">
        <is>
          <t>Amazon.com</t>
        </is>
      </c>
      <c r="D124" t="inlineStr">
        <is>
          <t>indeed</t>
        </is>
      </c>
      <c r="E124" t="inlineStr"/>
      <c r="F124" t="inlineStr"/>
      <c r="G124" t="inlineStr">
        <is>
          <t>Sunnyvale, CA, US</t>
        </is>
      </c>
      <c r="H124" s="1" t="n">
        <v>45787</v>
      </c>
      <c r="I124"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in-5258dacb55978f62</t>
        </is>
      </c>
      <c r="B125" t="inlineStr">
        <is>
          <t>Principal Applied Scientist, Delivery Foundation Model</t>
        </is>
      </c>
      <c r="C125" t="inlineStr">
        <is>
          <t>Amazon.com</t>
        </is>
      </c>
      <c r="D125" t="inlineStr">
        <is>
          <t>indeed</t>
        </is>
      </c>
      <c r="E125" t="inlineStr"/>
      <c r="F125" t="inlineStr"/>
      <c r="G125" t="inlineStr">
        <is>
          <t>Santa Clara, CA, US</t>
        </is>
      </c>
      <c r="H125" s="1" t="n">
        <v>45757</v>
      </c>
      <c r="I12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26">
      <c r="A126" t="inlineStr">
        <is>
          <t>in-395227983ecec7e7</t>
        </is>
      </c>
      <c r="B126" t="inlineStr">
        <is>
          <t>Principal Applied Scientist, Delivery Foundation Model</t>
        </is>
      </c>
      <c r="C126" t="inlineStr">
        <is>
          <t>Amazon.com</t>
        </is>
      </c>
      <c r="D126" t="inlineStr">
        <is>
          <t>indeed</t>
        </is>
      </c>
      <c r="E126" t="inlineStr"/>
      <c r="F126" t="inlineStr"/>
      <c r="G126" t="inlineStr">
        <is>
          <t>Bellevue, WA, US</t>
        </is>
      </c>
      <c r="H126" s="1" t="n">
        <v>45757</v>
      </c>
      <c r="I12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27">
      <c r="A127" t="inlineStr">
        <is>
          <t>in-40a9c4bf86730229</t>
        </is>
      </c>
      <c r="B127" t="inlineStr">
        <is>
          <t>Principal Applied Scientist, Delivery Foundation Model</t>
        </is>
      </c>
      <c r="C127" t="inlineStr">
        <is>
          <t>Amazon.com</t>
        </is>
      </c>
      <c r="D127" t="inlineStr">
        <is>
          <t>indeed</t>
        </is>
      </c>
      <c r="E127" t="inlineStr"/>
      <c r="F127" t="inlineStr"/>
      <c r="G127" t="inlineStr">
        <is>
          <t>New York, NY, US</t>
        </is>
      </c>
      <c r="H127" s="1" t="n">
        <v>45757</v>
      </c>
      <c r="I12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28">
      <c r="A128" t="inlineStr">
        <is>
          <t>in-b6dfbd3acae1f07e</t>
        </is>
      </c>
      <c r="B128" t="inlineStr">
        <is>
          <t>Senior Computer Vision AI/ML Engineer (TS/SCI) {S}</t>
        </is>
      </c>
      <c r="C128" t="inlineStr">
        <is>
          <t>ARKA Group</t>
        </is>
      </c>
      <c r="D128" t="inlineStr">
        <is>
          <t>indeed</t>
        </is>
      </c>
      <c r="E128" t="inlineStr"/>
      <c r="F128" t="inlineStr"/>
      <c r="G128" t="inlineStr">
        <is>
          <t>King of Prussia, PA, US</t>
        </is>
      </c>
      <c r="H128" s="1" t="n">
        <v>46076</v>
      </c>
      <c r="I128"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This position is for a **Senior Computer Vision AI/ML Engineer**. As a CV AI/ML Engineer, you will apply cutting\-edge AI/ML\-based Computer Vision algorithms to problems in remote sensing, including Automatic Target Recognition (ATR) and Multimodal Data Fusion for Electro\-Optical (EO) and Synthetic Aperture RADAR (SAR). You will be responsible for maturing, optimizing, and deploying these algorithms to a cloud\-hosted environment. You will also serve as a technical leader and will have the opportunity to guide a team of researchers and developers to see these algorithms from prototype to operations.
We offer generous relocation benefits for eligible candidates.
In support of work/life balance, many positions are available for a flexible schedule within the pay period. Ask us about the opportunity for flex scheduling if that’s of interest to you.
**Responsibilities:**
As a CV AI/ML Engineer, your responsibilities include:
* Leading a small team consisting of developers and researchers to implement AI/ML algorithms to solve computer vision problems in remote sensing
* Analyzing and pre\-processing large remote sensing datasets
* Researching supervised and unsupervised ATR solutions for remote sensing
* Researching the performance benefits of multimodal data fusion for ATR, under diverse data collection scenarios
* Training, optimizing, and deploying deep learning CV models that provide analysts with actionable insights
* Reviewing relevant publications to understand cutting edge concepts, break down key ideas to government customers, and apply to defense and commercial applications
* Writing technical documentation supporting code, program capabilities and user\-guides
**Required Qualifications:**
* BS in machine learning, computer science, computer vision, mathematics, or relevant fields
* Experience leading an interdisciplinary team of researchers and software developers and working with a program manager to define project scope and schedule to ensure we meet project milestones as defined by our customers
* Experience selecting a technical AI/ML approach and then iterating/pivoting as needed to enhance performance
* Experience with Python and any of the following Python machine learning frameworks: PyTorch, TensorFlow, Keras, PyTorch Lightning, scikit\-learn / scikit\-image, and/or OpenCV
* Experience training wither convolutional\-based CV models (e.g. YOLOv3\-11, YOLOX) or transformer\-based CV models (Vision Transformer, Swin, etc.)
* Effective communicator with the ability to write and present technical reports both internally to the engineering team and externally to customers
* 5\+ years of experience, preferably in software development or as a data scientist with 3\+ years of developing/training AI/ML models
* Active TS/SCI U.S. Government Security Clearance
**Preferred Qualifications:**
* MS or PhD in machine learning, computer science, computer vision, mathematics, or relevant fields
* Experience with Self\-Supervised Learning (SSL) and student\-teacher approaches (e.g., DINO, knowledge distillation, BYOL)
* Experience with applying AI/ML algorithms to Image Segmentation, Super Resolution, Image Denoising, Image Restoration, and Multi\-INT Fusion
* Experience with Graph Convolutional Networks (GCNs) and applying them to CV\-based problems
* Experience working with image processing chains for any of the following domains: SAR, EO, and OPIR
* Experience working with datasets of overhead imagery like xView, SpaceNet datasets, Functional Map of the World, xView3, MSTAR, HRSID, CAESAR, DOTA v1/v2, etc.
* Familiarity with using AWS cloud computing resources such as EC2, S3, Lambda, etc.
* Experience with version control processes and tools for code version control, data version control, and model version control
* Experience with Linux
* Experience with implementing tracking and fusion, and pattern\-of\-life algorithms
* Experience in application deployment, virtualization, and containerization
* Experience shaping and writing proposals
* Active TS/SCI with a Counter Intelligence (CI) or recent Full\-Scope Polygraph (FSP) U.S. Government Security Clearance
**Location:** **King of Prussia, PA**
Situated less than an hour outside of Philadelphia and hosting the largest mall on the east coast, King of Prussia offers the urban feel sought in the city, while also giving opportunities to experience the beauty and history found only in Pennsylvania.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TS/SCI U.S. Government Security Clearance.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129">
      <c r="A129" t="inlineStr">
        <is>
          <t>in-50ae84a5a3036f18</t>
        </is>
      </c>
      <c r="B129" t="inlineStr">
        <is>
          <t>Senior Computer Vision AI/ML Engineer (TS/SCI) {S}</t>
        </is>
      </c>
      <c r="C129" t="inlineStr">
        <is>
          <t>ARKA Group</t>
        </is>
      </c>
      <c r="D129" t="inlineStr">
        <is>
          <t>indeed</t>
        </is>
      </c>
      <c r="E129" t="inlineStr"/>
      <c r="F129" t="inlineStr"/>
      <c r="G129" t="inlineStr">
        <is>
          <t>Aurora, CO, US</t>
        </is>
      </c>
      <c r="H129" s="1" t="n">
        <v>46076</v>
      </c>
      <c r="I129"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This position is for a **Senior Computer Vision AI/ML Engineer**. As a CV AI/ML Engineer, you will apply cutting\-edge AI/ML\-based Computer Vision algorithms to problems in remote sensing, including Automatic Target Recognition (ATR) and Multimodal Data Fusion for Electro\-Optical (EO) and Synthetic Aperture RADAR (SAR). You will be responsible for maturing, optimizing, and deploying these algorithms to a cloud\-hosted environment. You will also serve as a technical leader and will have the opportunity to guide a team of researchers and developers to see these algorithms from prototype to operations.
We offer generous relocation benefits for eligible candidates.
In support of work/life balance, many positions are available for a flexible schedule within the pay period. Ask us about the opportunity for flex scheduling if that’s of interest to you.
**Responsibilities:**
As a CV AI/ML Engineer, your responsibilities include:
* Leading a small team consisting of developers and researchers to implement AI/ML algorithms to solve computer vision problems in remote sensing
* Analyzing and pre\-processing large remote sensing datasets
* Researching supervised and unsupervised ATR solutions for remote sensing
* Researching the performance benefits of multimodal data fusion for ATR, under diverse data collection scenarios
* Training, optimizing, and deploying deep learning CV models that provide analysts with actionable insights
* Reviewing relevant publications to understand cutting edge concepts, break down key ideas to government customers, and apply to defense and commercial applications
* Writing technical documentation supporting code, program capabilities and user\-guides
**Required Qualifications:**
* BS in machine learning, computer science, computer vision, mathematics, or relevant fields
* Experience leading an interdisciplinary team of researchers and software developers and working with a program manager to define project scope and schedule to ensure we meet project milestones as defined by our customers
* Experience selecting a technical AI/ML approach and then iterating/pivoting as needed to enhance performance
* Experience with Python and any of the following Python machine learning frameworks: PyTorch, TensorFlow, Keras, PyTorch Lightning, scikit\-learn / scikit\-image, and/or OpenCV
* Experience training wither convolutional\-based CV models (e.g. YOLOv3\-11, YOLOX) or transformer\-based CV models (Vision Transformer, Swin, etc.)
* Effective communicator with the ability to write and present technical reports both internally to the engineering team and externally to customers
* 5\+ years of experience, preferably in software development or as a data scientist with 3\+ years of developing/training AI/ML models
* Active TS/SCI U.S. Government Security Clearance
**Preferred Qualifications:**
* MS or PhD in machine learning, computer science, computer vision, mathematics, or relevant fields
* Experience with Self\-Supervised Learning (SSL) and student\-teacher approaches (e.g., DINO, knowledge distillation, BYOL)
* Experience with applying AI/ML algorithms to Image Segmentation, Super Resolution, Image Denoising, Image Restoration, and Multi\-INT Fusion
* Experience with Graph Convolutional Networks (GCNs) and applying them to CV\-based problems
* Experience working with image processing chains for any of the following domains: SAR, EO, and OPIR
* Experience working with datasets of overhead imagery like xView, SpaceNet datasets, Functional Map of the World, xView3, MSTAR, HRSID, CAESAR, DOTA v1/v2, etc.
* Familiarity with using AWS cloud computing resources such as EC2, S3, Lambda, etc.
* Experience with version control processes and tools for code version control, data version control, and model version control
* Experience with Linux
* Experience with implementing tracking and fusion, and pattern\-of\-life algorithms
* Experience in application deployment, virtualization, and containerization
* Experience shaping and writing proposals
* Active TS/SCI with a Counter Intelligence (CI) or recent Full\-Scope Polygraph (FSP) U.S. Government Security Clearance
**Pay Range: $130,000 \- $200,000**
Your actual level and base salary will be determined on a case\-by\-case basis and may vary based on the following considerations: job\-related knowledge and skills, education, and experience.
**The application window will close in 60 days for this position.**
**Location:** **Aurora, CO**
Being situated at the foot of the Rocky Mountains, Aurora provides opportunities to enjoy all the beautiful nature that Colorado has to offer, while also being a 20\-minute drive from downtown Denver and 15\-minutes to the Denver International Airport.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TS/SCI U.S. Government Security Clearance.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130">
      <c r="A130" t="inlineStr">
        <is>
          <t>in-6e3f40392b602a4b</t>
        </is>
      </c>
      <c r="B130" t="inlineStr">
        <is>
          <t>Adversarial Machine Learning Engineer</t>
        </is>
      </c>
      <c r="C130" t="inlineStr">
        <is>
          <t>C-Serv</t>
        </is>
      </c>
      <c r="D130" t="inlineStr">
        <is>
          <t>indeed</t>
        </is>
      </c>
      <c r="E130" t="inlineStr"/>
      <c r="F130" t="inlineStr"/>
      <c r="G130" t="inlineStr">
        <is>
          <t>Seattle, WA, US</t>
        </is>
      </c>
      <c r="H130" s="1" t="n">
        <v>46075</v>
      </c>
      <c r="I130" t="inlineStr">
        <is>
          <t>### **The Opportunity**
We are building a dedicated AI Red Team to rigorously test and harden enterprise\-scale AI products.
We are looking for an adversarial machine learning specialist who thinks like an attacker.
This role focuses on identifying vulnerabilities in LLM\-driven systems, breaking model guardrails, exploiting data pathways, and stress\-testing AI deployments before they reach enterprise customers.
This is a hands\-on technical role at the core of AI security.
### **What You’ll Do**
* Conduct adversarial testing across LLM and AI\-based systems
* Execute real\-world attack simulations, including:
* Prompt injection
* Jailbreaking and guardrail bypass
* Data exfiltration attempts
* Model inversion and evasion techniques
* RAG manipulation
* Develop scripts and tooling to automate attack scenarios
* Analyse model behaviour under adversarial pressure
* Identify systemic vulnerabilities in:
* APIs
* Embedding pipelines
* Vector databases
* Fine\-tuned model implementations
* Collaborate with engineering teams to validate remediation
* Document findings clearly and concisely
You will help ensure AI systems are resilient before they are deployed at scale.
**Requirements**
### **What We’re Looking For**
### **Core Technical Skills**
* Strong experience in adversarial ML or AI security research
* Experience working with LLM\-based systems (OpenAI, Anthropic, open\-source models, etc.)
* Deep understanding of:
* Prompt injection techniques
* Model jailbreak methodologies
* AI system exploitation vectors
* Strong Python skills
* Experience building custom attack tooling or experimentation frameworks
### **AI Systems Knowledge**
* Familiarity with:
* + RAG architectures
	+ Vector databases
	+ Model fine\-tuning workflows
	+ API\-based model deployments
	+ Understanding of model safety mechanisms and guardrails
### **Nice to Have**
* Background in cybersecurity or penetration testing
* Familiarity with OWASP LLM Top 10
* Experience working in enterprise environments
### **Who You Are**
* Curious and relentless
* Comfortable thinking like an attacker
* Creative in finding non\-obvious vulnerabilities
* Detail\-oriented but fast\-moving
* Comfortable operating in ambiguity
* Independent but collaborative
You don’t just run test cases — you design new ones.
**Benefits**
* Comprehensive Private Medical Coverage
* Support for Mental Health Expenses
* Life Insurance Options
* Attractive Compensation Package</t>
        </is>
      </c>
    </row>
    <row r="131">
      <c r="A131" t="inlineStr">
        <is>
          <t>in-230c557778f4cdd8</t>
        </is>
      </c>
      <c r="B131" t="inlineStr">
        <is>
          <t>Adversarial Machine Learning Engineer</t>
        </is>
      </c>
      <c r="C131" t="inlineStr">
        <is>
          <t>C-Serv</t>
        </is>
      </c>
      <c r="D131" t="inlineStr">
        <is>
          <t>indeed</t>
        </is>
      </c>
      <c r="E131" t="inlineStr"/>
      <c r="F131" t="inlineStr"/>
      <c r="G131" t="inlineStr">
        <is>
          <t>Portland, OR, US</t>
        </is>
      </c>
      <c r="H131" s="1" t="n">
        <v>46075</v>
      </c>
      <c r="I131" t="inlineStr">
        <is>
          <t>### **The Opportunity**
We are building a dedicated AI Red Team to rigorously test and harden enterprise\-scale AI products.
We are looking for an adversarial machine learning specialist who thinks like an attacker.
This role focuses on identifying vulnerabilities in LLM\-driven systems, breaking model guardrails, exploiting data pathways, and stress\-testing AI deployments before they reach enterprise customers.
This is a hands\-on technical role at the core of AI security.
### **What You’ll Do**
* Conduct adversarial testing across LLM and AI\-based systems
* Execute real\-world attack simulations, including:
* Prompt injection
* Jailbreaking and guardrail bypass
* Data exfiltration attempts
* Model inversion and evasion techniques
* RAG manipulation
* Develop scripts and tooling to automate attack scenarios
* Analyse model behaviour under adversarial pressure
* Identify systemic vulnerabilities in:
* APIs
* Embedding pipelines
* Vector databases
* Fine\-tuned model implementations
* Collaborate with engineering teams to validate remediation
* Document findings clearly and concisely
You will help ensure AI systems are resilient before they are deployed at scale.
**Requirements**
### **What We’re Looking For**
### **Core Technical Skills**
* Strong experience in adversarial ML or AI security research
* Experience working with LLM\-based systems (OpenAI, Anthropic, open\-source models, etc.)
* Deep understanding of:
* Prompt injection techniques
* Model jailbreak methodologies
* AI system exploitation vectors
* Strong Python skills
* Experience building custom attack tooling or experimentation frameworks
### **AI Systems Knowledge**
* Familiarity with:
* + RAG architectures
	+ Vector databases
	+ Model fine\-tuning workflows
	+ API\-based model deployments
	+ Understanding of model safety mechanisms and guardrails
### **Nice to Have**
* Background in cybersecurity or penetration testing
* Familiarity with OWASP LLM Top 10
* Experience working in enterprise environments
### **Who You Are**
* Curious and relentless
* Comfortable thinking like an attacker
* Creative in finding non\-obvious vulnerabilities
* Detail\-oriented but fast\-moving
* Comfortable operating in ambiguity
* Independent but collaborative
You don’t just run test cases — you design new ones.
**Benefits**
* Comprehensive Private Medical Coverage
* Support for Mental Health Expenses
* Life Insurance Options
* Attractive Compensation Package</t>
        </is>
      </c>
    </row>
    <row r="132">
      <c r="A132" t="inlineStr">
        <is>
          <t>in-44271f667e96cf3a</t>
        </is>
      </c>
      <c r="B132" t="inlineStr">
        <is>
          <t>Adversarial Machine Learning Engineer</t>
        </is>
      </c>
      <c r="C132" t="inlineStr">
        <is>
          <t>C-Serv</t>
        </is>
      </c>
      <c r="D132" t="inlineStr">
        <is>
          <t>indeed</t>
        </is>
      </c>
      <c r="E132" t="inlineStr"/>
      <c r="F132" t="inlineStr"/>
      <c r="G132" t="inlineStr">
        <is>
          <t>Boise, ID, US</t>
        </is>
      </c>
      <c r="H132" s="1" t="n">
        <v>46075</v>
      </c>
      <c r="I132" t="inlineStr">
        <is>
          <t>### **The Opportunity**
We are building a dedicated AI Red Team to rigorously test and harden enterprise\-scale AI products.
We are looking for an adversarial machine learning specialist who thinks like an attacker.
This role focuses on identifying vulnerabilities in LLM\-driven systems, breaking model guardrails, exploiting data pathways, and stress\-testing AI deployments before they reach enterprise customers.
This is a hands\-on technical role at the core of AI security.
### **What You’ll Do**
* Conduct adversarial testing across LLM and AI\-based systems
* Execute real\-world attack simulations, including:
* Prompt injection
* Jailbreaking and guardrail bypass
* Data exfiltration attempts
* Model inversion and evasion techniques
* RAG manipulation
* Develop scripts and tooling to automate attack scenarios
* Analyse model behaviour under adversarial pressure
* Identify systemic vulnerabilities in:
* APIs
* Embedding pipelines
* Vector databases
* Fine\-tuned model implementations
* Collaborate with engineering teams to validate remediation
* Document findings clearly and concisely
You will help ensure AI systems are resilient before they are deployed at scale.
**Requirements**
### **What We’re Looking For**
### **Core Technical Skills**
* Strong experience in adversarial ML or AI security research
* Experience working with LLM\-based systems (OpenAI, Anthropic, open\-source models, etc.)
* Deep understanding of:
* Prompt injection techniques
* Model jailbreak methodologies
* AI system exploitation vectors
* Strong Python skills
* Experience building custom attack tooling or experimentation frameworks
### **AI Systems Knowledge**
* Familiarity with:
* + RAG architectures
	+ Vector databases
	+ Model fine\-tuning workflows
	+ API\-based model deployments
	+ Understanding of model safety mechanisms and guardrails
### **Nice to Have**
* Background in cybersecurity or penetration testing
* Familiarity with OWASP LLM Top 10
* Experience working in enterprise environments
### **Who You Are**
* Curious and relentless
* Comfortable thinking like an attacker
* Creative in finding non\-obvious vulnerabilities
* Detail\-oriented but fast\-moving
* Comfortable operating in ambiguity
* Independent but collaborative
You don’t just run test cases — you design new ones.
**Benefits**
* Comprehensive Private Medical Coverage
* Support for Mental Health Expenses
* Life Insurance Options
* Attractive Compensation Package</t>
        </is>
      </c>
    </row>
    <row r="133">
      <c r="A133" t="inlineStr">
        <is>
          <t>in-effa86fad2ac235f</t>
        </is>
      </c>
      <c r="B133" t="inlineStr">
        <is>
          <t>Adversarial Machine Learning Engineer</t>
        </is>
      </c>
      <c r="C133" t="inlineStr">
        <is>
          <t>C-Serv</t>
        </is>
      </c>
      <c r="D133" t="inlineStr">
        <is>
          <t>indeed</t>
        </is>
      </c>
      <c r="E133" t="inlineStr"/>
      <c r="F133" t="inlineStr"/>
      <c r="G133" t="inlineStr">
        <is>
          <t>Las Vegas, NV, US</t>
        </is>
      </c>
      <c r="H133" s="1" t="n">
        <v>46075</v>
      </c>
      <c r="I133" t="inlineStr">
        <is>
          <t>### **The Opportunity**
We are building a dedicated AI Red Team to rigorously test and harden enterprise\-scale AI products.
We are looking for an adversarial machine learning specialist who thinks like an attacker.
This role focuses on identifying vulnerabilities in LLM\-driven systems, breaking model guardrails, exploiting data pathways, and stress\-testing AI deployments before they reach enterprise customers.
This is a hands\-on technical role at the core of AI security.
### **What You’ll Do**
* Conduct adversarial testing across LLM and AI\-based systems
* Execute real\-world attack simulations, including:
* Prompt injection
* Jailbreaking and guardrail bypass
* Data exfiltration attempts
* Model inversion and evasion techniques
* RAG manipulation
* Develop scripts and tooling to automate attack scenarios
* Analyse model behaviour under adversarial pressure
* Identify systemic vulnerabilities in:
* APIs
* Embedding pipelines
* Vector databases
* Fine\-tuned model implementations
* Collaborate with engineering teams to validate remediation
* Document findings clearly and concisely
You will help ensure AI systems are resilient before they are deployed at scale.
**Requirements**
### **What We’re Looking For**
### **Core Technical Skills**
* Strong experience in adversarial ML or AI security research
* Experience working with LLM\-based systems (OpenAI, Anthropic, open\-source models, etc.)
* Deep understanding of:
* Prompt injection techniques
* Model jailbreak methodologies
* AI system exploitation vectors
* Strong Python skills
* Experience building custom attack tooling or experimentation frameworks
### **AI Systems Knowledge**
* Familiarity with:
* + RAG architectures
	+ Vector databases
	+ Model fine\-tuning workflows
	+ API\-based model deployments
	+ Understanding of model safety mechanisms and guardrails
### **Nice to Have**
* Background in cybersecurity or penetration testing
* Familiarity with OWASP LLM Top 10
* Experience working in enterprise environments
### **Who You Are**
* Curious and relentless
* Comfortable thinking like an attacker
* Creative in finding non\-obvious vulnerabilities
* Detail\-oriented but fast\-moving
* Comfortable operating in ambiguity
* Independent but collaborative
You don’t just run test cases — you design new ones.
**Benefits**
* Comprehensive Private Medical Coverage
* Support for Mental Health Expenses
* Life Insurance Options
* Attractive Compensation Package</t>
        </is>
      </c>
    </row>
    <row r="134">
      <c r="A134" t="inlineStr">
        <is>
          <t>in-20bcd34aaf2f601b</t>
        </is>
      </c>
      <c r="B134" t="inlineStr">
        <is>
          <t>Principal AI Engineer</t>
        </is>
      </c>
      <c r="C134" t="inlineStr">
        <is>
          <t>Litmus7 System Consulting</t>
        </is>
      </c>
      <c r="D134" t="inlineStr">
        <is>
          <t>indeed</t>
        </is>
      </c>
      <c r="E134" t="inlineStr"/>
      <c r="F134" t="inlineStr"/>
      <c r="G134" t="inlineStr">
        <is>
          <t>San Francisco, CA, US</t>
        </is>
      </c>
      <c r="H134" s="1" t="n">
        <v>46075</v>
      </c>
      <c r="I134" t="inlineStr">
        <is>
          <t>**Salary: $120,000 to $140,000 per annum**
**Job Summary:**
* We are seeking a senior level AI/ML engineering contractor to temporarily step into a technical leadership and team lead role supporting personalization models and the company’s AI platform.
* The ideal candidate can balance technical expertise, strategic decision making, and day to day team guidance to ensure continuity during the leave period.
**Key Responsibilities:**
**Technical Leadership for Personalization Models:** 
* Lead team performing development, improvement, and rollout of machine learning models that power personalized content, offers, and product recommendations.
* Advise on model testing and experimentation, ensuring that new versions are evaluated properly before rollout.
* Manage model performance, reliability, and response time improvements.
**AI Platform Stewardship:** 
* Drive enhancements to shared AI infrastructure, including data pipelines, model serving interfaces, monitoring, and observability.
* Ensure engineering standards and best practices are followed across teams using the platform.
* Partner with data engineering, product, and business teams to align platform capabilities with strategic needs.
**Team \&amp; Program Leadership** :
* Provide technical direction to engineers and data scientists working across recommendation and personalization initiatives.
* Maintain clear documentation and organize technical materials to keep ongoing work unblocked.
* Coordinate cross functional planning, ensuring teams have clarity on goals, priorities, and dependencies.
**Strategic Planning \&amp; Delivery Management:** 
* Make informed trade off decisions balancing speed, accuracy, reliability, and business value.
* Ensure work continues to move forward smoothly in areas such as model upgrades, new placements, and user facing improvements.
* Guide team in adopting AI solutions to accelerate SDLC
**Required Skills \&amp; Experience:**
* Senior level experience building and operating machine learning systems in production.
* Strong understanding of ranking models, recommendation systems, model evaluation, and experiment design.
* Hands on expertise with modern AI/ML engineering tools (e.g., Python, Spark or similar, cloud\-based ML pipelines, cloud model serving frameworks, and API design).
* Ability to lead engineering discussions, guide team members, and provide clear direction.
* Strong organizational skills: able to manage complex projects and maintain structure during a temporary leadership period.
* Excellent communication skills, with the ability to translate technical details into clear action for partners and stakeholders.
**\#LI\-VM1**</t>
        </is>
      </c>
    </row>
    <row r="135">
      <c r="A135" t="inlineStr">
        <is>
          <t>in-8675ce0df23c5562</t>
        </is>
      </c>
      <c r="B135" t="inlineStr">
        <is>
          <t>Senior AI Engineer</t>
        </is>
      </c>
      <c r="C135" t="inlineStr">
        <is>
          <t>Speed &amp; Function</t>
        </is>
      </c>
      <c r="D135" t="inlineStr">
        <is>
          <t>indeed</t>
        </is>
      </c>
      <c r="E135" t="inlineStr"/>
      <c r="F135" t="inlineStr"/>
      <c r="G135" t="inlineStr">
        <is>
          <t>Remote, US</t>
        </is>
      </c>
      <c r="H135" s="1" t="n">
        <v>46075</v>
      </c>
      <c r="I135" t="inlineStr">
        <is>
          <t>S\&amp;F AI Automation is a team of AI geeks who see our work as a way to express creativity. We are looking for someone who shares this obsession and will raise the bar: challenge our architecture decisions, bring tools and techniques we haven't tried, and help us turn prospects into projects we will enjoy engineering .
At the moment, we are building our client base but lack a senior technical voice in presales engagements. This limits the department's ability to design reliable, scalable solutions and to speak with authority during technical conversations with prospects.
This role brings senior\-level engineering depth to the team while also adding the presales muscle needed to grow the client base.
**Mission**
Own the technical side of presales engagements. Join prospect calls alongside the Department Head, translate business pain points into credible AI solution designs, build lightweight prototypes when it reduces risk, and author the technical sections of proposals.
Between engagements, act as the team’s senior technical voice, shaping architecture and technology choices so delivery stays reliable and scalable.
Finally, add much needed engineering capacity to the team, contributing to the delivery of client projects and internal AI automation initiatives.
**Outcomes over the next 6–12 months**
**Ramp up as a presales partner within 30 days**
Independently lead the technical portion of prospect calls by the end of month one. The department head should be confident you ask strong discovery questions, communicate clearly, and propose relevant approaches without heavy coaching or supervision.
**Help close the first $80k in new revenue**
Participate in presales engagements that result in at least $80k in signed project value within the first six months. This includes Discovery Sprints and follow\-on projects that come from them.
**Strengthen the team’s engineering capability**
Provide architectural guidance on client or internal projects so solutions are more reliable and scalable than what would have been built without your input.
**What the work looks like**
**Provide technical depth during presales.**
You join prospect calls alongside the department head and own the technical side of the conversation.You probe for technical constraints, assess feasibility in real time, identify integration points or data dependencies, and start forming an architecture before the call ends.
**Design AI solutions that match the actual problem.**
You translate business context into an architecture with realistic scope and effort estimates. You know when prompt engineering is enough, when RAG is needed, when fine tuning or custom development is justified, and you can explain why.
**Connect AI to the tools businesses already use.**
You design integrations that make AI solutions practical: pulling data from CRMs or ERPs, syncing with cloud drives or email, pushing outputs into Slack channels or project management tools. You think in terms of end to end workflows, not standalone modules.
**Contribute to building, not just sales.**
Between engagements, you write production code, guide architecture decisions, and help the team ship client and internal projects. This role carries engineering weight, not just advisory influence.
**Who you are**
**You have 3\+ years of experience in a technical presales, solutions engineering, or solutions architect role.** You have led discovery calls, scoped proofs of concept, and handled technical objections in B2B sales cycles.
**You have hands\-on experience building AI\-powered applications in a professional setting** , not just personal experimentation.
**Your English is fluent at C1\+ level** . You can lead live calls with English\-speaking stakeholders and handle nuanced technical questions without hesitation.
**You communicate consultatively** . You guide stakeholders to clarity instead of overwhelming them with options. You can easily explain a complex concept to a non\-technical audience.
**You take ownership and initiative.** You do not need a heavy playbook. You identify gaps, flag risks early, and move things forward. Much of the presale process is still being built, and you are comfortable shaping it as you go.
**You are adaptable.** You are comfortable in a small team where priorities shift, and where the role will evolve as the practice grows.
**Technical competencies**
* Ability to assess a business problem and pitch an AI solution in real time,identify tradeoffs between approaches and create realistic effort estimates.
* Hands\-on experience building LLM\-powered applications: AI assistants and agents, prompt engineering for complex multi\-step workflows, structured outputs, and retrieval\-augmented generation systems (document ingestion, vector databases, chunking strategies, relevance fine\-tuning).
* Familiarity with automation and orchestration platforms (n8n, Temporal, etc) for building end\-to\-end workflows.
* Ability to connect AI capabilities to enterprise systems: CRMs, ERPs, knowledge sharing systems, project management platforms, etc.
* Experience building data pipelines that extract insights and present them in actionable formats (dashboards, reports, automated alerts).
* Understanding of security requirements for enterprise AI systems: Zero Data Retention policies, private or segmented cloud/VPS deployments, data isolation. Knowledge of LLM safety layers including guardrails frameworks, hallucination mitigation techniques, and prompt injection protection. Ability to articulate security posture during presales conversations with enterprise clients.
* Working knowledge of AWS cloud AI services: Bedrock, SageMaker, OpenSearch. Experience setting up and managing vector databases and embedding pipelines in cloud environments. Familiarity with VPS provisioning and configuration for private AI deployments. Ability to design production infrastructure including serverless patterns (Lambda) and managed API endpoints for LLM\-based applications.
**About Speed \&amp; Function**
Speed \&amp; Function is a software development company focused on long\-term partnerships, not transactional outsourcing. Since 2006, we’ve been building digital products and teams with a strong emphasis on trust, ownership, and collaboration. We evolve our processes as real\-world complexity demands.
**How to apply**
Apply with a short cover letter that includes why you’re considering a new opportunity, your hourly rate, your English level, your availability, and your location.
Location
Remote</t>
        </is>
      </c>
    </row>
    <row r="136">
      <c r="A136" t="inlineStr">
        <is>
          <t>in-26e94207a6ec6299</t>
        </is>
      </c>
      <c r="B136" t="inlineStr">
        <is>
          <t>ML Engineer, GO-AI Technology &amp; Development Team</t>
        </is>
      </c>
      <c r="C136" t="inlineStr">
        <is>
          <t>Amazon.com</t>
        </is>
      </c>
      <c r="D136" t="inlineStr">
        <is>
          <t>indeed</t>
        </is>
      </c>
      <c r="E136" t="inlineStr"/>
      <c r="F136" t="inlineStr"/>
      <c r="G136" t="inlineStr">
        <is>
          <t>Boston, MA, US</t>
        </is>
      </c>
      <c r="H136" s="1" t="n">
        <v>45998</v>
      </c>
      <c r="I136"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37">
      <c r="A137" t="inlineStr">
        <is>
          <t>in-122831c17cc41be1</t>
        </is>
      </c>
      <c r="B137" t="inlineStr">
        <is>
          <t>ML Engineer, GO-AI Technology &amp; Development Team</t>
        </is>
      </c>
      <c r="C137" t="inlineStr">
        <is>
          <t>Amazon.com</t>
        </is>
      </c>
      <c r="D137" t="inlineStr">
        <is>
          <t>indeed</t>
        </is>
      </c>
      <c r="E137" t="inlineStr"/>
      <c r="F137" t="inlineStr"/>
      <c r="G137" t="inlineStr">
        <is>
          <t>Reading, MA, US</t>
        </is>
      </c>
      <c r="H137" s="1" t="n">
        <v>45998</v>
      </c>
      <c r="I137"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38">
      <c r="A138" t="inlineStr">
        <is>
          <t>in-cfc5056e1ff25b5b</t>
        </is>
      </c>
      <c r="B138" t="inlineStr">
        <is>
          <t>ML Engineer, GO-AI Technology &amp; Development Team</t>
        </is>
      </c>
      <c r="C138" t="inlineStr">
        <is>
          <t>Amazon.com</t>
        </is>
      </c>
      <c r="D138" t="inlineStr">
        <is>
          <t>indeed</t>
        </is>
      </c>
      <c r="E138" t="inlineStr"/>
      <c r="F138" t="inlineStr"/>
      <c r="G138" t="inlineStr">
        <is>
          <t>Westborough, MA, US</t>
        </is>
      </c>
      <c r="H138" s="1" t="n">
        <v>45998</v>
      </c>
      <c r="I138"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39">
      <c r="A139" t="inlineStr">
        <is>
          <t>in-b9ad23c9078241f4</t>
        </is>
      </c>
      <c r="B139" t="inlineStr">
        <is>
          <t>ML Engineer, GO-AI Technology &amp; Development Team</t>
        </is>
      </c>
      <c r="C139" t="inlineStr">
        <is>
          <t>Amazon.com</t>
        </is>
      </c>
      <c r="D139" t="inlineStr">
        <is>
          <t>indeed</t>
        </is>
      </c>
      <c r="E139" t="inlineStr"/>
      <c r="F139" t="inlineStr"/>
      <c r="G139" t="inlineStr">
        <is>
          <t>Seattle, WA, US</t>
        </is>
      </c>
      <c r="H139" s="1" t="n">
        <v>45998</v>
      </c>
      <c r="I139"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40">
      <c r="A140" t="inlineStr">
        <is>
          <t>in-d99b5821462f4a5d</t>
        </is>
      </c>
      <c r="B140" t="inlineStr">
        <is>
          <t>Lead AI Engineer - Search &amp; AI Components</t>
        </is>
      </c>
      <c r="C140" t="inlineStr">
        <is>
          <t>Salesforce</t>
        </is>
      </c>
      <c r="D140" t="inlineStr">
        <is>
          <t>indeed</t>
        </is>
      </c>
      <c r="E140" t="inlineStr"/>
      <c r="F140" t="inlineStr"/>
      <c r="G140" t="inlineStr">
        <is>
          <t>Seattle, WA, US</t>
        </is>
      </c>
      <c r="H140" s="1" t="n">
        <v>46075</v>
      </c>
      <c r="I140"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seeking a **Lead AI Engineer** to shape the technical foundations of Salesforce’s **Agentic Enterprise** product suite. In this role, you will develop **agentic retrieval and AI skills** , leveraging **cutting\-edge AI, GraphRAG, and multi\-agent architectures** . You will collaborate with data engineers, product managers, and data scientists to execute the product roadmap, building scalable, high\-impact solutions that redefine what’s possible in **Agentforce** .
You will be a **technical thought leader** , translating innovative AI concepts into production\-ready systems that power next\-generation agentic experiences.
Responsibilities
**Architect Agentic Systems**
* Design and implement new features and functions across the app ecosystem in partnership with Product Managers and data engineers.
* Build scalable agentic AI architectures for MCP servers and multi\-agent environments.
**Implement Advanced Retrieval**
* Design RAG and GraphRAG pipelines to ensure agents are grounded in **accurate, high\-context, and real\-time data** .
* Optimize retrieval strategies for enhanced agent performance and responsiveness.
**AI Orchestration \&amp; Integration**
* Develop infrastructure that delivers **seamless, responsive AI experiences** for internal and external users.
* Integrate Salesforce technologies and open\-source tools to create the **enterprise agentic data foundation** .
**Operationalize AI Research**
* Collaborate with Data Scientists to translate evaluation metrics into **scalable, production\-grade services** .
* Establish frameworks to continuously measure and improve agent performance.
**Engineering Excellence**
* Define and enforce **coding standards, testing strategies, and best practices** to maintain high\-quality, high\-performance systems.
* Produce **strategic technical documentation** that captures architecture, product strategy, and implementation details.
Qualifications
**Education \&amp; Experience**
* Bachelor’s or Master’s degree in **Computer Science, AI, Information Technology** , or related fields.
* 8\+ years of proven experience as a **full\-stack software engineer** , developing robust web and AI\-enabled applications.
**Technical Expertise**
* Strong knowledge of **embedding models, LLM grounding, and agentic AI skills development** .
* Familiarity with the **Salesforce ecosystem** , Agentforce, and pro\-code tools such as Heroku.
* Hands\-on experience with **NoSQL and Graph databases** (Neo4j, MongoDB, Cassandra, Redis) and **vector databases** (Milvus, Pinecone).
* Proficient in **back\-end development** using Python, Java, or similar languages and server\-side frameworks.
* Skilled in **version control (Git)** and **CI/CD pipelines** for production deployment.
**Strategic \&amp; Analytical Skills**
* Ability to **translate complex AI research into actionable engineering solutions** .
* Strong problem\-solving skills and the ability to **think strategically about emerging AI technologies** .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regions.\&amp;\#xa;\&amp;\#xa;The typical base salary range for this position is $172,500 \- $260,100 annually. \&amp;\#xa;\&amp;\#xa;The range represents base salary only, and does not include company bonus, incentive for sales roles, equity or benefits, as applicable.</t>
        </is>
      </c>
    </row>
    <row r="141">
      <c r="A141" t="inlineStr">
        <is>
          <t>in-28b1ed79dd102956</t>
        </is>
      </c>
      <c r="B141" t="inlineStr">
        <is>
          <t>Agentic AI Engineer-1</t>
        </is>
      </c>
      <c r="C141" t="inlineStr">
        <is>
          <t>Realign</t>
        </is>
      </c>
      <c r="D141" t="inlineStr">
        <is>
          <t>indeed</t>
        </is>
      </c>
      <c r="E141" t="inlineStr"/>
      <c r="F141" t="inlineStr"/>
      <c r="G141" t="inlineStr">
        <is>
          <t>Boston, MA, US</t>
        </is>
      </c>
      <c r="H141" s="1" t="n">
        <v>46075</v>
      </c>
      <c r="I141" t="inlineStr">
        <is>
          <t>Boston, Massachusetts 02108 Posted February 23rd, 2026
 Looking for more job opportunities? Click here!
Job Type: Full Time
Job Category: IT
Job Description
**Role \- Agentic AI Engineer****Location \- Boston, MA (ONSITE)****Experience – 5\+****Type \- Full Time** **Job Description****Must Have Technical/Functional Skills**
Hands\-on with agent frameworks such as Semantic Kernel, LangGraph, LangChain Agents or CrewAI
Proficiency in Python and modern AI/ML frameworks, AWS
Hands‑on with Bedrock AgentCore Memory, Gateway, and Runtime
Strong experience with LLMs (fine\-tuning, evaluation, prompt engineering)
 **Roles \&amp; Responsibilities**
Focus on designing, building, and optimizing AGENTC capabilities using large language models and advanced reasoning frameworks.
 **Key Responsibilities**
Strong technical depth, a passion for building, workstreams in a fast\-paced, innovation\-driven environment
Build serverless agentic product architectures and features on AWS using Bedrock AgentCore Memory, Gateway, Identity, Interpreter, Observability and Runtime
Implement and operate A2A/MCP servers on AWS; integrate with Bedrock Agents/Converse APIs
Orchestrate multi‑agent plans with Strands Agents; deploy to EKS or Lambda
Instrument agents with CloudWatch metrics, spans, and traces; enable audits
Collaborate with product managers, data engineers, and UX teams to deliver production\-ready solutions
Follow the roadmap for AI initiatives, ensuring they align with organizational goals and show measurable impact
 **Required Skills \&amp; Experience**
Strong problem\-solving and strategic thinking abilities
Strong collaboration skills in research\-driven environments
Hands‑on with Bedrock AgentCore Memory, Gateway, and Runtime
Strong experience with LLMs (fine\-tuning, evaluation, prompt engineering)
Proficiency in Python and modern AI/ML frameworks
Proficiency in vector databases and embedding models for retrieval tasks
Experience with Data Connectors and API gateways that support seamless communication between systems
Experience with generative AI concepts such as Retrieval\-Augmented Generation (RAG), agentic workflows, training LLMs with structured and unstructured data sets
Strong communicator with the ability to present ideas clearly and influence stakeholders \- with a passion for enabling data\-driven transformation
Hands\-on with agent frameworks such as Semantic Kernel, LangGraph, LangChain Agents or CrewAI
Deep subject matter expertise in AI technologies, including but not limited to Copilot Studio, OpenAI, Semantic Kernels, Azure AI Foundry, Google Gemini, Microsoft 365, and M365 Copilot or Anthropic or AWS platforms
Required Skills
DEVOPS ENGINEER
 SENIOR EMAIL SECURITY ENGINEER</t>
        </is>
      </c>
    </row>
    <row r="142">
      <c r="A142" t="inlineStr">
        <is>
          <t>in-67e36b30d9bd52bf</t>
        </is>
      </c>
      <c r="B142" t="inlineStr">
        <is>
          <t>Staff Embedded ML Engineer, Edge AI</t>
        </is>
      </c>
      <c r="C142" t="inlineStr">
        <is>
          <t>SimpliSafe</t>
        </is>
      </c>
      <c r="D142" t="inlineStr">
        <is>
          <t>indeed</t>
        </is>
      </c>
      <c r="E142" t="inlineStr"/>
      <c r="F142" t="inlineStr"/>
      <c r="G142" t="inlineStr">
        <is>
          <t>Boston, MA, US</t>
        </is>
      </c>
      <c r="H142" s="1" t="n">
        <v>46075</v>
      </c>
      <c r="I142" t="inlineStr">
        <is>
          <t>**About SimpliSafe**
SimpliSafe is a leading innovator in the home security industry, dedicated to making every home a safe home. With a mission to provide accessible and comprehensive security solutions, we design and build user\-centric products that empower individuals and families to protect what matters most.
We believe in a collaborative and agile environment where learning and growth are continuous. Our teams are composed of talented individuals who are passionate about technology, security, and delivering exceptional customer experiences.
We're embracing a hybrid work model that enables our teams to split their time between office and home. Hybrid for us means we expect our teams to come together in our state\-of\-the\-art office on two core days, typically Tuesday, Wednesday, or Thursday – working together in person and choosing where they work for the remainder of the week. We all benefit from flexibility and get to use the best of both worlds to get our work done.
**Why are we hiring?**
Well, we're growing and thriving. So, we need smart, talented, and humble people who share our values to join us as we disrupt the home security space and relentlessly pursue our mission of keeping Every Home Secure.
**About the Role**
We are seeking a Senior Software Engineer to design and build the infrastructure that powers machine learning (ML) and computer vision (CV) development and deployment at scale. In this role, you'll collaborate closely with ML scientists, ML engineers, and adjacent product and platform teams to deliver robust, production\-ready software solutions that support the full ML lifecycle.
You will contribute to team\-wide initiatives spanning software architecture, data processing, and engineering best practices, and you will create and maintain documentation covering software design, implementation, and testing methodologies across the ML data lifecycle.
**Responsibilities:**
* Design, build, and maintain software systems and infrastructure that support the end\-to\-end ML lifecycle.
* Support the development and operation of production\-grade machine learning solutions.
* Develop and operate microservices in a public cloud environment (AWS, Azure, or GCP).
* Collaborate cross\-functionally with ML and platform teams to deliver scalable solutions.
* Provide technical guidance and mentorship to engineers.
* Promote and practice high engineering standards, including unit, integration, and mock testing.
* Contribute to cloud infrastructure automation, CI/CD pipelines, and containerized deployments.
* Take ownership of projects with a proactive, "can\-do" mindset.
**Qualifications**
* 5\+ years of experience building software systems and infrastructure.
* 3\+ years of experience deploying and supporting production solutions on AWS.
* Experience building and operating production applications on Kubernetes.
* Experience with AWS data services such as Athena, Glue and Kinesis.
* Familiarity with AWS services such as Lambda, Dynamodb and IAM
* Expertise in containers, infrastructure automation, and CI/CD tooling.
**Nice to Have**
* Experience supporting or building platforms for ML or data\-intensive systems.
* Exposure to LLM\-powered applications, including evaluation, inference, or integration into production systems.
* Experience with distributed compute frameworks (e.g., Ray, Spark).
* Background in building secure, compliant systems in cloud environments.
**What Values You'll Share**
* Customer Obsessed \- Building deep empathy for our customers, putting them at the core of our work, and developing strong, long\-term relationships with them.
* Aim High \- Always challenging ourselves and others to raise the bar.
* No Ego \- Maintaining a "no job too small" attitude, and an open, inclusive and humble style.
* One Team \- Taking a highly collaborative approach to achieving success.
* Lift As We Climb \- Investing in developing others and helping others around us succeed.
* Lean \&amp; Nimble \- Working with agility and efficiency to experiment in an often ambiguous environment.
**What We Offer**
* A mission\- and values\-driven culture and a safe, inclusive environment where you can build, grow and thrive
* A comprehensive total rewards package that supports your wellness and provides security for SimpliSafers and their families *(For more information on our total rewards please* *click here**)*
* Free SimpliSafe system and professional monitoring for your home.
* Employee Resource Groups (ERGs) that bring people together, give opportunities to network, mentor and develop, and advocate for change.
The target annual base pay range for this role is $183,300 to $268,800\.
This target annual base pay range represents our good\-faith estimate of what we expect to pay for this role. We use a market\-based compensation approach to set our target annual base pay ranges and make adjustments annually. We carefully tailor individual compensation packages, including base pay, taking into consideration employees' job\-related skills, experience, qualifications, work location, and other relevant business factors.
Beyond base pay, we offer a Total Rewards package that may include participation in our annual bonus program, equity, and other forms of compensation, in addition to a full range of medical, retirement, and lifestyle benefits. More details can be found here.
We're committed to fair and equitable pay practices, as well as pay transparency. We regularly review our programs to ensure they remain competitive and aligned with our values.
*We wholeheartedly embrace and actively seek applications from all individuals, no matter how they identify. We are committed to cultivating a diverse and inclusive workplace, and we believe our work is enriched when we incorporate a multitude of perspectives, backgrounds, and experiences. We want everyone who works here to thrive and contribute to not only our mission of keeping every home secure, but also to making our workplace safe and supportive for others. If a reasonable accommodation may be needed to fully participate in the job application or interview process, to perform the essential functions of a position, or to receive other benefits and privileges of employment, please contact* *careers@simplisafe.com**.*</t>
        </is>
      </c>
    </row>
    <row r="143">
      <c r="A143" t="inlineStr">
        <is>
          <t>in-366c91c1a2a15b5c</t>
        </is>
      </c>
      <c r="B143" t="inlineStr">
        <is>
          <t>Machine Learning Engineer</t>
        </is>
      </c>
      <c r="C143" t="inlineStr">
        <is>
          <t>Transflo</t>
        </is>
      </c>
      <c r="D143" t="inlineStr">
        <is>
          <t>indeed</t>
        </is>
      </c>
      <c r="E143" t="inlineStr"/>
      <c r="F143" t="inlineStr"/>
      <c r="G143" t="inlineStr">
        <is>
          <t>Remote, US</t>
        </is>
      </c>
      <c r="H143" s="1" t="n">
        <v>46075</v>
      </c>
      <c r="I143" t="inlineStr">
        <is>
          <t>Role Overview:
We are seeking an experienced Machine Learning Engineer specializing in AWS Bedrock, MLflow, and advanced prompt engineering methodologies to lead the development of state\-of\-the\-art MultiModal Document Identification and Extraction solutions. In this role, you will design and fine\-tune foundation models (FMs), implement Generative AI (GenAI) strategies, and leverage advanced prompt engineering techniques for accurate and efficient multimodal document processing.
Job Responsibilities:
* Design, develop, and deploy scalable machine learning models using AWS Bedrock and SageMaker.
* Implement and optimize multimodal machine learning pipelines for document identification and extraction.
* Develop and refine advanced prompt engineering strategies, including hierarchical prompting, context\-aware prompts, and multi\-turn dialogue techniques, to enhance the performance of foundation models.
* Manage the end\-to\-end ML lifecycle, including experiment tracking, model versioning, and deployment using MLflow.
* Ensure robust MLOps practices, including CI/CD pipelines, model monitoring, and automated retraining workflows.
* Optimize model inference performance and cost\-effectiveness using AWS Elastic Inference and SageMaker optimization techniques.
* Integrate AWS Textract and Rekognition for enhanced OCR and image processing within ML workflows.
* Collaborate with cross\-functional teams, including data scientists, cloud engineers, and business stakeholders, to align AI models with business objectives.
* Monitor, debug, and enhance machine learning workflows for improved reliability and efficiency.
* Stay updated on the latest advancements in AI, multimodal machine learning, and AWS technologies, and apply them to real\-world problems.
Qualifications and Experience:
* Extensive experience with AWS Bedrock for deploying and fine\-tuning foundation models (FMs) for multimodal applications.
* Proficiency in Amazon SageMaker for training complex ML models, hyperparameter tuning, and scalable deployment.
* Hands\-on experience with MLflow in AWS for experiment tracking, model versioning, and end\-to\-end ML lifecycle management.
* Experience with AWS Lambda, API Gateway, and Step Functions for building serverless AI pipelines.
* Familiarity with AWS Textract and Amazon Rekognition for document extraction and image recognition tasks.
* Proficient in the utilization of Textual Models for Image Classification or other Open Source Image Classification tools.
* Proficiency in AWS Deep Learning AMIs for rapid ML environment setup.
* Experience with Amazon Elastic Inference for cost\-effective inference acceleration
* Image\-Text Alignment Prompts – Creating prompts that effectively link textual and visual data for accurate information extraction.
* Hierarchical Prompting – Designing prompts for complex document structures with nested elements.
* Context\-Aware Prompting – Developing prompts that adapt to the semantic context of documents.
* Visual Layout\-Aware Prompting – Crafting prompts that leverage document layout information for precise entity recognition.
* Few\-shot and Zero\-shot Prompting – Utilizing examples to improve multimodal model performance with minimal labeled data.
* Multi\-turn Dialogue Prompting – Implementing iterative prompts for complex document extraction scenarios.
* Cross\-Attention Prompts – Optimizing attention mechanisms for aligning visual and textual features.
Individual Qualities:
* Results oriented
* Independently reliable; performs tasks without close supervision
* Persistent Learner showing a desire to be on the edge of new AI methodologies as it may relate to current business opportunities.
* Organized; detail\-oriented, methodical and consistently demonstrates ability to successfully and timely complete assignments.
* Follows\-Up; consistently performs this in a positive, proactive manner
* Logical problem\-solving skills
* Quality conscious; consistently demonstrates commitment to customers \&amp; quality
* Demonstrates timeliness \&amp; urgency
* Team work; individual contributor that works well with other team members and consistently promotes a strong team environment work ethic
* Goal setting; sets/achieves goals and consistently demonstrates a willingness/dedication to process improvement
* Responsible; takes responsibility for personal actions and consistently demonstrates a willingness to accept greater project responsibilities
* Professionally candid communications
* Focused on key success factors
* Professional attitude; consistently demonstrates ability to accept criticism and manage the conversation appropriately
* Street smart; can apply knowledge and life experiences in business
* Positive attitude
* Flexible \&amp; adaptable
* Resourceful</t>
        </is>
      </c>
    </row>
    <row r="144">
      <c r="A144" t="inlineStr">
        <is>
          <t>in-8ea5d7457f7ea963</t>
        </is>
      </c>
      <c r="B144" t="inlineStr">
        <is>
          <t>Senior Computer Vision AI/ML Engineer (TS/SCI) {S}</t>
        </is>
      </c>
      <c r="C144" t="inlineStr">
        <is>
          <t>Dhara Consulting Group</t>
        </is>
      </c>
      <c r="D144" t="inlineStr">
        <is>
          <t>indeed</t>
        </is>
      </c>
      <c r="E144" t="inlineStr"/>
      <c r="F144" t="inlineStr"/>
      <c r="G144" t="inlineStr">
        <is>
          <t>Aurora, CO, US</t>
        </is>
      </c>
      <c r="H144" s="1" t="n">
        <v>46075</v>
      </c>
      <c r="I144" t="inlineStr">
        <is>
          <t>Posted today
Top Secret/SCI
$130,000 \- $200,000
Full Scope Polygraph
Aurora, CO (On\-Site/Office)
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This position is for a Senior Computer Vision AI/ML Engineer. As a CV AI/ML Engineer, you will apply cutting\-edge AI/ML\-based Computer Vision algorithms to problems in remote sensing, including Automatic Target Recognition (ATR) and Multimodal Data Fusion for Electro\-Optical (EO) and Synthetic Aperture RADAR (SAR). You will be responsible for maturing, optimizing, and deploying these algorithms to a cloud\-hosted environment. You will also serve as a technical leader and will have the opportunity to guide a team of researchers and developers to see these algorithms from prototype to operations.
We offer generous relocation benefits for eligible candidates.  
In support of work/life balance, many positions are available for a flexible schedule within the pay period. Ask us about the opportunity for flex scheduling if that's of interest to you.
Responsibilities:  
As a CV AI/ML Engineer, your responsibilities include:
* Leading a small team consisting of developers and researchers to implement AI/ML algorithms to solve computer vision problems in remote sensing
* Analyzing and pre\-processing large remote sensing datasets
* Researching supervised and unsupervised ATR solutions for remote sensing
* Researching the performance benefits of multimodal data fusion for ATR, under diverse data collection scenarios
* Training, optimizing, and deploying deep learning CV models that provide analysts with actionable insights
* Reviewing relevant publications to understand cutting edge concepts, break down key ideas to government customers, and apply to defense and commercial applications
* Writing technical documentation supporting code, program capabilities and user\-guides
Required Qualifications:  
* BS in machine learning, computer science, computer vision, mathematics, or relevant fields
* Experience leading an interdisciplinary team of researchers and software developers and working with a program manager to define project scope and schedule to ensure we meet project milestones as defined by our customers
* Experience selecting a technical AI/ML approach and then iterating/pivoting as needed to enhance performance
* Experience with Python and any of the following Python machine learning frameworks: PyTorch, TensorFlow, Keras, PyTorch Lightning, scikit\-learn / scikit\-image, and/or OpenCV
* Experience training wither convolutional\-based CV models (e.g. YOLOv3\-11, YOLOX) or transformer\-based CV models (Vision Transformer, Swin, etc.)
* Effective communicator with the ability to write and present technical reports both internally to the engineering team and externally to customers
* 5\+ years of experience, preferably in software development or as a data scientist with 3\+ years of developing/training AI/ML models
* Active TS/SCI U.S. Government Security Clearance
Preferred Qualifications:  
* MS or PhD in machine learning, computer science, computer vision, mathematics, or relevant fields
* Experience with Self\-Supervised Learning (SSL) and student\-teacher approaches (e.g., DINO, knowledge distillation, BYOL)
* Experience with applying AI/ML algorithms to Image Segmentation, Super Resolution, Image Denoising, Image Restoration, and Multi\-INT Fusion
* Experience with Graph Convolutional Networks (GCNs) and applying them to CV\-based problems
* Experience working with image processing chains for any of the following domains: SAR, EO, and OPIR
* Experience working with datasets of overhead imagery like xView, SpaceNet datasets, Functional Map of the World, xView3, MSTAR, HRSID, CAESAR, DOTA v1/v2, etc.
* Familiarity with using AWS cloud computing resources such as EC2, S3, Lambda, etc.
* Experience with version control processes and tools for code version control, data version control, and model version control
* Experience with Linux
* Experience with implementing tracking and fusion, and pattern\-of\-life algorithms
* Experience in application deployment, virtualization, and containerization
* Experience shaping and writing proposals
* Active TS/SCI with a Counter Intelligence (CI) or recent Full\-Scope Polygraph (FSP) U.S. Government Security Clearance
Pay Range: $130,000 \- $200,000  
Your actual level and base salary will be determined on a case\-by\-case basis and may vary based on the following considerations: job\-related knowledge and skills, education, and experience.  
The application window will close in 60 days for this position.
Location: Aurora, CO  
Being situated at the foot of the Rocky Mountains, Aurora provides opportunities to enjoy all the beautiful nature that Colorado has to offer, while also being a 20\-minute drive from downtown Denver and 15\-minutes to the Denver International Airport.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TS/SCI U.S. Government Security Clearance.  
Visa Restrictions:
No visa sponsorship is available for this position.  
Pre\-employment Screenings:
Employment with any ARKA companies in the U.S. is contingent upon satisfactory completion of several pre\-employment requirements to include a credit check, background check, and drug screen.**GROUP ID:** 91128575</t>
        </is>
      </c>
    </row>
    <row r="145">
      <c r="A145" t="inlineStr">
        <is>
          <t>in-0e420ee0ed52ac5b</t>
        </is>
      </c>
      <c r="B145" t="inlineStr">
        <is>
          <t>AI/ML Engineer</t>
        </is>
      </c>
      <c r="C145" t="inlineStr">
        <is>
          <t>CACI International</t>
        </is>
      </c>
      <c r="D145" t="inlineStr">
        <is>
          <t>indeed</t>
        </is>
      </c>
      <c r="E145" t="inlineStr"/>
      <c r="F145" t="inlineStr"/>
      <c r="G145" t="inlineStr">
        <is>
          <t>Aberdeen Proving Ground, MD, US</t>
        </is>
      </c>
      <c r="H145" s="1" t="n">
        <v>46075</v>
      </c>
      <c r="I145" t="inlineStr">
        <is>
          <t>Job Title: AI/ML Engineer
Job Category: Engineering
Time Type: Full time
Minimum Clearance Required to Start: Secret
Employee Type: Regular
Percentage of Travel Required: Up to 10%
Type of Travel: Continental US
\* \* \***The Opportunity:**  
CACI is seeking a skilled and experienced mid\-level AI/ML Engineer to join our dynamic team to support a DoD client in APG, MD. The ideal candidate will have a strong background in machine learning, deep learning, and AI system development, with a proven track record of designing, developing, and deploying machine learning models. This role requires a deep understanding of MLOps, containerization, and CI/CD pipelines, as well as advanced knowledge in data preprocessing and cloud environments.  
**Responsibilities:**
* Design, develop, and deploy machine learning models and manage pipelines using tools such as Azure ML, Kubeflow, or MLflow.
* Implement and manage MLOps practices, including containerization (e.g., Docker, Kubernetes) and CI/CD pipelines.
* Handle large datasets in cloud environments, performing advanced data preprocessing.
* Develop custom AI APIs and integrate them into enterprise applications.
* Ensure adherence to Responsible AI (RAI) policies and develop metrics, measurements, and evaluation methods for emerging and existing AI areas.
* Collaborate with cross\-functional teams to identify opportunities for AI/ML integration and improvement.
 **Qualifications:**  
*Required:*
* Secret Clearance required
* Bachelor’s degree in Computer Science, Data Science, Mathematics, Statistics, Engineering, or a related field.
* Experience in machine learning, deep learning, or AI system development.
* Experience in MLOps, containerization (e.g., Docker, Kubernetes), and CI/CD pipelines.
* Proficiency in designing, developing, and deploying machine learning models.
* Advanced knowledge in data preprocessing, including handling large datasets in cloud environments.
* Experience in developing custom AI APIs and integrating them into enterprise applications.
* Strong knowledge of programming languages for Machine Learning (Python, R, or similar).
* Good understanding of AI cloud tools and capabilities.
* Familiarity with Responsible AI (RAI) policies and development of metrics, measurements, and evaluation methods for AI.
* Certifications:  
	+ AI Engineer Associate (AI\-102\)
	+ Microsoft Certified: Data Scientist Associate
	+ Or similar relevant certifications
*Desired:*
* TS/SCI Clearance
* Experience with cloud platforms (Azure, AWS, GCP)
* Knowledge of distributed computing frameworks (e.g., Apache Spark)
* Familiarity with version control systems (e.g., Git)
*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$90,300 \- 189,600 USD*CACI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146">
      <c r="A146" t="inlineStr">
        <is>
          <t>in-f02c39ce533b3f39</t>
        </is>
      </c>
      <c r="B146" t="inlineStr">
        <is>
          <t>We're Looking for AI Engineers</t>
        </is>
      </c>
      <c r="C146" t="inlineStr"/>
      <c r="D146" t="inlineStr">
        <is>
          <t>indeed</t>
        </is>
      </c>
      <c r="E146" t="inlineStr"/>
      <c r="F146" t="inlineStr"/>
      <c r="G146" t="inlineStr">
        <is>
          <t>US</t>
        </is>
      </c>
      <c r="H146" s="1" t="n">
        <v>46075</v>
      </c>
      <c r="I146" t="inlineStr">
        <is>
          <t>**Applied AI. Real clinical workflows. High stakes.**
Inflection Medicine is integrating intelligent systems directly into neonatal precision medicine — strengthening clinical decision support and automating complex workflows in healthcare environments where reliability and safety are essential.
We’re looking to connect with experienced AI Engineers who want to build production\-grade systems that operate in real\-world clinical settings.
We’re especially interested in builders who:
* Have shipped AI/ML systems into production
* Think architecturally about scalability and performance
* Have experience with modern AI frameworks, LLM systems, or agent\-based workflows
* Are comfortable owning systems end\-to\-end in AWS environments
* Thrive in ambiguity and value technical ownership
This isn’t experimental AI or surface\-level automation. It’s applied intelligence embedded into healthcare infrastructure.
If you’re building serious AI systems and want them to have meaningful clinical impact — let’s connect.</t>
        </is>
      </c>
    </row>
    <row r="147">
      <c r="A147" t="inlineStr">
        <is>
          <t>in-3055ad914d70d64e</t>
        </is>
      </c>
      <c r="B147" t="inlineStr">
        <is>
          <t>Applied AI Engineer</t>
        </is>
      </c>
      <c r="C147" t="inlineStr">
        <is>
          <t>Propio LS LLC</t>
        </is>
      </c>
      <c r="D147" t="inlineStr">
        <is>
          <t>indeed</t>
        </is>
      </c>
      <c r="E147" t="inlineStr"/>
      <c r="F147" t="inlineStr"/>
      <c r="G147" t="inlineStr">
        <is>
          <t>Overland Park, KS, US</t>
        </is>
      </c>
      <c r="H147" s="1" t="n">
        <v>46075</v>
      </c>
      <c r="I147" t="inlineStr">
        <is>
          <t>Overland Park, KS • Data \&amp; Analytics
**Job Type**
Full\-time
**Description**
Propio is on a mission to make communication accessible to everyone. As a leader in real\-time interpretation and multilingual language services, we connect people with the information they need across language, culture, and modality. We’re committed to building AI\-powered tools to enhance interpreter workflows, automate multilingual insights, and scale communication quality across industries.  
We are hiring an **Applied AI Engineer** to build and deploy practical, high\-impact AI systems. You will work across speech recognition, large language models, and prompt engineering to ship products like AI\-generated summaries, interpreter QA tools, and multilingual retrieval systems. You'll operate at the intersection of engineering, research, and product with high ownership and startup\-level pace.  
This is a builder role, not a research\-only position and you will be working closely with our VP of AI to get things live, fast. **Key Responsibilities:*** Prototype, build, and deploy end\-to\-end AI applications involving speech, LLMs, and text generation
* Integrate APIs like OpenAI, Whisper, Deepgram, and open\-source equivalents for ASR and NLP
* Collaborate with Engineers to iterate and refine MVPs before transitioning to model\-level optimization
* Develop internal tools and dashboards to test summarization, QA scoring, and multilingual understanding
* Rapidly test ideas and model variations to explore feasibility and impact (build\-measure\-learn loop)
* Ensure model pipelines are robust, scalable, and ready for handoff to MLOps and production
* Work with the AI PM to align technical outputs with business use cases and feedback loops
* Stay current on applied AI trends in speech and LLMs, and advise on what to use vs. build
**Requirements**
**Qualifications:*** Master’s Degree in Engineering, preferably in Computer Science, Statistics, Data Science or equivalent work related experience
* 3–5\+ years of experience working with NLP or speech models in real\-world applications
* Experience with Python, Hugging Face Transformers, OpenAI APIs, Whisper, LangChain, or similar frameworks
* Experience deploying AI models in production or pilot environments (e.g., using FastAPI, Flask, or Streamlit)
* Strong understanding of embeddings, prompt chaining, and pipeline orchestration
* Familiarity with vector databases (e.g., FAISS, Pinecone, Weaviate)
* Comfortable with rapid iteration, MVP mindset, and cross\-functional collaboration
* Prior exposure to multilingual or low\-resource language challenges is a plus
 **Preferred Qualifications:*** Experience building speech\-to\-text pipelines or hybrid ASR \+ LLM systems
* Experience with data labeling, annotation, or active learning workflows
* Familiarity with real\-time audio processing or latency\-sensitive applications
* Experience in healthcare, legal, or regulated environments (HIPAA, PHI, Section 1557\)
\#LI\-JS1</t>
        </is>
      </c>
    </row>
    <row r="148">
      <c r="A148" t="inlineStr">
        <is>
          <t>in-e38025d9244fa986</t>
        </is>
      </c>
      <c r="B148" t="inlineStr">
        <is>
          <t>GenAI Engineer</t>
        </is>
      </c>
      <c r="C148" t="inlineStr">
        <is>
          <t>Ascendion</t>
        </is>
      </c>
      <c r="D148" t="inlineStr">
        <is>
          <t>indeed</t>
        </is>
      </c>
      <c r="E148" t="inlineStr"/>
      <c r="F148" t="inlineStr"/>
      <c r="G148" t="inlineStr">
        <is>
          <t>Plano, TX, US</t>
        </is>
      </c>
      <c r="H148" s="1" t="n">
        <v>46075</v>
      </c>
      <c r="I148" t="inlineStr">
        <is>
          <t>**About Ascendion**
===================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**Ascendion \| Engineering to elevate life**
We have a culture built on opportunity, inclusion, and a spirit of partnership. Come, change the world with us:
* Build the coolest tech for the world’s leading brands
* Solve complex problems – and learn new skills
* Experience the power of transforming digital engineering for Fortune 500 clients
* Master your craft with leading training programs and hands\-on experience
Experience a community of change 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Role**We are seeking an experienced AI/ML Engineer to join our team in Plano, TX/Jersey City, NJ. The ideal candidate will have strong Python coding skills, cloud exposure (preferably AWS), and be engaged in the full software development life cycle.
**Job Title**GenAI Engineer
**Key Responsibilities*** Python coding – Core, multithreading, transaction management, asynch communication, FAST API
* Cloud exposure (AWS Preferred) – all the way to deployment
* Engaged in full SDLC, including design discussions/decisions
* Understands and able to explain LLM, RAG, System Design of current project clearly
* Understanding/Experience working with Agentic AI frameworks
**Minimum Qualifications*** Bachelor's degree in Computer Science or related field
* Proven experience in Python coding
* Experience with cloud technologies, preferably AWS
* Strong understanding of software development life cycle
**Desired Qualifications*** Master's degree in Computer Science or related field
* Experience with machine learning and artificial intelligence
* Previous experience in deploying applications to the cloud
* Excellent communication and teamwork skills
**Location**Plano, TX \- 75024
**Salary and Other Compensation:** The annual \[salary/hourly rate] for this position is between \[$130,000 \- 160,000 annually]/\[$65\.00 \- 80\.00 per hour]. Factors which may affect pay within this range may include geography/market, skills, education, experience and other qualifications of the successful candidate.
**Benefits** : The Company offers the following benefits for this position, subject to applicable eligibility requirements: \[medical insurance] \[dental insurance] \[vision insurance] \[401(k) retirement plan] \[long\-term disability insurance] \[short\-term disability insurance] \[5 personal days accrued each calendar year. The Paid time off benefits meet the paid sick and safe time laws that pertains to the City/ State] \[10\-15 days of paid vacation time] \[6 paid holidays and 1 floating holiday per calendar year] \[Ascendion Learning Management System]
**Want to change the world? Let us know.**
------------------------------------------
Tell us about your experiences, education, and ambitions. Bring your knowledge, unique viewpoint, and creativity to the table. Let’s talk!
#### **Preferred Skills**
AWS
* Python AWS
* Python
* Agentic
* agentic AI frameworks
#### **Job details**
###### **Job ID**
331786
###### **Job Requirements**
GenAI Engineer
###### **Location**
Plano, Texas, US
###### **Recruiter**
Rakesh
###### **Email**
rakesh.acharya@ascendion.com
#### **About Ascendion**
######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t>
        </is>
      </c>
    </row>
    <row r="149">
      <c r="A149" t="inlineStr">
        <is>
          <t>in-8254d0dc305634b9</t>
        </is>
      </c>
      <c r="B149" t="inlineStr">
        <is>
          <t>AI Engineer Lead</t>
        </is>
      </c>
      <c r="C149" t="inlineStr">
        <is>
          <t>ATHENE</t>
        </is>
      </c>
      <c r="D149" t="inlineStr">
        <is>
          <t>indeed</t>
        </is>
      </c>
      <c r="E149" t="inlineStr"/>
      <c r="F149" t="inlineStr"/>
      <c r="G149" t="inlineStr">
        <is>
          <t>West Des Moines, IA, US</t>
        </is>
      </c>
      <c r="H149" s="1" t="n">
        <v>46075</v>
      </c>
      <c r="I149" t="inlineStr">
        <is>
          <t>We are driven to do more. More for our customers and the financial professionals who offer our products. If you are driven to do more and love the challenge of pursuing more, Athene is your kind of company. You will find we offer more than the basics to create an inclusive and dynamic work environment at our various locations.
Purpose:
Athene is accelerating its AI initiatives to transform how we serve our customers, agents, and business partners. As a leader in the insurance and annuities space, we are committed to leveraging advanced AI technologies including Generative AI, Agentic AI, and Machine Learning to drive innovation and deliver meaningful business impact.  
We’re hiring in our Strategy \&amp; Innovation team, which leads Athene’s AI Strategy and experimentation efforts. Our work centers on shaping the enterprise AI vision and strategy, identifying high\-value use cases, and running structured experiments that validate ideas quickly. You’ll join a small, collaborative group that partners closely with business units, IT, and Apollo to align priorities and ensure AI adoption moves forward in a coordinated, business\-driven way. This is a high\-impact role where you’ll help translate strategy into action, test new capabilities, and guide promising solutions toward implementation.  
As the Lead AI Engineer, you'll play a key role in shaping Athene's AI future through technical leadership in our experimentation initiatives, vendor evaluations, and strategic assessments.
Accountabilities:* Lead technical experimentation by designing and executing targeted, short\-cycle tests to validate AI ideas and vendor tools before they move toward production.
* Bridge technical gaps by translating complex AI concepts between business stakeholders and IT teams.
* Assess AI readiness by evaluating data quality, accessibility, governance requirements, and technical infrastructure.
* Develop strategic prototypes that demonstrate business value and highlight implementation considerations.
* Support vision and blueprint development by contributing technical expertise to long\-term AI direction\-setting.
* Evaluate vendor solutions with rigorous technical assessments of AI platforms and tools (e.g., Writer, Shelf, Glean, Claude).
* Drive data strategy by identifying requirements, gaps, and integration needs across business units.
* Document experiment findings through comprehensive technical documentation.
* Partner across teams, working with business units, IT, and Apollo on readiness, governance, and validation activities.
* Shape technical standards for AI experimentation, prompt engineering, data preparation, and evaluation methodologies.
Qualifications and Experience:* Bachelor’s degree in Computer Science, Engineering, Data Science, or related field, plus 7\+ years of experience in AI, data science, or software engineering, including 2\+ years building GenAI/LLM/Agentic AI solutions; advanced AI/ML certifications (AWS, DeepLearning.AI, etc.) highly desirable.
* Deep expertise in GenAI frameworks and techniques (LangChain, RAG architectures, prompt engineering), modern LLMs (Claude, GPT\-4o/5, Gemini), strong Python skills, and hands\-on experience with AWS AI services (Bedrock, SageMaker, Lambda).
* Experience designing targeted tests to validate technical hypotheses and business assumptions, evaluating AI platforms/tools against business and technical requirements, and ensuring data quality, integration, governance, and compliance in regulated environments.
* Strong ability to translate business challenges into technical approaches, connect experimentation to broader strategic goals, and clearly communicate complex concepts to executives and technical specialists, with a proven track record of cross\-functional collaboration.
Drive. Discipline. Confidence. Focus. Commitment. Learn more about working at Athene.
Athene is a Military Friendly Employer! Learn more about how we support our Veterans.
Athene is committed to inclusion and is proud to be an Equal Opportunity Employer. We do not discriminate on the basis of race, color, religion, sex, national origin, age, disability, marital status, sexual orientation, veteran status or any other status protected by federal, state or local law.</t>
        </is>
      </c>
    </row>
    <row r="150">
      <c r="A150" t="inlineStr">
        <is>
          <t>in-1a035421dad8e109</t>
        </is>
      </c>
      <c r="B150" t="inlineStr">
        <is>
          <t>Principal Generative AI Engineer</t>
        </is>
      </c>
      <c r="C150" t="inlineStr">
        <is>
          <t>SAP</t>
        </is>
      </c>
      <c r="D150" t="inlineStr">
        <is>
          <t>indeed</t>
        </is>
      </c>
      <c r="E150" t="inlineStr"/>
      <c r="F150" t="inlineStr"/>
      <c r="G150" t="inlineStr">
        <is>
          <t>Palo Alto, CA, US</t>
        </is>
      </c>
      <c r="H150" s="1" t="n">
        <v>46075</v>
      </c>
      <c r="I150"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is a hybrid role based out of Palo Alto, CA. Hybrid is 3 days a week on\-site, 2 days a week remote.**
 **Summary:**  
With over 3\.6 million connected companies, the SAP Business Network powers global commerce. We are moving beyond simple automation to build autonomous supply chain agents capable of reasoning, planning, and exception handling.
This is a high\-impact role for a technical leader to design the architecture that bridges unstructured data with structured business logic using the latest advancements in Generative AI.
 **Responsibilities:**
* System Architecture: Lead the technical architecture for high\-scale AI applications
* Build Agentic Systems: Design and implement multi\-agent systems capable of autonomous reasoning, planning and execution.
* Hands\-On Coding: Actively contribute to the codebase of critical components and complex architectural patterns. You will build greenfield Proofs of Concept (PoCs) and guide them to production, setting the standard for code quality and MLOps best practices.
* Cross\-Functional Collaboration: Partner with Product Management to assess technical feasibility and translate complex business requirements into robust technical designs.
* Technical Leadership: Mentor Senior and Specialist developers, conduct design and code reviews and foster a culture of engineering excellence.
 **Minimum Qualifications:**
* Bachelor’s degree in Computer Science, Engineering or a related technical field
* 10\+ years of professional experience in software development
* 5\+ years of experience in designing and architecting large\-scale distributed systems or cloud\-native applications (e.g. on AWS, GCP, Azure, or SAP BTP)
* 5\+ years of technical leadership (e.g. Staff Engineer, Tech Lead, or Architect roles) driving technical decisions
* 5\+ years of applied AI experience (e.g. NLP, Machine Learning) including 1\+ years of experience with Generative AI techniques like Large Language Models, RAG, Agentic Workflows
 **Preferred Qualifications:**
* Master’s degree or PhD in Computer Science, Artificial Intelligence, or a related field
* Advanced AI Concepts: Deep understanding of Neurosymbolic AI, Reasoning Engines, and the ability to ground LLM outputs using formal logic or constraints
* Graph Technology: Experience designing and implementing Knowledge Graphs (RDF, Property Graphs) to power retrieval (GraphRAG) and reasoning systems
* Agentic Frameworks: Hands\-on experience with agentic tools (e.g. LangChain, LangGraph), prompt engineering, and context management
* Domain Knowledge: Familiarity with Supply Chain Management, procurement processes, or logistics data models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192,500 \- 420,000 (USD)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440648 \| Work Area: Software\-Design and Development \| Expected Travel: 0 \- 10% \| Career Status: Professional \| Employment Type: Regular Full Time \| Additional Locations: \#LI\-Hybrid</t>
        </is>
      </c>
    </row>
    <row r="151">
      <c r="A151" t="inlineStr">
        <is>
          <t>in-a672c4a0dc83d4a7</t>
        </is>
      </c>
      <c r="B151" t="inlineStr">
        <is>
          <t>Senior AI Engineer</t>
        </is>
      </c>
      <c r="C151" t="inlineStr">
        <is>
          <t>SAP</t>
        </is>
      </c>
      <c r="D151" t="inlineStr">
        <is>
          <t>indeed</t>
        </is>
      </c>
      <c r="E151" t="inlineStr"/>
      <c r="F151" t="inlineStr"/>
      <c r="G151" t="inlineStr">
        <is>
          <t>Palo Alto, CA, US</t>
        </is>
      </c>
      <c r="H151" s="1" t="n">
        <v>46075</v>
      </c>
      <c r="I151"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is a hybrid role based out of Palo Alto, CA. Hybrid is 3 days a week on\-site, 2 days a week remote.**
 **Summary:**
With over 3\.6 million connected companies, the SAP Business Network powers global commerce. We are moving beyond simple automation to build autonomous supply chain agents capable of reasoning, planning, and exception handling.
This is a hands\-on role for a Senior AI Application Engineer to drive the design and implementation of intelligent agents that bridge unstructured data with structured business logic. You will work with the latest advancements in Generative AI to build production\-grade systems that solve real\-world supply chain problems.
 **Responsibilities:**
* Component Design \&amp; Implementation: Own the end\-to\-end design and implementation of specific AI subsystems. You will translate high\-level architectural vision into scalable, efficient, and maintainable code.
* Build Agentic Workflows: Develop and optimize autonomous agents using modern frameworks
* Production Engineering: Write clean, testable, and efficient code to implement highly available AI services
* Data \&amp; Integration: Implement data pipelines that feed our reasoning engines. You will integrate vector databases and knowledge graphs with SAP’s core business applications to ground AI responses in enterprise reality
* Conduct thorough code reviews and mentor junior engineers on best practices in software design and AI engineering
 **Minimum Qualifications:**
* Bachelor’s degree in Computer Science, Engineering or a related technical field
* 7\+ years of professional experience in software development
* 3\+ years of experience building and deploying distributed systems, microservices, or backend APIs (e.g. REST, gRPC, GraphQL)
* 3\+ years of applied AI experience (e.g. NLP, Machine Learning) including 1\+ years of hands\-on experience with Generative AI techniques like Large Language Models, RAG, Agentic Workflows
 **Preferred Qualifications:**
* Master’s degree in Computer Science, Artificial Intelligence, or a related field
* Hands\-on experience with agentic tools (e.g. LangChain, LangGraph) and Vector Databases
* Familiarity with graph databases (e.g. Neo4j) or query languages (Cypher, SPARQL) to support GraphRAG implementations
* Domain Knowledge: Familiarity with Supply Chain Management, procurement processes, or logistics data models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141,700 \- 294,700 (USD)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440649 \| Work Area: Software\-Design and Development \| Expected Travel: 0 \- 10% \| Career Status: Professional \| Employment Type: Regular Full Time \| Additional Locations: \#LI\-Hybrid</t>
        </is>
      </c>
    </row>
    <row r="152">
      <c r="A152" t="inlineStr">
        <is>
          <t>in-d3fad1e6f37996d0</t>
        </is>
      </c>
      <c r="B152" t="inlineStr">
        <is>
          <t>Junior AI Engineer</t>
        </is>
      </c>
      <c r="C152" t="inlineStr">
        <is>
          <t>Synergy ECP</t>
        </is>
      </c>
      <c r="D152" t="inlineStr">
        <is>
          <t>indeed</t>
        </is>
      </c>
      <c r="E152" t="inlineStr"/>
      <c r="F152" t="inlineStr"/>
      <c r="G152" t="inlineStr">
        <is>
          <t>Columbia, MD, US</t>
        </is>
      </c>
      <c r="H152" s="1" t="n">
        <v>46075</v>
      </c>
      <c r="I152" t="inlineStr">
        <is>
          <t>Founded in 2007 and headquartered in Columbia, Maryland, Synergy ECP is a leading provider of cybersecurity, software and systems engineering and IT services to the U.S. intelligence and defense communities. The company leverages its expertise in data transport solutions, software and systems engineering, and other solutions to deliver critical and innovative capabilities to high\-level decision makers that enhance our nation’s security.  
In an ultra\-competitive environment, Synergy ECP has thrived by adhering to our name, making sure excellence is displayed by our Employees, to our Customers and by Improving Performance (ECP). It’s what sets us apart, enabling us to be an autonomous yet agile business that delivers huge results—showing we’re ready to meet our customers’ evolving demands. Synergy ECP has earned a client list that includes numerous Fortune 100 companies, in addition to multiple branches of the US government and military services. **Job Title: AI Engineer****Location:** Hybrid (Remote/On\-Site)**Clearance:** TS (TS/SCI will be required within 6 months of hire)**Employment Type:** Full\-Time**Reports To:** COO/CTO **Position Overview**
Synergy ECP is seeking a motivated **AI Engineer** to support the design, development, and deployment of AI/ML solutions in mission\-driven government environments. This role is ideal for an early\-career engineer who wants hands\-on experience building production\-grade AI systems while working within secure, compliance\-driven federal ecosystems.
The Junior AI Engineer will contribute to model development, data engineering workflows, experimentation, and AI system integration under the guidance of senior engineers and architects. **Key Responsibilities*** Support development, training, and evaluation of machine learning and AI models
* Assist in building data pipelines to support model training and inference
* Work with structured and unstructured datasets (text, logs, documents, etc.)
* Contribute to experimentation frameworks and model benchmarking
* Support integration of AI capabilities into production systems and APIs
* Write clean, maintainable, and well\-documented Python code
* Participate in code reviews and collaborative engineering processes
* Assist in MLOps activities (model versioning, monitoring, CI/CD integration)
* Ensure compliance with security and governance requirements in federal environments
* Document technical approaches and support customer briefings as needed
 **Required Qualifications*** Bachelor’s or Master’s degree in Computer Science, Engineering, Data Science, Mathematics, or related technical field
* 0–3 years of experience in AI/ML, software engineering, or data engineering
* Proficiency in Python
* Experience with one or more ML libraries (e.g., PyTorch, TensorFlow, scikit\-learn)
Familiarity with:* Data preprocessing and feature engineering
* Model evaluation metrics
* Git\-based version control
* Understanding of basic statistics and machine learning concepts
* Strong problem\-solving skills and willingness to learn
* Ability to work in a collaborative team environment
* U.S. Citizenship (if required for federal work)
 **Preferred Qualifications*** Experience working with NLP, LLMs, or generative AI systems
* Familiarity with vector databases or embeddings
* Exposure to MLOps tools (MLflow, Docker, Kubernetes, CI/CD pipelines)
* Experience in AWS, Azure, or GovCloud environments
* Knowledge of data governance and secure development practices
* Prior internship or project experience in AI/ML
* Active security clearance (if applicable)
 **What Success Looks Like in This Role**
Within 6–12 months, the Junior AI Engineer will:* Contribute meaningfully to at least one production AI deployment
* Demonstrate ability to independently build and evaluate ML models
* Follow secure development and data governance best practices
* Collaborate effectively with senior engineers and stakeholders
* Support mission\-driven AI solutions aligned with federal customer needs
 **Why Join Synergy ECP*** Work on high\-impact AI solutions supporting national mission priorities
* Gain hands\-on experience in secure, production AI environments
* Collaborate with senior AI and data engineering professionals
* Opportunity for rapid growth into mid\-level AI Engineer roles
* Competitive compensation and benefits
 **Compensation Spotlight:**  
For this role, our typical salary range starts at $100,000 and stretches up to $135,000\. But here's the deal – we're not about capping your potential. We're committed to snapping up the best and brightest, and we're ready to put our money where our mouth is. So, if you're one of the rare exceptions to the status quo with the education, experience, and that extra something special, we're not afraid to go above and beyond to secure your talent. Because for us, it's not just about a salary. It's about the complete rewards package, the culture, and the opportunity to make a real impact.
**Taking Care of the People Who Take Care of The Nation**  
Compensation: We offer highly competitive compensation that is consistently recognized by our employees as being generous!  
Health \&amp; Retirement: We offer a comprehensive Health Benefits package and 401K Retirement plan so you can take care of yourself and your family... both now and in the future. Other health\-related benefits include People Partners who will help you navigate both personal and professional worlds, as well as strong wellness related resources offered through our healthcare provider.  
Education: Individual growth is a priority at Synergy ECP. Employees are encouraged to take advantage of our company\-sponsored continuing education program so they can get their degree or that next certification needed to propel them towards the next level. Not sure what's best for your career plans, we'll help you navigate it all!  
Work/Life Balance: A healthy work/life balance is essential for building and executing your work effectively at Synergy ECP, but it’s also necessary to allow you the room to pursue everything you want to develop in your personal life. We offer a generous Paid Time Off benefit and 11 paid holidays a year. Synergy ECP also provides flexible work options that work with your schedule and lifestyle.  
Philanthropy: With the help of our amazing employees, Synergy ECP participates annually in building awareness, volunteering and contributing to dozens of organizations. We believe that giving back creates a sense of purpose, engagement, and fulfillment. Have a cause you are passionate about? We bet you'll find others here that care about it just as much!  
Great Corporate Facilities: Come by our corporate office and enjoy a weekly happy hour, take a drive to nearby restaurants, grab a snack or coffee in our café, or utilize our collaborative office space and conference rooms.  
SkillBridge: Our SkillBridge Program takes the incredible experience our servicemembers already have and shows them how to apply it within corporate environments. We are fanatical about helping our Military!  
Synergy ECP is committed to providing equal employment opportunities to all qualified individuals. Employment decisions are based on merit, qualifications, and business needs. We do not discriminate on the basis of race, color, sex, national origin, religion, age, disability, or any other status protected by applicable law.  
We welcome candidates from all backgrounds and are dedicated to maintaining a professional and respectful workplace where every employee can succeed.</t>
        </is>
      </c>
    </row>
    <row r="153">
      <c r="A153" t="inlineStr">
        <is>
          <t>in-1bcc31acf703988d</t>
        </is>
      </c>
      <c r="B153" t="inlineStr">
        <is>
          <t>AI/ML Engineer (Software Engineering)</t>
        </is>
      </c>
      <c r="C153" t="inlineStr">
        <is>
          <t>Wipro</t>
        </is>
      </c>
      <c r="D153" t="inlineStr">
        <is>
          <t>indeed</t>
        </is>
      </c>
      <c r="E153" t="inlineStr"/>
      <c r="F153" t="inlineStr"/>
      <c r="G153" t="inlineStr">
        <is>
          <t>Austin, TX, US</t>
        </is>
      </c>
      <c r="H153" s="1" t="n">
        <v>46075</v>
      </c>
      <c r="I153" t="inlineStr">
        <is>
          <t>Job Description* 
Job Title: AI/ML Engineer (Software Engineering)
City: Austin
State/Province: Texas
Posting Start Date: 2/23/26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Purpose**
================
The purpose of the role is to support process delivery by ensuring daily performance of the Production Specialists, resolve technical escalations and develop technical capability within the Production Specialists.  
**͏**
-----
**Do**
------
* **Oversee and support process by reviewing daily transactions on performance parameters**
	+ Review performance dashboard and the scores for the team
	+ Support the team in improving performance parameters by providing technical support and process guidance
	+ Record, track, and document all queries received, problem\-solving steps taken and total successful and unsuccessful resolutions
	+ Ensure standard processes and procedures are followed to resolve all client queries
	+ Resolve client queries as per the SLAÃ¢ÂÂs defined in the contract
	+ Develop understanding of process/ product for the team members to facilitate better client interaction and troubleshooting
	+ Document and analyze call logs to spot most occurring trends to prevent future problems
	+ Identify red flags and escalate serious client issues to Team leader in cases of untimely resolution
	+ Ensure all product information and disclosures are given to clients before and after the call/email requests
	+ Avoids legal challenges by monitoring compliance with service agreements
**͏**
-----
* **Handle technical escalations through effective diagnosis and troubleshooting of client queries**
	+ Manage and resolve technical roadblocks/ escalations as per SLA and quality requirements
	+ If unable to resolve the issues, timely escalate the issues to TA \&amp; SES
	+ Provide product support and resolution to clients by performing a question diagnosis while guiding users through step\-by\-step solutions
	+ Troubleshoot all client queries in a user\-friendly, courteous and professional manner
	+ Offer alternative solutions to clients (where appropriate) with the objective of retaining customersÃ¢ÂÂ and clientsÃ¢ÂÂ business
	+ Organize ideas and effectively communicate oral messages appropriate to listeners and situations
	+ Follow up and make scheduled call backs to customers to record feedback and ensure compliance to contract SLAÃ¢ÂÂs
**͏**
-----
* **Build people capability to ensure operational excellence and maintain superior customer service levels of the existing account/client**
	+ Mentor and guide Production Specialists on improving technical knowledge
	+ Collate trainings to be conducted as triage to bridge the skill gaps identified through interviews with the Production Specialist
	+ Develop and conduct trainings (Triages) within products for production specialist as per target
	+ Inform client about the triages being conducted
	+ Undertake product trainings to stay current with product features, changes and updates
	+ Enroll in product specific and any other trainings per client requirements/recommendations
	+ Identify and document most common problems and recommend appropriate resolutions to the team
	+ Update job knowledge by participating in self learning opportunities and maintaining personal networks
**͏**
-----
**Deliver**
No Performance Parameter Measure
1 Process No. of cases resolved per day, compliance to process and quality standards, meeting process level SLAs, Pulse score, Customer feedback, NSAT/ ESAT
2 Team Management Productivity, efficiency, absenteeism
3 Capability development Triages completed, Technical Test performance  
Mandatory Skills: Knowledge Graph .  
Experience: 5\-8 Years .  
The expected compensation for this role ranges from $60,000 to $135,000 .  
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  
Applicants are advised that employment in some roles may be conditioned on successful completion of a post\-offer drug screening, subject to applicable state law.  
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row>
    <row r="154">
      <c r="A154" t="inlineStr">
        <is>
          <t>in-1c4f153b447e2441</t>
        </is>
      </c>
      <c r="B154" t="inlineStr">
        <is>
          <t>Machine Learning Engineer</t>
        </is>
      </c>
      <c r="C154" t="inlineStr">
        <is>
          <t>Adobe</t>
        </is>
      </c>
      <c r="D154" t="inlineStr">
        <is>
          <t>indeed</t>
        </is>
      </c>
      <c r="E154" t="inlineStr"/>
      <c r="F154" t="inlineStr"/>
      <c r="G154" t="inlineStr">
        <is>
          <t>San Jose, CA, US</t>
        </is>
      </c>
      <c r="H154" s="1" t="n">
        <v>46075</v>
      </c>
      <c r="I154" t="inlineStr">
        <is>
          <t>We are seeking a Senior ML Engineer to join our team of dedicated machine learning and software engineers. This role involves timely engineering, system development, ML model assessment, constructing data pipelines, composing prototypes, evaluation, operationalization.
Looking for individuals skilled in classical and deep learning, able to build and implement ML solutions for production environments. If you thrive on delivering innovative customer features, adopting new technologies, and contributing to high\-visibility projects, this role may be a good match. The atmosphere is dynamic, fast\-paced, creative, collaborative, and data\-centric.
What you’ll do
Contribute to the backend services supporting ML and Generative\-AI functionalities.
Build, develop, implement, and evaluate machine learning models using classical and deep learning approaches, as well as GenAI.
Collaborate with cross\-functional teams to integrate ML solutions into existing products and services.
Analyze and improve efficiency, accuracy, scalability, and stability of AI\-enabled workflows.
Stay current with the latest advancements in ML and AI technologies.
Guide and support junior team members to aid in the overall development of the ML team.
What you need to succeed
**Required Qualifications:**  
Completed a degree in Computer Science, Machine Learning, or a related field.
5\+ years of experience in machine learning engineering roles.
Strong software engineering skills, including version control, code review, and CI/CD practices.
Strong proficiency in Python and experience with ML frameworks such as TensorFlow, PyTorch, scikit\-learn, Sagemaker.
Experience in developing and deploying ML models in production environments.
Familiarity with cloud platforms (e.g., AWS, GCP, Azure) for ML deployment.
Strong understanding of data structures, algorithms, and system development.
Strong leadership and team\-building skills.
Excellent communication and presentation skills.
Familiarity with Generative AI technologies and applications is advantageous.
Familiarity with Retrieval\-Augmented Generation (RAG) and other contemporary NLP methods is advantageous.
Having experience with MLOps practices and tools is advantageous.
Having a background in Recommendation Systems is advantageous.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
**Expected Pay Range:** Our compensation reflects the cost of labor across several U.S. geographic markets, and we pay differently based on those defined markets. The U.S. pay range for this position is $139,000 \-\- $257,550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$177,900 \- $257,550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t>
        </is>
      </c>
    </row>
    <row r="155">
      <c r="A155" t="inlineStr">
        <is>
          <t>in-652c1e250e125af4</t>
        </is>
      </c>
      <c r="B155" t="inlineStr">
        <is>
          <t>Machine Learning Engineer 50</t>
        </is>
      </c>
      <c r="C155" t="inlineStr">
        <is>
          <t>Adobe</t>
        </is>
      </c>
      <c r="D155" t="inlineStr">
        <is>
          <t>indeed</t>
        </is>
      </c>
      <c r="E155" t="inlineStr"/>
      <c r="F155" t="inlineStr"/>
      <c r="G155" t="inlineStr">
        <is>
          <t>San Jose, CA, US</t>
        </is>
      </c>
      <c r="H155" s="1" t="n">
        <v>46075</v>
      </c>
      <c r="I155" t="inlineStr">
        <is>
          <t>The Opportunity
Adobe Journey Optimizer B2B is redefining how enterprises engage buying groups through AI\-powered customer journey orchestration. We're building intelligent systems that understand complex B2B buyer behavior, predict intent signals across accounts, and deliver hyper\-personalized experiences at every touchpoint—from first awareness through closed revenue.
We are looking for a Machine Learning Engineer \&amp; Architect to join our AI and Agents team, define and own the ML architecture vision for our B2B journey orchestration platform. In this role, you'll shape how thousands of B2B enterprises leverage AI to transform pipeline generation, accelerate deal velocity, and drive measurable revenue impact. Your architecture decisions will power billions of personalized interactions annually, directly influencing how marketing and sales teams identify, engage, and convert buying committees.
What you'll do with us
You'll train and finetune ML models that solve business use cases and handle data at scale.
We'll work together to architect and optimize end\-to\-end ML pipelines, ensuring they're scalable, efficient, and robust.
You'll dive deep into data to recommend the right models, evaluation metrics, and governance approaches.
Provide hands\-on technical leadership, guiding engineers through architecture, building, implementation, and established guidelines.
Work across organizational boundaries to align priorities and drive projects forward.
Throughout the product lifecycle, you'll engage in architecture, design, deployment, and production operations of ML models and systems
**What will help you thrive:**  
10\+ years of proven experience in machine learning with successful delivery of ML projects, and 3\+ years of hands\-on experience working with generative AI technologies such as LLMs, evaluations, fine\-tuning, and more.
Your strong Python and deep learning engineering skills, paired with experience in training and inferencing with PyTorch or TensorFlow/JAX, will be essential.
Experience with post\-training techniques such as fine\-tuning, alignment or distillation.
Knowledge of deployment tools like Docker, ML Ops, and ML services is valuable, and experience with cloud platforms like Azure and AWS is a plus.
Your strong verbal and written communication skills and success in multi\-functional team environments will help us all succeed together.
Ways to Stand Out
You bring hands\-on experience with retrieval\-augmented generation (RAG), semantic embeddings, agentic AI workflows, and ML inference systems for personalization or recommendation use cases
You have published research, contributed to open\-source ML projects, or hold patents in AI/ML domains
You have experience with Adobe Experience Platform, Marketo Engage, or Journey Optimizer—understanding how ML integrates with enterprise customer data infrastructure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
**Expected Pay Range:** Our compensation reflects the cost of labor across several U.S. geographic markets, and we pay differently based on those defined markets. The U.S. pay range for this position is $172,500 \-\- $306,625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$211,800 \- $306,625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t>
        </is>
      </c>
    </row>
    <row r="156">
      <c r="A156" t="inlineStr">
        <is>
          <t>in-8ff005053d5baae0</t>
        </is>
      </c>
      <c r="B156" t="inlineStr">
        <is>
          <t>Senior Machine Learning Engineer - Ads Signals Intelligence and Information Retrieval</t>
        </is>
      </c>
      <c r="C156" t="inlineStr">
        <is>
          <t>Apple</t>
        </is>
      </c>
      <c r="D156" t="inlineStr">
        <is>
          <t>indeed</t>
        </is>
      </c>
      <c r="E156" t="inlineStr"/>
      <c r="F156" t="inlineStr"/>
      <c r="G156" t="inlineStr">
        <is>
          <t>Cupertino, CA, US</t>
        </is>
      </c>
      <c r="H156" s="1" t="n">
        <v>46075</v>
      </c>
      <c r="I156" t="inlineStr">
        <is>
          <t>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**Description**  
Apple’s Ads Signals Intelligence team is seeking a hands\-on and experienced Machine Learning Engineer to develop the next generation of ML\-driven signal platforms that power retrieval, prediction, and relevance across Apple’s advertising ecosystem\-including the App Store and Apple News.  
This role focuses on building content understanding systems and large\-scale infrastructure capable of delivering near real\-time signal updates, enabling smarter, privacy\-aware decision\-making throughout the ad delivery stack. This role focuses on developing rich semantic signals from a variety of sources\-including queries, creatives, metadata, and user interactions\-to support scalable ad retrieval, creative ranking, and marketplace optimization.  
You'll work at the forefront of LLM fine\-tuning, knowledge graph construction, semantic search, and multimodal representation learning to extract structured intelligence from unstructured data. While ad tech knowledge is a strong bonus, the core of the role is building high\-quality, privacy\-centric signals that fuel some of Apple’s most advanced machine learning systems.  
As part of the Ads Signals Intelligence team, you’ll be shaping the foundation of Apple’s ad ranking and relevance systems through world\-class signal understanding. You’ll work on problems at the cutting edge of retrieval, multimodal learning, LLMs, and content intelligence\-while contributing to Apple’s mission to deliver high\-performing, privacy\-first advertising experiences at scale.","responsibilities":"Design, implement, and scale ML systems that extract high\-value semantic signals from structured and unstructured content  
Contribute to retrieval and ranking pipelines using techniques in query understanding, semantic embedding, and dense/sparse indexing  
Fine\-tune and apply Large Language Models (LLMs) for NLP tasks like content labeling, rewriting, and semantic similarity  
Construct and utilize knowledge graphs and entity linking systems for enriching creative and query signals  
Work with multimodal data (e.g., combining text, image, and metadata signals) to build robust, cross\-domain signal representations  
Build core components for a content understanding platform, such as entity extraction, topic modeling, creative summarization, and taxonomy generation  
Own experimentation, offline evaluation, and online validation of signal pipelines at massive scale  
Collaborate across engineering, infra, and product teams to productionize systems while meeting Apple’s high standards for reliability and privacy  
**Preferred Qualifications**  
7\+ years of experience in machine learning or applied research, with a focus on retrieval, ranking, NLP, or content understanding  
MS or PhD in Computer Science, Machine Learning, Information Retrieval, NLP, or a related field.  
**Minimum Qualifications**  
4\+ years of experience in machine learning or applied research, with a focus on retrieval, ranking, NLP, or content understanding  
Deep understanding of information retrieval, semantic search, and query\-document matching  
Strong hands\-on experience with LLM fine\-tuning, knowledge graph construction, and entity\-centric modeling  
Experience working with multimodal models, including text, vision, metadata, or audio\-based representations  
Proficiency in Python, and experience with one or more of ML frameworks like PyTorch, TensorFlow  
Background in statistical modeling, optimization, and ML theory  
Exposure to ad tech domains such as auction modeling, targeting, attribution, or creative optimization is a plus  
Demonstrated ability to deliver high\-impact ML solutions in production environments  
Bachelor's in Computer Science, Machine Learning, Information Retrieval, NLP, or a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57">
      <c r="A157" t="inlineStr">
        <is>
          <t>in-50939989a3b294ea</t>
        </is>
      </c>
      <c r="B157" t="inlineStr">
        <is>
          <t>Machine Learning Engineer, Siri Runtime Systems and Interaction</t>
        </is>
      </c>
      <c r="C157" t="inlineStr">
        <is>
          <t>Apple</t>
        </is>
      </c>
      <c r="D157" t="inlineStr">
        <is>
          <t>indeed</t>
        </is>
      </c>
      <c r="E157" t="inlineStr"/>
      <c r="F157" t="inlineStr"/>
      <c r="G157" t="inlineStr">
        <is>
          <t>Cupertino, CA, US</t>
        </is>
      </c>
      <c r="H157" s="1" t="n">
        <v>46075</v>
      </c>
      <c r="I157" t="inlineStr">
        <is>
          <t>We are a group of engineers working on making Siri more intelligent and intuitive to interact with. We focus on innovating multimodal machine learning solutions that improve the experience for our users. We adapt our technologies based on various sensors available on different hardware products and make them run efficiently. We collaborate with various teams at Apple to deploy these innovative solutions to our products.  
**Description**  
As a member of the team you will be responsible for researching and developing innovative ML solutions for challenging problems that will meaningfully affect how users interact with Siri on Apple products. You will be looking at the user experience we want to deliver, define the optimization metrics and propose solutions to achieve the goal. You will bring these innovations to life by working collaboratively with partner teams to take them all the way to production. You are self\-motivated, excellent problem solver with strong execution. You are good at building relationships and work well with change and ambiguity. You have strong programming skills with tried experience prototyping and converting ideas into reality.  
**Preferred Qualifications**  
PhD or MSc in Computer Science, Computer Engineering or a closely related field.  
Proven industry experience in building ML\-based production features  
Experience in optimizing machine learning models for efficient inference on device  
Industry experience in implementing and training multimodal LLM or VLM  
Expertise in one or more of computer vision, audio signal processing and motion signal processing  
**Minimum Qualifications**  
Passionate about building extraordinary products  
Excellent problem solving, critical thinking, and interpersonal skills  
Excellent programming and debugging skills  
In\-depth expertise in developing machine learning models  
Expertise in common ML frameworks (TensorFlow, PyTorch, JAX)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58">
      <c r="A158" t="inlineStr">
        <is>
          <t>in-ea46ebfa5b876df0</t>
        </is>
      </c>
      <c r="B158" t="inlineStr">
        <is>
          <t>Staff Machine Learning Engineer - News, Books, &amp; Stocks Team</t>
        </is>
      </c>
      <c r="C158" t="inlineStr">
        <is>
          <t>Apple</t>
        </is>
      </c>
      <c r="D158" t="inlineStr">
        <is>
          <t>indeed</t>
        </is>
      </c>
      <c r="E158" t="inlineStr"/>
      <c r="F158" t="inlineStr"/>
      <c r="G158" t="inlineStr">
        <is>
          <t>Cupertino, CA, US</t>
        </is>
      </c>
      <c r="H158" s="1" t="n">
        <v>46075</v>
      </c>
      <c r="I158" t="inlineStr">
        <is>
          <t>In a time where the news and book media landscapes are changing by the day, Apple News and  
Apple Books stand as champions of quality content, expert curation, user privacy, and the  
judicious use of machine learning.  
Our lively and brilliant team consists of client and machine learning engineers who embody  
Apple's values. We inspire, teach, and otherwise enable each other to do the best work of our  
careers.  
Our team's outstanding retention rate speaks to our strong culture of respect for our teammates  
as both engineers and people.  
Would you like to work on such a team, solving hard problems in machine learning? Terrific!  
Please join us for the next generation of these apps!  
**Description**  
Our team is seeking a high\-energy and self\-driven machine learning engineer who will play a  
central role in the delivery of scalable services. The team uses machine learning to tackle  
difficult and complicated problems in the news, books, and stocks domains, including text  
extraction, named entity recognition, duplicate detection, search, ranking, and much more! As a  
member of our dynamic group, you’ll have the rare and rewarding opportunity to craft upcoming  
products that will delight and encourage millions of Apple’s customers every day!","responsibilities":"Design and implement state\-of\-the\-art AI/ML that processes news, stocks, and books data to drive recommendations, power advanced search, and enable next\-generation AI features.  
Develop datasets, design model architecture, and prompt, train, or fine\-tune models.  
Partner with multi\-functional teams at the intersection of technology and liberal arts to design and implement end\-to\-end machine learning enabled features.  
Drive application features from concept, model design, and development all the way to delivery.  
Lead highly cross\-functional software projects.  
Mentor junior engineers.  
Be part of our thriving machine learning community at Apple.  
**Preferred Qualifications**  
Experience in a technical leadership role.  
**Minimum Qualifications**  
MS in Machine Learning, Computer Science, or related field. Alternatively, equivalent industry experience to an MS degree is acceptable.  
At least 5 years of experience shipping machine learning models in products.  
Strong programming skills in Python, Java, or a related language, and one of the deep learning toolkits such as PyTorch, TensorFlow, or similar.  
Experience designing user\-facing machine learning features with interdisciplinary partners.  
Experience with recommender systems.  
Experience with text\-centric AI/ML (LLMs, document classification, search, etc.)  
Experience delivering high quality software at scale.  
Ability to communicate effectively and collaborate with partner teams.  
Commitment to encouraging an open and inclusive work environment.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59">
      <c r="A159" t="inlineStr">
        <is>
          <t>in-d3793fcea00faf51</t>
        </is>
      </c>
      <c r="B159" t="inlineStr">
        <is>
          <t>AIML - Senior Machine Learning Engineer, Responsible AI and Safety</t>
        </is>
      </c>
      <c r="C159" t="inlineStr">
        <is>
          <t>Apple</t>
        </is>
      </c>
      <c r="D159" t="inlineStr">
        <is>
          <t>indeed</t>
        </is>
      </c>
      <c r="E159" t="inlineStr"/>
      <c r="F159" t="inlineStr"/>
      <c r="G159" t="inlineStr">
        <is>
          <t>Cupertino, CA, US</t>
        </is>
      </c>
      <c r="H159" s="1" t="n">
        <v>46075</v>
      </c>
      <c r="I159" t="inlineStr">
        <is>
          <t>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Apple’s Responsible AI group you will be working on a wide array of new features and research in the generative AI space. Our team is currently interested in large generative models for vision and language, with particular interest on Responsible AI, safety, fairness, robustness, explainability, and uncertainty in models.  
**Description**  
This role focuses on developing, carrying\-out, interpreting, and communicating pre\- and post\-ship evaluations of the safety of Apple Intelligence features. Both human grading and model\-based auto\-grading are thoughtfully leveraged to power these evaluations. Additionally, this role researches and develops auto\-grading methodology \&amp; infrastructure to benefit ongoing and future Apple Intelligence safety evaluations.  
Producing safety evaluations that uphold Apple’s Responsible AI values requires thoughtful data sampling, creation, and curation for evaluation datasets; high quality, detailed annotations and careful auto\-grading to assess feature performance; and mindful analysis to understand what the evaluation means for the user experience.  
This role heavily draws on applied data science, scientific investigation and interpretation, cross\-functional communication and collaboration, and metrics reporting and presentation.","responsibilities":"Develop metrics for evaluation of safety and fairness risks inherent to generative AI features.  
Design datasets, identify data needs, and work on creative solutions, scaling and expanding data coverage through human and synthetic generation methods.  
Develop auto\-grading technologies and approaches for application in safety evaluations of generative AI features.  
Provide technical direction and expertise to team\-wide initiatives in safety auto\-grading.  
Use and implement data pipelines, and collaborate cross\-functionally to execute end\-to\-end safety evaluations.  
Work with highly\-sensitive content with exposure to offensive and controversial content.  
**Preferred Qualifications**  
Experience working in the Responsible AI space.  
Prior scientific research and publication experience.  
Strong organizational and operational skills working with large, multi\-functional, and diverse teams.  
Curiosity about fairness and bias in generative AI systems, and a strong desire to help make the technology more equitable.  
**Minimum Qualifications**  
MS, or PhD in Computer Science, Machine Learning, Statistics, or related fields; or an equivalent qualification acquired through other avenues.  
Experience working with generative models for evaluation and/or product development, and up\-to\-date knowledge of common challenges and failures.  
Strong engineering skills and experience in writing production\-quality code in Python.  
Deep experience in foundation model\-based AI programming (i.e.: using DSPy for optimizing foundation model prompts, for example) and a drive to innovate in this space.  
Experience working with noisy, crowd\-based data labels and human evaluations.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60">
      <c r="A160" t="inlineStr">
        <is>
          <t>in-71e892ba9dffacd9</t>
        </is>
      </c>
      <c r="B160" t="inlineStr">
        <is>
          <t>Machine Learning Engineer</t>
        </is>
      </c>
      <c r="C160" t="inlineStr">
        <is>
          <t>ValueBase Consulting</t>
        </is>
      </c>
      <c r="D160" t="inlineStr">
        <is>
          <t>indeed</t>
        </is>
      </c>
      <c r="E160" t="inlineStr"/>
      <c r="F160" t="inlineStr"/>
      <c r="G160" t="inlineStr">
        <is>
          <t>Minneapolis, MN, US</t>
        </is>
      </c>
      <c r="H160" s="1" t="n">
        <v>46075</v>
      </c>
      <c r="I160" t="inlineStr">
        <is>
          <t>**Machine Learning Engineer**
**12\+ Months**
**Minneapolis, MN**
**$55/HR on W2**
**\*\*\*\*CANDIDATES SHOULD BE LOCAL AND BE ABLE TO WORK ON OUR W2 \*\*\*\*\***
* **Experience Level:** 3\-5 years
* **Work Arrangement:** Hybrid (3 days onsite per week)
* **Location:** South Metro, Twin Cities (local candidates only)
* **Employment Type:** Contract to Hire
**What You’ll Do**
As the Machine Learning Engineer, you’ll dive into exciting projects that push the boundaries of AI. Here’s what you can expect:
* Design and implement advanced machine learning models using Python, focusing on solving complex business challenges
* Develop and optimize data pipelines using Snowflake for efficient data processing and model training
* Leverage Azure ML for model deployment and Azure DevOps for streamlined development workflows
* Collaborate with cross\-functional teams to understand requirements and establish project goals
* Conduct thorough data analysis, preprocessing, and feature engineering to prepare datasets for model training
* Implement and fine\-tune machine learning algorithms to maximize model performance and accuracy
* Utilize Git and GitHub for version control and collaborative development
**What You Bring to the Table**
* 3\-5 years of hands\-on experience in machine learning engineering
* Strong proficiency in Python and its ML\-related libraries (e.g., TensorFlow, PyTorch, scikit\-learn)
* Experience with Snowflake, Azure ML, and Azure DevOps
* Solid understanding of data structures, algorithms, and software architecture
* Expertise in statistical analysis and model optimization techniques
* Familiarity with Git and GitHub for version control
* Excellent problem\-solving skills and attention to detail
Strong communication abilities and a collaborative mindset</t>
        </is>
      </c>
    </row>
    <row r="161">
      <c r="A161" t="inlineStr">
        <is>
          <t>in-ca37a3639c2d3fe8</t>
        </is>
      </c>
      <c r="B161" t="inlineStr">
        <is>
          <t>AI Engineer</t>
        </is>
      </c>
      <c r="C161" t="inlineStr">
        <is>
          <t>Tata Consultancy Services (TCS)</t>
        </is>
      </c>
      <c r="D161" t="inlineStr">
        <is>
          <t>indeed</t>
        </is>
      </c>
      <c r="E161">
        <f>HYPERLINK("https://www.indeed.com/viewjob?jk=ca37a3639c2d3fe8", "https://www.indeed.com/viewjob?jk=ca37a3639c2d3fe8")</f>
        <v/>
      </c>
      <c r="F161">
        <f>HYPERLINK("https://ibegin.tcsapps.com/candidate/jobs/shared-job/Mzk4MTA3Sg==", "https://ibegin.tcsapps.com/candidate/jobs/shared-job/Mzk4MTA3Sg==")</f>
        <v/>
      </c>
      <c r="G161" t="inlineStr">
        <is>
          <t>Dallas, TX, US</t>
        </is>
      </c>
      <c r="H161" s="2" t="n">
        <v>46075</v>
      </c>
      <c r="I161" t="inlineStr">
        <is>
          <t>**Must Have Technical/Functional Skills:**
3\+ years of hands\-on RAG experience
3\+ years of hands\-on Python AI coding experience
Active thinker
Proactive contributor; no simple order taking
**Roles \&amp; Responsibilities:**
AI System Development: Designing, training, and implementing machine learning (ML) models, neural networks systems.
Data Engineering \&amp; Processing: Collecting, cleaning, and preparing large datasets for training.
Model Optimization: Testing, tuning, and validating AI models to ensure high accuracy, robustness, and performance.
System Integration: Embedding AI models into applications via APIs and middleware, ensuring seamless operation with existing infrastructure.
**Generic Managerial Skills**:
Collaborating with product managers and stakeholders to translate business needs into technical AI solutions
Salary Range: $64,000 \- $130,000 a year
\#LI\-CM2
**Location**
Dallas, TX
**Job Function**
TECHNOLOGY
**Role**
Engineer
**Job Id**
398107
**Desired Skills**
Python \| Artificial intelligence
**Salary Range**
$64,000\-$130,000 a year</t>
        </is>
      </c>
    </row>
    <row r="162">
      <c r="A162" t="inlineStr">
        <is>
          <t>in-667798be4f135f84</t>
        </is>
      </c>
      <c r="B162" t="inlineStr">
        <is>
          <t>Sr. AI/ML Engineer-4</t>
        </is>
      </c>
      <c r="C162" t="inlineStr">
        <is>
          <t>Realign</t>
        </is>
      </c>
      <c r="D162" t="inlineStr">
        <is>
          <t>indeed</t>
        </is>
      </c>
      <c r="E162">
        <f>HYPERLINK("https://www.indeed.com/viewjob?jk=667798be4f135f84", "https://www.indeed.com/viewjob?jk=667798be4f135f84")</f>
        <v/>
      </c>
      <c r="F162">
        <f>HYPERLINK("https://realign-llc.com/careers/job-details/IT900783SR-4", "https://realign-llc.com/careers/job-details/IT900783SR-4")</f>
        <v/>
      </c>
      <c r="G162" t="inlineStr">
        <is>
          <t>San Francisco, CA, US</t>
        </is>
      </c>
      <c r="H162" s="2" t="n">
        <v>46076</v>
      </c>
      <c r="I162" t="inlineStr">
        <is>
          <t>San Francisco, California 94016 Posted February 24th, 2026
 Looking for more job opportunities? Click here!
Job Type: Contract
Job Category: IT
Job Description
**Role: Sr. AI/ML Engineer**
* **Experience** – 10\+ Years
* **Location** \- San Francisco, CA – LOCALS Only
**Required Qualifications**  
* Deep expertise in Machine Learning, Generative AI, LLMs, RAG, and AI orchestration.
* Strong understanding of Azure OpenAI, AWS Bedrock, or similar platforms.
* Experience deploying AI in regulated environments.
* Hands\-on architectural and engineering leadership capabilities.
* Strong communication skills with VP/Senior Director stakeholders.
 Preferred Qualifications  
* 12\+ years in AI/ML, data engineering, or digital transformation.
* Prior experience leading enterprise AI programs.
* Utility domain experience (wildfire, grid, operations).
* Knowledge of Responsible AI frameworks (NIST AI RMF, ISO 42001\).
**Roles \&amp; Responsibilities**  
**Role Overview**  
Utilities are accelerating their enterprise AI adoption across Operations, Customer Experience, Wildfire Safety, Regulatory, and IT. The AI Lead will serve as the strategic driver for enterprise AI transformation—defining vision, governance, enterprise architecture, and leading delivery of high\-impact GenAI and ML solutions. **Key Responsibilities**  
* Define the enterprise AI vision, roadmap, and operating model.
* Identify and prioritize AI/ML/GenAI opportunities across business units.
* Drive design and deployment of AI solutions including consultation agents, hazard detection, regulatory Q\&amp;A automation, and contact center assistants.
* Establish AI governance, compliance, model risk management, and auditability frameworks.
* Lead cross\-functional AI programs spanning IT, Operations, Customer Care, Regulatory, Safety, and Field Ops.
* Mentor and guide data scientists, ML engineers, architects, and product owners.
* Promote AI literacy, change management, and best practices across the enterprise.
Required Skills
DEVOPS ENGINEER
 SENIOR EMAIL SECURITY ENGINEER</t>
        </is>
      </c>
    </row>
    <row r="163">
      <c r="A163" t="inlineStr">
        <is>
          <t>in-1533c5c5737d79a1</t>
        </is>
      </c>
      <c r="B163" t="inlineStr">
        <is>
          <t>Java Full-Stack AI engineer</t>
        </is>
      </c>
      <c r="C163" t="inlineStr">
        <is>
          <t>ECS</t>
        </is>
      </c>
      <c r="D163" t="inlineStr">
        <is>
          <t>indeed</t>
        </is>
      </c>
      <c r="E163">
        <f>HYPERLINK("https://www.indeed.com/viewjob?jk=1533c5c5737d79a1", "https://www.indeed.com/viewjob?jk=1533c5c5737d79a1")</f>
        <v/>
      </c>
      <c r="F163">
        <f>HYPERLINK("https://recruiting.adp.com/srccsh/public/RTI.home?r=5001180586206&amp;c=2201039&amp;d=ExternalCareerSite&amp;rb=INDEED&amp;idUnique=5001180586206", "https://recruiting.adp.com/srccsh/public/RTI.home?r=5001180586206&amp;c=2201039&amp;d=ExternalCareerSite&amp;rb=INDEED&amp;idUnique=5001180586206")</f>
        <v/>
      </c>
      <c r="G163" t="inlineStr">
        <is>
          <t>Memphis, TN, US</t>
        </is>
      </c>
      <c r="H163" s="2" t="n">
        <v>46075</v>
      </c>
      <c r="I163" t="inlineStr">
        <is>
          <t>ECS is seeking a ***Java Full\-Stack AI Engineer*** to work in our ***Memphis, TN*** office (Remote Considered).
ECS is seeking a highly skilled and motivated ***Java Full\-Stack AI Engineer***to support our USPS client. The candidate will enhance enterprise services and solutions for USPS, as part of an integrated evaluation, integration, strategy, design, implementation, and operational maintenance program. Participates in the design, development, and implementation of software engineering activities. Responsible for the development of components of many analytical tasks and activities. Establishes input/output processes and defining parameters for interfacing with external production systems and the implementation of system design. Must be able to provide and communicate technology solutions across technical, managerial and customer audiences. Responsible for the resolution process for problems where troubleshooting requires an in\-depth understanding and evaluation of system processes. Exercises judgment through understanding of software engineering best practices in selecting methods, techniques, and evaluation criterion for obtaining results. This role bridges traditional applications with modern AI\-driven data workflows, ensuring our systems are scalable, secure, and ready for intelligent automation. As this role will involve supporting rapidly evolving AI/ML projects and use cases, the candidate must have experience in any of the following areas: NLP, data provenance, LLMs/RAG, or deep learning.
**Responsibilities:**
* Design, develop and implement web\-based applications.
* Design, develop and implement highly complex applications utilizing Oracle and Java technologies.
* Demonstrate strong troubleshooting skills to solve complex problems across a large enterprise.
* Demonstrate a flexible attitude, ability to perform under pressure and ability to handle change easily while meeting deadlines.
* Communicate with technical and non\-technical audiences verbally and in writing to design efficient and effective applications.
* Work independently and in a team environment, to give and receive direction.
* Develop and revise Java source code based on clearly defined requirements.
* Experience in designing, architecting, and building Kafka based solutions.
* Extensive experience with messaging and stream processing on Kafka.
* Participate in code reviews for team members as well as yourself.
* Assist in the setup of production environments including application servers and database structure.
* Assist in the implementation of applications through various testing phases and into production environments.
* Must be able to communicate effectively, work in a team environment and think analytically.
* Perform maintenance on programs currently in production.
* Assist QA teams with writing test scripts and explaining functionality.
* Unit Testing candidate releases.
* Collaborate with other departments to ensure high availability and performance.
* Partner with data scientists, data architects, and federal stakeholders to deploy AI/ML models in production.
Requirements:
* ***Master's Degree in Computer Science, Engineering, Mathematics, Business Management or equivalent.***
* ***Must be US citizen or Green Card Holder per contract and must be able to obtain a Public Trust clearance***
* 12\+ years of general experience in information systems, including 7 years of specialized experience providing state\-of\-the\-art solutions in information systems technology
* 5\+ years of experience with web technologies (HTML, CSS, JavaScript frameworks)
* 5\+ years of experience with Java server technologies (JEE, Spring Framework, Spring Boot)
* 3\+ years of experience with SQL and PL/SQL on Oracle or similar platform
* 5\+ years of experience with IBM MQ and stream processing on Kafka.
* Expertise in troubleshooting, performance tuning, and query optimization.
* Excellent communication, problem\-solving, and organizational skills.
* Ability to work independently and as part of a team.
* Experience with Large Language Models, NLP, GenAI, and scaling of AI tools
* Work comfortably in version control systems (e.g., Git)
* Partner with data scientists, data architects, and federal stakeholders to deploy AI/ML models in production
Req Benefits:
https://ecstech.com/careers/benefits/"\&gt;https://ecstech.com/careers/benefits/</t>
        </is>
      </c>
    </row>
    <row r="164">
      <c r="A164" t="inlineStr">
        <is>
          <t>in-158c8656e657f306</t>
        </is>
      </c>
      <c r="B164" t="inlineStr">
        <is>
          <t>Applied Scientist, Safety ML</t>
        </is>
      </c>
      <c r="C164" t="inlineStr">
        <is>
          <t>Amazon.com</t>
        </is>
      </c>
      <c r="D164" t="inlineStr">
        <is>
          <t>indeed</t>
        </is>
      </c>
      <c r="E164">
        <f>HYPERLINK("https://www.indeed.com/viewjob?jk=158c8656e657f306", "https://www.indeed.com/viewjob?jk=158c8656e657f306")</f>
        <v/>
      </c>
      <c r="F164">
        <f>HYPERLINK("https://www.amazon.jobs/jobs/3161224/applied-scientist-safety-ml?cmpid=DA_INAD200785B", "https://www.amazon.jobs/jobs/3161224/applied-scientist-safety-ml?cmpid=DA_INAD200785B")</f>
        <v/>
      </c>
      <c r="G164" t="inlineStr">
        <is>
          <t>Seattle, WA, US</t>
        </is>
      </c>
      <c r="H164" s="2" t="n">
        <v>46037</v>
      </c>
      <c r="I16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65">
      <c r="A165" t="inlineStr">
        <is>
          <t>in-da6932feabd5c262</t>
        </is>
      </c>
      <c r="B165" t="inlineStr">
        <is>
          <t>Applied Scientist, Safety ML</t>
        </is>
      </c>
      <c r="C165" t="inlineStr">
        <is>
          <t>Amazon.com</t>
        </is>
      </c>
      <c r="D165" t="inlineStr">
        <is>
          <t>indeed</t>
        </is>
      </c>
      <c r="E165">
        <f>HYPERLINK("https://www.indeed.com/viewjob?jk=da6932feabd5c262", "https://www.indeed.com/viewjob?jk=da6932feabd5c262")</f>
        <v/>
      </c>
      <c r="F165">
        <f>HYPERLINK("https://www.amazon.jobs/jobs/3161224/applied-scientist-safety-ml?cmpid=DA_INAD200785B", "https://www.amazon.jobs/jobs/3161224/applied-scientist-safety-ml?cmpid=DA_INAD200785B")</f>
        <v/>
      </c>
      <c r="G165" t="inlineStr">
        <is>
          <t>San Francisco, CA, US</t>
        </is>
      </c>
      <c r="H165" s="2" t="n">
        <v>46037</v>
      </c>
      <c r="I16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66">
      <c r="A166" t="inlineStr">
        <is>
          <t>in-0c48de14b915583a</t>
        </is>
      </c>
      <c r="B166" t="inlineStr">
        <is>
          <t>Applied Scientist, LLM Code Agents, Kiro Science</t>
        </is>
      </c>
      <c r="C166" t="inlineStr">
        <is>
          <t>Amazon.com</t>
        </is>
      </c>
      <c r="D166" t="inlineStr">
        <is>
          <t>indeed</t>
        </is>
      </c>
      <c r="E166">
        <f>HYPERLINK("https://www.indeed.com/viewjob?jk=0c48de14b915583a", "https://www.indeed.com/viewjob?jk=0c48de14b915583a")</f>
        <v/>
      </c>
      <c r="F166">
        <f>HYPERLINK("https://www.amazon.jobs/jobs/3161363/applied-scientist-llm-code-agents-kiro-science?cmpid=DA_INAD200785B", "https://www.amazon.jobs/jobs/3161363/applied-scientist-llm-code-agents-kiro-science?cmpid=DA_INAD200785B")</f>
        <v/>
      </c>
      <c r="G166" t="inlineStr">
        <is>
          <t>Santa Clara, CA, US</t>
        </is>
      </c>
      <c r="H166" s="2" t="n">
        <v>46035</v>
      </c>
      <c r="I166"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67">
      <c r="A167" t="inlineStr">
        <is>
          <t>in-54f4882e4c071e4c</t>
        </is>
      </c>
      <c r="B167" t="inlineStr">
        <is>
          <t>Applied Scientist, LLM Code Agents, Kiro Science</t>
        </is>
      </c>
      <c r="C167" t="inlineStr">
        <is>
          <t>Amazon.com</t>
        </is>
      </c>
      <c r="D167" t="inlineStr">
        <is>
          <t>indeed</t>
        </is>
      </c>
      <c r="E167">
        <f>HYPERLINK("https://www.indeed.com/viewjob?jk=54f4882e4c071e4c", "https://www.indeed.com/viewjob?jk=54f4882e4c071e4c")</f>
        <v/>
      </c>
      <c r="F167">
        <f>HYPERLINK("https://www.amazon.jobs/jobs/3161363/applied-scientist-llm-code-agents-kiro-science?cmpid=DA_INAD200785B", "https://www.amazon.jobs/jobs/3161363/applied-scientist-llm-code-agents-kiro-science?cmpid=DA_INAD200785B")</f>
        <v/>
      </c>
      <c r="G167" t="inlineStr">
        <is>
          <t>Seattle, WA, US</t>
        </is>
      </c>
      <c r="H167" s="2" t="n">
        <v>46035</v>
      </c>
      <c r="I167"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68">
      <c r="A168" t="inlineStr">
        <is>
          <t>in-6ffcea1c5705e1ac</t>
        </is>
      </c>
      <c r="B168" t="inlineStr">
        <is>
          <t>Applied Scientist II, Prime Video Personalization and Discovery Science</t>
        </is>
      </c>
      <c r="C168" t="inlineStr">
        <is>
          <t>Amazon.com</t>
        </is>
      </c>
      <c r="D168" t="inlineStr">
        <is>
          <t>indeed</t>
        </is>
      </c>
      <c r="E168">
        <f>HYPERLINK("https://www.indeed.com/viewjob?jk=6ffcea1c5705e1ac", "https://www.indeed.com/viewjob?jk=6ffcea1c5705e1ac")</f>
        <v/>
      </c>
      <c r="F168">
        <f>HYPERLINK("https://www.amazon.jobs/jobs/3165157/applied-scientist-ii-prime-video-personalization-and-discovery-science?cmpid=DA_INAD200785B", "https://www.amazon.jobs/jobs/3165157/applied-scientist-ii-prime-video-personalization-and-discovery-science?cmpid=DA_INAD200785B")</f>
        <v/>
      </c>
      <c r="G168" t="inlineStr">
        <is>
          <t>Seattle, WA, US</t>
        </is>
      </c>
      <c r="H168" s="2" t="n">
        <v>46034</v>
      </c>
      <c r="I1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69">
      <c r="A169" t="inlineStr">
        <is>
          <t>in-4daf07e290bf646d</t>
        </is>
      </c>
      <c r="B169" t="inlineStr">
        <is>
          <t>Applied Scientist II, Prime Video Personalization and Discovery Science</t>
        </is>
      </c>
      <c r="C169" t="inlineStr">
        <is>
          <t>Amazon.com</t>
        </is>
      </c>
      <c r="D169" t="inlineStr">
        <is>
          <t>indeed</t>
        </is>
      </c>
      <c r="E169">
        <f>HYPERLINK("https://www.indeed.com/viewjob?jk=4daf07e290bf646d", "https://www.indeed.com/viewjob?jk=4daf07e290bf646d")</f>
        <v/>
      </c>
      <c r="F169">
        <f>HYPERLINK("https://www.amazon.jobs/jobs/3165157/applied-scientist-ii-prime-video-personalization-and-discovery-science?cmpid=DA_INAD200785B", "https://www.amazon.jobs/jobs/3165157/applied-scientist-ii-prime-video-personalization-and-discovery-science?cmpid=DA_INAD200785B")</f>
        <v/>
      </c>
      <c r="G169" t="inlineStr">
        <is>
          <t>Sunnyvale, CA, US</t>
        </is>
      </c>
      <c r="H169" s="2" t="n">
        <v>46034</v>
      </c>
      <c r="I1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70">
      <c r="A170" t="inlineStr">
        <is>
          <t>in-fb53f739cb370756</t>
        </is>
      </c>
      <c r="B170" t="inlineStr">
        <is>
          <t>Applied Scientist, Last Mile Delivery Automation</t>
        </is>
      </c>
      <c r="C170" t="inlineStr">
        <is>
          <t>Amazon.com</t>
        </is>
      </c>
      <c r="D170" t="inlineStr">
        <is>
          <t>indeed</t>
        </is>
      </c>
      <c r="E170">
        <f>HYPERLINK("https://www.indeed.com/viewjob?jk=fb53f739cb370756", "https://www.indeed.com/viewjob?jk=fb53f739cb370756")</f>
        <v/>
      </c>
      <c r="F170">
        <f>HYPERLINK("https://www.amazon.jobs/jobs/3155354/applied-scientist-last-mile-delivery-automation?cmpid=DA_INAD200785B", "https://www.amazon.jobs/jobs/3155354/applied-scientist-last-mile-delivery-automation?cmpid=DA_INAD200785B")</f>
        <v/>
      </c>
      <c r="G170" t="inlineStr">
        <is>
          <t>Bellevue, WA, US</t>
        </is>
      </c>
      <c r="H170" s="2" t="n">
        <v>46026</v>
      </c>
      <c r="I170"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in-156d0625df550fbf</t>
        </is>
      </c>
      <c r="B171" t="inlineStr">
        <is>
          <t>Applied Scientist, Last Mile Delivery Automation</t>
        </is>
      </c>
      <c r="C171" t="inlineStr">
        <is>
          <t>Amazon.com</t>
        </is>
      </c>
      <c r="D171" t="inlineStr">
        <is>
          <t>indeed</t>
        </is>
      </c>
      <c r="E171">
        <f>HYPERLINK("https://www.indeed.com/viewjob?jk=156d0625df550fbf", "https://www.indeed.com/viewjob?jk=156d0625df550fbf")</f>
        <v/>
      </c>
      <c r="F171">
        <f>HYPERLINK("https://www.amazon.jobs/jobs/3155354/applied-scientist-last-mile-delivery-automation?cmpid=DA_INAD200785B", "https://www.amazon.jobs/jobs/3155354/applied-scientist-last-mile-delivery-automation?cmpid=DA_INAD200785B")</f>
        <v/>
      </c>
      <c r="G171" t="inlineStr">
        <is>
          <t>Santa Clara, CA, US</t>
        </is>
      </c>
      <c r="H171" s="2" t="n">
        <v>46026</v>
      </c>
      <c r="I171"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in-9e1d14c583f1d8b0</t>
        </is>
      </c>
      <c r="B172" t="inlineStr">
        <is>
          <t>Principal Applied Scientist, Kiro Science</t>
        </is>
      </c>
      <c r="C172" t="inlineStr">
        <is>
          <t>Amazon Web Services</t>
        </is>
      </c>
      <c r="D172" t="inlineStr">
        <is>
          <t>indeed</t>
        </is>
      </c>
      <c r="E172">
        <f>HYPERLINK("https://www.indeed.com/viewjob?jk=9e1d14c583f1d8b0", "https://www.indeed.com/viewjob?jk=9e1d14c583f1d8b0")</f>
        <v/>
      </c>
      <c r="F172">
        <f>HYPERLINK("https://www.amazon.jobs/jobs/3161064/principal-applied-scientist-kiro-science?cmpid=DA_INAD200785B", "https://www.amazon.jobs/jobs/3161064/principal-applied-scientist-kiro-science?cmpid=DA_INAD200785B")</f>
        <v/>
      </c>
      <c r="G172" t="inlineStr">
        <is>
          <t>New York, NY, US</t>
        </is>
      </c>
      <c r="H172" s="2" t="n">
        <v>45999</v>
      </c>
      <c r="I172"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73">
      <c r="A173" t="inlineStr">
        <is>
          <t>in-32a5098a2ff08347</t>
        </is>
      </c>
      <c r="B173" t="inlineStr">
        <is>
          <t>Principal Applied Scientist, Kiro Science</t>
        </is>
      </c>
      <c r="C173" t="inlineStr">
        <is>
          <t>Amazon Web Services</t>
        </is>
      </c>
      <c r="D173" t="inlineStr">
        <is>
          <t>indeed</t>
        </is>
      </c>
      <c r="E173">
        <f>HYPERLINK("https://www.indeed.com/viewjob?jk=32a5098a2ff08347", "https://www.indeed.com/viewjob?jk=32a5098a2ff08347")</f>
        <v/>
      </c>
      <c r="F173">
        <f>HYPERLINK("https://www.amazon.jobs/jobs/3161064/principal-applied-scientist-kiro-science?cmpid=DA_INAD200785B", "https://www.amazon.jobs/jobs/3161064/principal-applied-scientist-kiro-science?cmpid=DA_INAD200785B")</f>
        <v/>
      </c>
      <c r="G173" t="inlineStr">
        <is>
          <t>Santa Clara, CA, US</t>
        </is>
      </c>
      <c r="H173" s="2" t="n">
        <v>45999</v>
      </c>
      <c r="I173"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74">
      <c r="A174" t="inlineStr">
        <is>
          <t>in-ae1f239892d9ba24</t>
        </is>
      </c>
      <c r="B174" t="inlineStr">
        <is>
          <t>Sr. Applied Scientist, Amazon Ads</t>
        </is>
      </c>
      <c r="C174" t="inlineStr">
        <is>
          <t>Amazon.com</t>
        </is>
      </c>
      <c r="D174" t="inlineStr">
        <is>
          <t>indeed</t>
        </is>
      </c>
      <c r="E174">
        <f>HYPERLINK("https://www.indeed.com/viewjob?jk=ae1f239892d9ba24", "https://www.indeed.com/viewjob?jk=ae1f239892d9ba24")</f>
        <v/>
      </c>
      <c r="F174">
        <f>HYPERLINK("https://www.amazon.jobs/jobs/3139328/sr-applied-scientist-amazon-ads?cmpid=DA_INAD200785B", "https://www.amazon.jobs/jobs/3139328/sr-applied-scientist-amazon-ads?cmpid=DA_INAD200785B")</f>
        <v/>
      </c>
      <c r="G174" t="inlineStr">
        <is>
          <t>Corvallis, OR, US</t>
        </is>
      </c>
      <c r="H174" s="2" t="n">
        <v>45998</v>
      </c>
      <c r="I17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5">
      <c r="A175" t="inlineStr">
        <is>
          <t>in-01b7c6e95098693e</t>
        </is>
      </c>
      <c r="B175" t="inlineStr">
        <is>
          <t>Sr. Applied Scientist, Amazon Ads</t>
        </is>
      </c>
      <c r="C175" t="inlineStr">
        <is>
          <t>Amazon.com</t>
        </is>
      </c>
      <c r="D175" t="inlineStr">
        <is>
          <t>indeed</t>
        </is>
      </c>
      <c r="E175">
        <f>HYPERLINK("https://www.indeed.com/viewjob?jk=01b7c6e95098693e", "https://www.indeed.com/viewjob?jk=01b7c6e95098693e")</f>
        <v/>
      </c>
      <c r="F175">
        <f>HYPERLINK("https://www.amazon.jobs/jobs/3139328/sr-applied-scientist-amazon-ads?cmpid=DA_INAD200785B", "https://www.amazon.jobs/jobs/3139328/sr-applied-scientist-amazon-ads?cmpid=DA_INAD200785B")</f>
        <v/>
      </c>
      <c r="G175" t="inlineStr">
        <is>
          <t>Santa Monica, CA, US</t>
        </is>
      </c>
      <c r="H175" s="2" t="n">
        <v>45998</v>
      </c>
      <c r="I17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6">
      <c r="A176" t="inlineStr">
        <is>
          <t>in-578c50765ac55136</t>
        </is>
      </c>
      <c r="B176" t="inlineStr">
        <is>
          <t>Sr. Applied Scientist, Amazon Ads</t>
        </is>
      </c>
      <c r="C176" t="inlineStr">
        <is>
          <t>Amazon.com</t>
        </is>
      </c>
      <c r="D176" t="inlineStr">
        <is>
          <t>indeed</t>
        </is>
      </c>
      <c r="E176">
        <f>HYPERLINK("https://www.indeed.com/viewjob?jk=578c50765ac55136", "https://www.indeed.com/viewjob?jk=578c50765ac55136")</f>
        <v/>
      </c>
      <c r="F176">
        <f>HYPERLINK("https://www.amazon.jobs/jobs/3139328/sr-applied-scientist-amazon-ads?cmpid=DA_INAD200785B", "https://www.amazon.jobs/jobs/3139328/sr-applied-scientist-amazon-ads?cmpid=DA_INAD200785B")</f>
        <v/>
      </c>
      <c r="G176" t="inlineStr">
        <is>
          <t>Boston, MA, US</t>
        </is>
      </c>
      <c r="H176" s="2" t="n">
        <v>45998</v>
      </c>
      <c r="I17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7">
      <c r="A177" t="inlineStr">
        <is>
          <t>in-2fa8223271deb114</t>
        </is>
      </c>
      <c r="B177" t="inlineStr">
        <is>
          <t>Sr. Applied Scientist, Amazon Ads</t>
        </is>
      </c>
      <c r="C177" t="inlineStr">
        <is>
          <t>Amazon.com</t>
        </is>
      </c>
      <c r="D177" t="inlineStr">
        <is>
          <t>indeed</t>
        </is>
      </c>
      <c r="E177">
        <f>HYPERLINK("https://www.indeed.com/viewjob?jk=2fa8223271deb114", "https://www.indeed.com/viewjob?jk=2fa8223271deb114")</f>
        <v/>
      </c>
      <c r="F177">
        <f>HYPERLINK("https://www.amazon.jobs/jobs/3139328/sr-applied-scientist-amazon-ads?cmpid=DA_INAD200785B", "https://www.amazon.jobs/jobs/3139328/sr-applied-scientist-amazon-ads?cmpid=DA_INAD200785B")</f>
        <v/>
      </c>
      <c r="G177" t="inlineStr">
        <is>
          <t>Sunnyvale, CA, US</t>
        </is>
      </c>
      <c r="H177" s="2" t="n">
        <v>45998</v>
      </c>
      <c r="I17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8">
      <c r="A178" t="inlineStr">
        <is>
          <t>in-1931a738e2494f32</t>
        </is>
      </c>
      <c r="B178" t="inlineStr">
        <is>
          <t>Sr. Applied Scientist, Amazon Ads</t>
        </is>
      </c>
      <c r="C178" t="inlineStr">
        <is>
          <t>Amazon.com</t>
        </is>
      </c>
      <c r="D178" t="inlineStr">
        <is>
          <t>indeed</t>
        </is>
      </c>
      <c r="E178">
        <f>HYPERLINK("https://www.indeed.com/viewjob?jk=1931a738e2494f32", "https://www.indeed.com/viewjob?jk=1931a738e2494f32")</f>
        <v/>
      </c>
      <c r="F178">
        <f>HYPERLINK("https://www.amazon.jobs/jobs/3139328/sr-applied-scientist-amazon-ads?cmpid=DA_INAD200785B", "https://www.amazon.jobs/jobs/3139328/sr-applied-scientist-amazon-ads?cmpid=DA_INAD200785B")</f>
        <v/>
      </c>
      <c r="G178" t="inlineStr">
        <is>
          <t>New York, NY, US</t>
        </is>
      </c>
      <c r="H178" s="2" t="n">
        <v>45998</v>
      </c>
      <c r="I17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9">
      <c r="A179" t="inlineStr">
        <is>
          <t>in-df77c0aaded96522</t>
        </is>
      </c>
      <c r="B179" t="inlineStr">
        <is>
          <t>Sr. Applied Scientist, Amazon Ads</t>
        </is>
      </c>
      <c r="C179" t="inlineStr">
        <is>
          <t>Amazon.com</t>
        </is>
      </c>
      <c r="D179" t="inlineStr">
        <is>
          <t>indeed</t>
        </is>
      </c>
      <c r="E179">
        <f>HYPERLINK("https://www.indeed.com/viewjob?jk=df77c0aaded96522", "https://www.indeed.com/viewjob?jk=df77c0aaded96522")</f>
        <v/>
      </c>
      <c r="F179">
        <f>HYPERLINK("https://www.amazon.jobs/jobs/3139328/sr-applied-scientist-amazon-ads?cmpid=DA_INAD200785B", "https://www.amazon.jobs/jobs/3139328/sr-applied-scientist-amazon-ads?cmpid=DA_INAD200785B")</f>
        <v/>
      </c>
      <c r="G179" t="inlineStr">
        <is>
          <t>Seattle, WA, US</t>
        </is>
      </c>
      <c r="H179" s="2" t="n">
        <v>45998</v>
      </c>
      <c r="I17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0">
      <c r="A180" t="inlineStr">
        <is>
          <t>in-c3d354f0dfeccd16</t>
        </is>
      </c>
      <c r="B180" t="inlineStr">
        <is>
          <t>Sr. Applied Scientist, Amazon Ads</t>
        </is>
      </c>
      <c r="C180" t="inlineStr">
        <is>
          <t>Amazon.com</t>
        </is>
      </c>
      <c r="D180" t="inlineStr">
        <is>
          <t>indeed</t>
        </is>
      </c>
      <c r="E180">
        <f>HYPERLINK("https://www.indeed.com/viewjob?jk=c3d354f0dfeccd16", "https://www.indeed.com/viewjob?jk=c3d354f0dfeccd16")</f>
        <v/>
      </c>
      <c r="F180">
        <f>HYPERLINK("https://www.amazon.jobs/jobs/3139328/sr-applied-scientist-amazon-ads?cmpid=DA_INAD200785B", "https://www.amazon.jobs/jobs/3139328/sr-applied-scientist-amazon-ads?cmpid=DA_INAD200785B")</f>
        <v/>
      </c>
      <c r="G180" t="inlineStr">
        <is>
          <t>Brooklyn, NY, US</t>
        </is>
      </c>
      <c r="H180" s="2" t="n">
        <v>45998</v>
      </c>
      <c r="I18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1">
      <c r="A181" t="inlineStr">
        <is>
          <t>in-1a8d6afc8ef3a112</t>
        </is>
      </c>
      <c r="B181" t="inlineStr">
        <is>
          <t>Sr. Applied Scientist, Amazon Ads</t>
        </is>
      </c>
      <c r="C181" t="inlineStr">
        <is>
          <t>Amazon.com</t>
        </is>
      </c>
      <c r="D181" t="inlineStr">
        <is>
          <t>indeed</t>
        </is>
      </c>
      <c r="E181">
        <f>HYPERLINK("https://www.indeed.com/viewjob?jk=1a8d6afc8ef3a112", "https://www.indeed.com/viewjob?jk=1a8d6afc8ef3a112")</f>
        <v/>
      </c>
      <c r="F181">
        <f>HYPERLINK("https://www.amazon.jobs/jobs/3139328/sr-applied-scientist-amazon-ads?cmpid=DA_INAD200785B", "https://www.amazon.jobs/jobs/3139328/sr-applied-scientist-amazon-ads?cmpid=DA_INAD200785B")</f>
        <v/>
      </c>
      <c r="G181" t="inlineStr">
        <is>
          <t>Palo Alto, CA, US</t>
        </is>
      </c>
      <c r="H181" s="2" t="n">
        <v>45998</v>
      </c>
      <c r="I18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2">
      <c r="A182" t="inlineStr">
        <is>
          <t>in-5c5e6e761a4e87e6</t>
        </is>
      </c>
      <c r="B182" t="inlineStr">
        <is>
          <t>Sr. Applied Scientist, Amazon Ads</t>
        </is>
      </c>
      <c r="C182" t="inlineStr">
        <is>
          <t>Amazon.com</t>
        </is>
      </c>
      <c r="D182" t="inlineStr">
        <is>
          <t>indeed</t>
        </is>
      </c>
      <c r="E182">
        <f>HYPERLINK("https://www.indeed.com/viewjob?jk=5c5e6e761a4e87e6", "https://www.indeed.com/viewjob?jk=5c5e6e761a4e87e6")</f>
        <v/>
      </c>
      <c r="F182">
        <f>HYPERLINK("https://www.amazon.jobs/jobs/3139328/sr-applied-scientist-amazon-ads?cmpid=DA_INAD200785B", "https://www.amazon.jobs/jobs/3139328/sr-applied-scientist-amazon-ads?cmpid=DA_INAD200785B")</f>
        <v/>
      </c>
      <c r="G182" t="inlineStr">
        <is>
          <t>Tukwila, WA, US</t>
        </is>
      </c>
      <c r="H182" s="2" t="n">
        <v>45998</v>
      </c>
      <c r="I18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3">
      <c r="A183" t="inlineStr">
        <is>
          <t>in-9d1b266d8bb99d30</t>
        </is>
      </c>
      <c r="B183" t="inlineStr">
        <is>
          <t>Sr. Applied Scientist, Amazon Ads</t>
        </is>
      </c>
      <c r="C183" t="inlineStr">
        <is>
          <t>Amazon.com</t>
        </is>
      </c>
      <c r="D183" t="inlineStr">
        <is>
          <t>indeed</t>
        </is>
      </c>
      <c r="E183">
        <f>HYPERLINK("https://www.indeed.com/viewjob?jk=9d1b266d8bb99d30", "https://www.indeed.com/viewjob?jk=9d1b266d8bb99d30")</f>
        <v/>
      </c>
      <c r="F183">
        <f>HYPERLINK("https://www.amazon.jobs/jobs/3139328/sr-applied-scientist-amazon-ads?cmpid=DA_INAD200785B", "https://www.amazon.jobs/jobs/3139328/sr-applied-scientist-amazon-ads?cmpid=DA_INAD200785B")</f>
        <v/>
      </c>
      <c r="G183" t="inlineStr">
        <is>
          <t>Boulder, CO, US</t>
        </is>
      </c>
      <c r="H183" s="2" t="n">
        <v>45998</v>
      </c>
      <c r="I18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4">
      <c r="A184" t="inlineStr">
        <is>
          <t>in-37b4bf38d1a615d9</t>
        </is>
      </c>
      <c r="B184" t="inlineStr">
        <is>
          <t>Principal Applied Scientist, Sponsored Products and Brands</t>
        </is>
      </c>
      <c r="C184" t="inlineStr">
        <is>
          <t>Amazon.com</t>
        </is>
      </c>
      <c r="D184" t="inlineStr">
        <is>
          <t>indeed</t>
        </is>
      </c>
      <c r="E184">
        <f>HYPERLINK("https://www.indeed.com/viewjob?jk=37b4bf38d1a615d9", "https://www.indeed.com/viewjob?jk=37b4bf38d1a615d9")</f>
        <v/>
      </c>
      <c r="F184">
        <f>HYPERLINK("https://www.amazon.jobs/jobs/3130855/principal-applied-scientist-sponsored-products-and-brands?cmpid=DA_INAD200785B", "https://www.amazon.jobs/jobs/3130855/principal-applied-scientist-sponsored-products-and-brands?cmpid=DA_INAD200785B")</f>
        <v/>
      </c>
      <c r="G184" t="inlineStr">
        <is>
          <t>New York, NY, US</t>
        </is>
      </c>
      <c r="H184" s="2" t="n">
        <v>45979</v>
      </c>
      <c r="I18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in-492ef1364b9c4efb</t>
        </is>
      </c>
      <c r="B185" t="inlineStr">
        <is>
          <t>Principal Applied Scientist, Sponsored Products and Brands</t>
        </is>
      </c>
      <c r="C185" t="inlineStr">
        <is>
          <t>Amazon.com</t>
        </is>
      </c>
      <c r="D185" t="inlineStr">
        <is>
          <t>indeed</t>
        </is>
      </c>
      <c r="E185">
        <f>HYPERLINK("https://www.indeed.com/viewjob?jk=492ef1364b9c4efb", "https://www.indeed.com/viewjob?jk=492ef1364b9c4efb")</f>
        <v/>
      </c>
      <c r="F185">
        <f>HYPERLINK("https://www.amazon.jobs/jobs/3130855/principal-applied-scientist-sponsored-products-and-brands?cmpid=DA_INAD200785B", "https://www.amazon.jobs/jobs/3130855/principal-applied-scientist-sponsored-products-and-brands?cmpid=DA_INAD200785B")</f>
        <v/>
      </c>
      <c r="G185" t="inlineStr">
        <is>
          <t>Seattle, WA, US</t>
        </is>
      </c>
      <c r="H185" s="2" t="n">
        <v>45979</v>
      </c>
      <c r="I18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in-ac37a1b997381ce9</t>
        </is>
      </c>
      <c r="B186" t="inlineStr">
        <is>
          <t>Applied Scientist, Personalization, DTx Science</t>
        </is>
      </c>
      <c r="C186" t="inlineStr">
        <is>
          <t>Amazon.com</t>
        </is>
      </c>
      <c r="D186" t="inlineStr">
        <is>
          <t>indeed</t>
        </is>
      </c>
      <c r="E186">
        <f>HYPERLINK("https://www.indeed.com/viewjob?jk=ac37a1b997381ce9", "https://www.indeed.com/viewjob?jk=ac37a1b997381ce9")</f>
        <v/>
      </c>
      <c r="F186">
        <f>HYPERLINK("https://www.amazon.jobs/jobs/3136853/applied-scientist-personalization-dtx-science?cmpid=DA_INAD200785B", "https://www.amazon.jobs/jobs/3136853/applied-scientist-personalization-dtx-science?cmpid=DA_INAD200785B")</f>
        <v/>
      </c>
      <c r="G186" t="inlineStr">
        <is>
          <t>New York, NY, US</t>
        </is>
      </c>
      <c r="H186" s="2" t="n">
        <v>45979</v>
      </c>
      <c r="I186"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87">
      <c r="A187" t="inlineStr">
        <is>
          <t>in-efb809df54e0d8ae</t>
        </is>
      </c>
      <c r="B187" t="inlineStr">
        <is>
          <t>Applied Scientist, Personalization, DTx Science</t>
        </is>
      </c>
      <c r="C187" t="inlineStr">
        <is>
          <t>Amazon.com</t>
        </is>
      </c>
      <c r="D187" t="inlineStr">
        <is>
          <t>indeed</t>
        </is>
      </c>
      <c r="E187">
        <f>HYPERLINK("https://www.indeed.com/viewjob?jk=efb809df54e0d8ae", "https://www.indeed.com/viewjob?jk=efb809df54e0d8ae")</f>
        <v/>
      </c>
      <c r="F187">
        <f>HYPERLINK("https://www.amazon.jobs/jobs/3136853/applied-scientist-personalization-dtx-science?cmpid=DA_INAD200785B", "https://www.amazon.jobs/jobs/3136853/applied-scientist-personalization-dtx-science?cmpid=DA_INAD200785B")</f>
        <v/>
      </c>
      <c r="G187" t="inlineStr">
        <is>
          <t>Seattle, WA, US</t>
        </is>
      </c>
      <c r="H187" s="2" t="n">
        <v>45979</v>
      </c>
      <c r="I187"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88">
      <c r="A188" t="inlineStr">
        <is>
          <t>in-92ef8257b1e9602c</t>
        </is>
      </c>
      <c r="B188" t="inlineStr">
        <is>
          <t>Senior Applied Scientist, Sponsored Products and Brands</t>
        </is>
      </c>
      <c r="C188" t="inlineStr">
        <is>
          <t>Amazon.com</t>
        </is>
      </c>
      <c r="D188" t="inlineStr">
        <is>
          <t>indeed</t>
        </is>
      </c>
      <c r="E188">
        <f>HYPERLINK("https://www.indeed.com/viewjob?jk=92ef8257b1e9602c", "https://www.indeed.com/viewjob?jk=92ef8257b1e9602c")</f>
        <v/>
      </c>
      <c r="F188">
        <f>HYPERLINK("https://www.amazon.jobs/jobs/3130062/senior-applied-scientist-sponsored-products-and-brands?cmpid=DA_INAD200785B", "https://www.amazon.jobs/jobs/3130062/senior-applied-scientist-sponsored-products-and-brands?cmpid=DA_INAD200785B")</f>
        <v/>
      </c>
      <c r="G188" t="inlineStr">
        <is>
          <t>Seattle, WA, US</t>
        </is>
      </c>
      <c r="H188" s="2" t="n">
        <v>45979</v>
      </c>
      <c r="I188"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89">
      <c r="A189" t="inlineStr">
        <is>
          <t>in-7c13ff0755965c58</t>
        </is>
      </c>
      <c r="B189" t="inlineStr">
        <is>
          <t>Senior Applied Scientist, Sponsored Products and Brands</t>
        </is>
      </c>
      <c r="C189" t="inlineStr">
        <is>
          <t>Amazon.com</t>
        </is>
      </c>
      <c r="D189" t="inlineStr">
        <is>
          <t>indeed</t>
        </is>
      </c>
      <c r="E189">
        <f>HYPERLINK("https://www.indeed.com/viewjob?jk=7c13ff0755965c58", "https://www.indeed.com/viewjob?jk=7c13ff0755965c58")</f>
        <v/>
      </c>
      <c r="F189">
        <f>HYPERLINK("https://www.amazon.jobs/jobs/3130062/senior-applied-scientist-sponsored-products-and-brands?cmpid=DA_INAD200785B", "https://www.amazon.jobs/jobs/3130062/senior-applied-scientist-sponsored-products-and-brands?cmpid=DA_INAD200785B")</f>
        <v/>
      </c>
      <c r="G189" t="inlineStr">
        <is>
          <t>New York, NY, US</t>
        </is>
      </c>
      <c r="H189" s="2" t="n">
        <v>45979</v>
      </c>
      <c r="I189"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90">
      <c r="A190" t="inlineStr">
        <is>
          <t>in-18222df796b728b4</t>
        </is>
      </c>
      <c r="B190" t="inlineStr">
        <is>
          <t>Sr. Applied Scientist, Sponsored Products</t>
        </is>
      </c>
      <c r="C190" t="inlineStr">
        <is>
          <t>Amazon.com</t>
        </is>
      </c>
      <c r="D190" t="inlineStr">
        <is>
          <t>indeed</t>
        </is>
      </c>
      <c r="E190">
        <f>HYPERLINK("https://www.indeed.com/viewjob?jk=18222df796b728b4", "https://www.indeed.com/viewjob?jk=18222df796b728b4")</f>
        <v/>
      </c>
      <c r="F190">
        <f>HYPERLINK("https://www.amazon.jobs/jobs/3136156/sr-applied-scientist-sponsored-products?cmpid=DA_INAD200785B", "https://www.amazon.jobs/jobs/3136156/sr-applied-scientist-sponsored-products?cmpid=DA_INAD200785B")</f>
        <v/>
      </c>
      <c r="G190" t="inlineStr">
        <is>
          <t>Arlington, VA, US</t>
        </is>
      </c>
      <c r="H190" s="2" t="n">
        <v>45976</v>
      </c>
      <c r="I190"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91">
      <c r="A191" t="inlineStr">
        <is>
          <t>in-a39dc97aace641e2</t>
        </is>
      </c>
      <c r="B191" t="inlineStr">
        <is>
          <t>Sr. Applied Scientist, Sponsored Products</t>
        </is>
      </c>
      <c r="C191" t="inlineStr">
        <is>
          <t>Amazon.com</t>
        </is>
      </c>
      <c r="D191" t="inlineStr">
        <is>
          <t>indeed</t>
        </is>
      </c>
      <c r="E191">
        <f>HYPERLINK("https://www.indeed.com/viewjob?jk=a39dc97aace641e2", "https://www.indeed.com/viewjob?jk=a39dc97aace641e2")</f>
        <v/>
      </c>
      <c r="F191">
        <f>HYPERLINK("https://www.amazon.jobs/jobs/3136156/sr-applied-scientist-sponsored-products?cmpid=DA_INAD200785B", "https://www.amazon.jobs/jobs/3136156/sr-applied-scientist-sponsored-products?cmpid=DA_INAD200785B")</f>
        <v/>
      </c>
      <c r="G191" t="inlineStr">
        <is>
          <t>New York, NY, US</t>
        </is>
      </c>
      <c r="H191" s="2" t="n">
        <v>45976</v>
      </c>
      <c r="I191"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92">
      <c r="A192" t="inlineStr">
        <is>
          <t>in-1a756079736d25ea</t>
        </is>
      </c>
      <c r="B192" t="inlineStr">
        <is>
          <t>Sr. Applied Scientist, Sponsored Products</t>
        </is>
      </c>
      <c r="C192" t="inlineStr">
        <is>
          <t>Amazon.com</t>
        </is>
      </c>
      <c r="D192" t="inlineStr">
        <is>
          <t>indeed</t>
        </is>
      </c>
      <c r="E192">
        <f>HYPERLINK("https://www.indeed.com/viewjob?jk=1a756079736d25ea", "https://www.indeed.com/viewjob?jk=1a756079736d25ea")</f>
        <v/>
      </c>
      <c r="F192">
        <f>HYPERLINK("https://www.amazon.jobs/jobs/3136156/sr-applied-scientist-sponsored-products?cmpid=DA_INAD200785B", "https://www.amazon.jobs/jobs/3136156/sr-applied-scientist-sponsored-products?cmpid=DA_INAD200785B")</f>
        <v/>
      </c>
      <c r="G192" t="inlineStr">
        <is>
          <t>Seattle, WA, US</t>
        </is>
      </c>
      <c r="H192" s="2" t="n">
        <v>45976</v>
      </c>
      <c r="I192"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93">
      <c r="A193" t="inlineStr">
        <is>
          <t>in-341c04662ebc194a</t>
        </is>
      </c>
      <c r="B193" t="inlineStr">
        <is>
          <t>Applied Scientist, AWS Agentic AI</t>
        </is>
      </c>
      <c r="C193" t="inlineStr">
        <is>
          <t>Amazon Web Services</t>
        </is>
      </c>
      <c r="D193" t="inlineStr">
        <is>
          <t>indeed</t>
        </is>
      </c>
      <c r="E193">
        <f>HYPERLINK("https://www.indeed.com/viewjob?jk=341c04662ebc194a", "https://www.indeed.com/viewjob?jk=341c04662ebc194a")</f>
        <v/>
      </c>
      <c r="F193">
        <f>HYPERLINK("https://www.amazon.jobs/jobs/3141517/applied-scientist-aws-agentic-ai-?cmpid=DA_INAD200785B", "https://www.amazon.jobs/jobs/3141517/applied-scientist-aws-agentic-ai-?cmpid=DA_INAD200785B")</f>
        <v/>
      </c>
      <c r="G193" t="inlineStr">
        <is>
          <t>Santa Clara, CA, US</t>
        </is>
      </c>
      <c r="H193" s="2" t="n">
        <v>45962</v>
      </c>
      <c r="I19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in-1a49b68f3e34b431</t>
        </is>
      </c>
      <c r="B194" t="inlineStr">
        <is>
          <t>Applied Scientist, AWS Agentic AI</t>
        </is>
      </c>
      <c r="C194" t="inlineStr">
        <is>
          <t>Amazon Web Services</t>
        </is>
      </c>
      <c r="D194" t="inlineStr">
        <is>
          <t>indeed</t>
        </is>
      </c>
      <c r="E194">
        <f>HYPERLINK("https://www.indeed.com/viewjob?jk=1a49b68f3e34b431", "https://www.indeed.com/viewjob?jk=1a49b68f3e34b431")</f>
        <v/>
      </c>
      <c r="F194">
        <f>HYPERLINK("https://www.amazon.jobs/jobs/3141517/applied-scientist-aws-agentic-ai-?cmpid=DA_INAD200785B", "https://www.amazon.jobs/jobs/3141517/applied-scientist-aws-agentic-ai-?cmpid=DA_INAD200785B")</f>
        <v/>
      </c>
      <c r="G194" t="inlineStr">
        <is>
          <t>New York, NY, US</t>
        </is>
      </c>
      <c r="H194" s="2" t="n">
        <v>45962</v>
      </c>
      <c r="I19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in-0c157311150ddeb3</t>
        </is>
      </c>
      <c r="B195" t="inlineStr">
        <is>
          <t>Applied Scientist, AWS Agentic AI</t>
        </is>
      </c>
      <c r="C195" t="inlineStr">
        <is>
          <t>Amazon Web Services</t>
        </is>
      </c>
      <c r="D195" t="inlineStr">
        <is>
          <t>indeed</t>
        </is>
      </c>
      <c r="E195">
        <f>HYPERLINK("https://www.indeed.com/viewjob?jk=0c157311150ddeb3", "https://www.indeed.com/viewjob?jk=0c157311150ddeb3")</f>
        <v/>
      </c>
      <c r="F195">
        <f>HYPERLINK("https://www.amazon.jobs/jobs/3141517/applied-scientist-aws-agentic-ai-?cmpid=DA_INAD200785B", "https://www.amazon.jobs/jobs/3141517/applied-scientist-aws-agentic-ai-?cmpid=DA_INAD200785B")</f>
        <v/>
      </c>
      <c r="G195" t="inlineStr">
        <is>
          <t>Seattle, WA, US</t>
        </is>
      </c>
      <c r="H195" s="2" t="n">
        <v>45962</v>
      </c>
      <c r="I19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in-cf5d8cd9282418bc</t>
        </is>
      </c>
      <c r="B196" t="inlineStr">
        <is>
          <t>Principal Applied Scientist, Advertiser Growth, Amazon Sponsored Products &amp; Brands</t>
        </is>
      </c>
      <c r="C196" t="inlineStr">
        <is>
          <t>Amazon.com</t>
        </is>
      </c>
      <c r="D196" t="inlineStr">
        <is>
          <t>indeed</t>
        </is>
      </c>
      <c r="E196">
        <f>HYPERLINK("https://www.indeed.com/viewjob?jk=cf5d8cd9282418bc", "https://www.indeed.com/viewjob?jk=cf5d8cd9282418bc")</f>
        <v/>
      </c>
      <c r="F196">
        <f>HYPERLINK("https://www.amazon.jobs/jobs/3115279/principal-applied-scientist-advertiser-growth-amazon-sponsored-products--brands?cmpid=DA_INAD200785B", "https://www.amazon.jobs/jobs/3115279/principal-applied-scientist-advertiser-growth-amazon-sponsored-products--brands?cmpid=DA_INAD200785B")</f>
        <v/>
      </c>
      <c r="G196" t="inlineStr">
        <is>
          <t>New York, NY, US</t>
        </is>
      </c>
      <c r="H196" s="2" t="n">
        <v>45942</v>
      </c>
      <c r="I19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in-931f65dc4512fb34</t>
        </is>
      </c>
      <c r="B197" t="inlineStr">
        <is>
          <t>Principal Applied Scientist, Advertiser Growth, Amazon Sponsored Products &amp; Brands</t>
        </is>
      </c>
      <c r="C197" t="inlineStr">
        <is>
          <t>Amazon.com</t>
        </is>
      </c>
      <c r="D197" t="inlineStr">
        <is>
          <t>indeed</t>
        </is>
      </c>
      <c r="E197">
        <f>HYPERLINK("https://www.indeed.com/viewjob?jk=931f65dc4512fb34", "https://www.indeed.com/viewjob?jk=931f65dc4512fb34")</f>
        <v/>
      </c>
      <c r="F197">
        <f>HYPERLINK("https://www.amazon.jobs/jobs/3115279/principal-applied-scientist-advertiser-growth-amazon-sponsored-products--brands?cmpid=DA_INAD200785B", "https://www.amazon.jobs/jobs/3115279/principal-applied-scientist-advertiser-growth-amazon-sponsored-products--brands?cmpid=DA_INAD200785B")</f>
        <v/>
      </c>
      <c r="G197" t="inlineStr">
        <is>
          <t>Palo Alto, CA, US</t>
        </is>
      </c>
      <c r="H197" s="2" t="n">
        <v>45942</v>
      </c>
      <c r="I19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in-2832c70765b81c07</t>
        </is>
      </c>
      <c r="B198" t="inlineStr">
        <is>
          <t>Principal Applied Scientist, Advertiser Growth, Amazon Sponsored Products &amp; Brands</t>
        </is>
      </c>
      <c r="C198" t="inlineStr">
        <is>
          <t>Amazon.com</t>
        </is>
      </c>
      <c r="D198" t="inlineStr">
        <is>
          <t>indeed</t>
        </is>
      </c>
      <c r="E198">
        <f>HYPERLINK("https://www.indeed.com/viewjob?jk=2832c70765b81c07", "https://www.indeed.com/viewjob?jk=2832c70765b81c07")</f>
        <v/>
      </c>
      <c r="F198">
        <f>HYPERLINK("https://www.amazon.jobs/jobs/3115279/principal-applied-scientist-advertiser-growth-amazon-sponsored-products--brands?cmpid=DA_INAD200785B", "https://www.amazon.jobs/jobs/3115279/principal-applied-scientist-advertiser-growth-amazon-sponsored-products--brands?cmpid=DA_INAD200785B")</f>
        <v/>
      </c>
      <c r="G198" t="inlineStr">
        <is>
          <t>Seattle, WA, US</t>
        </is>
      </c>
      <c r="H198" s="2" t="n">
        <v>45942</v>
      </c>
      <c r="I19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in-203df93e8a4bdfaa</t>
        </is>
      </c>
      <c r="B199" t="inlineStr">
        <is>
          <t>Applied Scientist II, Prime Video - Personalization and Discovery Science, Personalization and Discovery Science</t>
        </is>
      </c>
      <c r="C199" t="inlineStr">
        <is>
          <t>Amazon.com</t>
        </is>
      </c>
      <c r="D199" t="inlineStr">
        <is>
          <t>indeed</t>
        </is>
      </c>
      <c r="E199">
        <f>HYPERLINK("https://www.indeed.com/viewjob?jk=203df93e8a4bdfaa", "https://www.indeed.com/viewjob?jk=203df93e8a4bdfaa")</f>
        <v/>
      </c>
      <c r="F199">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99" t="inlineStr">
        <is>
          <t>New York, NY, US</t>
        </is>
      </c>
      <c r="H199" s="2" t="n">
        <v>45930</v>
      </c>
      <c r="I1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in-192203b78748f886</t>
        </is>
      </c>
      <c r="B200" t="inlineStr">
        <is>
          <t>Applied Scientist II, Prime Video - Personalization and Discovery Science, Personalization and Discovery Science</t>
        </is>
      </c>
      <c r="C200" t="inlineStr">
        <is>
          <t>Amazon.com</t>
        </is>
      </c>
      <c r="D200" t="inlineStr">
        <is>
          <t>indeed</t>
        </is>
      </c>
      <c r="E200">
        <f>HYPERLINK("https://www.indeed.com/viewjob?jk=192203b78748f886", "https://www.indeed.com/viewjob?jk=192203b78748f886")</f>
        <v/>
      </c>
      <c r="F200">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00" t="inlineStr">
        <is>
          <t>Sunnyvale, CA, US</t>
        </is>
      </c>
      <c r="H200" s="2" t="n">
        <v>45930</v>
      </c>
      <c r="I2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in-2e18c5f2d15e99ab</t>
        </is>
      </c>
      <c r="B201" t="inlineStr">
        <is>
          <t>Applied Scientist II, Prime Video - Personalization and Discovery Science, Personalization and Discovery Science</t>
        </is>
      </c>
      <c r="C201" t="inlineStr">
        <is>
          <t>Amazon.com</t>
        </is>
      </c>
      <c r="D201" t="inlineStr">
        <is>
          <t>indeed</t>
        </is>
      </c>
      <c r="E201">
        <f>HYPERLINK("https://www.indeed.com/viewjob?jk=2e18c5f2d15e99ab", "https://www.indeed.com/viewjob?jk=2e18c5f2d15e99ab")</f>
        <v/>
      </c>
      <c r="F201">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01" t="inlineStr">
        <is>
          <t>Seattle, WA, US</t>
        </is>
      </c>
      <c r="H201" s="2" t="n">
        <v>45930</v>
      </c>
      <c r="I2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in-5225dd93950e1eeb</t>
        </is>
      </c>
      <c r="B202" t="inlineStr">
        <is>
          <t>Applied Scientist, Workplace Health &amp; Safety</t>
        </is>
      </c>
      <c r="C202" t="inlineStr">
        <is>
          <t>Amazon.com</t>
        </is>
      </c>
      <c r="D202" t="inlineStr">
        <is>
          <t>indeed</t>
        </is>
      </c>
      <c r="E202">
        <f>HYPERLINK("https://www.indeed.com/viewjob?jk=5225dd93950e1eeb", "https://www.indeed.com/viewjob?jk=5225dd93950e1eeb")</f>
        <v/>
      </c>
      <c r="F202">
        <f>HYPERLINK("https://www.amazon.jobs/jobs/3144886/applied-scientist-workplace-health--safety-?cmpid=DA_INAD200785B", "https://www.amazon.jobs/jobs/3144886/applied-scientist-workplace-health--safety-?cmpid=DA_INAD200785B")</f>
        <v/>
      </c>
      <c r="G202" t="inlineStr">
        <is>
          <t>Nashville, TN, US</t>
        </is>
      </c>
      <c r="H202" s="2" t="n">
        <v>45917</v>
      </c>
      <c r="I202"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in-94d6477df32943fe</t>
        </is>
      </c>
      <c r="B203" t="inlineStr">
        <is>
          <t>Applied Scientist, Workplace Health &amp; Safety</t>
        </is>
      </c>
      <c r="C203" t="inlineStr">
        <is>
          <t>Amazon.com</t>
        </is>
      </c>
      <c r="D203" t="inlineStr">
        <is>
          <t>indeed</t>
        </is>
      </c>
      <c r="E203">
        <f>HYPERLINK("https://www.indeed.com/viewjob?jk=94d6477df32943fe", "https://www.indeed.com/viewjob?jk=94d6477df32943fe")</f>
        <v/>
      </c>
      <c r="F203">
        <f>HYPERLINK("https://www.amazon.jobs/jobs/3144886/applied-scientist-workplace-health--safety-?cmpid=DA_INAD200785B", "https://www.amazon.jobs/jobs/3144886/applied-scientist-workplace-health--safety-?cmpid=DA_INAD200785B")</f>
        <v/>
      </c>
      <c r="G203" t="inlineStr">
        <is>
          <t>Bellevue, WA, US</t>
        </is>
      </c>
      <c r="H203" s="2" t="n">
        <v>45917</v>
      </c>
      <c r="I203"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in-192b60d23199974a</t>
        </is>
      </c>
      <c r="B204" t="inlineStr">
        <is>
          <t>Sr. Applied Scientist, Prime Video - Personalization and Discovery Science</t>
        </is>
      </c>
      <c r="C204" t="inlineStr">
        <is>
          <t>Amazon.com</t>
        </is>
      </c>
      <c r="D204" t="inlineStr">
        <is>
          <t>indeed</t>
        </is>
      </c>
      <c r="E204">
        <f>HYPERLINK("https://www.indeed.com/viewjob?jk=192b60d23199974a", "https://www.indeed.com/viewjob?jk=192b60d23199974a")</f>
        <v/>
      </c>
      <c r="F204">
        <f>HYPERLINK("https://www.amazon.jobs/jobs/3084479/sr-applied-scientist-prime-video--personalization-and-discovery-science?cmpid=DA_INAD200785B", "https://www.amazon.jobs/jobs/3084479/sr-applied-scientist-prime-video--personalization-and-discovery-science?cmpid=DA_INAD200785B")</f>
        <v/>
      </c>
      <c r="G204" t="inlineStr">
        <is>
          <t>New York, NY, US</t>
        </is>
      </c>
      <c r="H204" s="2" t="n">
        <v>45896</v>
      </c>
      <c r="I2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05">
      <c r="A205" t="inlineStr">
        <is>
          <t>in-a629d2ebd555d6d8</t>
        </is>
      </c>
      <c r="B205" t="inlineStr">
        <is>
          <t>Sr. Applied Scientist, Prime Video - Personalization and Discovery Science</t>
        </is>
      </c>
      <c r="C205" t="inlineStr">
        <is>
          <t>Amazon.com</t>
        </is>
      </c>
      <c r="D205" t="inlineStr">
        <is>
          <t>indeed</t>
        </is>
      </c>
      <c r="E205">
        <f>HYPERLINK("https://www.indeed.com/viewjob?jk=a629d2ebd555d6d8", "https://www.indeed.com/viewjob?jk=a629d2ebd555d6d8")</f>
        <v/>
      </c>
      <c r="F205">
        <f>HYPERLINK("https://www.amazon.jobs/jobs/3084479/sr-applied-scientist-prime-video--personalization-and-discovery-science?cmpid=DA_INAD200785B", "https://www.amazon.jobs/jobs/3084479/sr-applied-scientist-prime-video--personalization-and-discovery-science?cmpid=DA_INAD200785B")</f>
        <v/>
      </c>
      <c r="G205" t="inlineStr">
        <is>
          <t>Seattle, WA, US</t>
        </is>
      </c>
      <c r="H205" s="2" t="n">
        <v>45896</v>
      </c>
      <c r="I2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06">
      <c r="A206" t="inlineStr">
        <is>
          <t>in-f9396b2efa371618</t>
        </is>
      </c>
      <c r="B206" t="inlineStr">
        <is>
          <t>Sr. Applied Scientist, Prime Video - Personalization and Discovery Science</t>
        </is>
      </c>
      <c r="C206" t="inlineStr">
        <is>
          <t>Amazon.com</t>
        </is>
      </c>
      <c r="D206" t="inlineStr">
        <is>
          <t>indeed</t>
        </is>
      </c>
      <c r="E206">
        <f>HYPERLINK("https://www.indeed.com/viewjob?jk=f9396b2efa371618", "https://www.indeed.com/viewjob?jk=f9396b2efa371618")</f>
        <v/>
      </c>
      <c r="F206">
        <f>HYPERLINK("https://www.amazon.jobs/jobs/3084479/sr-applied-scientist-prime-video--personalization-and-discovery-science?cmpid=DA_INAD200785B", "https://www.amazon.jobs/jobs/3084479/sr-applied-scientist-prime-video--personalization-and-discovery-science?cmpid=DA_INAD200785B")</f>
        <v/>
      </c>
      <c r="G206" t="inlineStr">
        <is>
          <t>Sunnyvale, CA, US</t>
        </is>
      </c>
      <c r="H206" s="2" t="n">
        <v>45896</v>
      </c>
      <c r="I20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07">
      <c r="A207" t="inlineStr">
        <is>
          <t>in-ac9f8e1a007858f9</t>
        </is>
      </c>
      <c r="B207" t="inlineStr">
        <is>
          <t>Applied Scientist II, Prime Video - Personalization and Discovery Science</t>
        </is>
      </c>
      <c r="C207" t="inlineStr">
        <is>
          <t>Amazon.com</t>
        </is>
      </c>
      <c r="D207" t="inlineStr">
        <is>
          <t>indeed</t>
        </is>
      </c>
      <c r="E207">
        <f>HYPERLINK("https://www.indeed.com/viewjob?jk=ac9f8e1a007858f9", "https://www.indeed.com/viewjob?jk=ac9f8e1a007858f9")</f>
        <v/>
      </c>
      <c r="F207">
        <f>HYPERLINK("https://www.amazon.jobs/jobs/3059253/applied-scientist-ii-prime-video--personalization-and-discovery-science?cmpid=DA_INAD200785B", "https://www.amazon.jobs/jobs/3059253/applied-scientist-ii-prime-video--personalization-and-discovery-science?cmpid=DA_INAD200785B")</f>
        <v/>
      </c>
      <c r="G207" t="inlineStr">
        <is>
          <t>Sunnyvale, CA, US</t>
        </is>
      </c>
      <c r="H207" s="2" t="n">
        <v>45881</v>
      </c>
      <c r="I20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in-07fa1c17b3d6fd0c</t>
        </is>
      </c>
      <c r="B208" t="inlineStr">
        <is>
          <t>Sr. Applied Scientist, Prime Video - Personalization and Discovery Science</t>
        </is>
      </c>
      <c r="C208" t="inlineStr">
        <is>
          <t>Amazon.com</t>
        </is>
      </c>
      <c r="D208" t="inlineStr">
        <is>
          <t>indeed</t>
        </is>
      </c>
      <c r="E208">
        <f>HYPERLINK("https://www.indeed.com/viewjob?jk=07fa1c17b3d6fd0c", "https://www.indeed.com/viewjob?jk=07fa1c17b3d6fd0c")</f>
        <v/>
      </c>
      <c r="F208">
        <f>HYPERLINK("https://www.amazon.jobs/jobs/3059256/sr-applied-scientist-prime-video--personalization-and-discovery-science?cmpid=DA_INAD200785B", "https://www.amazon.jobs/jobs/3059256/sr-applied-scientist-prime-video--personalization-and-discovery-science?cmpid=DA_INAD200785B")</f>
        <v/>
      </c>
      <c r="G208" t="inlineStr">
        <is>
          <t>Seattle, WA, US</t>
        </is>
      </c>
      <c r="H208" s="2" t="n">
        <v>45881</v>
      </c>
      <c r="I20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in-119e091e470663bd</t>
        </is>
      </c>
      <c r="B209" t="inlineStr">
        <is>
          <t>Applied Scientist II, Prime Video - Personalization and Discovery Science</t>
        </is>
      </c>
      <c r="C209" t="inlineStr">
        <is>
          <t>Amazon.com</t>
        </is>
      </c>
      <c r="D209" t="inlineStr">
        <is>
          <t>indeed</t>
        </is>
      </c>
      <c r="E209">
        <f>HYPERLINK("https://www.indeed.com/viewjob?jk=119e091e470663bd", "https://www.indeed.com/viewjob?jk=119e091e470663bd")</f>
        <v/>
      </c>
      <c r="F209">
        <f>HYPERLINK("https://www.amazon.jobs/jobs/3059253/applied-scientist-ii-prime-video--personalization-and-discovery-science?cmpid=DA_INAD200785B", "https://www.amazon.jobs/jobs/3059253/applied-scientist-ii-prime-video--personalization-and-discovery-science?cmpid=DA_INAD200785B")</f>
        <v/>
      </c>
      <c r="G209" t="inlineStr">
        <is>
          <t>New York, NY, US</t>
        </is>
      </c>
      <c r="H209" s="2" t="n">
        <v>45881</v>
      </c>
      <c r="I20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in-22af938a456e9106</t>
        </is>
      </c>
      <c r="B210" t="inlineStr">
        <is>
          <t>Sr. Applied Scientist, Prime Video - Personalization and Discovery Science</t>
        </is>
      </c>
      <c r="C210" t="inlineStr">
        <is>
          <t>Amazon.com</t>
        </is>
      </c>
      <c r="D210" t="inlineStr">
        <is>
          <t>indeed</t>
        </is>
      </c>
      <c r="E210">
        <f>HYPERLINK("https://www.indeed.com/viewjob?jk=22af938a456e9106", "https://www.indeed.com/viewjob?jk=22af938a456e9106")</f>
        <v/>
      </c>
      <c r="F210">
        <f>HYPERLINK("https://www.amazon.jobs/jobs/3059256/sr-applied-scientist-prime-video--personalization-and-discovery-science?cmpid=DA_INAD200785B", "https://www.amazon.jobs/jobs/3059256/sr-applied-scientist-prime-video--personalization-and-discovery-science?cmpid=DA_INAD200785B")</f>
        <v/>
      </c>
      <c r="G210" t="inlineStr">
        <is>
          <t>Sunnyvale, CA, US</t>
        </is>
      </c>
      <c r="H210" s="2" t="n">
        <v>45881</v>
      </c>
      <c r="I2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in-7ee32fd3e67d05ab</t>
        </is>
      </c>
      <c r="B211" t="inlineStr">
        <is>
          <t>Sr. Applied Scientist, Prime Video - Personalization and Discovery Science</t>
        </is>
      </c>
      <c r="C211" t="inlineStr">
        <is>
          <t>Amazon.com</t>
        </is>
      </c>
      <c r="D211" t="inlineStr">
        <is>
          <t>indeed</t>
        </is>
      </c>
      <c r="E211">
        <f>HYPERLINK("https://www.indeed.com/viewjob?jk=7ee32fd3e67d05ab", "https://www.indeed.com/viewjob?jk=7ee32fd3e67d05ab")</f>
        <v/>
      </c>
      <c r="F211">
        <f>HYPERLINK("https://www.amazon.jobs/jobs/3059256/sr-applied-scientist-prime-video--personalization-and-discovery-science?cmpid=DA_INAD200785B", "https://www.amazon.jobs/jobs/3059256/sr-applied-scientist-prime-video--personalization-and-discovery-science?cmpid=DA_INAD200785B")</f>
        <v/>
      </c>
      <c r="G211" t="inlineStr">
        <is>
          <t>New York, NY, US</t>
        </is>
      </c>
      <c r="H211" s="2" t="n">
        <v>45881</v>
      </c>
      <c r="I2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in-cc58d279ec3dc835</t>
        </is>
      </c>
      <c r="B212" t="inlineStr">
        <is>
          <t>Applied Scientist II, Prime Video - Personalization and Discovery Science</t>
        </is>
      </c>
      <c r="C212" t="inlineStr">
        <is>
          <t>Amazon.com</t>
        </is>
      </c>
      <c r="D212" t="inlineStr">
        <is>
          <t>indeed</t>
        </is>
      </c>
      <c r="E212">
        <f>HYPERLINK("https://www.indeed.com/viewjob?jk=cc58d279ec3dc835", "https://www.indeed.com/viewjob?jk=cc58d279ec3dc835")</f>
        <v/>
      </c>
      <c r="F212">
        <f>HYPERLINK("https://www.amazon.jobs/jobs/3059253/applied-scientist-ii-prime-video--personalization-and-discovery-science?cmpid=DA_INAD200785B", "https://www.amazon.jobs/jobs/3059253/applied-scientist-ii-prime-video--personalization-and-discovery-science?cmpid=DA_INAD200785B")</f>
        <v/>
      </c>
      <c r="G212" t="inlineStr">
        <is>
          <t>Seattle, WA, US</t>
        </is>
      </c>
      <c r="H212" s="2" t="n">
        <v>45881</v>
      </c>
      <c r="I2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in-ca9194bd0fe07a97</t>
        </is>
      </c>
      <c r="B213" t="inlineStr">
        <is>
          <t>Applied Scientist III, StoreGen</t>
        </is>
      </c>
      <c r="C213" t="inlineStr">
        <is>
          <t>Amazon.com</t>
        </is>
      </c>
      <c r="D213" t="inlineStr">
        <is>
          <t>indeed</t>
        </is>
      </c>
      <c r="E213">
        <f>HYPERLINK("https://www.indeed.com/viewjob?jk=ca9194bd0fe07a97", "https://www.indeed.com/viewjob?jk=ca9194bd0fe07a97")</f>
        <v/>
      </c>
      <c r="F213">
        <f>HYPERLINK("https://www.amazon.jobs/jobs/3065534/applied-scientist-iii-storegen?cmpid=DA_INAD200785B", "https://www.amazon.jobs/jobs/3065534/applied-scientist-iii-storegen?cmpid=DA_INAD200785B")</f>
        <v/>
      </c>
      <c r="G213" t="inlineStr">
        <is>
          <t>Sunnyvale, CA, US</t>
        </is>
      </c>
      <c r="H213" s="2" t="n">
        <v>45868</v>
      </c>
      <c r="I213"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in-2acd0788d7d4f42c</t>
        </is>
      </c>
      <c r="B214" t="inlineStr">
        <is>
          <t>Applied Scientist III, StoreGen</t>
        </is>
      </c>
      <c r="C214" t="inlineStr">
        <is>
          <t>Amazon.com</t>
        </is>
      </c>
      <c r="D214" t="inlineStr">
        <is>
          <t>indeed</t>
        </is>
      </c>
      <c r="E214">
        <f>HYPERLINK("https://www.indeed.com/viewjob?jk=2acd0788d7d4f42c", "https://www.indeed.com/viewjob?jk=2acd0788d7d4f42c")</f>
        <v/>
      </c>
      <c r="F214">
        <f>HYPERLINK("https://www.amazon.jobs/jobs/3065534/applied-scientist-iii-storegen?cmpid=DA_INAD200785B", "https://www.amazon.jobs/jobs/3065534/applied-scientist-iii-storegen?cmpid=DA_INAD200785B")</f>
        <v/>
      </c>
      <c r="G214" t="inlineStr">
        <is>
          <t>Seattle, WA, US</t>
        </is>
      </c>
      <c r="H214" s="2" t="n">
        <v>45868</v>
      </c>
      <c r="I214"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in-bc48ee9e4e17eba0</t>
        </is>
      </c>
      <c r="B215" t="inlineStr">
        <is>
          <t>Sr. Applied Scientist, Amazon Advertising</t>
        </is>
      </c>
      <c r="C215" t="inlineStr">
        <is>
          <t>Amazon.com</t>
        </is>
      </c>
      <c r="D215" t="inlineStr">
        <is>
          <t>indeed</t>
        </is>
      </c>
      <c r="E215">
        <f>HYPERLINK("https://www.indeed.com/viewjob?jk=bc48ee9e4e17eba0", "https://www.indeed.com/viewjob?jk=bc48ee9e4e17eba0")</f>
        <v/>
      </c>
      <c r="F215">
        <f>HYPERLINK("https://www.amazon.jobs/jobs/3035686/sr-applied-scientist-amazon-advertising?cmpid=DA_INAD200785B", "https://www.amazon.jobs/jobs/3035686/sr-applied-scientist-amazon-advertising?cmpid=DA_INAD200785B")</f>
        <v/>
      </c>
      <c r="G215" t="inlineStr">
        <is>
          <t>Los Angeles, CA, US</t>
        </is>
      </c>
      <c r="H215" s="2" t="n">
        <v>45851</v>
      </c>
      <c r="I21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in-3768ba7c187fa3a3</t>
        </is>
      </c>
      <c r="B216" t="inlineStr">
        <is>
          <t>Sr. Applied Scientist, Amazon Advertising</t>
        </is>
      </c>
      <c r="C216" t="inlineStr">
        <is>
          <t>Amazon.com</t>
        </is>
      </c>
      <c r="D216" t="inlineStr">
        <is>
          <t>indeed</t>
        </is>
      </c>
      <c r="E216">
        <f>HYPERLINK("https://www.indeed.com/viewjob?jk=3768ba7c187fa3a3", "https://www.indeed.com/viewjob?jk=3768ba7c187fa3a3")</f>
        <v/>
      </c>
      <c r="F216">
        <f>HYPERLINK("https://www.amazon.jobs/jobs/3035686/sr-applied-scientist-amazon-advertising?cmpid=DA_INAD200785B", "https://www.amazon.jobs/jobs/3035686/sr-applied-scientist-amazon-advertising?cmpid=DA_INAD200785B")</f>
        <v/>
      </c>
      <c r="G216" t="inlineStr">
        <is>
          <t>Palo Alto, CA, US</t>
        </is>
      </c>
      <c r="H216" s="2" t="n">
        <v>45851</v>
      </c>
      <c r="I21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in-831e3ebc88e46e25</t>
        </is>
      </c>
      <c r="B217" t="inlineStr">
        <is>
          <t>Sr. Applied Scientist, Amazon Advertising</t>
        </is>
      </c>
      <c r="C217" t="inlineStr">
        <is>
          <t>Amazon.com</t>
        </is>
      </c>
      <c r="D217" t="inlineStr">
        <is>
          <t>indeed</t>
        </is>
      </c>
      <c r="E217">
        <f>HYPERLINK("https://www.indeed.com/viewjob?jk=831e3ebc88e46e25", "https://www.indeed.com/viewjob?jk=831e3ebc88e46e25")</f>
        <v/>
      </c>
      <c r="F217">
        <f>HYPERLINK("https://www.amazon.jobs/jobs/3035686/sr-applied-scientist-amazon-advertising?cmpid=DA_INAD200785B", "https://www.amazon.jobs/jobs/3035686/sr-applied-scientist-amazon-advertising?cmpid=DA_INAD200785B")</f>
        <v/>
      </c>
      <c r="G217" t="inlineStr">
        <is>
          <t>New York, NY, US</t>
        </is>
      </c>
      <c r="H217" s="2" t="n">
        <v>45851</v>
      </c>
      <c r="I21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in-33b37dcff05615df</t>
        </is>
      </c>
      <c r="B218" t="inlineStr">
        <is>
          <t>Sr. Applied Scientist, Amazon Advertising</t>
        </is>
      </c>
      <c r="C218" t="inlineStr">
        <is>
          <t>Amazon.com</t>
        </is>
      </c>
      <c r="D218" t="inlineStr">
        <is>
          <t>indeed</t>
        </is>
      </c>
      <c r="E218">
        <f>HYPERLINK("https://www.indeed.com/viewjob?jk=33b37dcff05615df", "https://www.indeed.com/viewjob?jk=33b37dcff05615df")</f>
        <v/>
      </c>
      <c r="F218">
        <f>HYPERLINK("https://www.amazon.jobs/jobs/3035686/sr-applied-scientist-amazon-advertising?cmpid=DA_INAD200785B", "https://www.amazon.jobs/jobs/3035686/sr-applied-scientist-amazon-advertising?cmpid=DA_INAD200785B")</f>
        <v/>
      </c>
      <c r="G218" t="inlineStr">
        <is>
          <t>Simi Valley, CA, US</t>
        </is>
      </c>
      <c r="H218" s="2" t="n">
        <v>45851</v>
      </c>
      <c r="I21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in-ce73ade9233d5bad</t>
        </is>
      </c>
      <c r="B219" t="inlineStr">
        <is>
          <t>Sr. Applied Scientist, Amazon Advertising</t>
        </is>
      </c>
      <c r="C219" t="inlineStr">
        <is>
          <t>Amazon.com</t>
        </is>
      </c>
      <c r="D219" t="inlineStr">
        <is>
          <t>indeed</t>
        </is>
      </c>
      <c r="E219">
        <f>HYPERLINK("https://www.indeed.com/viewjob?jk=ce73ade9233d5bad", "https://www.indeed.com/viewjob?jk=ce73ade9233d5bad")</f>
        <v/>
      </c>
      <c r="F219">
        <f>HYPERLINK("https://www.amazon.jobs/jobs/3035686/sr-applied-scientist-amazon-advertising?cmpid=DA_INAD200785B", "https://www.amazon.jobs/jobs/3035686/sr-applied-scientist-amazon-advertising?cmpid=DA_INAD200785B")</f>
        <v/>
      </c>
      <c r="G219" t="inlineStr">
        <is>
          <t>West Hollywood, CA, US</t>
        </is>
      </c>
      <c r="H219" s="2" t="n">
        <v>45851</v>
      </c>
      <c r="I21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in-d4158b5d3bce3492</t>
        </is>
      </c>
      <c r="B220" t="inlineStr">
        <is>
          <t>Sr. Applied Scientist, Amazon Advertising</t>
        </is>
      </c>
      <c r="C220" t="inlineStr">
        <is>
          <t>Amazon.com</t>
        </is>
      </c>
      <c r="D220" t="inlineStr">
        <is>
          <t>indeed</t>
        </is>
      </c>
      <c r="E220">
        <f>HYPERLINK("https://www.indeed.com/viewjob?jk=d4158b5d3bce3492", "https://www.indeed.com/viewjob?jk=d4158b5d3bce3492")</f>
        <v/>
      </c>
      <c r="F220">
        <f>HYPERLINK("https://www.amazon.jobs/jobs/3035686/sr-applied-scientist-amazon-advertising?cmpid=DA_INAD200785B", "https://www.amazon.jobs/jobs/3035686/sr-applied-scientist-amazon-advertising?cmpid=DA_INAD200785B")</f>
        <v/>
      </c>
      <c r="G220" t="inlineStr">
        <is>
          <t>Arlington, VA, US</t>
        </is>
      </c>
      <c r="H220" s="2" t="n">
        <v>45851</v>
      </c>
      <c r="I22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in-d18319fc5a5bcde2</t>
        </is>
      </c>
      <c r="B221" t="inlineStr">
        <is>
          <t>Sr. Applied Scientist, Amazon Advertising</t>
        </is>
      </c>
      <c r="C221" t="inlineStr">
        <is>
          <t>Amazon.com</t>
        </is>
      </c>
      <c r="D221" t="inlineStr">
        <is>
          <t>indeed</t>
        </is>
      </c>
      <c r="E221">
        <f>HYPERLINK("https://www.indeed.com/viewjob?jk=d18319fc5a5bcde2", "https://www.indeed.com/viewjob?jk=d18319fc5a5bcde2")</f>
        <v/>
      </c>
      <c r="F221">
        <f>HYPERLINK("https://www.amazon.jobs/jobs/3035686/sr-applied-scientist-amazon-advertising?cmpid=DA_INAD200785B", "https://www.amazon.jobs/jobs/3035686/sr-applied-scientist-amazon-advertising?cmpid=DA_INAD200785B")</f>
        <v/>
      </c>
      <c r="G221" t="inlineStr">
        <is>
          <t>Seattle, WA, US</t>
        </is>
      </c>
      <c r="H221" s="2" t="n">
        <v>45851</v>
      </c>
      <c r="I22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in-31c3bdd341416131</t>
        </is>
      </c>
      <c r="B222" t="inlineStr">
        <is>
          <t>Sr. Applied Scientist, Amazon Advertising</t>
        </is>
      </c>
      <c r="C222" t="inlineStr">
        <is>
          <t>Amazon.com</t>
        </is>
      </c>
      <c r="D222" t="inlineStr">
        <is>
          <t>indeed</t>
        </is>
      </c>
      <c r="E222">
        <f>HYPERLINK("https://www.indeed.com/viewjob?jk=31c3bdd341416131", "https://www.indeed.com/viewjob?jk=31c3bdd341416131")</f>
        <v/>
      </c>
      <c r="F222">
        <f>HYPERLINK("https://www.amazon.jobs/jobs/3035686/sr-applied-scientist-amazon-advertising?cmpid=DA_INAD200785B", "https://www.amazon.jobs/jobs/3035686/sr-applied-scientist-amazon-advertising?cmpid=DA_INAD200785B")</f>
        <v/>
      </c>
      <c r="G222" t="inlineStr">
        <is>
          <t>Austin, TX, US</t>
        </is>
      </c>
      <c r="H222" s="2" t="n">
        <v>45851</v>
      </c>
      <c r="I22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in-3f09d2ed7f5dff98</t>
        </is>
      </c>
      <c r="B223" t="inlineStr">
        <is>
          <t>Sr. Applied Scientist, Sales AI</t>
        </is>
      </c>
      <c r="C223" t="inlineStr">
        <is>
          <t>Amazon.com</t>
        </is>
      </c>
      <c r="D223" t="inlineStr">
        <is>
          <t>indeed</t>
        </is>
      </c>
      <c r="E223">
        <f>HYPERLINK("https://www.indeed.com/viewjob?jk=3f09d2ed7f5dff98", "https://www.indeed.com/viewjob?jk=3f09d2ed7f5dff98")</f>
        <v/>
      </c>
      <c r="F223">
        <f>HYPERLINK("https://www.amazon.jobs/jobs/3020528/sr-applied-scientist-sales-ai?cmpid=DA_INAD200785B", "https://www.amazon.jobs/jobs/3020528/sr-applied-scientist-sales-ai?cmpid=DA_INAD200785B")</f>
        <v/>
      </c>
      <c r="G223" t="inlineStr">
        <is>
          <t>Seattle, WA, US</t>
        </is>
      </c>
      <c r="H223" s="2" t="n">
        <v>45830</v>
      </c>
      <c r="I22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in-5e4ee975f510d7ae</t>
        </is>
      </c>
      <c r="B224" t="inlineStr">
        <is>
          <t>Sr. Applied Scientist, Sales AI</t>
        </is>
      </c>
      <c r="C224" t="inlineStr">
        <is>
          <t>Amazon.com</t>
        </is>
      </c>
      <c r="D224" t="inlineStr">
        <is>
          <t>indeed</t>
        </is>
      </c>
      <c r="E224">
        <f>HYPERLINK("https://www.indeed.com/viewjob?jk=5e4ee975f510d7ae", "https://www.indeed.com/viewjob?jk=5e4ee975f510d7ae")</f>
        <v/>
      </c>
      <c r="F224">
        <f>HYPERLINK("https://www.amazon.jobs/jobs/3020528/sr-applied-scientist-sales-ai?cmpid=DA_INAD200785B", "https://www.amazon.jobs/jobs/3020528/sr-applied-scientist-sales-ai?cmpid=DA_INAD200785B")</f>
        <v/>
      </c>
      <c r="G224" t="inlineStr">
        <is>
          <t>New York, NY, US</t>
        </is>
      </c>
      <c r="H224" s="2" t="n">
        <v>45830</v>
      </c>
      <c r="I22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in-58e53d6cf7edae8e</t>
        </is>
      </c>
      <c r="B225" t="inlineStr">
        <is>
          <t>Sr. Applied Scientist, Sales AI</t>
        </is>
      </c>
      <c r="C225" t="inlineStr">
        <is>
          <t>Amazon.com</t>
        </is>
      </c>
      <c r="D225" t="inlineStr">
        <is>
          <t>indeed</t>
        </is>
      </c>
      <c r="E225">
        <f>HYPERLINK("https://www.indeed.com/viewjob?jk=58e53d6cf7edae8e", "https://www.indeed.com/viewjob?jk=58e53d6cf7edae8e")</f>
        <v/>
      </c>
      <c r="F225">
        <f>HYPERLINK("https://www.amazon.jobs/jobs/3020528/sr-applied-scientist-sales-ai?cmpid=DA_INAD200785B", "https://www.amazon.jobs/jobs/3020528/sr-applied-scientist-sales-ai?cmpid=DA_INAD200785B")</f>
        <v/>
      </c>
      <c r="G225" t="inlineStr">
        <is>
          <t>Sunnyvale, CA, US</t>
        </is>
      </c>
      <c r="H225" s="2" t="n">
        <v>45830</v>
      </c>
      <c r="I22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in-893f9f67814fd609</t>
        </is>
      </c>
      <c r="B226" t="inlineStr">
        <is>
          <t>Senior Applied Scientist, Delivery Foundation Model</t>
        </is>
      </c>
      <c r="C226" t="inlineStr">
        <is>
          <t>Amazon.com</t>
        </is>
      </c>
      <c r="D226" t="inlineStr">
        <is>
          <t>indeed</t>
        </is>
      </c>
      <c r="E226">
        <f>HYPERLINK("https://www.indeed.com/viewjob?jk=893f9f67814fd609", "https://www.indeed.com/viewjob?jk=893f9f67814fd609")</f>
        <v/>
      </c>
      <c r="F226">
        <f>HYPERLINK("https://www.amazon.jobs/jobs/2998435/senior-applied-scientist-delivery-foundation-model-?cmpid=DA_INAD200785B", "https://www.amazon.jobs/jobs/2998435/senior-applied-scientist-delivery-foundation-model-?cmpid=DA_INAD200785B")</f>
        <v/>
      </c>
      <c r="G226" t="inlineStr">
        <is>
          <t>New York, NY, US</t>
        </is>
      </c>
      <c r="H226" s="2" t="n">
        <v>45806</v>
      </c>
      <c r="I22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in-be10d76baf7be8d2</t>
        </is>
      </c>
      <c r="B227" t="inlineStr">
        <is>
          <t>Senior Applied Scientist, Delivery Foundation Model</t>
        </is>
      </c>
      <c r="C227" t="inlineStr">
        <is>
          <t>Amazon.com</t>
        </is>
      </c>
      <c r="D227" t="inlineStr">
        <is>
          <t>indeed</t>
        </is>
      </c>
      <c r="E227">
        <f>HYPERLINK("https://www.indeed.com/viewjob?jk=be10d76baf7be8d2", "https://www.indeed.com/viewjob?jk=be10d76baf7be8d2")</f>
        <v/>
      </c>
      <c r="F227">
        <f>HYPERLINK("https://www.amazon.jobs/jobs/2998435/senior-applied-scientist-delivery-foundation-model-?cmpid=DA_INAD200785B", "https://www.amazon.jobs/jobs/2998435/senior-applied-scientist-delivery-foundation-model-?cmpid=DA_INAD200785B")</f>
        <v/>
      </c>
      <c r="G227" t="inlineStr">
        <is>
          <t>Santa Clara, CA, US</t>
        </is>
      </c>
      <c r="H227" s="2" t="n">
        <v>45806</v>
      </c>
      <c r="I22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in-1e18b148e32a9c19</t>
        </is>
      </c>
      <c r="B228" t="inlineStr">
        <is>
          <t>Senior Applied Scientist, Delivery Foundation Model</t>
        </is>
      </c>
      <c r="C228" t="inlineStr">
        <is>
          <t>Amazon.com</t>
        </is>
      </c>
      <c r="D228" t="inlineStr">
        <is>
          <t>indeed</t>
        </is>
      </c>
      <c r="E228">
        <f>HYPERLINK("https://www.indeed.com/viewjob?jk=1e18b148e32a9c19", "https://www.indeed.com/viewjob?jk=1e18b148e32a9c19")</f>
        <v/>
      </c>
      <c r="F228">
        <f>HYPERLINK("https://www.amazon.jobs/jobs/2998435/senior-applied-scientist-delivery-foundation-model-?cmpid=DA_INAD200785B", "https://www.amazon.jobs/jobs/2998435/senior-applied-scientist-delivery-foundation-model-?cmpid=DA_INAD200785B")</f>
        <v/>
      </c>
      <c r="G228" t="inlineStr">
        <is>
          <t>Bellevue, WA, US</t>
        </is>
      </c>
      <c r="H228" s="2" t="n">
        <v>45806</v>
      </c>
      <c r="I22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in-29ea7899532858a1</t>
        </is>
      </c>
      <c r="B229" t="inlineStr">
        <is>
          <t>Sr. Applied Scientist - Privacy, Privacy Engineering</t>
        </is>
      </c>
      <c r="C229" t="inlineStr">
        <is>
          <t>Amazon.com</t>
        </is>
      </c>
      <c r="D229" t="inlineStr">
        <is>
          <t>indeed</t>
        </is>
      </c>
      <c r="E229">
        <f>HYPERLINK("https://www.indeed.com/viewjob?jk=29ea7899532858a1", "https://www.indeed.com/viewjob?jk=29ea7899532858a1")</f>
        <v/>
      </c>
      <c r="F229">
        <f>HYPERLINK("https://www.amazon.jobs/jobs/2997657/sr-applied-scientist--privacy-privacy-engineering?cmpid=DA_INAD200785B", "https://www.amazon.jobs/jobs/2997657/sr-applied-scientist--privacy-privacy-engineering?cmpid=DA_INAD200785B")</f>
        <v/>
      </c>
      <c r="G229" t="inlineStr">
        <is>
          <t>Sunnyvale, CA, US</t>
        </is>
      </c>
      <c r="H229" s="2" t="n">
        <v>45787</v>
      </c>
      <c r="I229"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in-5b6ffff77d10ec26</t>
        </is>
      </c>
      <c r="B230" t="inlineStr">
        <is>
          <t>Sr. Applied Scientist - Privacy, Privacy Engineering</t>
        </is>
      </c>
      <c r="C230" t="inlineStr">
        <is>
          <t>Amazon.com</t>
        </is>
      </c>
      <c r="D230" t="inlineStr">
        <is>
          <t>indeed</t>
        </is>
      </c>
      <c r="E230">
        <f>HYPERLINK("https://www.indeed.com/viewjob?jk=5b6ffff77d10ec26", "https://www.indeed.com/viewjob?jk=5b6ffff77d10ec26")</f>
        <v/>
      </c>
      <c r="F230">
        <f>HYPERLINK("https://www.amazon.jobs/jobs/2997657/sr-applied-scientist--privacy-privacy-engineering?cmpid=DA_INAD200785B", "https://www.amazon.jobs/jobs/2997657/sr-applied-scientist--privacy-privacy-engineering?cmpid=DA_INAD200785B")</f>
        <v/>
      </c>
      <c r="G230" t="inlineStr">
        <is>
          <t>Santa Clara, CA, US</t>
        </is>
      </c>
      <c r="H230" s="2" t="n">
        <v>45787</v>
      </c>
      <c r="I230"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in-8d9b8673a56a02fc</t>
        </is>
      </c>
      <c r="B231" t="inlineStr">
        <is>
          <t>Sr. Applied Scientist - Privacy, Privacy Engineering</t>
        </is>
      </c>
      <c r="C231" t="inlineStr">
        <is>
          <t>Amazon.com</t>
        </is>
      </c>
      <c r="D231" t="inlineStr">
        <is>
          <t>indeed</t>
        </is>
      </c>
      <c r="E231">
        <f>HYPERLINK("https://www.indeed.com/viewjob?jk=8d9b8673a56a02fc", "https://www.indeed.com/viewjob?jk=8d9b8673a56a02fc")</f>
        <v/>
      </c>
      <c r="F231">
        <f>HYPERLINK("https://www.amazon.jobs/jobs/2997657/sr-applied-scientist--privacy-privacy-engineering?cmpid=DA_INAD200785B", "https://www.amazon.jobs/jobs/2997657/sr-applied-scientist--privacy-privacy-engineering?cmpid=DA_INAD200785B")</f>
        <v/>
      </c>
      <c r="G231" t="inlineStr">
        <is>
          <t>Seattle, WA, US</t>
        </is>
      </c>
      <c r="H231" s="2" t="n">
        <v>45787</v>
      </c>
      <c r="I231"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in-21af1d3d6fccf2b5</t>
        </is>
      </c>
      <c r="B232" t="inlineStr">
        <is>
          <t>Sr. Applied Scientist - Privacy, Privacy Engineering</t>
        </is>
      </c>
      <c r="C232" t="inlineStr">
        <is>
          <t>Amazon.com</t>
        </is>
      </c>
      <c r="D232" t="inlineStr">
        <is>
          <t>indeed</t>
        </is>
      </c>
      <c r="E232">
        <f>HYPERLINK("https://www.indeed.com/viewjob?jk=21af1d3d6fccf2b5", "https://www.indeed.com/viewjob?jk=21af1d3d6fccf2b5")</f>
        <v/>
      </c>
      <c r="F232">
        <f>HYPERLINK("https://www.amazon.jobs/jobs/2997657/sr-applied-scientist--privacy-privacy-engineering?cmpid=DA_INAD200785B", "https://www.amazon.jobs/jobs/2997657/sr-applied-scientist--privacy-privacy-engineering?cmpid=DA_INAD200785B")</f>
        <v/>
      </c>
      <c r="G232" t="inlineStr">
        <is>
          <t>San Francisco, CA, US</t>
        </is>
      </c>
      <c r="H232" s="2" t="n">
        <v>45787</v>
      </c>
      <c r="I23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in-bd1d621a98f23f6e</t>
        </is>
      </c>
      <c r="B233" t="inlineStr">
        <is>
          <t>AI Engineer</t>
        </is>
      </c>
      <c r="C233" t="inlineStr">
        <is>
          <t>Exbon Development, Inc</t>
        </is>
      </c>
      <c r="D233" t="inlineStr">
        <is>
          <t>indeed</t>
        </is>
      </c>
      <c r="E233">
        <f>HYPERLINK("https://www.indeed.com/viewjob?jk=bd1d621a98f23f6e", "https://www.indeed.com/viewjob?jk=bd1d621a98f23f6e")</f>
        <v/>
      </c>
      <c r="F233">
        <f>HYPERLINK("http://www.indeed.com/job/ai-engineer-bd1d621a98f23f6e", "http://www.indeed.com/job/ai-engineer-bd1d621a98f23f6e")</f>
        <v/>
      </c>
      <c r="G233" t="inlineStr">
        <is>
          <t>Garden Grove, CA, US</t>
        </is>
      </c>
      <c r="H233" s="2" t="n">
        <v>46076</v>
      </c>
      <c r="I233" t="inlineStr">
        <is>
          <t>**RESPONSIBILITIES**
* Develop and deploy machine learning models for project forecasting, cost analysis, scheduling, and risk prediction
* Business Process Automation
* Power Automation (MS)
* Develop and maintain various web projects
* Perform simple system administrator duties
**REQUIREMENTS**
* Bachelor’s degree in Computer Science or web development bootcamp
* 1\+ year professional experience
* Basic knowledge of UI/UX design
* Experience with React / Next.js
**TRAIN THE TALENT OF TOMORROW**
· We will guide your work, train your duties, and compensate for your achievements.
· Exbon has well\-organized and systemized structures and programs that can provide and define your tasks from start to finish.
· Exbon will provide training curriculums to give you an overall understanding of how Exbon works and what Exbon expects from you.
· Exbon offers a variety of training programs, leadership opportunities, and ways to continue your education and certification, so you can shape the career you want to have and keep moving forward
**GET PAID TO FOLLOW YOUR PASSION**
· Make a living doing work you actually LIKE.
· In addition to competitive compensation, your work will be evaluated every 6 months to promote your compensation.
· Growth from entry\-level to top management could be possibly achieved in short period.
· Your role is not limited to your title or position. The opportunity will be given to expanding your goals to aim higher
**BENEFITS**
Get a fulfilling career with a comprehensive benefits package to support both your growth and success while you work at Exbon.
* Medical insurance with family coverage (Family coverage after 3 years)
* 401K/ Retirement Plan with matching contribution up to 4%
* Employee Stock Ownership Plan (**ESOP**)
* Performance Bonus
* Vacation and Sick Leave
* Paid holidays including the day after Thanksgiving
* Company Trips including immediate family members
* Sponsored training, certifications, and room for career development
* Lunch/meal allowances
* Referral Bonus
* Congratulatory \&amp; Condolence Benefits
* Company Uniforms
As an **Employee Stock Ownership Plan** (**ESOP**) company, we give our employees a real stake in our success. That means when the company grows, you grow too—through ownership, shared rewards, and a voice in the future of the business. We believe people do their best work when they’re treated like owners, not just employees, and we’re proud to build a culture focused on long\-term stability, collaboration, and shared prosperity.
I would like to connect with you and discuss the open position in further detail.
Please feel free to reach out should you have any questions.
Look forward to hearing from you soon!
**START A CAREER WITH EXBON THAT’S MORE THAN A JOB**
Job Type: Full\-time
Pay: $75,000\.00 \- $120,000\.00 per year
Benefits:
* 401(k) matching
* Dental insurance
* Health insurance
* Paid time off
* Vision insurance
Work Location: In person</t>
        </is>
      </c>
    </row>
    <row r="234">
      <c r="A234" t="inlineStr">
        <is>
          <t>in-3e80da3c9c9f099b</t>
        </is>
      </c>
      <c r="B234" t="inlineStr">
        <is>
          <t>ML Engineer, Tracking</t>
        </is>
      </c>
      <c r="C234" t="inlineStr">
        <is>
          <t>Flock Safety</t>
        </is>
      </c>
      <c r="D234" t="inlineStr">
        <is>
          <t>indeed</t>
        </is>
      </c>
      <c r="E234">
        <f>HYPERLINK("https://www.indeed.com/viewjob?jk=3e80da3c9c9f099b", "https://www.indeed.com/viewjob?jk=3e80da3c9c9f099b")</f>
        <v/>
      </c>
      <c r="F234">
        <f>HYPERLINK("https://jobs.ashbyhq.com/Flock%20Safety/2c38821d-fdb4-474e-99ad-ce821d1f297f", "https://jobs.ashbyhq.com/Flock%20Safety/2c38821d-fdb4-474e-99ad-ce821d1f297f")</f>
        <v/>
      </c>
      <c r="G234" t="inlineStr">
        <is>
          <t>Remote, US</t>
        </is>
      </c>
      <c r="H234" s="2" t="n">
        <v>46075</v>
      </c>
      <c r="I234" t="inlineStr">
        <is>
          <t>Location
Remote \- USA
Employment Type
Full time
Location Type
Remote
Department
Engineering
Compensation
$150K – $165K • Offers Equity
Where you fall within the compensation range is based on how you demonstrate the attributes and competencies required for the role. We mostly reserve the upper half of our compensation bands for internal growth. During your call with one of our recruiters, they can further clarify the salary range and our total compensation.
Overview
**Who is Flock?**
Flock Safety is the leading safety technology platform, helping communities thrive by taking a proactive approach to crime prevention and security. Our hardware and software suite connects cities, law enforcement, businesses, schools, and neighborhoods in a nationwide public\-private safety network. Trusted by over 5,000 communities, 4,500 law enforcement agencies, and 1,000 businesses, Flock delivers real\-time intelligence while prioritizing privacy and responsible innovation.
We’re a high\-performance, low\-ego team driven by urgency, collaboration, and bold thinking. Working at Flock means tackling big challenges, moving fast, and continuously improving. It’s intense but deeply rewarding for those who want to make an impact.
With nearly $700M in venture funding and a $7\.5B valuation, we’re scaling intentionally and seeking top talent to help build the impossible. If you value teamwork, ownership, and solving tough problems, Flock could be the place for you.
**The Opportunity**
Flock Safety is a leading public safety company dedicated to eliminating crime through a full\-service offering of hybrid hardware and software systems. Flock’s LPR and Video products detect and track objects to provide its customers with the best information to make actionable decisions. As a Machine Learning Engineer in Object Tracking, you will play a critical role in architecting and deploying large\-scale, real\-time, and accurate multi\-object tracking solutions. You will work closely with research scientists, ML engineers, infrastructure teams, and operations to develop high\-performance systems for tracking people, vehicles, or other objects.
**How you’ll make an impact:**
* Develop motion\-based and appearance\-based tracking models, integrating deep learning, probabilistic modeling, and graph\-based techniques.
* Optimize tracking algorithms for speed, accuracy, and scalability in real\-time and batch processing environments.
* Collaborate with device, data engineering and infrastructure teams to manage hybrid video processing, and storage.
* Develop data pipelines to create appropriate datasets and model feedback
* Leverage cutting\-edge research and technology to create custom solutions
* Design and run experiments to test new ideas or improvements to existing models
* Build visualization and monitoring tools to evaluate the quality of our data and models
* Collaborate across teams and product to deliver solutions that fit within business and organizational requirements
* Review code of other Machine Learning Engineers
**The Skillset**
* 3\+ years of industry experience in Deep Learning and Computer Vision
* Experience with Computer Vision modeling, such as Object Detection, Multi\-Object Tracking, etc.
* Experience in metric learning, contrastive learning, and embedding\-based ReID models
* Experience with integrating tracking algorithms like SORT, DeepSORT, ByteTrack, FairMOT, or graph\-based tracking into systems
* Knowledge of probabilistic models (e.g., Kalman Filters, Bayesian filtering) and trajectory prediction.
* Experience in working with hybrid systems of deployed devices working with cloud processing
* Strong experience in Python
* Experience leading projects from R\&amp;D to production
* Experience with SQL
* Basic Git knowledge
* Basic Bash knowledge
*Feeling uneasy that you haven’t ticked every box? That’s okay; we’ve felt that way too. Studies have shown women and minorities are less likely to apply unless they meet all qualifications. We encourage you to break the status quo and apply to roles that would make you excited to come to work every day.*
**90 Days at Flock**
We prescribe to 90 day plans and believe that good days lead to good weeks, which lead to good months. This serves as a preview of the 90 day plan you will receive if you were to be hired in this role at Flock Safety.
**The First 30 Days**
* Analyze and document the end\-to\-end pipeline. Understand and improve the tools we have to triage customer complaints and to monitor performance in production.
**The First 60 Days**
* Define clear SOP for triaging customer issues and analysing root causes.
* Perform a small improvement to R\&amp;D environment (from a list of known issues/tech debt.
**90 Days \&amp; Beyond**
* Work with one of the tracking team members to improve Object Detection, Tracking or selection.
* Work with one of the tracking team members to improve one of our algorithms.
**Salary \&amp; Equity**
In this role, you’ll receive a starting salary between $150,000 and $165,000 as well as Flock Safety Stock Options. Base salary is determined by job\-related experience, education/training, as well as market indicators. Your recruiter will discuss this in\-depth with you during our first chat.
**Location**
We’re building the impossible, together. To drive innovation through in\-person collaboration, we’re prioritizing candidates in our key hubs: Atlanta, Boston, Chicago, Denver, Los Angeles, New York City, San Francisco, and Austin. While we value the energy of our hub communities, we embrace remote work and welcome applications from exceptional talent across the United States.
**The Perks**
**Flexible PTO**: We offer non\-accrual PTO, plus 11 company holidays.
* ️**Fully\-paid** **health benefits** **plan for employees**: including Medical, Dental, and Vision and an HSA match.
**Family Leave**: All employees receive 12 weeks of 100% paid parental leave. Birthing parents are eligible for an additional 6\-8 weeks of physical recovery time.
**Fertility \&amp; Family Benefits:** We have partnered with Maven, a complete digital health benefit for starting and raising a family. Flock will provide a $50,000\-lifetime maximum benefit related to eligible adoption, surrogacy, or fertility expenses.
**Spring Health:** Spring Health offers a variety of mental health benefits, including therapy, coaching, medication management, and digital tools, all tailored to each individual's needs.
**Caregiver Support:** We have partnered with Cariloop to provide our employees with caregiver support
**Carta Tax Advisor:** Employees receive 1:1 sessions with Equity Tax Advisors who can address individual grants, model tax scenarios, and answer general questions.
**ERGs:** We want all employees to thrive and feel like they belong at Flock. We offer four ERGs today \- Women of Flock, Flock Proud, LEOs and Melanin Motion. If you are interested in talking to a representative from one of these, please let your recruiter know.
**WFH Stipend:** $150 per month to cover the costs of working from home.
**Productivity Stipend:** $300 per year to use on Audible, Calm, Masterclass, Duolingo and so much more.
**Home Office Stipend:** A one\-time $750 to help you create your dream office.
*If an offer is extended and accepted, this position requires the ability to obtain and maintain Criminal Justice Information Services (CJIS) certification as a condition of employment. Applicants must meet all FBI CJIS Security Policy requirements, including a fingerprint\-based background check.*
*Flock is an equal opportunity employer. We celebrate diverse backgrounds and thoughts and welcome everyone to apply for employment with us. We are committed to fostering an environment that is inclusive, transparent, and collaborative. Mutual respect is central to how Flock operates, and we believe the best solutions come from diverse perspectives, experiences, and skills. We embrace our differences and know that we are stronger working together.*
*If you need assistance or an accommodation due to a disability, please email us at recruiting@flocksafety.com. This information will be treated as confidential and used only to determine an appropriate accommodation for the interview process.*
*At Flock Safety, we compensate our employees fairly for their work. Base salary is determined by job\-related experience, education/training, as well as market indicators. The range above is representative of base salary only and does not include equity, sales bonus plans (when applicable) and benefits. This range may be modified in the future. This job posting may span more than one career level.*
*Flock Safety is aware of fraudulent individuals and agencies falsely claiming to represent our company. All legitimate communication from Flock Safety will come from an email address ending in* ***@******flocksafety.com****. We do not make job offers through messaging apps, social platforms, or unauthorized third parties, and we will never request payment or sensitive personal information during the hiring process. If you encounter suspicious outreach related to a Flock Safety role, please report it to* *recruiting@flocksafety.com*</t>
        </is>
      </c>
    </row>
    <row r="235">
      <c r="A235" t="inlineStr">
        <is>
          <t>in-d3e8a0028e588dd3</t>
        </is>
      </c>
      <c r="B235" t="inlineStr">
        <is>
          <t>Python / AI Engineer</t>
        </is>
      </c>
      <c r="C235" t="inlineStr">
        <is>
          <t>Cognizant Technology Solutions</t>
        </is>
      </c>
      <c r="D235" t="inlineStr">
        <is>
          <t>indeed</t>
        </is>
      </c>
      <c r="E235">
        <f>HYPERLINK("https://www.indeed.com/viewjob?jk=d3e8a0028e588dd3", "https://www.indeed.com/viewjob?jk=d3e8a0028e588dd3")</f>
        <v/>
      </c>
      <c r="F235">
        <f>HYPERLINK("https://click.appcast.io/t/9SaMeosoz67RAvGGmQA5zUPXplQZPRuUKdYtHFw7evs=", "https://click.appcast.io/t/9SaMeosoz67RAvGGmQA5zUPXplQZPRuUKdYtHFw7evs=")</f>
        <v/>
      </c>
      <c r="G235" t="inlineStr">
        <is>
          <t>Washington, DC, US</t>
        </is>
      </c>
      <c r="H235" s="2" t="n">
        <v>46075</v>
      </c>
      <c r="I235" t="inlineStr">
        <is>
          <t>**Background \&amp; Objectives**
The Information and Technology Solutions (ITS) Vice Presidency is responsible for providing high\-quality information and technology solutions to the World Bank Group. Within ITS, the Operations Products team (ITSOP) focuses on leveraging advanced AI technologies to enhance the Bank's operations and services. The AI Engineer will play a critical role in developing and implementing AI\-powered solutions, including generative AI models like ChatGPT and Gemini, to support various initiatives within the World Bank.
**Scope of Work**
The AI Engineer will be responsible for designing, developing, and deploying AI solutions that address the needs of the World Bank. This includes working on projects that involve natural language processing, machine learning, generative AI and other AI technologies. The engineer will collaborate with various teams to understand their requirements and deliver AI solutions that improve efficiency, decision\-making, and service delivery.
**Key Responsibilities**
* Lead the design and implementation of scalable, secure cloud architectures for enterprise solutions leveraging LLM models from Google and OpenAI.
* Build applications with vector databases and LangChain and understand text embeddings.
* Develop and maintain cloud\-based solutions that integrate LLM models to enhance search capabilities and user experience.
* Demonstrate experience in Azure technologies, including ASE, Azure Functions, Azure API Management, Azure Service Bus, Logic Apps, Azure Storage, Azure Cognitive Services, Azure Cosmos DB, Azure Data Factory, Databricks, Azure Data Lake, and caching technologies.
* Provide technical leadership and mentorship to team members, ensuring best practices in cloud architecture and LLM model integration.
* Ensure compliance with security standards and best practices in cloud architecture and data handling, particularly when dealing with sensitive information processed by LLM models.
* Address performance and production issues, with extensive knowledge in logging and monitoring using tools such as Splunk and AppInsights.
* Possess sound technical knowledge and understanding of infrastructure design, including private and public cloud.
* Establish systems to supervise the operating efficiency of existing application systems and provide proactive maintenance.
* Participate in systems design, working within an established framework, and provide direction to a team of staff and contractors in their area of expertise.
* Stay updated with the latest industry trends, cloud technologies, and advancements in LLM models to continually improve enterprise search solutions.
* Exhibit strong leadership and team\-building skills, with the ability to mentor and guide technical teams, and excellent communication skills to articulate complex technical information to non\-technical stakeholders.
* Create detailed architectural documentation and design patterns, and possess knowledge of security standards and compliance requirements in a cloud environment.
**Required Qualifications \&amp; Experience**
* A degree in Computer Science, Data Science, AI, or a related field.
* **Technical Skills**:
	+ Proficiency in programming languages such as Python.
	+ Experience with AI frameworks and libraries (e.g., TensorFlow, PyTorch).
	+ Knowledge of natural language processing and generative AI models.
	+ Experience with LangChain, LangGraph and building platform services.
	+ Experience in building solutions leveraging Agentic AI.
	+ Knowledge and experience with Google Cloud services, Azure technologies, and enterprise search applications.
* **Professional Experience**:
	+ At least 3\-5 years of experience in AI development and implementation.
	+ Experience in prompt engineering and AI governance.
	+ Demonstrated experience in cloud\-native and hybrid web development projects.
* **Soft Skills**:
	+ Strong problem\-solving skills.
	+ Excellent communication and collaboration abilities.
	+ Ability to work in a fast\-paced and dynamic environment.
**Location**
* **Location**: The position is based at the World Bank headquarters in Washington, D.C.
***Please note, this role is not able to offer visa transfer or sponsorship now or in the future***</t>
        </is>
      </c>
    </row>
    <row r="236">
      <c r="A236" t="inlineStr">
        <is>
          <t>in-0df07204f739042b</t>
        </is>
      </c>
      <c r="B236" t="inlineStr">
        <is>
          <t>Senior Machine Learning Engineer – VLM/LLM Evaluation</t>
        </is>
      </c>
      <c r="C236" t="inlineStr">
        <is>
          <t>Waymo</t>
        </is>
      </c>
      <c r="D236" t="inlineStr">
        <is>
          <t>indeed</t>
        </is>
      </c>
      <c r="E236">
        <f>HYPERLINK("https://www.indeed.com/viewjob?jk=0df07204f739042b", "https://www.indeed.com/viewjob?jk=0df07204f739042b")</f>
        <v/>
      </c>
      <c r="F236">
        <f>HYPERLINK("https://careers.withwaymo.com/jobs/senior-machine-learning-engineer-vlm-llm-evaluation-kirkland-washington-united-states-mountain-view-california-new-york-city-new-york", "https://careers.withwaymo.com/jobs/senior-machine-learning-engineer-vlm-llm-evaluation-kirkland-washington-united-states-mountain-view-california-new-york-city-new-york")</f>
        <v/>
      </c>
      <c r="G236" t="inlineStr">
        <is>
          <t>Mountain View, CA, US</t>
        </is>
      </c>
      <c r="H236" s="2" t="n">
        <v>46075</v>
      </c>
      <c r="I236" t="inlineStr">
        <is>
          <t>MOUNTAIN VIEW, CALIFORNIA, UNITED STATES \| NEW YORK CITY, NEW YORK, UNITED STATES \| KIRKLAND, WASHINGTON, UNITED STATES
FULL\-TIME
SOFTWARE ENGINEERING
4608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mission of the Waymo AI Foundations team is to develop machine learning solutions addressing open problems in autonomous driving, towards the goal of safely operating Waymo vehicles in dozens of cities and under all driving conditions. As part of our work, we also initiate and foster collaborations with other research teams in Alphabet. AI Foundations areas that we are currently focusing on include reinforcement learning, learning from demonstration, generative modeling, Bayesian inference, hierarchical learning, and robust evaluation.
This role follows a hybrid work schedule and you will report to a Senior Staff Software Engineer.
**You will:**
* Work with a creative team of people who help to build the state\-of\-the\-art Foundation Models that are used throughout Waymo’s systems, both onboard autonomous vehicles and offboard in simulation
* Drive the development or significantly contribute to end\-to\-end evaluation systems and benchmarks for Waymo Foundation models, encompassing the entire life\-cycle from pre\-training and supervised fine\-tuning (SFT) to reinforcement learning (RL), for evaluating the quality, safety, and realism of embodied AI agents
* Partner with cross\-functional teams within the organization to land innovative tech in production
* Implement and extend large large scale data and evaluation pipelines.
**You have:**
* Bachelor or Master’s degree in Computer Science, similar technical field of study, or equivalent practical experience
* Experience in ML engineering and applied Deep Learning
* Experience with large scale distributed system
* Proficient programming skills (eg: Python, C/C\+\+)
**We prefer:**
* ML infra experience: training, evaluating and deploying ML models at scale
* Deep learning experience, especially with generative models, e.g., LLMs/VLMs, and/or reinforcement learning
* Proficiency and in\-depth knowledge of the inner workings of an ML framework (e.g. Pytorch, JAX, Tensorflow)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237">
      <c r="A237" t="inlineStr">
        <is>
          <t>in-f07b6196e8fa3d98</t>
        </is>
      </c>
      <c r="B237" t="inlineStr">
        <is>
          <t>GenAI/ML Engineer Finance Tech - Associate Vice President</t>
        </is>
      </c>
      <c r="C237" t="inlineStr">
        <is>
          <t>Information Technology Senior Management Forum</t>
        </is>
      </c>
      <c r="D237" t="inlineStr">
        <is>
          <t>indeed</t>
        </is>
      </c>
      <c r="E237">
        <f>HYPERLINK("https://www.indeed.com/viewjob?jk=f07b6196e8fa3d98", "https://www.indeed.com/viewjob?jk=f07b6196e8fa3d98")</f>
        <v/>
      </c>
      <c r="F237">
        <f>HYPERLINK("https://jobs.itsmfleaders.org/job/9exv62/genai-ml-engineer-finance-tech-associate-vice-president/tampa/fl", "https://jobs.itsmfleaders.org/job/9exv62/genai-ml-engineer-finance-tech-associate-vice-president/tampa/fl")</f>
        <v/>
      </c>
      <c r="G237" t="inlineStr">
        <is>
          <t>Tampa, FL, US</t>
        </is>
      </c>
      <c r="H237" s="2" t="n">
        <v>46075</v>
      </c>
      <c r="I237" t="inlineStr">
        <is>
          <t>Posted Date
2/23/2026
Description
We are seeking a skilled and passionate GenAI Engineer to join our team in Tampa, FL, and contribute to advancing our AI/ML capabilities within Citi Finance projects. This position focuses on the development and implementation of GenAI solutions, including chatbot development, and working with both structured and unstructured data. The successful candidate will implement cutting\-edge GenAI applications for various financial use cases, leveraging strong Python skills and experience in areas like RAG pipelines, vector databases, prompt engineering, LLMs (Llama, Gemini, GPT\-4\), and dynamic SQL.
**Responsibilities**
* Design, develop, and deploy end\-to\-end GenAI solutions, including **chatbot development**, for diverse financial applications such as personalized financial advice, fraud detection, risk management, and automated reporting. Experience in real\-world project implementation is essential.
* **Process and analyze both structured and unstructured data** to train and optimize GenAI models, leveraging techniques for information extraction and knowledge representation.
* Collaborate effectively with a team of AI/ML engineers, contributing to expertise in GenAI technologies and best practices, including RAG pipelines, vector databases, prompt engineering techniques, and chatbot development.
* Implement best practices for GenAI development, ensuring code quality, security, maintainability, and scalability of production\-ready applications.
* Collaborate with other technical teams to seamlessly integrate GenAI solutions into existing systems and workflows.
* **Utilize text\-to\-SQL** to efficiently query and retrieve data from relational databases, integrating this data into GenAI pipelines.
* Conduct continuous research and evaluation of emerging GenAI technologies, recommending and implementing relevant solutions.
* Contribute directly to the codebase and participate in technical decision\-making, demonstrating hands\-on technical expertise in GenAI implementation.
* Work closely with stakeholders to understand business needs and translate them into effective technical solutions using GenAI.
**Required Skills and Qualifications**
* Bachelor's or Master’s degree in computer science, Engineering, or a related field.
* 5\-8 years of software engineering experience with a strong focus on AI/ML solutions.
* 2\+ years of real\-world experience in implementing GenAI solutions, including demonstrable experience deploying production\-ready GenAI and **Chatbot applications**.
* Understanding of GenAI models and architectures, with practical experience applying these models to real\-world problems.
* **Strong Python programming skills** with extensive experience using relevant packages for GenAI and chatbot development.
* **Experience processing and analyzing both structured and unstructured data**, utilizing techniques like NLP and information retrieval.
* Ability to design and implement RAG pipelines.
* Hands\-on experience with LLMs like Llama, Gemini, and GPT\-4\.
* **Proficiency in text\-to\-SQL implementation leveraging LLMs** for data extraction and insight generation from relational databases.
* Experience with cloud platforms and MLOps tools.
* Good understanding of Agentic AI concepts with POC exposure as an added advantage.
* Strong understanding of software engineering principles.
* Excellent communication, collaboration, and problem\-solving skills.
* Experience in utilizing AI tools for development and deployment.
**Preferred Qualifications**
* Experience with financial data and applications.
* Familiarity with specific GenAI applications in finance.
* Contributions to open\-source projects related to GenAI or machine learning.
**Technology Stack**
* **Programming Languages:** Python (strong proficiency required), potentially Java or Scala.
* **Python Packages:** Transformers, LangChain, LangGraph, TensorFlow, PyTorch, Pandas, NumPy, Scikit\-learn, Flask/Django, Requests, Beautiful Soup, SQLAlchemy, and other relevant packages for data processing, web development, chatbot development, and database interaction.
* **Deep Learning Frameworks:** TensorFlow, PyTorch
* **GenAI Libraries/Frameworks:** Transformers (Hugging Face), LangChain, LangGraph
* **LLMs:** Llama, Gemini, GPT\-4
* **Vector Databases:** PostgresDB
* **Cloud Platforms:** AWS, Azure, or GCP
* **MLOps Tools:** MLflow, Kubeflow
* **Data Science Libraries:** Pandas, NumPy, Scikit\-learn
* **Containerization:** Docker, Kubernetes
* **Version Control:** Git
* **Databases:** SQL databases (e.g., PostgreSQL, MySQL, SQL Server) – **experience with text\-to\-SQL is essential**.
**Job Description: GenAI Engineer/ AI/ML Engineer \- Citi Finance Tech (Tampa, FL, USA)**
**Role Overview**
We are seeking a skilled and passionate GenAI Engineer to join our team in Tampa, FL, and contribute to advancing our AI/ML capabilities within Citi Finance projects. This position focuses on the development and implementation of GenAI solutions, including chatbot development, and working with both structured and unstructured data. The successful candidate will implement cutting\-edge GenAI applications for various financial use cases, leveraging strong Python skills and experience in areas like RAG pipelines, vector databases, prompt engineering, LLMs (Llama, Gemini, GPT\-4\), and dynamic SQL.
**Responsibilities**
* Design, develop, and deploy end\-to\-end GenAI solutions, including **chatbot development**, for diverse financial applications such as personalized financial advice, fraud detection, risk management, and automated reporting. Experience in real\-world project implementation is essential.
* **Process and analyze both structured and unstructured data** to train and optimize GenAI models, leveraging techniques for information extraction and knowledge representation.
* Collaborate effectively with a team of AI/ML engineers, contributing to expertise in GenAI technologies and best practices, including RAG pipelines, vector databases, prompt engineering techniques, and chatbot development.
* Implement best practices for GenAI development, ensuring code quality, security, maintainability, and scalability of production\-ready applications.
* Collaborate with other technical teams to seamlessly integrate GenAI solutions into existing systems and workflows.
* **Utilize text\-to\-SQL** to efficiently query and retrieve data from relational databases, integrating this data into GenAI pipelines.
* Conduct continuous research and evaluation of emerging GenAI technologies, recommending and implementing relevant solutions.
* Contribute directly to the codebase and participate in technical decision\-making, demonstrating hands\-on technical expertise in GenAI implementation.
* Work closely with stakeholders to understand business needs and translate them into effective technical solutions using GenAI.
**Required Skills and Qualifications**
* Bachelor's or Master’s degree in computer science, Engineering, or a related field.
* 5\-8 years of software engineering experience with a strong focus on AI/ML solutions.
* 2\+ years of real\-world experience in implementing GenAI solutions, including demonstrable experience deploying production\-ready GenAI and **Chatbot applications**.
* Understanding of GenAI models and architectures, with practical experience applying these models to real\-world problems.
* **Strong Python programming skills** with extensive experience using relevant packages for GenAI and chatbot development.
* **Experience processing and analyzing both structured and unstructured data**, utilizing techniques like NLP and information retrieval.
* Ability to design and implement RAG pipelines.
* Hands\-on experience with LLMs like Llama, Gemini, and GPT\-4\.
* **Proficiency in text\-to\-SQL implementation leveraging LLMs** for data extraction and insight generation from relational databases.
* Experience with cloud platforms and MLOps tools.
* Good understanding of Agentic AI concepts with POC exposure as an added advantage.
* Strong understanding of software engineering principles.
* Excellent communication, collaboration, and problem\-solving skills.
* Experience in utilizing AI tools for development and deployment.
**Preferred Qualifications**
* Experience with financial data and applications.
* Familiarity with specific GenAI applications in finance.
* Contributions to open\-source projects related to GenAI or machine learning.
**Technology Stack**
* **Programming Languages:** Python (strong proficiency required), potentially Java or Scala.
* **Python Packages:** Transformers, LangChain, LangGraph, TensorFlow, PyTorch, Pandas, NumPy, Scikit\-learn, Flask/Django, Requests, Beautiful Soup, SQLAlchemy, and other relevant packages for data processing, web development, chatbot development, and database interaction.
* **Deep Learning Frameworks:** TensorFlow, PyTorch
* **GenAI Libraries/Frameworks:** Transformers (Hugging Face), LangChain, LangGraph
* **LLMs:** Llama, Gemini, GPT\-4
* **Vector Databases:** PostgresDB
* **Cloud Platforms:** AWS, Azure, or GCP
* **MLOps Tools:** MLflow, Kubeflow
* **Data Science Libraries:** Pandas, NumPy, Scikit\-learn
* **Containerization:** Docker, Kubernetes
* **Version Control:** Git
* **Databases:** SQL databases (e.g., PostgreSQL, MySQL, SQL Server) – **experience with text\-to\-SQL is essential**.
**Location**
Tampa, FL
\-
**Job Family Group:**
Technology
\-
**Job Family:**
Applications Development
\-
**Time Type:**
Full time
\-
**Primary Location:**
Tampa Florida United States
\-
**Primary Location Full Time Salary Range:**
$96,960\.00 \- $145,440\.00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For complementary skills, please see above and/or contact the recruiter.
\-
**Anticipated Posting Close Date:**
Feb 27, 2026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
Salary
96,960\.00 \- 145,440\.00 Annual
Type
Full\-time</t>
        </is>
      </c>
    </row>
    <row r="238">
      <c r="A238" t="inlineStr">
        <is>
          <t>in-8915b5aa273f1b5b</t>
        </is>
      </c>
      <c r="B238" t="inlineStr">
        <is>
          <t>Java Full Stack AI Engineer (Senior Software Engineer)</t>
        </is>
      </c>
      <c r="C238" t="inlineStr">
        <is>
          <t>LTIMindtree</t>
        </is>
      </c>
      <c r="D238" t="inlineStr">
        <is>
          <t>indeed</t>
        </is>
      </c>
      <c r="E238">
        <f>HYPERLINK("https://www.indeed.com/viewjob?jk=8915b5aa273f1b5b", "https://www.indeed.com/viewjob?jk=8915b5aa273f1b5b")</f>
        <v/>
      </c>
      <c r="F238">
        <f>HYPERLINK("https://ltimindtree.ripplehire.com/candidate/?token=zhsVjgYtgwdtduuRdply&amp;lang=en&amp;source=INDEED&amp;ref=INDEED#detail/job/844514", "https://ltimindtree.ripplehire.com/candidate/?token=zhsVjgYtgwdtduuRdply&amp;lang=en&amp;source=INDEED&amp;ref=INDEED#detail/job/844514")</f>
        <v/>
      </c>
      <c r="G238" t="inlineStr">
        <is>
          <t>Tampa, FL, US</t>
        </is>
      </c>
      <c r="H238" s="2" t="n">
        <v>46075</v>
      </c>
      <c r="I238" t="inlineStr">
        <is>
          <t>**Role description** **Title: Java Full Stack \- AI Engineer**
**Location: Tampa, FL**
Join our pioneering team as a Full Stack AI Engineer and be at the forefront of building the next generation of intelligent AI powered products that redefine user experiences and solve complex business challenges This pivotal role empowers you to own the entire solution stack from intuitive frontend interfaces to robust backend infrastructure and cutting edge agentic AI systems You will play a critical role in designing developing and deploying high impact AI driven solutions driving engineering excellence and influencing our software architecture Were seeking a passionate problem solver who thrives in a collaborative agile environment dedicated to crafting innovative solutions and contributing to vibrant technical community.
**Key Responsibilities**
* Pioneer Full Stack AI Application Development Design develop and deploy transformative end\-to\-end applications leveraging modern web frameworks React Next.js Fast API, Python Java with Large Language Models LLMs at their core
* Architect Agentic AI Systems Lead the design and implementation of sophisticated autonomous agents capable of multistep reasoning planning and dynamic task execution using frameworks like LangChain LangGraph or AutoGen
* Innovate RAG Pipeline Design Architect and optimize production grade Retrieval Augmented Generation RAG pipelines focusing on advanced embedding strategies efficient vector database management Pinecone Milvus Chroma and superior retrieval performance
* Build Scalable Backend API Integrations Develop highly performant asynchronous backend services that seamlessly integrate LLMs external APIs and tools ensuring exceptional reliability and ultralow latency
* Optimize Data Database Management Strategically manage structured and unstructured data overseeing both traditional SQL NoSQL databases and advanced vector databases to enable context aware and intelligent AI systems
* Champion Engineering Excellence Agile Delivery Drive best practices in code quality unit testing CICD and security Act as a strong contributor within an Agile software delivery team collaborating to achieve sprint goals and actively participating in the broader technical community and Agile Scrum processes
**Required Qualifications:**
* 5 years of progressive professional software engineering experience with a minimum of 2 years dedicated to building and deploying Ai powered solutions
* Expert proficiency in Python Java or Typescript JavaScript coupled with a profound understanding of Data Structures and Object Oriented Principles
* Extensive hands on experience with Large Language Models LLMs eg OpenAI GPT Anthropic Claude Gemini Llama including finetuning techniques and advanced prompt engineering
* Proven expertise in designing and implementing RAG architectures encompassing embedding strategies vector stores and semantic search
* Deep experience with microservices designing and implementing RESTful, Graph QL, APIs and practical application of containerization technologies Docker, Kubernetes, OpenShift
* Demonstrated experience with modern web stacks React Next.js Tailwind CSS JavaScript TypeScript etc
* Practical experience with Agentic frameworks LangChain, LangGraph, AutoGen Crew AI etc including designing implementing and orchestrating multiagent systems
* Solid understanding and practical application of frameworks such as Spring Boot Fast API Express etc
* Significant experience working within agile and iterative software delivery methodologies SAFe SCRUM Kanban
* Proficiency in various database technologies including advanced SQL and vector databases Oracle PostgreSQL MongoDB Aurora Pinecone pg vector etc
* Experience with event driven design and architecture eg: SQS SNS Kinesis Kafka Spark Flink RabbitMQ
* BTech BE Eng degree or equivalent work experience
* Preferred Qualifications
* Experience in designing and implementing complex multiagent collaboration architectures
* Familiarity with AI driven development tools eg: Cursor Claude Copilot to enhance productivity
* Proven architectural experience in building horizontally scalable highly available highly resilient and low latency applications
* Experience with both on premise and public cloud infrastructure eg: OpenShift AWS including Infrastructure as Code tools eg: Terraform CloudFormation
* Knowledge of Security Observability and Monitoring tools eg: Grafana Prometheus Splunk ELK CloudWatch
* Prior experience mentoring and providing technical leadership to teams of 5 or more developers
* Familiarity with Job Schedulers eg Apache Workflow Autosys CloudWatch
 **Skills** **Mandatory Skills :** AI/GenAI Research, Java, React, Spring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$79,851\.00 to $107,720\.00 per year  
**About LTM**  
LTM is an AI\-centric global technology services company and the Business Creativity partner to the world’s largest and most disruptive enterprises. We bring human insights and intelligent systems together to help clients create greater value at the intersection of technology and domain expertise. Our capabilities span integrated operations, transformation, and business AI — enabling new ways of working, new productivity paradigms, and new roads to value. Together with over 87,000 employees across 40 countries and our global network of partners, LTM — a Larsen \&amp; Toubro company — owns business outcomes for our clients, helping them not just outperform the market, but to Outcreate it. Please also note that neither LTM nor any of its authorized recruitment agencies/partners charge any candidate registration fee or any other fees from talent (candidates) towards appearing for an interview or securing employment/internship. Candidates shall be solely responsible for verifying the credentials of any agency/consultant that claims to be working with LTM for recruitment. Please note that anyone who relies on the representations made by fraudulent employment agencies does so at their own risk, and LTM disclaims any liability in case of loss or damage suffered as a consequence of the same. Recruitment Fraud Alert \- https://www.ltimindtree.com/recruitment\-fraud\-alert/</t>
        </is>
      </c>
    </row>
    <row r="239">
      <c r="A239" t="inlineStr">
        <is>
          <t>in-3e6f73f71fe5cb1b</t>
        </is>
      </c>
      <c r="B239" t="inlineStr">
        <is>
          <t>Senior Machine Learning Engineer – VLM/LLM Evaluation</t>
        </is>
      </c>
      <c r="C239" t="inlineStr">
        <is>
          <t>Waymo</t>
        </is>
      </c>
      <c r="D239" t="inlineStr">
        <is>
          <t>indeed</t>
        </is>
      </c>
      <c r="E239">
        <f>HYPERLINK("https://www.indeed.com/viewjob?jk=3e6f73f71fe5cb1b", "https://www.indeed.com/viewjob?jk=3e6f73f71fe5cb1b")</f>
        <v/>
      </c>
      <c r="F239">
        <f>HYPERLINK("https://careers.withwaymo.com/jobs/senior-machine-learning-engineer-vlm-llm-evaluation-kirkland-washington-united-states-mountain-view-california-new-york-city-new-york?source=Indeed", "https://careers.withwaymo.com/jobs/senior-machine-learning-engineer-vlm-llm-evaluation-kirkland-washington-united-states-mountain-view-california-new-york-city-new-york?source=Indeed")</f>
        <v/>
      </c>
      <c r="G239" t="inlineStr">
        <is>
          <t>New York, NY, US</t>
        </is>
      </c>
      <c r="H239" s="2" t="n">
        <v>46075</v>
      </c>
      <c r="I239"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mission of the Waymo AI Foundations team is to develop machine learning solutions addressing open problems in autonomous driving, towards the goal of safely operating Waymo vehicles in dozens of cities and under all driving conditions. As part of our work, we also initiate and foster collaborations with other research teams in Alphabet. AI Foundations areas that we are currently focusing on include reinforcement learning, learning from demonstration, generative modeling, Bayesian inference, hierarchical learning, and robust evaluation.
This role follows a hybrid work schedule and you will report to a Senior Staff Software Engineer.
**You will:**
* Work with a creative team of people who help to build the state\-of\-the\-art Foundation Models that are used throughout Waymo’s systems, both onboard autonomous vehicles and offboard in simulation
* Drive the development or significantly contribute to end\-to\-end evaluation systems and benchmarks for Waymo Foundation models, encompassing the entire life\-cycle from pre\-training and supervised fine\-tuning (SFT) to reinforcement learning (RL), for evaluating the quality, safety, and realism of embodied AI agents
* Partner with cross\-functional teams within the organization to land innovative tech in production
* Implement and extend large large scale data and evaluation pipelines.
**You have:**
* Bachelor or Master’s degree in Computer Science, similar technical field of study, or equivalent practical experience
* Experience in ML engineering and applied Deep Learning
* Experience with large scale distributed system
* Proficient programming skills (eg: Python, C/C\+\+)
**We prefer:**
* ML infra experience: training, evaluating and deploying ML models at scale
* Deep learning experience, especially with generative models, e.g., LLMs/VLMs, and/or reinforcement learning
* Proficiency and in\-depth knowledge of the inner workings of an ML framework (e.g. Pytorch, JAX, Tensorflow)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240">
      <c r="A240" t="inlineStr">
        <is>
          <t>in-c0bc57b2bad8ac01</t>
        </is>
      </c>
      <c r="B240" t="inlineStr">
        <is>
          <t>Senior Machine Learning Engineer – VLM/LLM Evaluation</t>
        </is>
      </c>
      <c r="C240" t="inlineStr">
        <is>
          <t>Waymo</t>
        </is>
      </c>
      <c r="D240" t="inlineStr">
        <is>
          <t>indeed</t>
        </is>
      </c>
      <c r="E240">
        <f>HYPERLINK("https://www.indeed.com/viewjob?jk=c0bc57b2bad8ac01", "https://www.indeed.com/viewjob?jk=c0bc57b2bad8ac01")</f>
        <v/>
      </c>
      <c r="F240">
        <f>HYPERLINK("https://careers.withwaymo.com/jobs/senior-machine-learning-engineer-vlm-llm-evaluation-kirkland-washington-united-states-mountain-view-california-new-york-city-new-york?source=Indeed", "https://careers.withwaymo.com/jobs/senior-machine-learning-engineer-vlm-llm-evaluation-kirkland-washington-united-states-mountain-view-california-new-york-city-new-york?source=Indeed")</f>
        <v/>
      </c>
      <c r="G240" t="inlineStr">
        <is>
          <t>Mountain View, CA, US</t>
        </is>
      </c>
      <c r="H240" s="2" t="n">
        <v>46075</v>
      </c>
      <c r="I240"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mission of the Waymo AI Foundations team is to develop machine learning solutions addressing open problems in autonomous driving, towards the goal of safely operating Waymo vehicles in dozens of cities and under all driving conditions. As part of our work, we also initiate and foster collaborations with other research teams in Alphabet. AI Foundations areas that we are currently focusing on include reinforcement learning, learning from demonstration, generative modeling, Bayesian inference, hierarchical learning, and robust evaluation.
This role follows a hybrid work schedule and you will report to a Senior Staff Software Engineer.
**You will:**
* Work with a creative team of people who help to build the state\-of\-the\-art Foundation Models that are used throughout Waymo’s systems, both onboard autonomous vehicles and offboard in simulation
* Drive the development or significantly contribute to end\-to\-end evaluation systems and benchmarks for Waymo Foundation models, encompassing the entire life\-cycle from pre\-training and supervised fine\-tuning (SFT) to reinforcement learning (RL), for evaluating the quality, safety, and realism of embodied AI agents
* Partner with cross\-functional teams within the organization to land innovative tech in production
* Implement and extend large large scale data and evaluation pipelines.
**You have:**
* Bachelor or Master’s degree in Computer Science, similar technical field of study, or equivalent practical experience
* Experience in ML engineering and applied Deep Learning
* Experience with large scale distributed system
* Proficient programming skills (eg: Python, C/C\+\+)
**We prefer:**
* ML infra experience: training, evaluating and deploying ML models at scale
* Deep learning experience, especially with generative models, e.g., LLMs/VLMs, and/or reinforcement learning
* Proficiency and in\-depth knowledge of the inner workings of an ML framework (e.g. Pytorch, JAX, Tensorflow)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241">
      <c r="A241" t="inlineStr">
        <is>
          <t>in-b34a8a4402f35619</t>
        </is>
      </c>
      <c r="B241" t="inlineStr">
        <is>
          <t>Senior Machine Learning Engineer – VLM/LLM Evaluation</t>
        </is>
      </c>
      <c r="C241" t="inlineStr">
        <is>
          <t>Waymo</t>
        </is>
      </c>
      <c r="D241" t="inlineStr">
        <is>
          <t>indeed</t>
        </is>
      </c>
      <c r="E241">
        <f>HYPERLINK("https://www.indeed.com/viewjob?jk=b34a8a4402f35619", "https://www.indeed.com/viewjob?jk=b34a8a4402f35619")</f>
        <v/>
      </c>
      <c r="F241">
        <f>HYPERLINK("https://careers.withwaymo.com/jobs/senior-machine-learning-engineer-vlm-llm-evaluation-kirkland-washington-united-states-mountain-view-california-new-york-city-new-york?source=Indeed", "https://careers.withwaymo.com/jobs/senior-machine-learning-engineer-vlm-llm-evaluation-kirkland-washington-united-states-mountain-view-california-new-york-city-new-york?source=Indeed")</f>
        <v/>
      </c>
      <c r="G241" t="inlineStr">
        <is>
          <t>Kirkland, WA, US</t>
        </is>
      </c>
      <c r="H241" s="2" t="n">
        <v>46075</v>
      </c>
      <c r="I241"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mission of the Waymo AI Foundations team is to develop machine learning solutions addressing open problems in autonomous driving, towards the goal of safely operating Waymo vehicles in dozens of cities and under all driving conditions. As part of our work, we also initiate and foster collaborations with other research teams in Alphabet. AI Foundations areas that we are currently focusing on include reinforcement learning, learning from demonstration, generative modeling, Bayesian inference, hierarchical learning, and robust evaluation.
This role follows a hybrid work schedule and you will report to a Senior Staff Software Engineer.
**You will:**
* Work with a creative team of people who help to build the state\-of\-the\-art Foundation Models that are used throughout Waymo’s systems, both onboard autonomous vehicles and offboard in simulation
* Drive the development or significantly contribute to end\-to\-end evaluation systems and benchmarks for Waymo Foundation models, encompassing the entire life\-cycle from pre\-training and supervised fine\-tuning (SFT) to reinforcement learning (RL), for evaluating the quality, safety, and realism of embodied AI agents
* Partner with cross\-functional teams within the organization to land innovative tech in production
* Implement and extend large large scale data and evaluation pipelines.
**You have:**
* Bachelor or Master’s degree in Computer Science, similar technical field of study, or equivalent practical experience
* Experience in ML engineering and applied Deep Learning
* Experience with large scale distributed system
* Proficient programming skills (eg: Python, C/C\+\+)
**We prefer:**
* ML infra experience: training, evaluating and deploying ML models at scale
* Deep learning experience, especially with generative models, e.g., LLMs/VLMs, and/or reinforcement learning
* Proficiency and in\-depth knowledge of the inner workings of an ML framework (e.g. Pytorch, JAX, Tensorflow)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242">
      <c r="A242" t="inlineStr">
        <is>
          <t>in-accbd77f01ca5cfb</t>
        </is>
      </c>
      <c r="B242" t="inlineStr">
        <is>
          <t>AI Engineer Mid-SR</t>
        </is>
      </c>
      <c r="C242" t="inlineStr">
        <is>
          <t>Metova</t>
        </is>
      </c>
      <c r="D242" t="inlineStr">
        <is>
          <t>indeed</t>
        </is>
      </c>
      <c r="E242">
        <f>HYPERLINK("https://www.indeed.com/viewjob?jk=accbd77f01ca5cfb", "https://www.indeed.com/viewjob?jk=accbd77f01ca5cfb")</f>
        <v/>
      </c>
      <c r="F242">
        <f>HYPERLINK("https://apply.workable.com/j/7C0CF2E959", "https://apply.workable.com/j/7C0CF2E959")</f>
        <v/>
      </c>
      <c r="G242" t="inlineStr">
        <is>
          <t>PR, US</t>
        </is>
      </c>
      <c r="H242" s="2" t="n">
        <v>46075</v>
      </c>
      <c r="I242" t="inlineStr">
        <is>
          <t>Buscamos un(a) AI Engineer con experiencia en construcción y despliegue de soluciones basadas en agentes inteligentes, Backend y arquitecturas cognitivas. Este rol requiere conocimiento en frameworks de agentes y protocolos (Langchain, Llama, LLMs, NLP, A2A, MCP, etc.) y capacidades sólidas de software engineering para crear productos con IA embebida. Idealmente que tenga conocimiento en contextos financieros, contables, payroll, facturación o recursos humanos.
**Responsabilidades Principales**
* Experiencia depslegando y programando soluciones basadas en agentes inteligentes y LLMs, integrando herramientas como LangChain, LlamaIndex, AutoGen, CrewAI o frameworks equivalentes.
* Implementar agentes que interactúan con usuarios, APIs, sistemas ERP o plataformas externas (e.g. WhatsApp, sistemas contables, CRMs).
* Implementar arquitecturas MCP (Model Context Protocol) y A2A (Agent\-to\-Agent) para permitir coordinación multi\-agente y flujos autónomos dentro de entornos empresariales.
* Trabajar en ambientes productivos y con interacción directa con equipos de infraestructura, DevOps y MLOps
* Colaborar estrechamente con equipos de producto, UX, datos y backend para tener un delivery exitoso de las funcionalidades planeadas.
* Implementar con buenas prácticas de desarrollo, validación y monitoreo de agentes, incluyendo tests de integración, control de versiones de prompts y trazabilidad de decisiones.
* Mantenerse actualizado en frameworks de código abierto y papers relevantes en el campo de agent frameworks, memory architectures y multi\-agent systems.
**Requirements**
* *4\-6 años de experiencia en proyectos de inteligencia artificial, con al menos 2\+ años en implementación de agentes autónomos o copilts.*
* *Experiencia comprobada utilizando frameworks como LangChain, LlamaIndex, AutoGen, CrewAI, Semantic Kernel o similares.*
* *Conocimiento práctico de protocolos MCP y A2A, uso de herramientas, gestión de memoria y estado de conversación.*
* *Sólido dominio de Python y experiencia con FastAPI, asyncio, Pydantic y arquitecturas asincrónicas.*
* *Experiencia trabajando con vector stores (Chroma, Weaviate, Pinecone) y arquitecturas RAG.*
* *Conocimiento en NLP, embeddings, agentes de recuperación, y funciones de razonamiento y planeación.*
* *Conocimientos de MLOps: CI/CD, Docker, Kubernetes, monitoreo de agentes, y retraining automatizado.*
* *Inglés técnico fluido para revisar documentación, papers y colaborar con equipos globales.*
***Plus / Deseables (Nice to Have)***
* *Experiencia en proyectos multicloud (Azure, AWS, GCP).*
* *Familiaridad con arquitecturas orientadas a eventos y microservicios, así como APIs RESTful y gRPC.*
* *Experiencia trabajando con datos empresariales en dominios como contabilidad, finanzas nómina, facturación o ERP.*
* *Experiencia trabajando en equipos de desarrollo y producto asi como en equipos de alto rendimiento/startups*
* *Conocimiento práctico de otros lenguajes como Golang, Java o C\# (.NET), especialmente en la construcción de componentes de alto rendimiento.*
* *Participación activa en comunidades de código abierto de agentes o contribuciones a frameworks emergentes.*
**Benefits**
* Desarrollo de productos innovadores con enfoque en IA y datos.
* Cultura de buenas prácticas, arquitectura moderna y trabajo colaborativo.
* Posibilidades de crecimiento técnico y formación continua.</t>
        </is>
      </c>
    </row>
    <row r="243">
      <c r="A243" t="inlineStr">
        <is>
          <t>in-fc65c03a732fa6c9</t>
        </is>
      </c>
      <c r="B243" t="inlineStr">
        <is>
          <t>Sr Machine Learning Engineer</t>
        </is>
      </c>
      <c r="C243" t="inlineStr">
        <is>
          <t>The Walt Disney Company</t>
        </is>
      </c>
      <c r="D243" t="inlineStr">
        <is>
          <t>indeed</t>
        </is>
      </c>
      <c r="E243">
        <f>HYPERLINK("https://www.indeed.com/viewjob?jk=fc65c03a732fa6c9", "https://www.indeed.com/viewjob?jk=fc65c03a732fa6c9")</f>
        <v/>
      </c>
      <c r="F243">
        <f>HYPERLINK("https://jobs.disneycareers.com/job/lake-buena-vista/sr-machine-learning-engineer/391/92056178256", "https://jobs.disneycareers.com/job/lake-buena-vista/sr-machine-learning-engineer/391/92056178256")</f>
        <v/>
      </c>
      <c r="G243" t="inlineStr">
        <is>
          <t>Lake Buena Vista, FL, US</t>
        </is>
      </c>
      <c r="H243" s="2" t="n">
        <v>46075</v>
      </c>
      <c r="I243" t="inlineStr">
        <is>
          <t>**Job ID** 10142996 **Location** Lake Buena Vista, Florida, United States / Burbank, California, United States / Seattle, Washington, United States / Orlando, Florida, United States **Business** The Walt Disney Company (Corporate) **Date posted** Feb. 23, 2026
#### **Job Summary:**
**Department Description:**
At Disney, we’re storytellers. We make the impossible, possible. The Walt Disney Company is a world\-class entertainment and technological leader. Walt’s passion was to continuously envision new ways to move audiences around the world—a passion that remains our touchstone in an enterprise that stretches from theme parks, resorts and a cruise line to sports, news, movies and a variety of other businesses. Uniting each endeavor is a commitment to creating and delivering unforgettable experiences — and we’re constantly looking for new ways to enhance these exciting experiences.
The Enterprise Technology mission is to deliver technology solutions that align to business strategies while enabling enterprise efficiency and promoting cross\-company collaborative innovation. Our group drives competitive advantage by enhancing our consumer experiences, enabling business growth, and advancing operational excellence.
**Team Description:**
Reporting to the Director of Automation, Tooling, and Observability within Global Network Engineering \&amp; Operations (GNEO), the Machine Learning / Software Engineer plays a critical role in designing, developing, and implementing self\-healing infrastructure management systems for enterprise\-wide, production environments. This role combines deep expertise in machine learning, AI technology, software engineering, and DevOps to create reusable patterns, frameworks, and services to improve reliability across Services and Platforms. The candidate will serve as a thought leader, identifying opportunities for and applying advanced analytics, predictive modeling, and AI to large\-scale telemetry, changes, events and incident data to derive actionable insights. The role focuses on building, deploying, and operating machine learning models that proactively detect issues, predict failures, and drive automated, self\-healing remediation across enterprise systems. The role is intentionally machine learning and AI heavy and is intended to be a strategic driver in that space.
**What You’ll Do:**
* Work alongside our first\-class applications, infrastructure \&amp; operations teams to understand current manual processes and business requirements
* Architect, design, and implement reusable machine learning frameworks, patterns, and services that integrate into the enterprise automation and observability platforms
* Design, train, and deploy machine learning models for anomaly detection, forecasting, predictive analytics, event correlation, pattern recognition, classification, causal analysis, and more in distributed environments that can be used to surface leading indicators of failure
* Build near\-real\-time inference pipelines that generate actionable insights from live telemetry, including continuous streams of metrics, logs, traces, and operational events
* Create data abstractions and perform feature engineering on high\-volume, high\-cardinality telemetry data
* Evaluate model performance using real production signals and continuously iterate to improve accuracy and reliability
* Build closed\-loop, event\-driven systems where model signals trigger automated remediation actions
* Partner with infrastructure and SRE teams to identify opportunities and integrate machine learning and AI\-driven insights into operational tools, workflows, and dashboards
* Analyze incident and historical data to uncover leading indicators and predictive signals
* Own the full machine learning lifecycle: experimentation, validation, deployment, monitoring, and retraining
* Breakdown targeted, manual processes into reusable software modules that leverage machine learning models
* Build emulation and simulation environments (digital twins) of the infrastructure to test AI/ML\-driven automation under realistic scenarios and allow for faster ideation and iteration for architects and engineers.
* Develop algorithms and frameworks to integrate machine learning and AI technologies into our orchestration platform
* Ensure service reliability, performance, and operational uptime through code\-driven solutions.
* Conduct root cause analysis, design fault\-tolerant architectures, and enable self\-healing automation.
* Implement monitoring dashboards and KPIs to provide visibility into automation and tooling performance.
* Collaborate with cross\-functional teams including network engineers, software developers, machine learning engineers, and operations teams across the enterprise.
* Support the integration of commercial and open\-source tools while maintaining a vendor\-agnostic implementation
**Required Qualifications \&amp; Skills:**
* 7\+ years of software engineering experience, with expertise in automation, machine learning, and AI technologies
* Proven hands\-on experience building production\-grade ML models and inference pipelines; strong proficiency with modern ML frameworks such as PyTorch, TensorFlow, Scikit\-learn, etc.
* Design, train, and deploy machine learning models for anomaly detection, forecasting, predictive analytics, event correlation, pattern recognition, classification, causal analysis, and more in distributed environments that can be used to surface leading indicators of failure
* Proven hands\-on experience using software to build frontend, APIs and backend functionality; strong proficiency with Python, JavaScript, TypeScript, Go, or Rust
* Build emulation and simulation environments (digital twins) of the infrastructure to test AI/ML\-driven automation under realistic scenarios and allow for faster ideation and iteration for architects and engineers.
* Strong hands\-on experience building and deploying event\-driven or streaming data, machine learning models in production
* Solid foundation in statistics, data analysis, and applied machine learning techniques
* Experience working with large\-scale, real\-world datasets (noisy, incomplete, non\-standardized, and evolving)
* Experience operationalizing models in distributed, production environments
* Ability to translate ambiguous operational problems into solvable machine learning use cases
* Experience with modern cloud platforms, container orchestration (Kubernetes/Docker), identity/auth frameworks, data and workflow orchestration.
* Experience with AI/ML technologies and data engineering concepts. Preferred: Proven hands\-on building AI agents.
* Demonstrated success designing and building enterprise\-scale systems and reusable software frameworks.
* Strong communication, collaboration and leadership skills
* Applies systems thinking to understand how individual components fit into larger, more holistic solutions.
* Capable of quickly shifting between detailed, hands\-on work and high\-level strategic thinking.
**Preferred Qualifications:**
* Certifications such as Kubernetes (CKA/CKAD), AWS/Azure/GCP certifications, CCNP/DevNet or NVIDIA AI engineer.
* Experience developing low\-code/no\-code automation platforms or reusable developer toolkits.
* Contributions to open\-source automation, machine learning, AI, observability, or DevOps communities.
* Applying unsupervised and semi\-supervised learning for anomaly detection and signal discovery
* Applying complex event processing and event correlation techniques
* Building time\-series forecasting models for capacity, latency, and failure prediction
* Experience with feature stores, offline/online feature pipelines, and feature reuse
* Implementing model monitoring for drift, bias, and performance degradation
* Experience with reinforcement learning or decision models for automated remediation and optimization
* Working with real\-time or near\-real\-time inference pipelines
* Experience labeling, curating, and managing training data derived from production telemetry
* Experience mentoring engineers, sharing knowledge, and fostering a learning culture
* Demonstrated curiosity and continuous learning mindset, with a passion for exploring emerging AI/ML, automation, and platform technologies
**Required Education:**
* Bachelor’s degree in Computer Science, Information Systems, Software, Electrical or Electronics Engineering, or comparable field of study, and/or equivalent work experience
**Preferred Education:**
* Master’s degree in Computer Science, Engineering, or related discipline.
\#DISNEYTECH
The hiring range for this position in Burbank, CA is $155,700 \- $208,700 per year and in Seattle is $163,100 \- $218,700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244">
      <c r="A244" t="inlineStr">
        <is>
          <t>in-4c67041f6f622e96</t>
        </is>
      </c>
      <c r="B244" t="inlineStr">
        <is>
          <t>AI Engineer</t>
        </is>
      </c>
      <c r="C244" t="inlineStr">
        <is>
          <t>Mercury Insurance Company</t>
        </is>
      </c>
      <c r="D244" t="inlineStr">
        <is>
          <t>indeed</t>
        </is>
      </c>
      <c r="E244">
        <f>HYPERLINK("https://www.indeed.com/viewjob?jk=4c67041f6f622e96", "https://www.indeed.com/viewjob?jk=4c67041f6f622e96")</f>
        <v/>
      </c>
      <c r="F244">
        <f>HYPERLINK("https://careers-mercuryinsurance.icims.com/jobs/5714/job?utm_source=indeed_integration&amp;iis=Job%20Board&amp;iisn=Indeed&amp;indeed-apply-token=73a2d2b2a8d6d5c0a62696875eaebd669103652d3f0c2cd5445d3e66b1592b0f", "https://careers-mercuryinsurance.icims.com/jobs/5714/job?utm_source=indeed_integration&amp;iis=Job%20Board&amp;iisn=Indeed&amp;indeed-apply-token=73a2d2b2a8d6d5c0a62696875eaebd669103652d3f0c2cd5445d3e66b1592b0f")</f>
        <v/>
      </c>
      <c r="G244" t="inlineStr">
        <is>
          <t>Remote, US</t>
        </is>
      </c>
      <c r="H244" s="2" t="n">
        <v>46075</v>
      </c>
      <c r="I244" t="inlineStr">
        <is>
          <t>Overview:
Join an amazing team that is consistently recognized for our achievements and culture, including our most recent Forbes award of being one of America's Best Midsize Employers for 2025!
 **Position Summary:**
We're seeking an AI Engineer who combines strong software engineering skills with specialized expertise across multiple AI and ML domains. As part of our AI/ML Engineering team, you'll work with Large Language Models (LLMs), Vision Language Models (VLMs), speech recognition systems, and conversational AI technologies. This role requires someone who can implement document understanding solutions, OCR systems, human\-in\-the\-loop processes, and multimodal AI applications. You'll focus on model selection, evaluation, fine\-tuning, and deployment while collaborating with the broader engineering team to build systems that leverage both traditional software engineering principles and advanced AI technologies.
An in\-person interview may be required during the hiring process.
Geo\-Salary Information:
State specific pay scales for this role are as follows:
$83,670 to $161,875 (CA, NJ, NY, WA, HI, AK, MD, CT, RI, MA)
$76,074 to $147,104 (NV, OR, AZ, CO, WY, TX, ND, MN, MO, IL, WI, FL, GA, MI, OH, VA, PA, DE, VT, NH, ME)
$68,457 to $132,394 (UT, ID, MT, NM, SD, NE, KS, OK, IA, AR, LA, MS, AL, TN, KY, IN, SC, NC, WV)
The expected base salary for this position will vary depending on a number of factors, including relevant experience, skills and location.
Responsibilities:
**Essential Job Functions:**
* Implement and fine\-tune Large Language Models (LLMs) for various business applications
* Develop Vision Language Models (VLMs) for image understanding and multimodal applications
* Design and build document understanding systems leveraging OCR and advanced text processing
* Create speech recognition and conversational AI solutions
* Recommend and establish human\-in\-the\-loop processes for AI model improvement across modalities
* Build and deploy AI agents and assistants using foundation models
* Integrate multimodal capabilities (text, vision, speech) into unified AI systems
* Evaluate and benchmark foundation models across different domains and tasks
* Implement effective prompt engineering strategies for LLMs and VLMs
* Partner with our platform team for model serving infrastructure and monitoring solutions for production AI systems
* Create and maintain evaluation frameworks and metrics for different AI modalities
* Collaborate with team members to integrate AI capabilities into existing software systems
* Stay current with emerging AI technologies and research advancements
Qualifications:
**Education:**
Minimum:
* Bachelor's degree in Computer Science, Software Engineering, or related technical field
Preferred:
* Master’s degree or PhD in Computer Science, Software Engineering, or related technical field
**Experience:**
Minimum:
* 2\+ years of software engineering experience
* 2\+ years of hands\-on experience with AI/ML systems
* Experience with Large Language Models and/or Vision Language Models
* Familiarity with at least one of: document understanding, OCR, speech recognition, or conversational AI
* Experience with foundation model evaluation, selection, or fine\-tuning
* Knowledge of distributed systems concepts
Preferred:
* 3\+ years of software engineering experience
* 3\+ years of hands\-on experience implementing AI/ML solutions
* Demonstrated experience across multiple AI domains (language, vision, speech)
* Experience developing document understanding or OCR systems
* Track record of building conversational AI or speech recognition applications
* Experience with model deployment and monitoring in production
* Experience with multimodal AI systems integration
* Familiarity with large language model evaluation benchmarks
**Knowledge and Skills:**
Minimum:
* Strong programming skills in Python and at least one other modern language (e.g., Java, Go)
* Solid understanding of software design patterns and principles
* Experience with AI/ML frameworks (PyTorch, TensorFlow, or similar)
* Proficiency with foundation model APIs (OpenAI, Anthropic, etc.)
* Knowledge of LLM architectures and capabilities
* Knowledge and experience with fine\-tuning foundational models
* Experience with at least one: computer vision frameworks, OCR technologies, speech recognition systems, or conversational AI platforms
* Experience with prompt engineering and optimization for foundation models
* Knowledge of AI evaluation methodologies and metrics
* Ability to work with cloud\-based AI infrastructure
* Good verbal and written communication abilities
Preferred:
* Experience with multimodal AI systems (text, vision, speech)
* Expertise in document understanding or information extraction
* Skills in building conversational agents or voice assistants
* Experience with computer vision models and image processing
* Knowledge of RAG (Retrieval Augmented Generation) systems
* Experience with human\-in\-the\-loop AI systems
* Familiarity with AI alignment and safety practices
* Experience with model deployment and serving infrastructure
* Skills in AI/ML performance optimization techniques
* Experience with containerization and orchestration technologies
About the Company:
***Why choose a career at Mercury?***
At Mercury, we have been guided by our purpose to help people reduce risk and overcome unexpected events for more than 60 years. We are one team with a common goal to help others. Everyone needs insurance and we can’t imagine a world without it.  
Our team will encourage you to grow, make time to have fun, and work together to make great things happen. We embrace the strengths and values of each team member. We believe in having diverse perspectives where everyone is included, to serve customers from all walks of life.  
We care about our people, and we mean it. We reward our talented professionals with a competitive salary, bonus potential, and a variety of benefits to help our team members reach their health, retirement, and professional goals.  
Learn more about us here: https://www.mercuryinsurance.com/about/careers  
\#LI\-ZK1
Perks and Benefits:
***We offer many great benefits, including:**** Competitive compensation
* Flexibility to work from anywhere in the United States for most positions
* Paid time off (vacation time, sick time, 9 paid Company holidays, volunteer hours)
* Incentive bonus programs (potential for holiday bonus, referral bonus, and performance\-based bonus)
* Medical, dental, vision, life, and pet insurance
* 401 (k) retirement savings plan with company match
* Engaging work environment
* Promotional opportunities
* Education assistance
* Professional and personal development opportunities
* Company recognition program
* Health and wellbeing resources, including free mental wellbeing therapy/coaching sessions, child and eldercare resources, and more
Mercury Insurance is an equal opportunity employer. All qualified applicants will receive consideration for employment without regard to race, color, religion, sex, sexual orientation, gender identity, national origin, disability, status as a protected veteran, or any other characteristic protected by federal, state, or local law.
Pay Range: USD $85,479\.00 \- USD $157,868\.00 /Yr.</t>
        </is>
      </c>
    </row>
    <row r="245">
      <c r="A245" t="inlineStr">
        <is>
          <t>in-69d36b1b25e3027c</t>
        </is>
      </c>
      <c r="B245" t="inlineStr">
        <is>
          <t>Applied Scientist, Alexa Smart Home</t>
        </is>
      </c>
      <c r="C245" t="inlineStr">
        <is>
          <t>Amazon.com</t>
        </is>
      </c>
      <c r="D245" t="inlineStr">
        <is>
          <t>indeed</t>
        </is>
      </c>
      <c r="E245">
        <f>HYPERLINK("https://www.indeed.com/viewjob?jk=69d36b1b25e3027c", "https://www.indeed.com/viewjob?jk=69d36b1b25e3027c")</f>
        <v/>
      </c>
      <c r="F245">
        <f>HYPERLINK("https://www.amazon.jobs/jobs/3169205/applied-scientist-alexa-smart-home?cmpid=DA_INAD200785B", "https://www.amazon.jobs/jobs/3169205/applied-scientist-alexa-smart-home?cmpid=DA_INAD200785B")</f>
        <v/>
      </c>
      <c r="G245" t="inlineStr">
        <is>
          <t>Sunnyvale, CA, US</t>
        </is>
      </c>
      <c r="H245" s="2" t="n">
        <v>46033</v>
      </c>
      <c r="I245"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46">
      <c r="A246" t="inlineStr">
        <is>
          <t>in-13c0790d0de86131</t>
        </is>
      </c>
      <c r="B246" t="inlineStr">
        <is>
          <t>Applied Scientist, Alexa Smart Home</t>
        </is>
      </c>
      <c r="C246" t="inlineStr">
        <is>
          <t>Amazon.com</t>
        </is>
      </c>
      <c r="D246" t="inlineStr">
        <is>
          <t>indeed</t>
        </is>
      </c>
      <c r="E246">
        <f>HYPERLINK("https://www.indeed.com/viewjob?jk=13c0790d0de86131", "https://www.indeed.com/viewjob?jk=13c0790d0de86131")</f>
        <v/>
      </c>
      <c r="F246">
        <f>HYPERLINK("https://www.amazon.jobs/jobs/3169205/applied-scientist-alexa-smart-home?cmpid=DA_INAD200785B", "https://www.amazon.jobs/jobs/3169205/applied-scientist-alexa-smart-home?cmpid=DA_INAD200785B")</f>
        <v/>
      </c>
      <c r="G246" t="inlineStr">
        <is>
          <t>Seattle, WA, US</t>
        </is>
      </c>
      <c r="H246" s="2" t="n">
        <v>46033</v>
      </c>
      <c r="I246"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47">
      <c r="A247" t="inlineStr">
        <is>
          <t>in-0b5739832ee1f905</t>
        </is>
      </c>
      <c r="B247" t="inlineStr">
        <is>
          <t>ML Engineer, GO-AI Technology &amp; Development Team</t>
        </is>
      </c>
      <c r="C247" t="inlineStr">
        <is>
          <t>Amazon.com</t>
        </is>
      </c>
      <c r="D247" t="inlineStr">
        <is>
          <t>indeed</t>
        </is>
      </c>
      <c r="E247">
        <f>HYPERLINK("https://www.indeed.com/viewjob?jk=0b5739832ee1f905", "https://www.indeed.com/viewjob?jk=0b5739832ee1f905")</f>
        <v/>
      </c>
      <c r="F247">
        <f>HYPERLINK("https://www.amazon.jobs/jobs/3173298/ml-engineer-goai-technology--development-team?cmpid=DA_INAD200785B", "https://www.amazon.jobs/jobs/3173298/ml-engineer-goai-technology--development-team?cmpid=DA_INAD200785B")</f>
        <v/>
      </c>
      <c r="G247" t="inlineStr">
        <is>
          <t>Westborough, MA, US</t>
        </is>
      </c>
      <c r="H247" s="2" t="n">
        <v>45998</v>
      </c>
      <c r="I247"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48">
      <c r="A248" t="inlineStr">
        <is>
          <t>in-52ad429f52ce9610</t>
        </is>
      </c>
      <c r="B248" t="inlineStr">
        <is>
          <t>ML Engineer, GO-AI Technology &amp; Development Team</t>
        </is>
      </c>
      <c r="C248" t="inlineStr">
        <is>
          <t>Amazon.com</t>
        </is>
      </c>
      <c r="D248" t="inlineStr">
        <is>
          <t>indeed</t>
        </is>
      </c>
      <c r="E248">
        <f>HYPERLINK("https://www.indeed.com/viewjob?jk=52ad429f52ce9610", "https://www.indeed.com/viewjob?jk=52ad429f52ce9610")</f>
        <v/>
      </c>
      <c r="F248">
        <f>HYPERLINK("https://www.amazon.jobs/jobs/3173298/ml-engineer-goai-technology--development-team?cmpid=DA_INAD200785B", "https://www.amazon.jobs/jobs/3173298/ml-engineer-goai-technology--development-team?cmpid=DA_INAD200785B")</f>
        <v/>
      </c>
      <c r="G248" t="inlineStr">
        <is>
          <t>Reading, MA, US</t>
        </is>
      </c>
      <c r="H248" s="2" t="n">
        <v>45998</v>
      </c>
      <c r="I248"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49">
      <c r="A249" t="inlineStr">
        <is>
          <t>in-cdad4b8794909d39</t>
        </is>
      </c>
      <c r="B249" t="inlineStr">
        <is>
          <t>ML Engineer, GO-AI Technology &amp; Development Team</t>
        </is>
      </c>
      <c r="C249" t="inlineStr">
        <is>
          <t>Amazon.com</t>
        </is>
      </c>
      <c r="D249" t="inlineStr">
        <is>
          <t>indeed</t>
        </is>
      </c>
      <c r="E249">
        <f>HYPERLINK("https://www.indeed.com/viewjob?jk=cdad4b8794909d39", "https://www.indeed.com/viewjob?jk=cdad4b8794909d39")</f>
        <v/>
      </c>
      <c r="F249">
        <f>HYPERLINK("https://www.amazon.jobs/jobs/3173298/ml-engineer-goai-technology--development-team?cmpid=DA_INAD200785B", "https://www.amazon.jobs/jobs/3173298/ml-engineer-goai-technology--development-team?cmpid=DA_INAD200785B")</f>
        <v/>
      </c>
      <c r="G249" t="inlineStr">
        <is>
          <t>Boston, MA, US</t>
        </is>
      </c>
      <c r="H249" s="2" t="n">
        <v>45998</v>
      </c>
      <c r="I249"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50">
      <c r="A250" t="inlineStr">
        <is>
          <t>in-fa52b8d52f99f038</t>
        </is>
      </c>
      <c r="B250" t="inlineStr">
        <is>
          <t>ML Engineer, GO-AI Technology &amp; Development Team</t>
        </is>
      </c>
      <c r="C250" t="inlineStr">
        <is>
          <t>Amazon.com</t>
        </is>
      </c>
      <c r="D250" t="inlineStr">
        <is>
          <t>indeed</t>
        </is>
      </c>
      <c r="E250">
        <f>HYPERLINK("https://www.indeed.com/viewjob?jk=fa52b8d52f99f038", "https://www.indeed.com/viewjob?jk=fa52b8d52f99f038")</f>
        <v/>
      </c>
      <c r="F250">
        <f>HYPERLINK("https://www.amazon.jobs/jobs/3173298/ml-engineer-goai-technology--development-team?cmpid=DA_INAD200785B", "https://www.amazon.jobs/jobs/3173298/ml-engineer-goai-technology--development-team?cmpid=DA_INAD200785B")</f>
        <v/>
      </c>
      <c r="G250" t="inlineStr">
        <is>
          <t>Seattle, WA, US</t>
        </is>
      </c>
      <c r="H250" s="2" t="n">
        <v>45998</v>
      </c>
      <c r="I250"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6"/>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li-4376804149</t>
        </is>
      </c>
      <c r="B2" t="inlineStr">
        <is>
          <t>AI Engineer</t>
        </is>
      </c>
      <c r="C2" t="inlineStr">
        <is>
          <t>GEI Consultants, Inc.</t>
        </is>
      </c>
      <c r="D2" t="inlineStr">
        <is>
          <t>linkedin</t>
        </is>
      </c>
      <c r="E2" t="inlineStr"/>
      <c r="F2" t="inlineStr"/>
      <c r="G2" t="inlineStr">
        <is>
          <t>Dallas, TX</t>
        </is>
      </c>
      <c r="H2" t="inlineStr"/>
      <c r="I2" t="inlineStr">
        <is>
          <t>**Description**
**Your role at GEI.**
 The AI Engineer is responsible for the development of AI solutions, typically leveraging pretrained models and copilots, to support GEI’s priority digital and AI initiatives. This role focuses on building, deploying, and integrating AI capabilities into business workflows in a secure, scalable, and maintainable manner.
 The AI Engineer plays a hands\-on role in active AI Solutions Factory use cases by implementing AI\-based solutions, integrating enterprise data sources, and supporting solution reliability and performance. This role works closely with solution architects and platform teams to ensure AI solutions are production\-ready, aligned with GEI standards, and capable of scaling across use cases.
**Essential Responsibilities \&amp; Duties**
* Build and deploy AI\-based solutions using pretrained models and Copilot technologies.
* Design and implement prompt flows, plugins, and orchestrations using Copilot Studio and Azure Functions.
* Integrate AI capabilities into business workflows and applications.
* Integrate enterprise data sources securely, including APIs, Graph connectors, retrieval\-augmented generation (RAG), and event\-driven patterns.
* Maintain and optimize Power BI dashboards that support AI\-enabled workflows and insights.
* Instrument AI solutions for telemetry, reliability, performance monitoring, and cost control.
* Provide technical support and troubleshooting for deployed AI solutions.
* Identify implementation risks and support mitigation strategies in collaboration with architecture and platform teams.
**Minimum Qualifications**
* 4\+ years of software engineering experience, with at least 1 year building Generative AI applications.
* Experience with Generative AI Large Language Models (LLMs), including solution development and fine\-tuning for domain\-specific tasks.
* Proficiency in at least one programming language such as Python, PySpark, R, or SQL.
* Experience delivering Generative AI (LLM) solutions, preferably on Azure.
* Familiarity with Azure AI library APIs, including GPT, Codex, and DALL·E, and other frameworks (e.g., Databricks Mosaic) for integrating Generative AI into business workflows.
* Knowledge of big data technologies such as Spark and Databricks; familiarity with TensorFlow and PyTorch is a plus.
* Knowledge of Azure cloud services, including Azure AI Platform, Azure Data Factory, Azure Synapse, and Azure Cognitive Services, and their integration with ML workflows.
* Familiarity with AI ethics, bias mitigation, explainability techniques, and responsible AI practices.
* Knowledge of security best practices for AI solutions, including data encryption, access control, and endpoint protection.
* Prior experience implementing AI/ML solutions in professional services, engineering, or construction environments is a plus.
* Azure or Databricks certifications (e.g., Azure AI Engineer Associate, Azure Solutions Architect Expert, Databricks ML Professional, Databricks Data Engineer Professional) are a plus.
**We are GEI.**
 Some of the world’s most pressing problems – from climate change to sustainable development, to critical infrastructure and the future of our energy supply – need our brightest and diverse minds working together to create safer, more resilient communities for tomorrow.
 We are technical experts, collaborators, and entrepreneurs who draw from diverse backgrounds to solve our clients’ most complex challenges.
 With several offices across North America, we offer a range of engineering, science, and technical consulting services. Our range of expertise, project types, and culture make us the choice for top talent in the AEC industry. See all our office locations here.
**Employee\-owned. Employee\-focused.**
 As an employee\-owned company, our employees support our flat leadership structure, have a say in how our business operates and benefit from our financial success. We are committed to employee growth with career development opportunities, competitive total rewards, a well\-being program, flexible work arrangements and more. Our company culture is driven by our 4 Cs – we are Client\-Centered, Curious, Collaborative, and Community Minded – which support our focus on sustainability, safety, diversity, equity and inclusion. Get to know us better by visiting GEI’s career site here.
**GEI’s Total Rewards Package Includes**
* Market\-Competitive Compensation, including Eligibility for an Annual Performance Bonus
* Pay Range For This Position: $110,000\.00– $150,000\.00/year
* Comprehensive Benefits Program, including Medical, Dental, Vision, Life, Disability and More
* Well\-Being Program and Paid Parental Leave
* Commuter Benefits
* Hybrid Work Schedules and Cell Phone Stipends
* GEI University (GEIU) with Continuing Education Assistance and Tuition Reimbursement
* Connecting Conversation Program with a Focus on Professional Development and Opportunities for Advancement
* Support and Financial Rewards for Publication Awards, Professional Dues, and Professional Licenses
* Paid Holidays and Generous Paid Time Off Program
* Rewards and Recognition
* GEI\-Funded Profit Sharing and 401(k)
* Opportunity to be an Owner and Shareholder (Learn more here)
* A Vibrant Culture that is Focused on Partnership, Sustainability, Giving Back to Our Communities and Diversity, Equity and Inclusion
* And More…
**Physical Requirements**
 WORK ENVIRONMENT
 Functional Demands:
 Sedentary
 x
 Light
 Medium
**Other**
**Activity Level Throughout Workday** 
*(check one per row)*
**Physical Activity Requirements**
**Occasional**
**(0\-35% of day)**
**Frequent**
**(33\-66% of day)**
**Continuous**
**(67\-100% of day)**
**Not Applicable**
 Sitting
 x
 Standing
 x
 Walking
 x
 Climbing
 x
 Lifting (floor to waist level)
 *(in pounds)*
 x
 Lifting (waist level and above)
 *(in pounds)*
 x
 Carrying objects
 x
 Push/pull
 x
 Twisting
 x
 Bending
 x
 Reaching forward
 x
 Reaching overhead
 x
 Squat/kneel/crawl
 x
 Wrist position deviation
 x
 Pinching/fine motor skills
 x
 Keyboard use/repetitive motion
 x
 Taste or smell (taste\=never)
 x
 Talk or hear
 x
**Accurate 20/40**
**Very Accurate 20/20**
**Not Applicable**
 Near Vision
 x
 Far Vision
 x
**Yes**
**No**
**Not Applicable**
 Color Discrimination
**Sensory Requirements**
**Minimal**
**Moderate**
**Accurate**
**Not Applicable**
 Depth perception
 x
 Hearing
 x
**Environment Requirements**
**Occupational Exposure Risk Potential**
**Reasonably Anticipated**
**Not Anticipated**
 Blood borne pathogens
 x
 Chemical
 x
 Airborne communicable diseases
 x
 Extreme temperatures
 x
 Radiation
 x
 Uneven surfaces or elevations
 x
 Extreme noise levels
 x
 Dust/particulate matter
 x
**Other (exposure risks):**
**Usual workday hours** 
 :
 x
 8
 10
 12
 Other work hours
*GEI is an AA/equal opportunity employer, including disabled and veterans.*</t>
        </is>
      </c>
    </row>
    <row r="3">
      <c r="A3" t="inlineStr">
        <is>
          <t>li-4376580793</t>
        </is>
      </c>
      <c r="B3" t="inlineStr">
        <is>
          <t>Senior Computer Vision AI/ML Engineer (TS/SCI) {S}</t>
        </is>
      </c>
      <c r="C3" t="inlineStr">
        <is>
          <t>ARKA Group, LP</t>
        </is>
      </c>
      <c r="D3" t="inlineStr">
        <is>
          <t>linkedin</t>
        </is>
      </c>
      <c r="E3" t="inlineStr"/>
      <c r="F3" t="inlineStr"/>
      <c r="G3" t="inlineStr">
        <is>
          <t>King of Prussia, PA</t>
        </is>
      </c>
      <c r="H3" t="inlineStr"/>
      <c r="I3"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This position is for a
 **Senior Computer Vision AI/ML Engineer** 
 . As a CV AI/ML Engineer, you will apply cutting\-edge AI/ML\-based Computer Vision algorithms to problems in remote sensing, including Automatic Target Recognition (ATR) and Multimodal Data Fusion for Electro\-Optical (EO) and Synthetic Aperture RADAR (SAR). You will be responsible for maturing, optimizing, and deploying these algorithms to a cloud\-hosted environment. You will also serve as a technical leader and will have the opportunity to guide a team of researchers and developers to see these algorithms from prototype to operations.
 We offer generous relocation benefits for eligible candidates.
 In support of work/life balance, many positions are available for a flexible schedule within the pay period. Ask us about the opportunity for flex scheduling if that’s of interest to you.
**Responsibilities**
 As a CV AI/ML Engineer, your responsibilities include:
* Leading a small team consisting of developers and researchers to implement AI/ML algorithms to solve computer vision problems in remote sensing
* Analyzing and pre\-processing large remote sensing datasets
* Researching supervised and unsupervised ATR solutions for remote sensing
* Researching the performance benefits of multimodal data fusion for ATR, under diverse data collection scenarios
* Training, optimizing, and deploying deep learning CV models that provide analysts with actionable insights
* Reviewing relevant publications to understand cutting edge concepts, break down key ideas to government customers, and apply to defense and commercial applications
* Writing technical documentation supporting code, program capabilities and user\-guides
**Required Qualifications**
* BS in machine learning, computer science, computer vision, mathematics, or relevant fields
* Experience leading an interdisciplinary team of researchers and software developers and working with a program manager to define project scope and schedule to ensure we meet project milestones as defined by our customers
* Experience selecting a technical AI/ML approach and then iterating/pivoting as needed to enhance performance
* Experience with Python and any of the following Python machine learning frameworks: PyTorch, TensorFlow, Keras, PyTorch Lightning, scikit\-learn / scikit\-image, and/or OpenCV
* Experience training wither convolutional\-based CV models (e.g. YOLOv3\-11, YOLOX) or transformer\-based CV models (Vision Transformer, Swin, etc.)
* Effective communicator with the ability to write and present technical reports both internally to the engineering team and externally to customers
* 5\+ years of experience, preferably in software development or as a data scientist with 3\+ years of developing/training AI/ML models
* Active TS/SCI U.S. Government Security Clearance
**Preferred Qualifications**
* MS or PhD in machine learning, computer science, computer vision, mathematics, or relevant fields
* Experience with Self\-Supervised Learning (SSL) and student\-teacher approaches (e.g., DINO, knowledge distillation, BYOL)
* Experience with applying AI/ML algorithms to Image Segmentation, Super Resolution, Image Denoising, Image Restoration, and Multi\-INT Fusion
* Experience with Graph Convolutional Networks (GCNs) and applying them to CV\-based problems
* Experience working with image processing chains for any of the following domains: SAR, EO, and OPIR
* Experience working with datasets of overhead imagery like xView, SpaceNet datasets, Functional Map of the World, xView3, MSTAR, HRSID, CAESAR, DOTA v1/v2, etc.
* Familiarity with using AWS cloud computing resources such as EC2, S3, Lambda, etc.
* Experience with version control processes and tools for code version control, data version control, and model version control
* Experience with Linux
* Experience with implementing tracking and fusion, and pattern\-of\-life algorithms
* Experience in application deployment, virtualization, and containerization
* Experience shaping and writing proposals
* Active TS/SCI with a Counter Intelligence (CI) or recent Full\-Scope Polygraph (FSP) U.S. Government Security Clearance
**Location:** 
**King of Prussia, PA**
 Situated less than an hour outside of Philadelphia and hosting the largest mall on the east coast, King of Prussia offers the urban feel sought in the city, while also giving opportunities to experience the beauty and history found only in Pennsylvania.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TS/SCI U.S. Government Security Clearance.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4">
      <c r="A4" t="inlineStr">
        <is>
          <t>li-4376800016</t>
        </is>
      </c>
      <c r="B4" t="inlineStr">
        <is>
          <t>Senior Computer Vision AI/ML Engineer (TS/SCI) {S}</t>
        </is>
      </c>
      <c r="C4" t="inlineStr">
        <is>
          <t>ARKA Group, LP</t>
        </is>
      </c>
      <c r="D4" t="inlineStr">
        <is>
          <t>linkedin</t>
        </is>
      </c>
      <c r="E4" t="inlineStr"/>
      <c r="F4" t="inlineStr"/>
      <c r="G4" t="inlineStr">
        <is>
          <t>Aurora, CO</t>
        </is>
      </c>
      <c r="H4" t="inlineStr"/>
      <c r="I4"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This position is for a
 **Senior Computer Vision AI/ML Engineer** 
 . As a CV AI/ML Engineer, you will apply cutting\-edge AI/ML\-based Computer Vision algorithms to problems in remote sensing, including Automatic Target Recognition (ATR) and Multimodal Data Fusion for Electro\-Optical (EO) and Synthetic Aperture RADAR (SAR). You will be responsible for maturing, optimizing, and deploying these algorithms to a cloud\-hosted environment. You will also serve as a technical leader and will have the opportunity to guide a team of researchers and developers to see these algorithms from prototype to operations.
 We offer generous relocation benefits for eligible candidates.
 In support of work/life balance, many positions are available for a flexible schedule within the pay period. Ask us about the opportunity for flex scheduling if that’s of interest to you.
**Responsibilities**
 As a CV AI/ML Engineer, your responsibilities include:
* Leading a small team consisting of developers and researchers to implement AI/ML algorithms to solve computer vision problems in remote sensing
* Analyzing and pre\-processing large remote sensing datasets
* Researching supervised and unsupervised ATR solutions for remote sensing
* Researching the performance benefits of multimodal data fusion for ATR, under diverse data collection scenarios
* Training, optimizing, and deploying deep learning CV models that provide analysts with actionable insights
* Reviewing relevant publications to understand cutting edge concepts, break down key ideas to government customers, and apply to defense and commercial applications
* Writing technical documentation supporting code, program capabilities and user\-guides
**Required Qualifications**
* BS in machine learning, computer science, computer vision, mathematics, or relevant fields
* Experience leading an interdisciplinary team of researchers and software developers and working with a program manager to define project scope and schedule to ensure we meet project milestones as defined by our customers
* Experience selecting a technical AI/ML approach and then iterating/pivoting as needed to enhance performance
* Experience with Python and any of the following Python machine learning frameworks: PyTorch, TensorFlow, Keras, PyTorch Lightning, scikit\-learn / scikit\-image, and/or OpenCV
* Experience training wither convolutional\-based CV models (e.g. YOLOv3\-11, YOLOX) or transformer\-based CV models (Vision Transformer, Swin, etc.)
* Effective communicator with the ability to write and present technical reports both internally to the engineering team and externally to customers
* 5\+ years of experience, preferably in software development or as a data scientist with 3\+ years of developing/training AI/ML models
* Active TS/SCI U.S. Government Security Clearance
**Preferred Qualifications**
* MS or PhD in machine learning, computer science, computer vision, mathematics, or relevant fields
* Experience with Self\-Supervised Learning (SSL) and student\-teacher approaches (e.g., DINO, knowledge distillation, BYOL)
* Experience with applying AI/ML algorithms to Image Segmentation, Super Resolution, Image Denoising, Image Restoration, and Multi\-INT Fusion
* Experience with Graph Convolutional Networks (GCNs) and applying them to CV\-based problems
* Experience working with image processing chains for any of the following domains: SAR, EO, and OPIR
* Experience working with datasets of overhead imagery like xView, SpaceNet datasets, Functional Map of the World, xView3, MSTAR, HRSID, CAESAR, DOTA v1/v2, etc.
* Familiarity with using AWS cloud computing resources such as EC2, S3, Lambda, etc.
* Experience with version control processes and tools for code version control, data version control, and model version control
* Experience with Linux
* Experience with implementing tracking and fusion, and pattern\-of\-life algorithms
* Experience in application deployment, virtualization, and containerization
* Experience shaping and writing proposals
* Active TS/SCI with a Counter Intelligence (CI) or recent Full\-Scope Polygraph (FSP) U.S. Government Security Clearance
**Pay Range: $130,000 \- $200,000**
 Your actual level and base salary will be determined on a case\-by\-case basis and may vary based on the following considerations: job\-related knowledge and skills, education, and experience.
**The application window will close in 60 days for this position.**
**Location:** 
**Aurora, CO**
 Being situated at the foot of the Rocky Mountains, Aurora provides opportunities to enjoy all the beautiful nature that Colorado has to offer, while also being a 20\-minute drive from downtown Denver and 15\-minutes to the Denver International Airport.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TS/SCI U.S. Government Security Clearance.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5">
      <c r="A5" t="inlineStr">
        <is>
          <t>li-4296328289</t>
        </is>
      </c>
      <c r="B5" t="inlineStr">
        <is>
          <t>Engineering-Vice President-AI / ML Engineering</t>
        </is>
      </c>
      <c r="C5" t="inlineStr">
        <is>
          <t>Goldman Sachs</t>
        </is>
      </c>
      <c r="D5" t="inlineStr">
        <is>
          <t>linkedin</t>
        </is>
      </c>
      <c r="E5" t="inlineStr"/>
      <c r="F5" t="inlineStr"/>
      <c r="G5" t="inlineStr">
        <is>
          <t>Jersey City, NJ</t>
        </is>
      </c>
      <c r="H5" t="inlineStr"/>
      <c r="I5" t="inlineStr">
        <is>
          <t>**Job Description**
**WHO WE ARE**
 Goldman Sachs is a leading global investment banking, securities and investment management firm that provides a wide range of services worldwide to a substantial and diversified client base that includes corporations, financial institutions, governments and high net\-worth individuals.
 Founded in 1869, it is one of the oldest and largest investment banking firms. The firm is headquartered in New York and maintains offices in London, Bangalore, Frankfurt, Tokyo, Hong Kong and other major financial centres around the world.
 We are committed to growing our distinctive Culture and holding to our core values which always place our client's interests first. These values are reflected in our Business Principles, which emphasise integrity, commitment to excellence, innovation and teamwork.
**Business Unit Overview**
**Enterprise Technology Operations (ETO)** 
 is a Business Unit within Core Engineering focused on running scalable production management services with a mandate of operational excellence and operational risk reduction achieved through large scale automation, best\-in\-class engineering, and application of data science and machine learning. The Production Runtime Experience (PRX) team in ETO applies software engineering and machine learning to production management services, processes, and activities to streamline monitoring, alerting, automation, and workflows.
**TEAM OVERVIEW** 
 The Machine Learning and Artificial Intelligence team in PRX applies advanced ML and GenAI to reduce the risk and cost of operating the firm’s large\-scale compute infrastructure and extensive application estate. Building on strengths in statistical modelling, anomaly detection, predictive modelling, and time\-series forecasting, we leverage foundational LLM Models to orchestrate multi\-agent systems for automated production management services. By unifying classical ML with agentic AI, we deliver reliable, explainable, and cost\-efficient operations at scale.
**ROLE AND RESPONSIBILITIES** 
 In this role, you will be responsible for launching and implementing GenAI agentic solutions aimed at reducing the risk and cost of managing large\-scale production environments with varying complexities. You will address various production runtime challenges by developing agentic AI solutions that can diagnose, reason, and take actions in production environments to improve productivity and address issues related to production support.
**What You’ll Do**
* Build agentic AI systems: Design and implement tool\-calling agents that combine retrieval, structured reasoning, and secure action execution (function calling, change orchestration, policy enforcement) following MCP protocol. Engineer robust guardrails for safety, compliance, and least\-privilege access.
* Productionize LLMs: Build evaluation framework for open\-source and foundational LLMs; implement retrieval pipelines, prompt synthesis, response validation, and self\-correction loops tailored to production operations.
* Integrate with runtime ecosystems: Connect agents to observability, incident management, and deployment systems to enable automated diagnostics, runbook execution, remediation, and post\-incident summarization with full traceability.
* Collaborate directly with users: Partner with production engineers, and application teams to translate production pain points into agentic AI roadmaps; define objective functions linked to reliability, risk reduction, and cost; and deliver auditable, business\-aligned outcomes.
* Safety, reliability, and governance: Build validator models, adversarial prompts, and policy checks into the stack; enforce deterministic fallbacks, circuit breakers, and rollback strategies; instrument continuous evaluations for usefulness, correctness, and risk.
* Scale and performance: Optimize cost and latency via prompt engineering, context management, caching, model routing, and distillation; leverage batching, streaming, and parallel tool\-calls to meet stringent SLOs under real\-world load.
* Build a RAG pipeline: Curate domain\-knowledge; build data\-quality validation framework; establish feedback loops and milestone framework maintain knowledge freshness.
* Raise the bar: Drive design reviews, experiment rigor, and high\-quality engineering practices; mentor peers on agent architectures, evaluation methodologies, and safe deployment patterns.
**Qualifications**
 A Bachelor’s degree (Masters/ PhD preferred) in a computational field (Computer Science, Applied Mathematics, Engineering, or in a related quantitative discipline), with 7\+ years of experience as an applied data scientist / machine learning engineer.
**Essential Skills**
* 7\+ years of software development in one or more languages (Python, C/C\+\+, Go, Java); strong hands\-on experience building and maintaining large\-scale Python applications preferred.
* 3\+ years designing, architecting, testing, and launching production ML systems, including model deployment/serving, evaluation and monitoring, data processing pipelines, and model fine\-tuning workflows.
* Practical experience with Large Language Models (LLMs): API integration, prompt engineering, finetuning/adaptation, and building applications using RAG and tool\-using agents (vector retrieval, function calling, secure tool execution).
* Understanding of different LLMs, both commercial and open source, and their capabilities (e.g., OpenAI, Gemini, Llama, Qwen, Claude).
* Solid grasp of applied statistics, core ML concepts, algorithms, and data structures to deliver efficient and reliable solutions.
* Strong analytical problem\-solving, ownership, and urgency; ability to communicate complex ideas simply and collaborate effectively across global teams with a focus on measurable business impact.
* Preferred:
 Proficiency building and operating on cloud infrastructure (ideally AWS), including containerized services (ECS/EKS), serverless (Lambda), data services (S3, DynamoDB, Redshift), orchestration (Step Functions), model serving (SageMaker), and infra\-as\-code (Terraform/CloudFormation).
**YOUR CAREER**
 Goldman Sachs is a meritocracy where you will be given all the tools to advance your career. At Goldman Sachs, you will have access to excellent training programmes designed to improve multiple facets of your skill portfolio. Our in\-house training programme, “Goldman Sachs University” offers a comprehensive series of courses that you will have access to as your career progresses. Goldman Sachs University has an impressive catalogue of courses which span technical, business and leadership skills.
**Salary Range**
 The expected base salary for this New York, New York, United States\-based position is $150000\-$250000\. In addition, you may be eligible for a discretionary bonus if you are an active employee as of fiscal year\-end.
**Benefits**
 Goldman Sachs is committed to providing our people with valuable and competitive benefits and wellness offerings, as it is a core part of providing a strong overall employee experience. A summary of these offerings, which are generally available to active, non\-temporary, full\-time and part\-time US employees who work at least 20 hours per week, can be found here .
 Same Posting Description for Internal and External Candidates</t>
        </is>
      </c>
    </row>
    <row r="6">
      <c r="A6" t="inlineStr">
        <is>
          <t>li-4376805875</t>
        </is>
      </c>
      <c r="B6" t="inlineStr">
        <is>
          <t>Junior AI Engineer</t>
        </is>
      </c>
      <c r="C6" t="inlineStr">
        <is>
          <t>Synergy ECP</t>
        </is>
      </c>
      <c r="D6" t="inlineStr">
        <is>
          <t>linkedin</t>
        </is>
      </c>
      <c r="E6" t="inlineStr"/>
      <c r="F6" t="inlineStr"/>
      <c r="G6" t="inlineStr">
        <is>
          <t>Columbia, MD</t>
        </is>
      </c>
      <c r="H6" t="inlineStr"/>
      <c r="I6" t="inlineStr">
        <is>
          <t>Founded in 2007 and headquartered in Columbia, Maryland, Synergy ECP is a leading provider of cybersecurity, software and systems engineering and IT services to the U.S. intelligence and defense communities. The company leverages its expertise in data transport solutions, software and systems engineering, and other solutions to deliver critical and innovative capabilities to high\-level decision makers that enhance our nation’s security.
 In an ultra\-competitive environment, Synergy ECP has thrived by adhering to our name, making sure excellence is displayed by our Employees, to our Customers and by Improving Performance (ECP). It’s what sets us apart, enabling us to be an autonomous yet agile business that delivers huge results—showing we’re ready to meet our customers’ evolving demands. Synergy ECP has earned a client list that includes numerous Fortune 100 companies, in addition to multiple branches of the US government and military services.
**Job Title: AI Engineer**
**Location:** 
 Hybrid (Remote/On\-Site)
**Clearance:** 
 TS (TS/SCI will be required within 6 months of hire)
**Employment Type:** 
 Full\-Time
**Reports To:** 
 COO/CTO
**Position Overview**
 Synergy ECP is seeking a motivated
 **AI Engineer** 
 to support the design, development, and deployment of AI/ML solutions in mission\-driven government environments. This role is ideal for an early\-career engineer who wants hands\-on experience building production\-grade AI systems while working within secure, compliance\-driven federal ecosystems.
 The Junior AI Engineer will contribute to model development, data engineering workflows, experimentation, and AI system integration under the guidance of senior engineers and architects.
**Key Responsibilities**
* Support development, training, and evaluation of machine learning and AI models
* Assist in building data pipelines to support model training and inference
* Work with structured and unstructured datasets (text, logs, documents, etc.)
* Contribute to experimentation frameworks and model benchmarking
* Support integration of AI capabilities into production systems and APIs
* Write clean, maintainable, and well\-documented Python code
* Participate in code reviews and collaborative engineering processes
* Assist in MLOps activities (model versioning, monitoring, CI/CD integration)
* Ensure compliance with security and governance requirements in federal environments
* Document technical approaches and support customer briefings as needed
**Required Qualifications**
* Bachelor’s or Master’s degree in Computer Science, Engineering, Data Science, Mathematics, or related technical field
* 0–3 years of experience in AI/ML, software engineering, or data engineering
* Proficiency in Python
* Experience with one or more ML libraries (e.g., PyTorch, TensorFlow, scikit\-learn)
 Familiarity with:
* Data preprocessing and feature engineering
* Model evaluation metrics
* Git\-based version control
* Understanding of basic statistics and machine learning concepts
* Strong problem\-solving skills and willingness to learn
* Ability to work in a collaborative team environment
* U.S. Citizenship (if required for federal work)
**Preferred Qualifications**
* Experience working with NLP, LLMs, or generative AI systems
* Familiarity with vector databases or embeddings
* Exposure to MLOps tools (MLflow, Docker, Kubernetes, CI/CD pipelines)
* Experience in AWS, Azure, or GovCloud environments
* Knowledge of data governance and secure development practices
* Prior internship or project experience in AI/ML
* Active security clearance (if applicable)
**What Success Looks Like In This Role**
 Within 6–12 months, the Junior AI Engineer will:
* Contribute meaningfully to at least one production AI deployment
* Demonstrate ability to independently build and evaluate ML models
* Follow secure development and data governance best practices
* Collaborate effectively with senior engineers and stakeholders
* Support mission\-driven AI solutions aligned with federal customer needs
**Why Join Synergy ECP**
* Work on high\-impact AI solutions supporting national mission priorities
* Gain hands\-on experience in secure, production AI environments
* Collaborate with senior AI and data engineering professionals
* Opportunity for rapid growth into mid\-level AI Engineer roles
* Competitive compensation and benefits
**Compensation Spotlight:**
 For this role, our typical salary range starts at $100,000 and stretches up to $135,000\. But here's the deal – we're not about capping your potential. We're committed to snapping up the best and brightest, and we're ready to put our money where our mouth is. So, if you're one of the rare exceptions to the status quo with the education, experience, and that extra something special, we're not afraid to go above and beyond to secure your talent. Because for us, it's not just about a salary. It's about the complete rewards package, the culture, and the opportunity to make a real impact.
**Taking Care of the People Who Take Care of The Nation**
 Compensation: We offer highly competitive compensation that is consistently recognized by our employees as being generous!
 Health \&amp; Retirement: We offer a comprehensive Health Benefits package and 401K Retirement plan so you can take care of yourself and your family... both now and in the future. Other health\-related benefits include People Partners who will help you navigate both personal and professional worlds, as well as strong wellness related resources offered through our healthcare provider.
 Education: Individual growth is a priority at Synergy ECP. Employees are encouraged to take advantage of our company\-sponsored continuing education program so they can get their degree or that next certification needed to propel them towards the next level. Not sure what's best for your career plans, we'll help you navigate it all!
 Work/Life Balance: A healthy work/life balance is essential for building and executing your work effectively at Synergy ECP, but it’s also necessary to allow you the room to pursue everything you want to develop in your personal life. We offer a generous Paid Time Off benefit and 11 paid holidays a year. Synergy ECP also provides flexible work options that work with your schedule and lifestyle.
 Philanthropy: With the help of our amazing employees, Synergy ECP participates annually in building awareness, volunteering and contributing to dozens of organizations. We believe that giving back creates a sense of purpose, engagement, and fulfillment. Have a cause you are passionate about? We bet you'll find others here that care about it just as much!
 Great Corporate Facilities: Come by our corporate office and enjoy a weekly happy hour, take a drive to nearby restaurants, grab a snack or coffee in our café, or utilize our collaborative office space and conference rooms.
 SkillBridge: Our SkillBridge Program takes the incredible experience our servicemembers already have and shows them how to apply it within corporate environments. We are fanatical about helping our Military!
 Synergy ECP is committed to providing equal employment opportunities to all qualified individuals. Employment decisions are based on merit, qualifications, and business needs. We do not discriminate on the basis of race, color, sex, national origin, religion, age, disability, or any other status protected by applicable law.
 We welcome candidates from all backgrounds and are dedicated to maintaining a professional and respectful workplace where every employee can succeed.</t>
        </is>
      </c>
    </row>
    <row r="7">
      <c r="A7" t="inlineStr">
        <is>
          <t>li-4275844846</t>
        </is>
      </c>
      <c r="B7" t="inlineStr">
        <is>
          <t>AI/ML Engineer</t>
        </is>
      </c>
      <c r="C7" t="inlineStr">
        <is>
          <t>Brain Co.</t>
        </is>
      </c>
      <c r="D7" t="inlineStr">
        <is>
          <t>linkedin</t>
        </is>
      </c>
      <c r="E7" t="inlineStr"/>
      <c r="F7" t="inlineStr"/>
      <c r="G7" t="inlineStr"/>
      <c r="H7" t="inlineStr"/>
      <c r="I7" t="inlineStr">
        <is>
          <t>**About Brain Co.**
 Brain Co. is an Applied AI startup founded by Elad Gil and Jared Kushner, and backed by many of Silicon Valley’s leading builders — including Patrick Collison (CEO of Stripe), Andrej Karpathy (Cofounder of OpenAI), Mike Krieger (CPO of Anthropic), Kevin Weil (CPO of OpenAI), and Aravind Srinivas (CEO of Perplexity).We are building an AI platform and applications for the world’s most important institutions \- delivering impact on real\-world problems.Our progress so far
* Automated construction permitting for a sovereign government → 80% faster, unlocking $375M\+ in value
* Optimized supply chains for a leading global energy company → 30% lower cost, 99% reliability, preventing $100M\+ in losses
* Streamlined hospital patient care across national health systems → 40% better outcomes, 80% less admin work
* Raised a $30M Series A from top investors
* Built a team of 40\+ AI experts from Tesla, Google DeepMind, NVIDIA, and Databricks
 At Brain Co., your work will be deployed in the real world, not stuck in research. We move fast, with more demand than we can serve, and are looking for exceptional people to take ownership from day one.
**About The Role**
 As an AI/ML Engineer at Brain Co., you will play a crucial role in deploying state\-of\-the\-art models to automate various real world problems in sectors such as healthcare, government and energy. Part of the role will involve turning research breakthroughs into practical solutions for various nation states. This role is your opportunity to make a significant impact by making AI technology both accessible and influential.
**In This Role, You Will**
* Innovate and Deploy: Design and deploy advanced LLM models to tackle real\-world problems, particularly in automating complex, manual processes in a range of real\-world verticals.
* Optimize and Scale: Build scalable data pipelines, optimize models for performance and accuracy, and prepare them for production. Monitor and maintain deployed models to ensure they continue delivering value across various governments worldwide.
* Make a Difference: Engage in projects including but not limited to optimizing the world's most advanced energy production systems, modernizing core government workflows, or improving patient outcomes in advanced public healthcare systems. Your work will directly impact how AI benefits individuals, businesses, and society at large.
* Engage with Leaders: interact directly with government officials in various countries and apply the first of its kind AI solutions while working alongside experienced ex. Founders, AI researchers, and software engineers to understand complex business challenges and deliver AI\-powered solutions. Join a dynamic team where ideas are exchanged freely and creativity flourishes. You will be able to wear many hats: software building, product management, sales, interpersonal skills.
* Learn and Lead: Keep abreast of the latest developments in machine learning and AI. Participate in code reviews, share knowledge, and set an example with high\-quality engineering practices.
**You Might Thrive In This Role If You**
* Hold a BSc/Master’s/PhD degree in Computer Science, Machine Learning, Data Science, or a related field.
* Have impactful industry experience building GenAI\-focused applications with the latest technologies, including but not limited to Agents, reasoning models and RAG.
* Have at least a high level familiarity with the architecture and operation of large language models.
* Have personally implemented models in common ML frameworks such as PyTorch, Jax or TensorFlow.
* Possess a strong foundation in data structures, algorithms, and software engineering principles.
* Exhibit excellent problem\-solving and analytical skills, with a proactive approach to challenges.
* Can work collaboratively with cross\-functional teams.
* Thrive in fast\-paced environments where priorities or deadlines may compete.
* Are eager to own problems end\-to\-end and willing to acquire any necessary knowledge to get the job done.
**Benefits**
* Competitive salary
* Medical, Dental, and Vision (100% Coverage)
* Paid Maternity and Paternity Leave
* 401(k)
* Daily Lunches
* Commuter Benefits
* Unlimited PTO
**Why Join Us**
* Ship quickly, iterate constantly and see your work deployed at global scale
* Collaborate with industry veterans from Tesla, DeepMind, Databricks, and more
* Accelerate your career with ownership based on impact, not tenure
* Earn competitive compensation \+ meaningful equity in a high\-growth company
* Thrive in a culture built on speed, curiosity, and impact
*If you want to see your work deployed at scale with real impact, Brain Co. is the place to build.*</t>
        </is>
      </c>
    </row>
    <row r="8">
      <c r="A8" t="inlineStr">
        <is>
          <t>li-4293940655</t>
        </is>
      </c>
      <c r="B8" t="inlineStr">
        <is>
          <t>Machine Learning Engineer, AI Assistant + Autonomous AI Agents</t>
        </is>
      </c>
      <c r="C8" t="inlineStr">
        <is>
          <t>Glean</t>
        </is>
      </c>
      <c r="D8" t="inlineStr">
        <is>
          <t>linkedin</t>
        </is>
      </c>
      <c r="E8" t="inlineStr"/>
      <c r="F8" t="inlineStr"/>
      <c r="G8" t="inlineStr"/>
      <c r="H8" t="inlineStr"/>
      <c r="I8" t="inlineStr">
        <is>
          <t>**About Glean**
 Founded in 2019, Glean is an innovative AI\-powered knowledge management platform designed to help organizations quickly find, organize, and share information across their teams. By integrating seamlessly with tools like Google Drive, Slack, and Microsoft Teams, Glean ensures employees can access the right knowledge at the right time, boosting productivity and collaboration. The company’s cutting\-edge AI technology simplifies knowledge discovery, making it faster and more efficient for teams to leverage their collective intelligence.
 Glean was born from Founder \&amp; CEO Arvind Jain’s deep understanding of the challenges employees face in finding and understanding information at work. Seeing firsthand how fragmented knowledge and sprawling SaaS tools made it difficult to stay productive, he set out to build a better way \- an AI\-powered enterprise search platform that helps people quickly and intuitively access the information they need. Since then, Glean has evolved into the leading Work AI platform, combining enterprise\-grade search, an AI assistant, and powerful application\- and agent\-building capabilities to fundamentally redefine how employees work.
**About The Role**
 Glean is looking for senior engineers who will provide expert\-level individual contributions and thought leadership to help us build the next generation of intelligent enterprise AI assistants and autonomous AI agents. We are reimagining how LLMs and agents can reason, plan, and act to solve complex, multi\-step enterprise workflows. You will work at the intersection of applied research and production engineering in areas such as agentic frameworks, LLM orchestration, low latency LLM inference and optimization, domain adapted and memory augmented LLMs, reinforcement learning, building evaluation frameworks for complex enterprise tasks. We work closely with our customers, deeply understand their pain points, and use the right mix of research\-driven and pragmatic engineering approaches to solve them.
**You Will**
* Build frameworks for LLM\-powered agents to use tools and knowledge sources effectively
* Invent new agentic architectures and signals to improve reasoning, planning, and personalization in workplace AI assistants
* Design and optimize reinforcement learning and fine\-tuning approaches to improve the quality of agentic systems
* Lead development of scalable evaluation, benchmarking, and optimization loops for agents in production
* Drive technical strategy and mentor other engineers, raising the technical bar across the team
* Write robust, maintainable, and well\-tested code that powers enterprise\-grade assistants and agents
**About You**
* 2\+ years as a Staff Engineer, Principal Engineer, or equivalent
* 5\+ years of industry experience in AI or Machine Learning Engineering
* Experience working with agentic frameworks, reinforcement learning, natural language processing, or other large systems involving machine learning
* Proven ability to design, build, and ship production\-ready systems
* Proficiency in your ML framework of choice
* Strong coding skills (Python, Go, Java, C\+\+, ...)
* Thrive in a customer\-focused, tight\-knit and cross\-functional environment \- being a team player and willing to take on whatever is most impactful for the company
* A proactive and positive attitude to lead, learn, troubleshoot, and take ownership of both small tasks and large features
**Location:**
* This role is hybrid (3\-4 days a week in one of our SF Bay Area offices)
**Compensation \&amp; Benefits**
 The standard base salary range for this position is $240,000 \- $300,000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9">
      <c r="A9" t="inlineStr">
        <is>
          <t>li-4375730513</t>
        </is>
      </c>
      <c r="B9" t="inlineStr">
        <is>
          <t>Machine Learning Engineer</t>
        </is>
      </c>
      <c r="C9" t="inlineStr">
        <is>
          <t>Meltwater</t>
        </is>
      </c>
      <c r="D9" t="inlineStr">
        <is>
          <t>linkedin</t>
        </is>
      </c>
      <c r="E9" t="inlineStr"/>
      <c r="F9" t="inlineStr"/>
      <c r="G9" t="inlineStr">
        <is>
          <t>Redwood City, CA</t>
        </is>
      </c>
      <c r="H9" t="inlineStr"/>
      <c r="I9" t="inlineStr">
        <is>
          <t>**Description**
 Meltwater, a pioneer of media intelligence and now Outside Insight, gives businesses the information advantage they need to stay ahead. More than 30,000 companies have used Meltwater’s media intelligence to stay on top of billions of online conversations and extract relevant insights to strategically manage their brands. Meltwater is dedicated to personal, global service built on the local expertise of 55 offices across six continents. Meltwater is also committed to fostering the data science ecosystem through MEST, a pan\-African entrepreneurial program and incubator, and Shack15, a global data science community.
 Our AI team is young, ambitious and focused on innovation.
 With Meltwater, we are more than 2000 people across the globe, so there is a lot going on. We believe in diversity and inclusion, and building teams with a wide variety of backgrounds and perspectives. This approach not only raises the quality of our products for our customers, but makes collaboration along the way much more fun.
 Read our underthehood blog to see which problems our engineers are solving.
 Meltwater’s Consumer Intelligence AI Team is looking for a Machine Learning Engineer to help improve the multimodal semantic layer of MIRA, our AI assistant, while also developing innovative new features that power the next generation of applied generative AI in the Consumer Intelligence industry. This includes building agentic capabilities that allow MIRA to reason across data sources, orchestrate multi\-agent/multi\-step workflows, and generate complex, use\-case driven reports for customers.
 We are looking for someone with a creative, proactive, collaborative, and innovation focused mindset. You will work alongside a team of passionate machine learning engineers driven by enthusiasm for adopting new technologies and excitement about making the difference for customers using applied AI.
 As a Machine Learning Engineer at Meltwater, you will own machine learning powered features from idea to production, working on systems that operate at massive scale. You should be comfortable with experimentation, collaboration, and real\-world impact.
**What we're looking for:**
 This role is ideal for candidates with a strong foundation in machine learning, data science, or applied research who enjoy experimentation and model\-driven problem solving and who want to translate their work into real\-world, production systems at scale. You are excited to grow your software engineering and production skills over time, while bringing strong foundations in experimentation, modeling, evaluation, and applied machine learning.
 Our team is organized over 3 objectives : innovation, research and production.
**Innovation:** 
 We leverage our AI expertise to constantly imagine new business oriented features to enhance our products.
**Research:** 
 To implement our algorithms, we need to stay up\-to\-date to the latest breakthroughs over the Machine Learning world as well as the latest frameworks.
**Production** 
 : We make a point of designing and developing our algorithms with production\-grade best practices. Scalability is our goal. The models and systems that we develop are running over billions of documents (text or image) per day.
**Responsibilities:**
* Drive the development of industrial ML projects from ideation to deployment, contributing across early prototyping, research, evaluation, and progressively to production, scalability, and monitoring with support from the team.
* Collaborate closely with product teams in their domains, building domain expertise, and leveraging ML to solve critical business problems
* Keep up\-to\-date with the latest advancements in machine learning to stay current on emerging techniques to solve novel problems
* Design, run, and iterate on machine learning experiments to improve model quality and product impact
* Develop features, online and offline evaluation metrics, and validation strategies for large\-scale ML systems
* Analyze model errors and failure modes to understand limitations, biases, and opportunities for improvement.
**What You'll Do:**
* Drive the development of new industrial level projects from ideation to deployment. This includes deep expertise in areas such as early ideation \&amp; prototyping, research, infrastructure, scalability, monitoring, and evaluation of AI systems.
* Collaborate closely with product teams in their domains, building domain expertise, and leveraging ML to solve critical business problems
* Keep up\-to\-date with the latest advancements in machine learning to stay current on emerging techniques to solve novel problems
* You’ll write efficient, well\-tested and design code, build clean systems to empower MIRA with new advanced generative AI capabilities
* Demonstrable experience with the full lifecycle of machine learning models \- from development to deployment and monitoring
* Experience building industry\-scale user\-facing ML/AI/Agentic applications
* Experience with MLOps and DevOps principles and technologies (e.g. CI/CD, Terraform, Containerization, Kubernetes)
* Experience with Information Retrieval systems in a production environment (Elasticsearch, Quickwit, Vespa, …) is a plus
**What You'll Bring:**
* 2\+ years experience applying machine learning techniques through academic, professional, or personal projects, ideally with exposure to experimentation, modeling, or applied research.
* Solid foundation in machine learning concepts such as feature engineering, model selection, training, validation, and error analysis
* Ability to write clear, well\-structured code, with motivation to grow software engineering skills and contribute to production ML systems
* Experience reasoning about metrics, tradeoffs, experiments, and uncertainty in applied ML problems
* You are comfortable learning new tools, concepts, or techniques as needed, and enjoy expanding beyond your initial area of strength.
* Advanced knowledge in a least one programming language (Python or other e.g. Rust, Scala, Java)
* Passion for AI (in particular Generative AI), with a constant drive to stay updated and ahead of the curve
* You are a team\-player, self\-learner and autonomous
* MS, PhD, or equivalent practical experience in machine learning, data science, or a related technical field
**What We Offer:**
* You will work with a team of passionate people who are always willing to help and learn from others
* You will have the opportunity to apply the most recent literature to concrete AI projects with a real impact on business
* As a growing company, we combine a startup mindset with the resources necessary to commit to exciting new initiatives. At Meltwater, everyone has an opportunity to make a difference
* Enjoy flexible paid time off that allows you to have an enhanced work\-life balance.
* Excellent medical, dental, and vision options
* 401(k) matching, life insurance, commuter benefits, and parental leave plans
* Complimentary CalmApp subscription for you and your loved ones, because mental wellness matters.
* Energetic work environment with a hybrid work style, providing the balance you need.
* Thrive within our inclusive community and seize ongoing professional development opportunities to elevate your career.
* Total compensation range for this position: $150\-200 per year (Depending on insurance)
**Where You'll Work:**
 275 Shoreline Drive
 Suite 150
 Redwood City, California 94065
**When you'll join:**
 Feb/March 2026
**Our Story**
 At Meltwater, we believe that when you have the right people in the right environment, great things happen.
 Our best\-in\-class technology empowers our
 **27,000 customers** 
 around the world to make better business decisions through data. But we can’t do that without our global team of developers, innovators, problem\-solvers, and high\-performers who embrace challenges and find new solutions for our customers.
 Our award\-winning global culture drives everything we do and creates an environment where our employees can make an impact, learn every day, feel a sense of belonging, and celebrate each other’s successes along the way.
 We are innovators at the core who see the potential in people, ideas and technologies. Together, we challenge ourselves to go big, be bold, and build best\-in\-class solutions for our customers.
 We’re proud of our diverse team of
 **2,200\+ employees** 
 in
 **50 locations** 
 across
 **25 countries** 
 around the world. No matter where you are, you’ll work with people who care about your success and get the support you need to unlock new heights in your career.
**We are Meltwater. Inspired by innovation, powered by people.**
**Our Team**
 Our AI team is young, ambitious and focused on innovation. With Meltwater, we are more than 2000 people across the globe, so there is a lot going on. We believe in diversity and inclusion, and building teams with a wide variety of backgrounds and perspectives. This approach not only raises the quality of our products for our customers, but makes collaboration along the way much more fun.
 Read our under\-the\-hood blog to see which problems our engineers are solving.
*Equal Employment Opportunity Statement*
*Meltwater is an Equal Opportunity Employer and Prohibits Discrimination and Harassment of Any Kind: At Meltwater, we are dedicated to fostering an inclusive and diverse workplace where every employee feels valued, respected, and empowered. We are committed to the principle of equal employment opportunity and strive to provide a work environment that is free from discrimination and harassment.*
*All employment decisions at Meltwater are made based on business needs, job requirements, and individual qualifications, without regard to race, color, religion or belief, gender, gender identity or expression, sexual orientation, national origin, genetics, disability, age, marital status, veteran status, or any other status protected by the applicable laws and regulations.*
*Meltwater does not tolerate discrimination or harassment of any kind, and we actively promote a culture of respect, fairness, and inclusivity. We encourage applicants of all backgrounds, experiences, and abilities to apply and join us in our mission to drive innovation and make a positive impact in the world.
 We may use AI to assist in aspects of our hiring process, such as reviewing candidate information and supporting evaluation activities. These tools are used only to assist our team through increased efficiencies. Every output continues to be reviewed by humans, and all hiring decisions are made by humans. We remain committed to evaluating candidates fairly, consistently, and in compliance with all applicable laws*</t>
        </is>
      </c>
    </row>
    <row r="10">
      <c r="A10" t="inlineStr">
        <is>
          <t>li-4345673456</t>
        </is>
      </c>
      <c r="B10" t="inlineStr">
        <is>
          <t>Machine Learning Engineer, AI Early Stage Project</t>
        </is>
      </c>
      <c r="C10" t="inlineStr">
        <is>
          <t>X, The Moonshot Factory</t>
        </is>
      </c>
      <c r="D10" t="inlineStr">
        <is>
          <t>linkedin</t>
        </is>
      </c>
      <c r="E10" t="inlineStr"/>
      <c r="F10" t="inlineStr"/>
      <c r="G10" t="inlineStr">
        <is>
          <t>Mountain View, CA</t>
        </is>
      </c>
      <c r="H10" t="inlineStr"/>
      <c r="I10" t="inlineStr">
        <is>
          <t>**About X**
 X is Alphabet’s moonshot factory with a mission of inventing and launching “moonshot” technologies that could someday make the world a radically better place. We are a diverse group of inventors and entrepreneurs who build and launch technologies that aim to improve the lives of millions, even billions, of people. Our goal: 10x impact on the world’s most intractable problems, not just 10% improvement. We approach projects that have the aspiration and riskiness of research with the speed and ambition of a startup. As an innovation engine, X focuses on repeatedly turning breakthrough\-technology ideas into the foundations for large, sustainable businesses.
**About The Team**
 We are an early\-stage project at X working to revolutionize the industrial world by making material transformation intelligent.
 Our mission is to reduce the massive waste in material harvesting and processing. This is a growing sector faced with numerous challenges including resource exhaustion, rising energy costs, and a sizable carbon footprint.
 We are building a system that combines sensing, multimodal AI, agentic digital twins, and advanced physics\-based simulation to automate the continuous optimization of complex industrial processes.
**About The Role**
 We are looking for a Machine Learning Engineer to build out the cognitive engine of our multi\-modal sensemaking platform for the industrial world. In this role, you will solve a massive translation problem by converting the messy, unstructured reality of industrial systems (P\&amp;ID diagrams, technical manuals, sensor data, and visual feeds) into structured, queryable Process Knowledge Graphs (PKGs).
 You will not just be training models. You will be architecting Agentic RAG workflows where VLMs (Vision\-Language Models) and LLMs reason together to generate digital twins. You will bridge the gap between perception (Computer Vision), real\-time sensing, and reasoning (Graph\-based logic) to create digital value from complex real\-world sources.
**How You Will Make 10x Impact**
* Build End\-to\-End Agent Workflows: You will design and implement multi\-step agentic systems where LLMs and VLMs reason over unstructured inputs, call tools, generate and execute code, and iteratively self\-correct against automated verification. You will own the full loop — from perception to structured output to validated action.
* Create Verifiable Evaluation Infrastructure:You will build evaluation systems where every agent output is automatically scored against ground truth — not with LLM\-as\-judge, but with deterministic, domain\-grounded checks. These evaluation signals will drive prompt iteration, model selection, and feed directly into RL\-based post\-training pipelines for foundation model improvement.
* Fuse Multi\-Modal Perception into Structured Knowledge: You will engineer pipelines that reconcile noisy, conflicting signals from multiple models and data sources(vision, language, documents, sensors) into unified structured representations. You will replace hand\-tuned heuristics with learned calibration, ensuring confidence scores are meaningful and actionable.
* Ship Agents to Production: You will bridge the gap between research prototypes and deployed systems operating on real partner data. You will build regression suites, implement feedback loops where human corrections become training data, and ensure systems degrade gracefully under noisy, incomplete, or adversarial inputs.
**What You Should Have**
* Bachelor's degree in Computer Science, AI, Engineering, or equivalent practical experience.
* 3\+ years of experience in software engineering and applied machine learning (Python, PyTorch, or JAX).
* Experience working with Large Language Models (LLMs) or Vision\-Language Models (VLMs) in applied settings, including prompt engineering, fine\-tuning, or RAG.
* Strong understanding of Graph data structures, Knowledge Graphs, or graph\-based reasoning, including handling unstructured real\-world data such as documents, images, scanned diagrams, and sensor feeds.
* Experience with agentic workflows (e.g., LangChain, LangGraph, AutoGen, CrewAI) where models perform multi\-step reasoning with tool use or code execution.
* A "0 to 1" mindset with the ability to thrive in ambiguity and define technical roadmaps.
**It’d Be Great If You Had These**
* Hands\-on experience building LLM\-driven code generation pipelines with function calling or tool\-use patterns where agents generate and execute code (e.g., Python, SQL, or Cypher) to interact with external environments or data stores.
* Experience implementing self\-correcting workflows where model outputs are validated programmatically and failures are fed back as context for retry.
* Strong understanding of evaluation design for generative AI systems, with emphasis on automatic, reproducible, and domain\-grounded metrics.
* Familiarity with RL applied to LLM post\-training (RLHF, RLVR), particularly using automated verifiers as reward signals.
* Experience with VLMs for document or diagram understanding, or multi\-model fusion combining vision and language outputs.
* Interest in industrial automation, physics\-based simulation, or AI for Science applications.
 The US base salary range for this full\-time position is $141,000 \- $200,000 \+ bonus \+ equity \+ benefits. Within the range, individual pay is determined by work location and additional factors, including job\-related skills, experience, and relevant education or training. Your recruiter can share more about the specific salary range for your location during the hiring process.
 Please note that the compensation details listed in US role postings reflect the base salary only, and do not include bonus, equity, or benefits.</t>
        </is>
      </c>
    </row>
    <row r="11">
      <c r="A11" t="inlineStr">
        <is>
          <t>li-4376802659</t>
        </is>
      </c>
      <c r="B11" t="inlineStr">
        <is>
          <t>Machine Learning Engineer</t>
        </is>
      </c>
      <c r="C11" t="inlineStr">
        <is>
          <t>Transflo</t>
        </is>
      </c>
      <c r="D11" t="inlineStr">
        <is>
          <t>linkedin</t>
        </is>
      </c>
      <c r="E11" t="inlineStr"/>
      <c r="F11" t="inlineStr"/>
      <c r="G11" t="inlineStr"/>
      <c r="H11" t="inlineStr"/>
      <c r="I11" t="inlineStr">
        <is>
          <t>Role Overview:
 We are seeking an experienced Machine Learning Engineer specializing in AWS Bedrock, MLflow, and advanced prompt engineering methodologies to lead the development of state\-of\-the\-art MultiModal Document Identification and Extraction solutions. In this role, you will design and fine\-tune foundation models (FMs), implement Generative AI (GenAI) strategies, and leverage advanced prompt engineering techniques for accurate and efficient multimodal document processing.
 Job Responsibilities:
 · Design, develop, and deploy scalable machine learning models using AWS Bedrock and SageMaker.
 · Implement and optimize multimodal machine learning pipelines for document identification and extraction.
 · Develop and refine advanced prompt engineering strategies, including hierarchical prompting, context\-aware prompts, and multi\-turn dialogue techniques, to enhance the performance of foundation models.
 · Manage the end\-to\-end ML lifecycle, including experiment tracking, model versioning, and deployment using MLflow.
 · Ensure robust MLOps practices, including CI/CD pipelines, model monitoring, and automated retraining workflows.
 · Optimize model inference performance and cost\-effectiveness using AWS Elastic Inference and SageMaker optimization techniques.
 · Integrate AWS Textract and Rekognition for enhanced OCR and image processing within ML workflows.
 · Collaborate with cross\-functional teams, including data scientists, cloud engineers, and business stakeholders, to align AI models with business objectives.
 · Monitor, debug, and enhance machine learning workflows for improved reliability and efficiency.
 · Stay updated on the latest advancements in AI, multimodal machine learning, and AWS technologies, and apply them to real\-world problems.
 Qualifications and Experience:
 · Extensive experience with AWS Bedrock for deploying and fine\-tuning foundation models (FMs) for multimodal applications.
 · Proficiency in Amazon SageMaker for training complex ML models, hyperparameter tuning, and scalable deployment.
 · Hands\-on experience with MLflow in AWS for experiment tracking, model versioning, and end\-to\-end ML lifecycle management.
 · Experience with AWS Lambda, API Gateway, and Step Functions for building serverless AI pipelines.
 · Familiarity with AWS Textract and Amazon Rekognition for document extraction and image recognition tasks.
 · Proficient in the utilization of Textual Models for Image Classification or other Open Source Image Classification tools.
 · Proficiency in AWS Deep Learning AMIs for rapid ML environment setup.
 · Experience with Amazon Elastic Inference for cost\-effective inference acceleration
 · Image\-Text Alignment Prompts – Creating prompts that effectively link textual and visual data for accurate information extraction.
 · Hierarchical Prompting – Designing prompts for complex document structures with nested elements.
 · Context\-Aware Prompting – Developing prompts that adapt to the semantic context of documents.
 · Visual Layout\-Aware Prompting – Crafting prompts that leverage document layout information for precise entity recognition.
 · Few\-shot and Zero\-shot Prompting – Utilizing examples to improve multimodal model performance with minimal labeled data.
 · Multi\-turn Dialogue Prompting – Implementing iterative prompts for complex document extraction scenarios.
 · Cross\-Attention Prompts – Optimizing attention mechanisms for aligning visual and textual features.
 Individual Qualities:
 · Results oriented
 · Independently reliable; performs tasks without close supervision
 · Persistent Learner showing a desire to be on the edge of new AI methodologies as it may relate to current business opportunities.
 · Organized; detail\-oriented, methodical and consistently demonstrates ability to successfully and timely complete assignments.
 · Follows\-Up; consistently performs this in a positive, proactive manner
 · Logical problem\-solving skills
 · Quality conscious; consistently demonstrates commitment to customers \&amp; quality
 · Demonstrates timeliness \&amp; urgency
 · Team work; individual contributor that works well with other team members and consistently promotes a strong team environment work ethic
 · Goal setting; sets/achieves goals and consistently demonstrates a willingness/dedication to process improvement
 · Responsible; takes responsibility for personal actions and consistently demonstrates a willingness to accept greater project responsibilities
 · Professionally candid communications
 · Focused on key success factors
 · Professional attitude; consistently demonstrates ability to accept criticism and manage the conversation appropriately
 · Street smart; can apply knowledge and life experiences in business
 · Positive attitude
 · Flexible \&amp; adaptable
 · Resourceful</t>
        </is>
      </c>
    </row>
    <row r="12">
      <c r="A12" t="inlineStr">
        <is>
          <t>li-4376592611</t>
        </is>
      </c>
      <c r="B12" t="inlineStr">
        <is>
          <t>Applied Machine Learning Engineer</t>
        </is>
      </c>
      <c r="C12" t="inlineStr">
        <is>
          <t>Superhumancy Talent Partners</t>
        </is>
      </c>
      <c r="D12" t="inlineStr">
        <is>
          <t>linkedin</t>
        </is>
      </c>
      <c r="E12" t="inlineStr"/>
      <c r="F12" t="inlineStr"/>
      <c r="G12" t="inlineStr"/>
      <c r="H12" t="inlineStr"/>
      <c r="I12" t="inlineStr">
        <is>
          <t>Job Title: Senior ML Engineer — Series C AI Infrastructure
 Description:
 About the Company We're tracking an opportunity at one of the fastest\-growing AI infrastructure companies in the industry — they build the inference platform that hundreds of companies rely on to serve production ML models at scale. Founded by core contributors to PyTorch and Google's ML platform team, they've become the go\-to infrastructure for teams that need speed, quality, and reliability.
 The Role:
 You'll serve as a bridge between cutting\-edge AI research and real\-world applications — building, fine\-tuning, and operationalizing ML models that drive measurable business value for enterprise customers.
 What You'll Do:
 Design, develop, and deploy end\-to\-end AI\-powered applications for enterprise use cases
 Build and present compelling PoCs that demonstrate the capabilities of the platform's AI technology
 Integrate and enable new ML models into the platform and client environments
 Optimize system performance, efficiency, and scalability of deployed models. Collaborate directly with the GTM team to ensure smooth integration and successful deployment of ML solutions
 What You Bring:
 4\+ years of production ML engineering experience (deployed models serving real users)
 Strong Python \+ PyTorch or TensorFlow; experience with model serving and inference optimization
 Track record building end\-to\-end ML systems — from data pipeline to production deployment
 Experience with LLMs, model fine\-tuning, and inference optimization is a strong plusThis is hands\-on production ML, not notebook prototyping.
 Customer\-facing experience or comfort working cross\-functionally with GTM teams
 BS/MS in CS, ML, or equivalent experience
 Why This Role
 Build on infrastructure used by hundreds of AI teams globally
 Work alongside the people who built PyTorch and Google Vertex AI
 High\-impact role where your work ships to production and impacts real customers</t>
        </is>
      </c>
    </row>
    <row r="13">
      <c r="A13" t="inlineStr">
        <is>
          <t>li-4376596021</t>
        </is>
      </c>
      <c r="B13" t="inlineStr">
        <is>
          <t>Adversarial Machine Learning Engineer</t>
        </is>
      </c>
      <c r="C13" t="inlineStr">
        <is>
          <t>C-Serv</t>
        </is>
      </c>
      <c r="D13" t="inlineStr">
        <is>
          <t>linkedin</t>
        </is>
      </c>
      <c r="E13" t="inlineStr"/>
      <c r="F13" t="inlineStr"/>
      <c r="G13" t="inlineStr">
        <is>
          <t>Portland, OR</t>
        </is>
      </c>
      <c r="H13" t="inlineStr"/>
      <c r="I13" t="inlineStr">
        <is>
          <t>**The Opportunity**
 We are building a dedicated AI Red Team to rigorously test and harden enterprise\-scale AI products.
 We are looking for an adversarial machine learning specialist who thinks like an attacker.
 This role focuses on identifying vulnerabilities in LLM\-driven systems, breaking model guardrails, exploiting data pathways, and stress\-testing AI deployments before they reach enterprise customers.
 This is a hands\-on technical role at the core of AI security.
**What You'll Do**
* Conduct adversarial testing across LLM and AI\-based systems
* Execute real\-world attack simulations, including:
* Prompt injection
* Jailbreaking and guardrail bypass
* Data exfiltration attempts
* Model inversion and evasion techniques
* RAG manipulation
* Develop scripts and tooling to automate attack scenarios
* Analyse model behaviour under adversarial pressure
* Identify systemic vulnerabilities in:
* APIs
* Embedding pipelines
* Vector databases
* Fine\-tuned model implementations
* Collaborate with engineering teams to validate remediation
* Document findings clearly and concisely
 You will help ensure AI systems are resilient before they are deployed at scale.
**Requirements**
**What We're Looking For**
**Core Technical Skills**
* Strong experience in adversarial ML or AI security research
* Experience working with LLM\-based systems (OpenAI, Anthropic, open\-source models, etc.)
* Deep understanding of:
* Prompt injection techniques
* Model jailbreak methodologies
* AI system exploitation vectors
* Strong Python skills
* Experience building custom attack tooling or experimentation frameworks
**AI Systems Knowledge**
* Familiarity with:
+ RAG architectures
+ Vector databases
+ Model fine\-tuning workflows
+ API\-based model deployments
+ Understanding of model safety mechanisms and guardrails
**Nice to Have**
* Background in cybersecurity or penetration testing
* Familiarity with OWASP LLM Top 10
* Experience working in enterprise environments
**Who You Are**
* Curious and relentless
* Comfortable thinking like an attacker
* Creative in finding non\-obvious vulnerabilities
* Detail\-oriented but fast\-moving
* Comfortable operating in ambiguity
* Independent but collaborative
 You don't just run test cases — you design new ones.
**Benefits**
* Comprehensive Private Medical Coverage
* Support for Mental Health Expenses
* Life Insurance Options
* Attractive Compensation Package</t>
        </is>
      </c>
    </row>
    <row r="14">
      <c r="A14" t="inlineStr">
        <is>
          <t>li-4376573959</t>
        </is>
      </c>
      <c r="B14" t="inlineStr">
        <is>
          <t>Adversarial Machine Learning Engineer</t>
        </is>
      </c>
      <c r="C14" t="inlineStr">
        <is>
          <t>C-Serv</t>
        </is>
      </c>
      <c r="D14" t="inlineStr">
        <is>
          <t>linkedin</t>
        </is>
      </c>
      <c r="E14" t="inlineStr"/>
      <c r="F14" t="inlineStr"/>
      <c r="G14" t="inlineStr">
        <is>
          <t>Las Vegas, NV</t>
        </is>
      </c>
      <c r="H14" t="inlineStr"/>
      <c r="I14" t="inlineStr">
        <is>
          <t>**The Opportunity**
 We are building a dedicated AI Red Team to rigorously test and harden enterprise\-scale AI products.
 We are looking for an adversarial machine learning specialist who thinks like an attacker.
 This role focuses on identifying vulnerabilities in LLM\-driven systems, breaking model guardrails, exploiting data pathways, and stress\-testing AI deployments before they reach enterprise customers.
 This is a hands\-on technical role at the core of AI security.
**What You'll Do**
* Conduct adversarial testing across LLM and AI\-based systems
* Execute real\-world attack simulations, including:
* Prompt injection
* Jailbreaking and guardrail bypass
* Data exfiltration attempts
* Model inversion and evasion techniques
* RAG manipulation
* Develop scripts and tooling to automate attack scenarios
* Analyse model behaviour under adversarial pressure
* Identify systemic vulnerabilities in:
* APIs
* Embedding pipelines
* Vector databases
* Fine\-tuned model implementations
* Collaborate with engineering teams to validate remediation
* Document findings clearly and concisely
 You will help ensure AI systems are resilient before they are deployed at scale.
**Requirements**
**What We're Looking For**
**Core Technical Skills**
* Strong experience in adversarial ML or AI security research
* Experience working with LLM\-based systems (OpenAI, Anthropic, open\-source models, etc.)
* Deep understanding of:
* Prompt injection techniques
* Model jailbreak methodologies
* AI system exploitation vectors
* Strong Python skills
* Experience building custom attack tooling or experimentation frameworks
**AI Systems Knowledge**
* Familiarity with:
+ RAG architectures
+ Vector databases
+ Model fine\-tuning workflows
+ API\-based model deployments
+ Understanding of model safety mechanisms and guardrails
**Nice to Have**
* Background in cybersecurity or penetration testing
* Familiarity with OWASP LLM Top 10
* Experience working in enterprise environments
**Who You Are**
* Curious and relentless
* Comfortable thinking like an attacker
* Creative in finding non\-obvious vulnerabilities
* Detail\-oriented but fast\-moving
* Comfortable operating in ambiguity
* Independent but collaborative
 You don't just run test cases — you design new ones.
**Benefits**
* Comprehensive Private Medical Coverage
* Support for Mental Health Expenses
* Life Insurance Options
* Attractive Compensation Package</t>
        </is>
      </c>
    </row>
    <row r="15">
      <c r="A15" t="inlineStr">
        <is>
          <t>li-4375712449</t>
        </is>
      </c>
      <c r="B15" t="inlineStr">
        <is>
          <t>Machine Learning Engineer</t>
        </is>
      </c>
      <c r="C15" t="inlineStr">
        <is>
          <t>Darwill</t>
        </is>
      </c>
      <c r="D15" t="inlineStr">
        <is>
          <t>linkedin</t>
        </is>
      </c>
      <c r="E15" t="inlineStr"/>
      <c r="F15" t="inlineStr"/>
      <c r="G15" t="inlineStr">
        <is>
          <t>Oakbrook Terrace, IL</t>
        </is>
      </c>
      <c r="H15" t="inlineStr"/>
      <c r="I15" t="inlineStr">
        <is>
          <t>**Overview** 
 Darwill is a nationally recognized print and marketing communications firm based in the west suburbs of Chicago. As a premier provider of complex, data\-driven marketing solutions, we help CMOs and marketing leaders drive measurable performance through advanced analytics, automation, and AI\-powered insights.
 We are seeking a Machine Learning Engineer (MLOps) to support the productionization of traditional machine learning models (e.g., propensity and segmentation models) while also building and maintaining the core data pipelines on Databricks that power our analytics and modeling platforms.
 This role is intentionally scoped for a mid\-level engineer: someone with enough experience to work independently and make sound engineering decisions, but who is still hands\-on, execution\-focused, and eager to grow. This is not an entry\-level position, and it is not a principal or architect\-level role.
**Location** 
**Chicago, IL area (Oak Brook / West Suburbs)** 
 Hybrid work model with
 **1–2 days onsite per week required** 
**Reports To** 
**VP of Data Engineering \&amp; Data Science** 
**Responsibilities / Essential Functions** 
**Data Engineering \&amp; Platform Foundations** 
* Design, build, and maintain ETL pipelines in Databricks using Spark and Delta Lake
* Independently implement data transformations, joins, and aggregations across large, multi\-source datasets
* Build and maintain data validation and quality checks to ensure reliability of downstream analytics and ML workflows
* Optimize Databricks jobs for performance, scalability, and cost efficiency
* Write and maintain clear technical documentation for data pipelines and tables
**ML Engineering \&amp; MLOps** 
* Partner closely with Data Scientists to support traditional ML model development, including feature engineering, training, validation, and deployment
* Productionize propensity, ranking, and segmentation models used in large\-scale marketing campaigns
* Build and maintain repeatable ML pipelines for training, batch scoring, and inference
* Implement model versioning, experiment tracking, and reproducibility standards
* Support model performance monitoring, drift detection, and retraining cycles
**Deployment, Monitoring \&amp; Operations** 
* Deploy data pipelines and ML workflows into production environments serving millions of records
* Implement monitoring and alerting for data and ML pipelines
* Support A/B testing and model performance evaluation in partnership with Data Science
* Troubleshoot production issues independently and collaborate effectively when escalation is needed
**GenAI (Secondary / Directional)** 
* Contribute to GenAI initiatives as capacity allows
* Stay informed on emerging AI technologies and tooling
* *(GenAI is not the primary focus of this role today.)*
**Required Qualifications** 
**Experience** 
* 3–6 years of professional experience in machine learning engineering, data engineering, or a closely related role
* Experience working in production environments with minimal day\-to\-day supervision
* Demonstrated ability to collaborate effectively with Data Scientists and translate models into production systems
**Technical Skills (Must\-Have)** 
**Data Engineering \&amp; Platform** 
* Apache Spark (PySpark, SparkSQL)
* Databricks (ETL pipelines, workflows, Delta Lake)
* Strong SQL skills (complex queries, joins, window functions, optimization)
* Experience building and maintaining scalable data pipelines
**Programming \&amp; Machine Learning** 
* Python (pandas, numpy, scikit\-learn; experience with XGBoost or LightGBM preferred)
* Feature engineering and data preparation for ML models
* Working knowledge of supervised learning models (classification, regression, ranking)
**MLOps \&amp; Production** 
* Experience deploying ML models into production
* Model versioning and experiment tracking (e.g., MLflow or similar)
* Monitoring data quality and model performance in production
* Supporting retraining and validation workflows
**Cloud \&amp; Tooling** 
* Experience with a major cloud platform (Databrick, AWS)
* Familiarity with workflow orchestration tools (Databricks Workflows or similar)
**Preferred Qualifications (Nice\-to\-Have)** 
* Experience with propensity modeling, customer segmentation, or marketing analytics
* Exposure to CI/CD concepts for data and ML pipelines
* Experience with Docker or containerized deployments
* Exposure to GenAI, LLMs, or RAG\-based systems
* Master’s degree in Computer Science, Statistics, or a related field</t>
        </is>
      </c>
    </row>
    <row r="16">
      <c r="A16" t="inlineStr">
        <is>
          <t>li-4376579730</t>
        </is>
      </c>
      <c r="B16" t="inlineStr">
        <is>
          <t>Adversarial Machine Learning Engineer</t>
        </is>
      </c>
      <c r="C16" t="inlineStr">
        <is>
          <t>C-Serv</t>
        </is>
      </c>
      <c r="D16" t="inlineStr">
        <is>
          <t>linkedin</t>
        </is>
      </c>
      <c r="E16" t="inlineStr"/>
      <c r="F16" t="inlineStr"/>
      <c r="G16" t="inlineStr">
        <is>
          <t>Boise, ID</t>
        </is>
      </c>
      <c r="H16" t="inlineStr"/>
      <c r="I16" t="inlineStr">
        <is>
          <t>**The Opportunity**
 We are building a dedicated AI Red Team to rigorously test and harden enterprise\-scale AI products.
 We are looking for an adversarial machine learning specialist who thinks like an attacker.
 This role focuses on identifying vulnerabilities in LLM\-driven systems, breaking model guardrails, exploiting data pathways, and stress\-testing AI deployments before they reach enterprise customers.
 This is a hands\-on technical role at the core of AI security.
**What You'll Do**
* Conduct adversarial testing across LLM and AI\-based systems
* Execute real\-world attack simulations, including:
* Prompt injection
* Jailbreaking and guardrail bypass
* Data exfiltration attempts
* Model inversion and evasion techniques
* RAG manipulation
* Develop scripts and tooling to automate attack scenarios
* Analyse model behaviour under adversarial pressure
* Identify systemic vulnerabilities in:
* APIs
* Embedding pipelines
* Vector databases
* Fine\-tuned model implementations
* Collaborate with engineering teams to validate remediation
* Document findings clearly and concisely
 You will help ensure AI systems are resilient before they are deployed at scale.
**Requirements**
**What We're Looking For**
**Core Technical Skills**
* Strong experience in adversarial ML or AI security research
* Experience working with LLM\-based systems (OpenAI, Anthropic, open\-source models, etc.)
* Deep understanding of:
* Prompt injection techniques
* Model jailbreak methodologies
* AI system exploitation vectors
* Strong Python skills
* Experience building custom attack tooling or experimentation frameworks
**AI Systems Knowledge**
* Familiarity with:
+ RAG architectures
+ Vector databases
+ Model fine\-tuning workflows
+ API\-based model deployments
+ Understanding of model safety mechanisms and guardrails
**Nice to Have**
* Background in cybersecurity or penetration testing
* Familiarity with OWASP LLM Top 10
* Experience working in enterprise environments
**Who You Are**
* Curious and relentless
* Comfortable thinking like an attacker
* Creative in finding non\-obvious vulnerabilities
* Detail\-oriented but fast\-moving
* Comfortable operating in ambiguity
* Independent but collaborative
 You don't just run test cases — you design new ones.
**Benefits**
* Comprehensive Private Medical Coverage
* Support for Mental Health Expenses
* Life Insurance Options
* Attractive Compensation Package</t>
        </is>
      </c>
    </row>
    <row r="17">
      <c r="A17" t="inlineStr">
        <is>
          <t>li-4375714059</t>
        </is>
      </c>
      <c r="B17" t="inlineStr">
        <is>
          <t>Junior ML Engineer</t>
        </is>
      </c>
      <c r="C17" t="inlineStr">
        <is>
          <t>Tech Consulting</t>
        </is>
      </c>
      <c r="D17" t="inlineStr">
        <is>
          <t>linkedin</t>
        </is>
      </c>
      <c r="E17" t="inlineStr"/>
      <c r="F17" t="inlineStr"/>
      <c r="G17" t="inlineStr">
        <is>
          <t>Colorado, United States</t>
        </is>
      </c>
      <c r="H17" t="inlineStr"/>
      <c r="I17" t="inlineStr">
        <is>
          <t>**Job Title:** 
 Junior ML Engineer
 **(\*\*Immediate Joining\*\*)** 
**Location:** 
 \[Anywhere in USA]
**Experience:** 
 1–3 years
**Employment Type:** 
 Full\-Time
 Are you excited about taking your technical career to new heights with a full\-time, W\-2 role as a consultant in a dynamic and rapidly growing company? If you are, let's get in touch –
 *your interest is the first step to starting the conversation.* 
**What This Role Requires:** 
* 1\-4 years of data analyst/ML/AI engineering work experience after your degree.
* Must have experience with
 both
 Python programming \&amp; SQL language developer.
* Should demonstrate experience developing end\-to\-end solutions.
* Demonstrated SQL experience.
* Additional experience with
 at least one
 : AWS, Azure or Databricks is preferred.
* Additional experience with Pyspark, AWS S3, Lambda, EC2/AZ, Data bricks, Machine learning (ML), GenAI/ Computer Vision, Theory of Probability, GitLab, R Programming, GCP \&amp; Airflow will be preferred.
**To Qualify:** 
* You should be willing to relocate anywhere in the US on a client project\-to\-project basis, as this is an
 **onsite, in\-office position** 
 .
* Strong English communication skills, both written and verbal.
* **Bachelor’s Degree** 
 in Computer Science, Information Systems, Electrical Engineering, Mathematics, or a related quantitative field. Additional relevant
 **Master’s degree** 
 is highly desirable for this role.
* **What’s In It For YOU?**
* Gain valuable, career\-enhancing experience working with our Fortune 1,000 clients.
* Receive relocation support for training and project assignments, as required.
* Enjoy comprehensive W2 employee benefits.
**Who Are We?** 
 We are a premier IT consulting firm specializing in delivering top\-tier Data Science solutions to companies across various sectors such as
 **finance, energy, e\-commerce, logistics, travel, retail, entertainment, automotive, and healthcare** 
 .</t>
        </is>
      </c>
    </row>
    <row r="18">
      <c r="A18" t="inlineStr">
        <is>
          <t>li-4318534690</t>
        </is>
      </c>
      <c r="B18" t="inlineStr">
        <is>
          <t>AI Engineer</t>
        </is>
      </c>
      <c r="C18" t="inlineStr">
        <is>
          <t>Comulate</t>
        </is>
      </c>
      <c r="D18" t="inlineStr">
        <is>
          <t>linkedin</t>
        </is>
      </c>
      <c r="E18" t="inlineStr"/>
      <c r="F18" t="inlineStr"/>
      <c r="G18" t="inlineStr">
        <is>
          <t>San Francisco, CA</t>
        </is>
      </c>
      <c r="H18" t="inlineStr"/>
      <c r="I18" t="inlineStr">
        <is>
          <t>At Comulate, we’re transforming the insurance back office with AI. Our platform, which reinvents expensive and time\-consuming accounting processes, is the first step in our vision to unlock the hundreds of billions of dollars spent on manual insurance operations.
 Our Series B, announced in early 2025, led by BOND \&amp; Workday, comes on the heels of record growth and accelerating expansion plans.
 Why you should consider joining
* Record\-setting growth, having gone from zero to 8\-figure ARR within three years of founding, representing 95th\+ percentile company growth among startups that achieve these milestones
* Strong product market fit revealed in growth and through customer love, with users describing the platform as “the best thing since sliced bread” and "life\-changing"
* Our lean, talented team is creating category\-defining products for large public and private enterprises, driving 7\-figure ROI and cash\-flow positive operations, providing the best of both worlds: outsized employee ownership and low company risk
* We're continuing to take big, ambitious first\-to\-market bets for a highly committed customer base and an exciting pipeline of new customers
* We’re in the early innings of our vision and poised to take advantage of the massive opportunity to deploy AI into core workflows throughout the insurance industry
**About The Role**
 Insurance is buried in unstructured data across documents, emails, and disparate systems. LLMs have turned this into an opportunity. We’re hiring an
 **AI Engineer** 
 to seize it by building game\-changing products.
 Who you are
* 4\+ years of experience in data science or ML/data/software engineering
* Understanding of LLM best practices across evals, RAG, fine\-tuning, and observability
* Familiarity with AI frameworks (e.g. LangChain, LlamaIndex, or similar)
* Experience releasing and maintaining production systems
* Proficiency with SQL and relational databases
* Comfortable with handling ambiguity and working in a self\-directed manner
* Curiosity about different industries and the data \+ business context within them
**Projects you might work on**
* Copilot agent to augment \+ automate natural language\-based workflows
* System to extract structured data from millions of complex, varied documents (see our early work on this here)
* Leveraging the latest advancements in browser agents to generically automate repetitive tasks for users
*For more details, see* 
*this article* 
*encapsulating the role of an AI engineer.*
 Our team \&amp; philosophy
 We’re backed by BOND, Spark Capital, Neo, and Workday, as well as founders/executives from Brex, Asana, Plaid, Applied Intuition, Coalition, and more.
 Our team hails from companies like Airbnb, Google, Brex, and LiveRamp and we’re fairly low\-profile: focusing the majority of our energy on delivering for customers and building a category\-defining company.
 We’re hiring predominantly in San Francisco 🌁, as we believe in\-person collaboration is strategically important for a company at our stage — both for velocity and company culture.
**Benefits**
* Competitive base salary and generous equity
* Generous medical, dental, and vision benefits
* 401K plan enrollment
* Flexible time\-off policy
* Lunch \&amp; dinner every day
* Paid parental leave
* Company outings and offsites
* (and more benefits as we grow!)
*Comulate is proud to be an equal opportunity employer. We are committed to building a diverse and inclusive culture that celebrates authenticity. We do not discriminate on the basis of race, religion, color, national origin, gender, gender identity, sexual orientation, age, marital status, disability, protected veteran status, or any other legally protected characteristics.*
 Compensation Range: $160K \- $240K</t>
        </is>
      </c>
    </row>
    <row r="19">
      <c r="A19" t="inlineStr">
        <is>
          <t>li-4375729447</t>
        </is>
      </c>
      <c r="B19" t="inlineStr">
        <is>
          <t>Machine Learning Engineer 50</t>
        </is>
      </c>
      <c r="C19" t="inlineStr">
        <is>
          <t>Adobe</t>
        </is>
      </c>
      <c r="D19" t="inlineStr">
        <is>
          <t>linkedin</t>
        </is>
      </c>
      <c r="E19" t="inlineStr"/>
      <c r="F19" t="inlineStr"/>
      <c r="G19" t="inlineStr">
        <is>
          <t>San Jose, CA</t>
        </is>
      </c>
      <c r="H19" t="inlineStr"/>
      <c r="I19" t="inlineStr">
        <is>
          <t>**The Opportunity**
 Adobe Journey Optimizer B2B is redefining how enterprises engage buying groups through AI\-powered customer journey orchestration. We're building intelligent systems that understand complex B2B buyer behavior, predict intent signals across accounts, and deliver hyper\-personalized experiences at every touchpoint—from first awareness through closed revenue.
 We are looking for a Machine Learning Engineer \&amp; Architect to join our AI and Agents team, define and own the ML architecture vision for our B2B journey orchestration platform. In this role, you'll shape how thousands of B2B enterprises leverage AI to transform pipeline generation, accelerate deal velocity, and drive measurable revenue impact. Your architecture decisions will power billions of personalized interactions annually, directly influencing how marketing and sales teams identify, engage, and convert buying committees.
**What You'll Do With Us**
* You'll train and finetune ML models that solve business use cases and handle data at scale.
* We'll work together to architect and optimize end\-to\-end ML pipelines, ensuring they're scalable, efficient, and robust.
* You'll dive deep into data to recommend the right models, evaluation metrics, and governance approaches.
* Provide hands\-on technical leadership, guiding engineers through architecture, building, implementation, and established guidelines.
* Work across organizational boundaries to align priorities and drive projects forward.
* Throughout the product lifecycle, you'll engage in architecture, design, deployment, and production operations of ML models and systems
**What will help you thrive:**
* 10\+ years of proven experience in machine learning with successful delivery of ML projects, and 3\+ years of hands\-on experience working with generative AI technologies such as LLMs, evaluations, fine\-tuning, and more.
* Your strong Python and deep learning engineering skills, paired with experience in training and inferencing with PyTorch or TensorFlow/JAX, will be essential.
* Experience with post\-training techniques such as fine\-tuning, alignment or distillation.
* Knowledge of deployment tools like Docker, ML Ops, and ML services is valuable, and experience with cloud platforms like Azure and AWS is a plus.
* Your strong verbal and written communication skills and success in multi\-functional team environments will help us all succeed together.
**Ways to Stand Out**
* You bring hands\-on experience with retrieval\-augmented generation (RAG), semantic embeddings, agentic AI workflows, and ML inference systems for personalization or recommendation use cases
* You have published research, contributed to open\-source ML projects, or hold patents in AI/ML domains
* You have experience with Adobe Experience Platform, Marketo Engage, or Journey Optimizer—understanding how ML integrates with enterprise customer data infrastructure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**Expected Pay Range:**
 Our compensation reflects the cost of labor across several  U.S. geographic markets, and we pay differently based on those defined markets. The U.S. pay range for this position is $172,500 \-\- $306,625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$211,800 \- $306,625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t>
        </is>
      </c>
    </row>
    <row r="20">
      <c r="A20" t="inlineStr">
        <is>
          <t>li-4334758069</t>
        </is>
      </c>
      <c r="B20" t="inlineStr">
        <is>
          <t>AI/ML Engineer</t>
        </is>
      </c>
      <c r="C20" t="inlineStr">
        <is>
          <t>fullthrottle.ai®</t>
        </is>
      </c>
      <c r="D20" t="inlineStr">
        <is>
          <t>linkedin</t>
        </is>
      </c>
      <c r="E20" t="inlineStr"/>
      <c r="F20" t="inlineStr"/>
      <c r="G20" t="inlineStr"/>
      <c r="H20" t="inlineStr"/>
      <c r="I20" t="inlineStr">
        <is>
          <t>AI/ML Engineer, Fullthrottle.ai
 We are Fullthrottle.ai, a forward\-thinking SaaS company that’s all about helping businesses accelerate their growth with cutting\-edge AI technology. As a startup, we've got a "go get 'em" mentality, and we're looking for like\-minded people who want to build something incredible. We operate as a distributed, fully remote team and follow an Agile/Scrum framework to stay nimble and get things done.
 The Role
 As our AI/ML Engineer, you will develop, deploy, and optimize AI services, multi\-agent systems, and AI/ML models, focusing on delivering model quality, consistency, and performance across the Fullthrottle,ai platform. You’ll work hands\-on within the AWS AI toolset, AWS Bedrock, the latest agentic AI frameworks, Retrieval\-Augmented Generation (RAG) pipelines, and AWS AI services to drive innovation and reliability in our AI solutions.
 You will play a pivotal role in implementing AI features, multi\-agent orchestration, designing prompt engineering workflows, Machine Learning features, fine\-tuning foundation models, and integrating robust guardrails for compliance and quality.
 Key Responsibilities
* AI Features: Develop and deliver our platform’s AI Features via AWS Cloud AI functions and services.
* Multi\-Agent Orchestration: Implement multi\-agent orchestration using agentic AI frameworks.
* RAG Pipeline Development: Build and optimize Retrieval\-Augmented Generation (RAG) pipelines for scalable, high\-quality outputs.
* Prompt Engineering: Design prompt engineering workflows to ensure consistent and reliable model outputs.
* Model Evaluation \&amp; Tuning: Evaluate and fine\-tune Bedrock foundation models (Claude, Titan, etc.) for optimal performance.
* Compliance \&amp; Guardrails: Integrate model guardrails to ensure compliance and maintain high standards of quality and reliability.
**Required Qualifications**
* Experience: Minimum 2\+ years of hands\-on experience developing and deploying AI/ML services in production environments.
* Technical Expertise: Expert\-level Python and AWS SDK (boto3\) skills.
* AWS AI Services: Hands\-on experience with Bedrock, Knowledge Bases, and SageMaker.
* Production AI Deployment: Proven experience deploying AI features/services and ML models to production environments.
* Debugging \&amp; Optimization: Strong debugging, data engineering, and prompt optimization skills.
* Education/Certifications: Bachelor’s degree in Computer Science, Data Science, or a related field. Relevant certifications in AI/ML or AWS are a plus.
* Collaboration: Ability to work effectively in cross\-functional teams and communicate technical concepts to non\-technical stakeholders.
 You're Not a Fit If...
* You haven’t previously developed and deployed AI/ML services in production environments.
* You prefer a slow\-moving environment and are not comfortable with the pace of a startup.
* You prefer to react to problems rather than plan ahead strategically.
* You do not want to be hands\-on with the technical details of the role.
 Our Core Principles
* We're a team that believes in big ideas and fast execution, adopting a "crawl, walk, run" approach to innovation. We're looking for someone who embodies these principles:
* Customer Centricity: We always put our customers first.
* Growth Mindset: We are constantly learning and evolving.
* Accountability \&amp; Integrity: We take ownership and act with honesty.
* Collaboration \&amp; Humility: We work together and value every voice.
* Open Communication: We believe in transparency and direct feedback.
 If you are a proactive AI engineer with a passion for building and optimizing advanced AI/ML systems, we want to hear from you. This is an opportunity to make a real impact at a dynamic and growing company.</t>
        </is>
      </c>
    </row>
    <row r="21">
      <c r="A21" t="inlineStr">
        <is>
          <t>li-4376557700</t>
        </is>
      </c>
      <c r="B21" t="inlineStr">
        <is>
          <t>ML Engineer</t>
        </is>
      </c>
      <c r="C21" t="inlineStr">
        <is>
          <t>Wiraa</t>
        </is>
      </c>
      <c r="D21" t="inlineStr">
        <is>
          <t>linkedin</t>
        </is>
      </c>
      <c r="E21" t="inlineStr"/>
      <c r="F21" t="inlineStr"/>
      <c r="G21" t="inlineStr"/>
      <c r="H21" t="inlineStr"/>
      <c r="I21" t="inlineStr">
        <is>
          <t>**About The Company**
 Waymo is a pioneering autonomous driving technology company dedicated to transforming mobility and enhancing safety on the roads. Originating from the Google Self\-Driving Car Project in 2009, Waymo has established itself as a leader in developing self\-driving solutions that aim to be the most trusted driver in the world. The company’s core mission is to improve access to mobility while significantly reducing traffic\-related fatalities. The Waymo Driver, the company’s flagship autonomous driving system, powers its fully autonomous ride\-hail service and is adaptable to various vehicle platforms and applications. With over ten million rider\-only trips completed and more than 100 million miles driven autonomously on public roads across multiple states, Waymo continues to push the boundaries of autonomous technology through extensive real\-world testing and simulation.
**About The Role**
 We are seeking a talented and experienced Machine Learning Engineer to join our Mapping team. In this role, you will be instrumental in designing, training, and deploying machine learning models that automate the creation of high\-definition maps critical for safe autonomous driving. Your work will directly impact the scalability and reliability of Waymo’s mapping infrastructure, enabling the Waymo Driver to operate efficiently across diverse environments. You will leverage cutting\-edge ML techniques, including Vision\-Language Models and Generative AI, to innovate solutions in mapping automation. This position offers the opportunity to collaborate with cross\-functional teams, including perception and foundational AI teams, to translate research into production\-grade systems. Your expertise will help refine the mapping process, ensuring the safety and robustness of autonomous navigation at scale.
**Qualifications**
* 4\+ years of hands\-on experience in Machine Learning, with a focus on computer vision and deep learning
* Proficiency in at least one major deep learning framework such as TensorFlow, PyTorch, or JAX
* Strong understanding of model development lifecycle, including data mining, processing, training, evaluation, and deployment
* B.S. degree in Computer Science, Engineering, or a related technical field, or equivalent practical experience
* Experience working across systems to deliver end\-to\-end ML solutions
**Responsibilities**
* Design, train, and deploy machine learning models to automate the creation of high\-resolution maps for autonomous driving applications
* Apply advanced ML techniques, including Vision\-Language Models and Generative AI, to enhance mapping automation processes
* Manage the complete lifecycle of model development, from data collection and processing to validation and production deployment
* Collaborate with cross\-functional teams such as perception and foundational AI teams to integrate research into scalable solutions
* Continuously improve model accuracy, efficiency, and robustness to support autonomous vehicle navigation in diverse environments
* Contribute to the development of infrastructure for storing, processing, and distributing map data effectively
**Benefits**
* Competitive salary package within the range of $204,000 to $259,000 USD
* Participation in Waymo’s discretionary annual bonus program and equity incentive plan
* Comprehensive health, dental, and vision insurance coverage
* Generous paid time off and flexible work arrangements
* Opportunities for professional growth and development in a cutting\-edge technology environment
* Access to innovative projects and collaboration with industry\-leading experts
 Equal Opportunity
 Waymo is an equal opportunity employer committed to fostering an inclusive and diverse workplace. We welcome applicants of all backgrounds, regardless of race, gender, age, religion, sexual orientation, disability, or any other characteristic protected by law. We believe that a diverse team enhances our innovation and success and are dedicated to providing equal employment opportunities to all candidates.</t>
        </is>
      </c>
    </row>
    <row r="22">
      <c r="A22" t="inlineStr">
        <is>
          <t>li-4376571148</t>
        </is>
      </c>
      <c r="B22" t="inlineStr">
        <is>
          <t>Machine Learning Engineer</t>
        </is>
      </c>
      <c r="C22" t="inlineStr">
        <is>
          <t>Wiraa</t>
        </is>
      </c>
      <c r="D22" t="inlineStr">
        <is>
          <t>linkedin</t>
        </is>
      </c>
      <c r="E22" t="inlineStr"/>
      <c r="F22" t="inlineStr"/>
      <c r="G22" t="inlineStr"/>
      <c r="H22" t="inlineStr"/>
      <c r="I22" t="inlineStr">
        <is>
          <t>**About The Company**
 Shippo is a pioneering technology company dedicated to transforming the logistics and shipping landscape for e\-commerce merchants worldwide. Our vision is to be the shipping layer of the internet, providing seamless, reliable, and scalable shipping solutions that empower businesses of all sizes to succeed. We aim to build the backbone of global e\-commerce by connecting merchants to carriers through a unified API and intuitive dashboard, simplifying complex logistics processes. As a remote\-first and globally distributed team, we foster a culture of trust, autonomy, and innovation, leveraging diverse perspectives across continents, cultures, and time zones. Our commitment to investing in modern, scalable technology enables our teams to build, ship, and iterate confidently, ensuring our solutions meet the evolving needs of our customers. At Shippo, every team member plays a vital role in shaping infrastructure that powers global commerce and makes shipping more accessible and efficient for businesses everywhere.
**About The Role**
 The Principal Machine Learning Engineer, ML Platform at Shippo will be a key driver in expanding and optimizing our machine learning capabilities. This role involves building and maintaining a robust, scalable, and vendor\-agnostic ML platform that accelerates the development, testing, deployment, and operation of ML models. The successful candidate will set the technical strategy and lead the design and implementation of core platform components, including ML lifecycle management, model serving, observability, and developer experience enhancements. They will collaborate closely with Data Science, Data Engineering, and Software Engineering teams to ensure the platform supports real\-world workflows, drives adoption, and maintains high reliability standards. This role requires a strategic thinker with deep expertise in ML systems, Kubernetes, and production infrastructure, capable of guiding cross\-team architecture decisions and establishing engineering standards across the organization. The principal engineer will mentor team members, influence technical direction, and contribute to the continuous improvement of our ML ecosystem, ultimately enabling faster, more reliable ML\-driven features that enhance our shipping solutions and customer experience.
**Qualifications**
* 15\+ years of software engineering experience, including ownership of production systems such as platforms, infrastructure, or distributed systems.
* 4\+ years of end\-to\-end ownership of ML systems in production environments, including on\-call responsibilities and incident management.
* Strong expertise in building and operating services on Kubernetes, including deployment, autoscaling, and observability practices.
* Hands\-on experience with ML lifecycle tooling such as MLflow or equivalent, including experiment tracking, model registry, and promotion workflows.
* Proven ability to evaluate inference tradeoffs across batch and real\-time serving, considering latency, throughput, cost, and operational complexity.
* Demonstrated technical leadership at the principal level, with experience setting strategic direction, leading cross\-team initiatives, and delivering multi\-quarter roadmaps.
* Experience ensuring reliability and operational excellence through SLOs, incident response, and performance improvements.
* Ability to ship incrementally, prioritize reliability, and drive platform adoption through pragmatic design.
* Experience working with or evaluating managed ML platforms such as Databricks, SageMaker, or Vertex AI, with sound judgment on build\-vs\-buy decisions.
**Responsibilities**
* Define and execute the technical strategy and multi\-quarter roadmap for the ML platform aligned with business priorities.
* Lead cross\-team architecture decisions, RFCs, and design reviews for ML lifecycle and inference workflows.
* Build and maintain core ML platform components, including experiment tracking, model registry, reproducibility tools, and CI/CD pipelines.
* Develop standardized environments, reusable pipelines, and evaluation harnesses to enable data scientists to transition seamlessly from exploration to production.
* Implement Kubernetes\-native model serving solutions for real\-time inference, ensuring safe rollouts, autoscaling, and cost management.
* Design and operate batch inference and scoring pipelines with repeatable backfills, retraining triggers, and consistent packaging.
* Establish observability practices for ML systems, including service health metrics, alerting, and data/model quality signals such as drift detection.
* Enhance developer experience through templates, documentation, reference implementations, and self\-service workflows.
* Evaluate inference frameworks and deployment patterns, documenting tradeoffs to inform architecture choices.
* Identify and resolve performance bottlenecks across the inference stack, optimizing model runtime, compute utilization, and network efficiency.
* Establish and uphold engineering standards for training, evaluation, testing, model packaging, CI/CD, and incident response.
* Partner with Data Science teams to develop repeatable frameworks, standards for code quality, and deployment pathways for models.
* Collaborate with Data and Engineering teams to support real workflows, drive platform adoption, and ensure system reliability.
* Mentor engineers through design reviews, architecture guidance, and sharing best practices across platform and ML development teams.
**Benefits**
* Comprehensive healthcare coverage for medical, dental, and vision plans, with 90% covered by the company, including dependents.
* Pets coverage options available.
* Flexible vacation policy and working hours to promote work\-life balance.
* One\-week company\-wide winter slowdown for rest and rejuvenation.
* Home office setup stipend to support remote work environment.
* Charity donation matching up to $100\.
* Dedicated programs, coaching, tools, and resources for professional and career development, including an individual learning stipend.
* Regular team and company off\-sites through our Shippos Everywhere program to foster team bonding and collaboration.
 Equal Opportunity
 We are proud to be an equal opportunity workplace and is committed to equal employment opportunity regardless of race, color, ancestry, religion, sex, national origin, sexual orientation, age, citizenship, marital status, disability, gender identity, veteran status, or any other basis protected by federal, state, or local law.</t>
        </is>
      </c>
    </row>
    <row r="23">
      <c r="A23" t="inlineStr">
        <is>
          <t>li-4375709726</t>
        </is>
      </c>
      <c r="B23" t="inlineStr">
        <is>
          <t>Machine Learning Engineer</t>
        </is>
      </c>
      <c r="C23" t="inlineStr">
        <is>
          <t>Emonics LLC</t>
        </is>
      </c>
      <c r="D23" t="inlineStr">
        <is>
          <t>linkedin</t>
        </is>
      </c>
      <c r="E23" t="inlineStr"/>
      <c r="F23" t="inlineStr"/>
      <c r="G23" t="inlineStr">
        <is>
          <t>Los Angeles, CA</t>
        </is>
      </c>
      <c r="H23" t="inlineStr"/>
      <c r="I23" t="inlineStr">
        <is>
          <t>Job description
 About the role
 We are hiring an ML Engineer to help build and deploy practical AI solutions. You will work with structured and unstructured data, train and evaluate models, and help integrate AI into real applications.
 What you will do
 • Support development of AI models for classification, recommendation, forecasting, or NLP tasks
 • Prepare datasets, perform feature engineering, and run experiments
 • Evaluate model performance and help improve accuracy, latency, and robustness
 • Assist with deploying models into production environments (APIs, batch jobs, pipelines)
 • Collaborate with software engineers, data engineers, and product teams
 What you are looking for
 • Bachelor’s or Master’s degree in CS, Data Science, AI/ML, Statistics, or related field
 • Strong Python foundation
 • Familiarity with ML basics (supervised/unsupervised learning, evaluation metrics)
 • Experience with common libraries (NumPy, pandas, scikit\-learn)
 • Clear communication and curiosity
 Nice to have
 • Exposure to deep learning (PyTorch or TensorFlow)
 • Understanding of model deployment (FastAPI/Flask, Docker)
 • Cloud fundamentals (AWS/GCP/Azure) and basic MLOps concepts</t>
        </is>
      </c>
    </row>
    <row r="24">
      <c r="A24" t="inlineStr">
        <is>
          <t>li-4375720495</t>
        </is>
      </c>
      <c r="B24" t="inlineStr">
        <is>
          <t>Machine Learning Engineer</t>
        </is>
      </c>
      <c r="C24" t="inlineStr">
        <is>
          <t>Emonics LLC</t>
        </is>
      </c>
      <c r="D24" t="inlineStr">
        <is>
          <t>linkedin</t>
        </is>
      </c>
      <c r="E24" t="inlineStr"/>
      <c r="F24" t="inlineStr"/>
      <c r="G24" t="inlineStr">
        <is>
          <t>Boston, MA</t>
        </is>
      </c>
      <c r="H24" t="inlineStr"/>
      <c r="I24" t="inlineStr">
        <is>
          <t>Entry\-Level ML Engineer
 Location: United States
 Job Type: Full\-Time
 Experience Level: Entry\-Level / Fresher
 Job Summary
 We are looking for an Entry\-Level Machine Learning Engineer to help design and deploy scalable ML models. You will work closely with data scientists and engineers to bring machine learning solutions into production.
 Key Responsibilities
 Assist in building and training machine learning models
 Prepare and clean datasets for model development
 Evaluate model performance and fine\-tune algorithms
 Support deployment of ML models into production environments
 Monitor and maintain model performance
 Required Qualifications
 Bachelor’s degree in Computer Science, Data Science, Statistics, or related field
 Knowledge of supervised and unsupervised learning techniques
 Proficiency in Python and ML libraries (scikit\-learn, TensorFlow, PyTorch)
 Basic understanding of data structures and algorithms
 Preferred Qualifications
 Internship or hands\-on ML projects
 Familiarity with SQL and data manipulation
 Understanding of MLOps fundamentals</t>
        </is>
      </c>
    </row>
    <row r="25">
      <c r="A25" t="inlineStr">
        <is>
          <t>li-4375726372</t>
        </is>
      </c>
      <c r="B25" t="inlineStr">
        <is>
          <t>AI Engineer</t>
        </is>
      </c>
      <c r="C25" t="inlineStr">
        <is>
          <t>Emonics LLC</t>
        </is>
      </c>
      <c r="D25" t="inlineStr">
        <is>
          <t>linkedin</t>
        </is>
      </c>
      <c r="E25" t="inlineStr"/>
      <c r="F25" t="inlineStr"/>
      <c r="G25" t="inlineStr">
        <is>
          <t>San Francisco, CA</t>
        </is>
      </c>
      <c r="H25" t="inlineStr"/>
      <c r="I25" t="inlineStr">
        <is>
          <t>Job description
 About the role
 We are hiring an AI Engineer to help build and deploy practical AI solutions. You will work with structured and unstructured data, train and evaluate models, and help integrate AI into real applications.
 What you will do
 • Support development of AI models for classification, recommendation, forecasting, or NLP tasks
 • Prepare datasets, perform feature engineering, and run experiments
 • Evaluate model performance and help improve accuracy, latency, and robustness
 • Assist with deploying models into production environments (APIs, batch jobs, pipelines)
 • Collaborate with software engineers, data engineers, and product teams
 What you are looking for
 • Bachelor’s or Master’s degree in CS, Data Science, AI/ML, Statistics, or related field
 • Strong Python foundation
 • Familiarity with ML basics (supervised/unsupervised learning, evaluation metrics)
 • Experience with common libraries (NumPy, pandas, scikit\-learn)
 • Clear communication and curiosity
 Nice to have
 • Exposure to deep learning (PyTorch or TensorFlow)
 • Understanding of model deployment (FastAPI/Flask, Docker)
 • Cloud fundamentals (AWS/GCP/Azure) and basic MLOps concepts</t>
        </is>
      </c>
    </row>
    <row r="26">
      <c r="A26" t="inlineStr">
        <is>
          <t>li-4375725346</t>
        </is>
      </c>
      <c r="B26" t="inlineStr">
        <is>
          <t>AI Engineer</t>
        </is>
      </c>
      <c r="C26" t="inlineStr">
        <is>
          <t>Emonics LLC</t>
        </is>
      </c>
      <c r="D26" t="inlineStr">
        <is>
          <t>linkedin</t>
        </is>
      </c>
      <c r="E26" t="inlineStr"/>
      <c r="F26" t="inlineStr"/>
      <c r="G26" t="inlineStr">
        <is>
          <t>New York, United States</t>
        </is>
      </c>
      <c r="H26" t="inlineStr"/>
      <c r="I26" t="inlineStr">
        <is>
          <t>Entry\-Level AI Engineer
 Location: United States
 Job Type: Full\-Time
 Experience Level: Entry\-Level / Fresher
 Job Summary
 We are seeking a motivated Entry\-Level AI Engineer to join our team. This role is ideal for recent graduates passionate about artificial intelligence, machine learning, and automation. You will work alongside senior engineers to design, develop, and deploy AI\-driven solutions.
 Key Responsibilities
 Assist in developing and implementing AI models and algorithms
 Support data preprocessing, model training, and evaluation
 Collaborate with cross\-functional teams to integrate AI solutions
 Conduct research on emerging AI technologies and tools
 Debug, test, and optimize AI applications
 Document development processes and results
 Required Qualifications
 Bachelor’s degree in Computer Science, Artificial Intelligence, Data Science, or related field
 Basic understanding of machine learning and deep learning concepts
 Proficiency in Python
 Familiarity with TensorFlow, PyTorch, or similar frameworks
 Strong analytical and problem\-solving skills
 Preferred Qualifications
 Internship or academic project experience in AI/ML
 Knowledge of NLP or computer vision
 Experience with cloud platforms (AWS, Azure, or GCP)</t>
        </is>
      </c>
    </row>
    <row r="27">
      <c r="A27" t="inlineStr">
        <is>
          <t>li-4372232413</t>
        </is>
      </c>
      <c r="B27" t="inlineStr">
        <is>
          <t>Senior Applied AI Engineer</t>
        </is>
      </c>
      <c r="C27" t="inlineStr">
        <is>
          <t>DeepRec.ai</t>
        </is>
      </c>
      <c r="D27" t="inlineStr">
        <is>
          <t>linkedin</t>
        </is>
      </c>
      <c r="E27" t="inlineStr"/>
      <c r="F27" t="inlineStr"/>
      <c r="G27" t="inlineStr">
        <is>
          <t>Palo Alto, CA</t>
        </is>
      </c>
      <c r="H27" t="inlineStr"/>
      <c r="I27" t="inlineStr">
        <is>
          <t>Senior Applied AI Engineer (End\-to\-End ML)
**Location:** 
 Palo Alto, CA (Hybrid )
**Role Type:** 
 Full\-Time / Permanent
 Summary
 Our client, a pioneering HealthTech AI firm in the Bay Area, is seeking a high\-calibre
 **Applied AI Engineer** 
 to bridge the gap between advanced Machine Learning and robust Software Engineering. This is an end\-to\-end ownership role: you will be responsible for designing the logic, building the architecture, and deploying the final services.
 Core Responsibilities
* **Architect AI Workflows:** 
 Design and implement sophisticated agentic workflows and automation sequences that power clinical decision\-making.
* **System Design \&amp; Integration:** 
 Build the backend infrastructure, scalable REST APIs, and data services required to support high\-concurrency AI applications.
* **Rapid Deployment:** 
 Maintain a high\-velocity shipping cycle, moving from prototype to production\-grade implementation in days.
* **Model Orchestration:** 
 Select, fine\-tune, and evaluate the performance of various LLMs (including OpenAI, Anthropic, and open\-source models) for specific healthcare tasks.
* **Full\-Stack ML:** 
 Own the pipeline from data ingestion and time\-series forecasting to real\-time classification and model monitoring.
 Technical Profile
* **Computer Science Mastery:** 
 Expert knowledge of algorithms, data structures, and distributed systems.
* **Software\-Heavy Background:** 
 Professional\-grade Python skills. You should be comfortable with software design patterns, testing, and CI/CD.
* **Machine Learning Fundamentals:** 
 \* Deep understanding of
 **Core ML topics** 
 : classification, regression, and clustering.
* Specific experience in
 **Time Series Forecasting** 
 and temporal data analysis.
* Proficiency in
 **Generative AI** 
 : RAG architectures, prompt optimization, and agent frameworks.
* **Infrastructure:** 
 Experience deploying services to cloud environments (GCP preferred) and a solid grasp of MLOps and pipeline automation.
* **Education:** 
 BS in Computer Science or related field \+ 4 years of experience, or an MS \+ 2 years of experience.
 Cultural Fit
* **Startup Agility:** 
 You possess the "scrappiness" to solve problems with limited resources but the rigor to ensure those solutions are enterprise\-grade.
* **The "Generalist" Mindset:** 
 You enjoy working across the entire stack and are not afraid to dive into data engineering or infrastructure when needed.
* **Mission\-Oriented:** 
 You are motivated by the prospect of using AI to significantly improve patient outcomes and healthcare efficiency.
 What’s Offered
 Our client provides a highly competitive package, including a strong base salary, meaningful equity, and comprehensive premium healthcare benefits. You will join a world\-class team of engineers in a collaborative, hybrid environment.</t>
        </is>
      </c>
    </row>
    <row r="28">
      <c r="A28" t="inlineStr">
        <is>
          <t>li-4376810230</t>
        </is>
      </c>
      <c r="B28" t="inlineStr">
        <is>
          <t>Software AI Engineer</t>
        </is>
      </c>
      <c r="C28" t="inlineStr">
        <is>
          <t>micro1</t>
        </is>
      </c>
      <c r="D28" t="inlineStr">
        <is>
          <t>linkedin</t>
        </is>
      </c>
      <c r="E28" t="inlineStr"/>
      <c r="F28" t="inlineStr"/>
      <c r="G28" t="inlineStr"/>
      <c r="H28" t="inlineStr"/>
      <c r="I28" t="inlineStr">
        <is>
          <t>**Job Title:** 
 Software AI Engineer
**Job Type:** 
 Full\-time, Contractual
**Job Summary** 
 Join our customer's team as a Software AI Engineer and play a pivotal role in driving mission\-critical government initiatives while also contributing to micro1’s proprietary AI infrastructure. This position offers the unique opportunity to work at the intersection of applied AI research and high\-impact, production\-grade deployment, leveraging the latest in LLMs, RAG, and multi\-agent systems.
**Key Responsibilities** 
* Design, build, and deploy advanced AI/ML solutions for government clients, ensuring robust and secure implementation at scale.
* Collaborate with internal and external teams to architect and enhance AI\-driven platforms, focusing on RAG, LLM orchestration, and multi\-agent workflows.
* Develop and maintain APIs, SDK integrations, and scalable pipelines, utilizing Python and RESTful best practices.
* Leverage cloud platforms such as AWS GovCloud, Vertex AI, and AWS Bedrock to deliver secure, enterprise\-grade solutions.
* Implement data ontologies, metadata catalogs, and ETL pipelines to support advanced AI and analytics use cases.
* Apply best practices in prompt engineering, LangGraph/LangChain, and tool integration for agentic AI systems.
* Ensure clear, concise, and effective written and verbal communication across all collaborative efforts.
**Required Skills and Qualifications** 
* Proven experience with large language models (LLMs), retrieval\-augmented generation (RAG), and agentic AI techniques.
* Expertise in Python development, REST API design, and secure coding principles.
* Hands\-on knowledge of AWS, and familiarity with other government cloud offerings (e.g., Google GovCloud, Azure IL5\+).
* Demonstrated ability to work with AI platforms such as Anthropic for Gov, OpenAI Enterprise, Gemini Enterprise, and Grok Enterprise.
* Strong background in building and maintaining robust data pipelines and ontologies.
* Proficiency in CI/CD practices for deploying production AI/ML systems.
* Exceptional written and verbal communication skills, with the ability to articulate complex concepts to both technical and non\-technical stakeholders.
**Preferred Qualifications** 
* Experience with advanced agent orchestration frameworks such as LangGraph and LangChain.
* Background in secure, scalable government or enterprise deployments of AI/ML solutions.
* Knowledge of metadata catalogs, MCP, and multi\-cloud environments.</t>
        </is>
      </c>
    </row>
    <row r="29">
      <c r="A29" t="inlineStr">
        <is>
          <t>li-4375720688</t>
        </is>
      </c>
      <c r="B29" t="inlineStr">
        <is>
          <t>AI Engineer</t>
        </is>
      </c>
      <c r="C29" t="inlineStr">
        <is>
          <t>FetchJobs.co</t>
        </is>
      </c>
      <c r="D29" t="inlineStr">
        <is>
          <t>linkedin</t>
        </is>
      </c>
      <c r="E29" t="inlineStr"/>
      <c r="F29" t="inlineStr"/>
      <c r="G29" t="inlineStr"/>
      <c r="H29" t="inlineStr"/>
      <c r="I29" t="inlineStr">
        <is>
          <t>**About The Company**
 MassMutual is a leading financial services organization committed to helping individuals and businesses achieve their financial goals through innovative insurance, retirement, and investment solutions. With a rich history of over 170 years, MassMutual has established a reputation for stability, integrity, and customer\-centricity. The company emphasizes a culture of continuous innovation, leveraging advanced technology and data\-driven insights to enhance its offerings and deliver superior value to clients. As a mutual company, MassMutual prioritizes the long\-term well\-being of its policyholders and stakeholders, fostering a collaborative environment that encourages growth, inclusion, and responsible corporate citizenship.
**About The Role**
 We are seeking a highly skilled AI Engineer to join our dynamic Data Science team. This full\-time hybrid position, based in Boston, NYC, or Springfield, offers an exciting opportunity to work at the forefront of artificial intelligence and machine learning innovations within the insurance industry. The successful candidate will collaborate with experts across applied mathematics, statistics, computer science, and physics to develop and deploy advanced AI solutions that influence strategic decision\-making and drive business transformation. You will be instrumental in designing scalable AI systems, implementing cutting\-edge models, and creating applications that facilitate data\-driven insights across the enterprise.
**Qualifications**
 The ideal candidate will possess a strong background in data science, machine learning, and AI engineering, with the following qualifications:
* Minimum of 5 years of proficiency in SQL, database design, and familiarity with cloud\-native data platforms, vector databases, and semantic search technologies.
* Extensive experience in Python programming (5\+ years), with proficiency in R considered a plus.
* Deep understanding of machine learning algorithms, statistical methods, natural language processing (NLP), optimization techniques, and large language models (LLMs).
* At least 3 years of hands\-on experience in data science, machine learning, or AI engineering roles.
* Minimum of 2 years of experience working with AI deployment frameworks and orchestration protocols such as agentcore, strands, langchain, MCP, and A2A.
* Significant background in developing AI agents and LLM systems, including tool integration, multi\-step workflows, retrieval\-augmented generation (RAG), prompt management, and evaluating LLM behavior across various models and benchmarks.
* Proven experience building AI\-powered applications in collaboration with software engineers and product managers.
* Hands\-on experience with cloud\-native development, containerization, and orchestration technologies like Docker and Kubernetes.
* Master's degree in Computer Science, Statistics, Applied Mathematics, Electrical Engineering, Physics, or a related quantitative discipline.
**Responsibilities**
 The AI Engineer will be responsible for a range of technical and strategic tasks, including:
* Designing, developing, and deploying end\-to\-end machine learning and AI solutions that support various enterprise use cases, utilizing LLMs, deep learning, and probabilistic modeling from conception through production.
* Implementing scalable generative AI (GenAI) and agentic AI systems that align with business objectives and operational needs.
* Establishing best practices for AI development, ensuring responsible AI deployment, and adhering to ethical standards and regulatory requirements.
* Collaborating with engineering teams to build robust, production\-grade AI pipelines, APIs, and infrastructure to facilitate seamless integration and deployment.
* Prototyping and delivering AI\-powered applications such as web interfaces, dashboards, and visualizations that enable data\-driven decision\-making across departments.
* Evaluating and fine\-tuning LLMs and AI agents, managing prompt strategies, and optimizing multi\-step workflows for performance and accuracy.
* Staying abreast of emerging AI technologies and industry trends, and applying innovative solutions to solve complex business challenges.
* Providing technical guidance and mentorship to junior team members and cross\-functional partners.
**Benefits**
 MassMutual offers a comprehensive benefits package designed to support the well\-being and professional growth of our employees. This includes competitive salaries, health insurance plans, retirement savings options, paid time off, and flexible work arrangements. Employees also have access to ongoing training and development programs, wellness initiatives, and opportunities for career advancement within a collaborative and inclusive environment. We are committed to fostering a workplace culture that values diversity, equity, and inclusion, ensuring all team members feel valued and empowered to contribute their best.
 Equal Opportunity
 MassMutual is an equal employment opportunity employer. We celebrate diversity and are committed to creating an inclusive environment for all employees. We do not discriminate based on race, color, religion, gender, sexual orientation, gender identity or expression, age, national origin, disability, veteran status, or any other protected characteristic. We encourage all qualified individuals to apply and welcome applicants from diverse backgrounds. If you require accommodations during the application process, please contact us with the specifics of your needs.</t>
        </is>
      </c>
    </row>
    <row r="30">
      <c r="A30" t="inlineStr">
        <is>
          <t>li-4373858826</t>
        </is>
      </c>
      <c r="B30" t="inlineStr">
        <is>
          <t>Principal AI Engineer  - AI/ML Engineer Agentic</t>
        </is>
      </c>
      <c r="C30" t="inlineStr">
        <is>
          <t>TekVizor</t>
        </is>
      </c>
      <c r="D30" t="inlineStr">
        <is>
          <t>linkedin</t>
        </is>
      </c>
      <c r="E30" t="inlineStr"/>
      <c r="F30" t="inlineStr"/>
      <c r="G30" t="inlineStr">
        <is>
          <t>Pittsburgh, PA</t>
        </is>
      </c>
      <c r="H30" t="inlineStr"/>
      <c r="I30" t="inlineStr">
        <is>
          <t>**Lead AI Engineer \- AI/ML Agentic** 
 📍
 **Pittsburgh, PA (On‑site)** 
 🕒
 **Full\-Time** 
 🌍
 **U.S. Citizenship Required** 
 ✈️ Up to 10% Travel
 We are seeking an experienced Lead
 **AI Engineer** 
 to join our AI/ML team as we scale agentic capabilities. Our bespoke platform and suite of AI\-enabled applications accelerate the decision\-making process in real\-time, all in one place.
**What You’ll Do** 
* Design and build multi\-agent systems, memory, routing, and planning.
* Develop Agent Skills and tools as modular, composable services connected to backend systems, models, and data processing pipelines.
* Contribute to automated evaluation and observability systems for agents, tools, workflows, and prompts across the entire product lifecycle.
* Collaborate cross\-functionally with Product and Engineering to deploy agentic systems.
**Required Skills \&amp; Experience** 
* Bachelor’s, Master’s, or PhD in Computer Science, Computer Engineering, Data Science, Neuroscience, statistics or related field.
* 5\+ years building and deploying ML or LLM\-powered systems in production environments.
* Hands\-on experience designing autonomous multi\-agent workflows that include state/action models for AI\-driven interaction (agent\-controlled UI, tool invocation, deterministic flows).
* Experience with agent frameworks such as Claude Agent SDK or OpenAI Agent SDK.
* Solid Python engineering skills.
* Hands\-on with MCP, LLM evaluation frameworks, deep learning, transformer architecture, agent orchestration, LangGraph.
* A passion for coding agents and exploring new technologies.
**Strong Candidates Have** 
* Proven experience designing and deploying complex agentic systems using LLMs.
* Hands\-on work with
 **multi\-agent coordination** 
 , routing, and tool orchestration.
* Demonstrated portfolio or project showing LLMs interacting with frontend interfaces agentically.
* Passion for building, experimenting with, and optimizing agents.
**Desired Qualifications** 
* Experience in fast\-paced startup environments.
* Comfort with
 **Claude Code** 
**SDK,** 
 and modern GenAI coding best practices.
* Frameworks LangChain, AutoGen, Semantic Kernal.
**About the Role** 
 This is a full\-time, on\-site position based in Pittsburgh, PA, with occasional travel (up to 10%). You’ll be joining a high\-velocity team building the next generation of agentic AI systems. If you thrive in ambiguity, love building real agentic systems, and want to shape how LLMs interact with software interfaces at scale, this role is for you!
**Benefits:** 
* Employees manage their time off \- unlimited sick days and PTO.
* Professional Development \- Tuition reimbursement towards advanced education and specialized certifications.
* 401k with 4% and immediate vesting.
 \#AIJobs \#AgenticAI \#LLMEngineering \#AIEngineer \#Hiring \#MachineLearning \#GenerativeAI \#TechJobs \#Pittsburgh</t>
        </is>
      </c>
    </row>
    <row r="31">
      <c r="A31" t="inlineStr">
        <is>
          <t>li-4345596944</t>
        </is>
      </c>
      <c r="B31" t="inlineStr">
        <is>
          <t>Senior Machine Learning Engineer (Tapestry)</t>
        </is>
      </c>
      <c r="C31" t="inlineStr">
        <is>
          <t>X, The Moonshot Factory</t>
        </is>
      </c>
      <c r="D31" t="inlineStr">
        <is>
          <t>linkedin</t>
        </is>
      </c>
      <c r="E31" t="inlineStr"/>
      <c r="F31" t="inlineStr"/>
      <c r="G31" t="inlineStr">
        <is>
          <t>Mountain View, CA</t>
        </is>
      </c>
      <c r="H31" t="inlineStr"/>
      <c r="I31" t="inlineStr">
        <is>
          <t>**About The Team**
 Tapestry is Alphabet’s moonshot for the electric grid, working at the frontier where energy’s complexity meets AI’s potential. We were born at X, the innovation lab responsible for breakthrough technologies like Waymo, Verily and Google Brain.
 To keep pace with humanity’s growing energy needs, the world needs a grid that is visible and understandable. We provide that clarity by building advanced, AI\-enabled analytical and planning tools that allow the entire energy ecosystem to plan smarter, move faster, and operate more efficiently—ensuring electricity remains reliable and affordable for everyone.
 This is a global effort. Tapestry is proud to support partners in the U.S., U.K., Chile, New Zealand, Australia and Brazil as they build a cleaner, more resilient energy future.
 Joining Tapestry allows you to do the best work of your life as part of a multidisciplinary team of experts in AI, energy systems, software engineering and product design—all collaborating to reshape energy on a global scale. If you want to tackle problems that matter and build tools with real impact, we would love to meet you. Learn more about our team and our mission here.
**About The Role**
 We're looking for a Senior Machine Learning Engineer to join our team. In this role, you will be responsible for developing and deploying state of the art machine learning models to solve complex challenges that face today’s electric grid. You’ll have the opportunity to lead model building and development across diverse ML domains such as time series analysis, planning and reinforcement learning, multi modal information retrieval and reasoning and agentic AI. In this role, you will be responsible for end to end ML model training and deployment, working with and mentoring junior machine learning engineers, helping lead cross\-functional collaborations and build the state of the art machine learning models to help power the grid of tomorrow.
**How You Will Make 10x Impact**
* Design, train, and deploy machine learning models in production environments.
* Lead the end to end development of ML systems for one or more of planning and reinforcement learning, forecasting and multimodal machine learning
* Actively collaborate with leaders in product, engineering, and data science teams to address key business problems
* Mentor junior engineers and scientists and contribute to the team’s technical growth.
* Stay abreast of the latest advancements in machine learning
**What You Should Have**
* Master’s Degree/Bachelor's Degree in Machine Learning, Computer Science, Statistics or equivalent practical experience.
* 6\+ years of professional experience in machine learning model development and engineering.
* Deep expertise in one or more of the following areas: planning and control, reinforcement learning, forecasting, multimodal machine learning and information retrieval
* Strong programming skills in Python and experience with ML frameworks like PyTorch or TensorFlow.
* Experience with building and deploying ML systems at scale, and a proven ability to perform applied ML research and develop the state of the art
* Proven ability to work on cross\-functional projects and deliver results in a fast\-paced, collaborative environment
**It’d Be Great If You Also Had These**
* PhD in Machine Learning, Computer Science, Statistics, or a related field
* Experience with cloud platforms such as AWS, GCP, or Azure.
* Familiarity with MLOps practices and tools.
* A strong portfolio of projects demonstrating expertise in multiple ML domains.
**Our values**
* Take charge: We take initiative and own outcomes that move the mission forward.
* Transform with purpose: We build solutions that solve real problems and create meaningful impact.
* Be a Tapestry, not a thread: We collaborate across diverse skills and perspectives to achieve more than we can individually.
* Always fine\-tune: We stay curious, seek feedback, and refine our understanding as we learn.
* Stay grounded: We listen openly, value different perspectives, and stay focused on what matters most.
**What We Offer**
 A culture that supports growth, ownership, and meaningful impact, along with:
* Competitive salary and equity
* Medical, dental, and vision coverage
* Generous PTO and flexible hybrid work model
* 401(k) with employer contribution
* Professional development
* The ability to work on important real\-world problems within an Alphabet\-backed environment
 The US base salary range for this full\-time position is $166,000 \- $244,000 \+ bonus \+ equity \+ benefits. Within the range, individual pay is determined by work location and additional factors, including job\-related skills, experience, and relevant education or training. Your recruiter can share more about the specific salary range for your location during the hiring process.
 Please note that the compensation details listed in US role postings reflect the base salary only, and do not include bonus, equity, or benefits.</t>
        </is>
      </c>
    </row>
    <row r="32">
      <c r="A32" t="inlineStr">
        <is>
          <t>li-4351855119</t>
        </is>
      </c>
      <c r="B32" t="inlineStr">
        <is>
          <t>AI Engineer</t>
        </is>
      </c>
      <c r="C32" t="inlineStr">
        <is>
          <t>Next Insurance</t>
        </is>
      </c>
      <c r="D32" t="inlineStr">
        <is>
          <t>linkedin</t>
        </is>
      </c>
      <c r="E32" t="inlineStr"/>
      <c r="F32" t="inlineStr"/>
      <c r="G32" t="inlineStr">
        <is>
          <t>Boston, MA</t>
        </is>
      </c>
      <c r="H32" t="inlineStr"/>
      <c r="I32" t="inlineStr">
        <is>
          <t>**Location: Waltham, MA (hybrid\- 3 days In\-Office)**
 ERGO NEXT’s mission is to help entrepreneurs thrive. We’re doing that by building the only technology\-led, full\-stack provider of small business insurance in the industry, taking on the entire value chain and transforming the customer experience.
 Simply put, wherever you find small businesses, you’ll find ERGO NEXT.
 Since 2016, we’ve helped hundreds of thousands of small business customers across the United States get fast, customized and affordable coverage. We’re backed by industry leaders in insurance and tech, and we still have room to grow — that’s where you come in.
**What You’ll Do**
* Design, implement and optimize backend services that support AI workflows
* Integrate ML and LLM models into production systems with focus on performance, reliability and scalability
* Collaborate with product and cross functional teams to refine requirements and translate them into clear technical plans
* Contribute to system design, architecture reviews and code quality improvements
* Diagnose complex issues across data pipelines, model serving and backend components
* Support innovation and continuous improvement by identifying opportunities and driving technical initiatives
**What We Need**
* 5\+ years of backend engineering experience in Python, Go, Java or similar
* Proven experience building high performance or distributed systems
* 2\+ years of hands on experience integrating ML or LLM models into production
* Strong understanding of cloud infrastructure, microservices and observability
* Ability to operate effectively under ambiguity and navigate dynamic environments
* Strong communication and collaboration skills
* Hybrid Work Model: This role supports a flexible hybrid work model, requiring a minimum of three days per week on\-site in the office, per company policy
***Note on Fraudulent Recruiting***
*We have become aware that there may be fraudulent recruiting attempts being made by people posing as representatives of ERGO Next Insurance. These scams may involve fake job postings, unsolicited emails, or messages claiming to be from our recruiters or hiring managers.
 Please note, we do not ask for sensitive information via chat, text, or social media, and any email communications will come from the domain @nextinsurance.com. Additionally, Next Insurance will never ask for payment, fees, or purchases to be made by a job applicant. All applicants are encouraged to apply directly to our open jobs via the careers page on our website. Interviews are generally conducted via Zoom video conference unless the candidate requests other accommodations.
 If you believe that you have been the target of an interview/offer scam by someone posing as a representative of ERGO Next Insurance, please do not provide any personal or financial information. You can find additional information about this type of scam and report any fraudulent employment offers via the Federal Trade Commission's website (https://consumer.ftc.gov/articles/job\-scams), or you can contact your local law enforcement agency.*
 The range displayed on this job posting reflects the minimum and maximum target for new hire salaries for the position in the location(s) listed. Within the range, individual pay is determined by additional factors, including, without limitation, job\-related skills, experience, and relevant education or training. NEXT employees are eligible for our benefits package, consisting of our partially subsidized medical plan, fully subsidized vision/dental options, life insurance, disability insurance, 401(k), flexible paid time off, parental leave and more.
**US Annual Base Salary Range For This Full\-time Position**
 $158,000—$213,000 USD
*Don’t meet every single requirement? Studies have shown that some underrepresented people are less likely to apply to jobs unless they meet every single qualification. At NEXT, we are dedicated to building a diverse, inclusive and respectful workplace, so if you’re excited about this role but your past experience doesn’t align perfectly with every qualification in the job description, we encourage you to apply anyways. You may be just the right candidate for this or other roles.*
*One of our core values is 'Play as a Team'; this means making sure everyone has an equal chance to participate and make a difference. We win by playing together. Next Insurance is an equal opportunity employer and prioritizes building a diverse and inclusive workplace. We provide equal employment opportunities to all employees and applicants of any type and do not discriminate based on race, color, religion, national origin, gender, age, sexual orientation, physical or mental disability, genetic information or characteristic, gender identity and expression, veteran status, or other non\-job\-related characteristics or other prohibited grounds specified in applicable federal, state, and local laws. Next's policy is to comply with all applicable laws related to nondiscrimination and equal opportunity and will not tolerate discrimination or harassment based on any of these characteristics. This policy applies to all terms and conditions of employment, including recruiting, hiring, placement, promotion, termination, layoff, recall, transfer, leaves of absence, compensation, and training.*</t>
        </is>
      </c>
    </row>
    <row r="33">
      <c r="A33" t="inlineStr">
        <is>
          <t>li-4358196515</t>
        </is>
      </c>
      <c r="B33" t="inlineStr">
        <is>
          <t>AI Engineer - Robotics</t>
        </is>
      </c>
      <c r="C33" t="inlineStr">
        <is>
          <t>Harrison Clarke</t>
        </is>
      </c>
      <c r="D33" t="inlineStr">
        <is>
          <t>linkedin</t>
        </is>
      </c>
      <c r="E33" t="inlineStr"/>
      <c r="F33" t="inlineStr"/>
      <c r="G33" t="inlineStr"/>
      <c r="H33" t="inlineStr"/>
      <c r="I33" t="inlineStr">
        <is>
          <t>Build the models that turn vision and language into real\-world action. Your research will ship onto physical robots and get tested in messy, adversarial environments, not just in a notebook.
**Why This Role Exists** 
 A well\-funded, early\-stage robotics and ML team is building a foundation model for embodied autonomy in mission\-critical settings. They are past “cool demo” territory and are now scaling training, evaluation, and deployment so fleets of varying robots can perceive, plan, and coordinate under real operational constraints. In 12–18 months, success looks like robust policies and world models running reliably on hardware, sim\-to\-real transfer that holds up in the field, and a research pipeline that consistently produces deployable improvements.
**What You Will Actually Be Doing** 
* You will
 ***lead research that improves embodied agent capability***
 , spanning reinforcement learning, imitation learning, and/or vision\-language\-action modelling.
* You will
 ***build and benchmark large\-scale models***
 for perception, decision\-making, and control across simulation and real robots.
* You will
 ***push sim\-to\-real transfer and continual learning***
 so behaviours generalize across domains, terrains, sensors, and platforms.
* You will
 ***develop memory and long\-horizon autonomy primitives***
 , enabling agents to operate coherently over extended missions and shifting objectives.
* You will
 ***partner tightly with robotics and systems engineers***
 to integrate research into production\-grade stacks, including evaluation, deployment, and observability.
* You will
 ***support field tests and data collection***
 to close the loop between research insight and real performance.
**This Will Suit You If** 
* You like
 ***research that turns into working systems***
 , fast.
* You enjoy
 ***unstructured problems***
 where the right answer is not in a paper, and constraints are real.
* You are comfortable in a
 ***high\-ownership startup environment***
 . Context\-switching, moving quickly, and setting standards as you go.
* You care about
 ***rigour and repeatability***
 , not heroics. Clean experiments, strong baselines, honest conclusions.
* You want your work to matter in a
 ***mission\-critical domain***
 , with clear stakes and rapid feedback.
**What You Need To Have** 
* ***PhD in CS, Robotics, ML (or equivalent industry research track record)***
 with a strong publication history.
* ***Deep expertise in one or more***
 \*\*: RL, imitation learning, vision\-language models, sim\-to\-real, world modelling, agentic AI, embodied autonomy.
* ***Hands\-on experience building and evaluating embodied agents***
 across simulation and physical systems.
* ***Strong Python***
 \*\* and proficiency in \*\*
 ***PyTorch, JAX, or TensorFlow***
 .
* Proven ability to \*\*
 ***take an idea from concept to a deployed prototype***
 , including evaluation design and iteration.
**Optional, but nice if you have** 
* ***Multi\-agent coordination***
 and swarm behaviors.
* ***ROS, real\-time control loops, embedded or edge inference***
 constraints.
* Experience integrating ML with
 ***physical robotic platforms***
 and high\-dimensional sensor streams.
* Background shipping in
 ***aerospace, defense, or other high\-reliability environments***
 .
**Who You Will Be Joining** 
 A small, senior team in the South Bay building an embodied autonomy platform from the ground up. They are early\-stage, heavily backed, and operating at the intersection of cutting\-edge ML research and real\-world robotics, with direct access to leadership and a culture that prioritises pace, clarity, and shipping.
**Location** 
 South Bay, CA. This is an
 ***on\-site role***
 due to hardware access and frequent integration work. Relocation support is available.</t>
        </is>
      </c>
    </row>
    <row r="34">
      <c r="A34" t="inlineStr">
        <is>
          <t>li-4067487850</t>
        </is>
      </c>
      <c r="B34" t="inlineStr">
        <is>
          <t>Senior AI Engineer</t>
        </is>
      </c>
      <c r="C34" t="inlineStr">
        <is>
          <t>7AI</t>
        </is>
      </c>
      <c r="D34" t="inlineStr">
        <is>
          <t>linkedin</t>
        </is>
      </c>
      <c r="E34" t="inlineStr"/>
      <c r="F34" t="inlineStr"/>
      <c r="G34" t="inlineStr">
        <is>
          <t>Boston, MA</t>
        </is>
      </c>
      <c r="H34" t="inlineStr"/>
      <c r="I34" t="inlineStr">
        <is>
          <t>7AI empowers Security teams to shift high\-value tasks to intelligent AI agents that help reshape the future of cybersecurity and automation. We’re building at the bleeding edge of AI, blending deep engineering with practical product impact. You’ll collaborate with mission\-driven teams in a fast\-paced, high\-growth environment where your contributions directly influence what’s next in AI\-powered systems.
 This role builds on, but is distinct from, traditional ML engineering: the focus is not on training models from scratch, but on composing, optimizing, and scaling AI systems that solve complex enterprise problems.
**What You’ll Do**
* Architect and build LLM\-powered systems — design retrieval workflows, context management, agent prompts, and structured output pipelines.
* Orchestrate AI workflows using tools like LangChain, LlamaIndex, or similar frameworks, integrating them with product APIs and backend services.
* Drive prompt engineering and iteration — refine prompts, templates, and context strategies to meet product quality and reliability goals.
* Manage real\-world evaluation metrics — measure usefulness, factual correctness, latency, and UX impact vs. classic accuracy alone.
* Collaborate across functions — work closely with product, platform, and backend teams to ensure seamless integration.
* Develop reliable, scalable deployments — focus on performance, cost efficiency, and observability in production environments.
**Who You Are**
* Experienced in building real LLM applications — you’ve shipped systems that use large models meaningfully.
* Strong software engineering skills — Python/TypeScript, API design, backend integration, and cloud deployment.
* Tool fluency — comfortable with RAG, vector databases (e.g., Pinecone/Weaviate), workflow frameworks (LangChain, Dust), and related tooling.
* Architectural thinker — you can diagram end\-to\-end solutions incorporating context windows, caching strategies, tool calls, and multi\-step reasoning.
* Product\-oriented — you care not just that the AI works, but that it delivers value safely and reliably to users.
**Basic Qualifications**
* 6\+ years of software engineering experience, with at least 1\+ year working building AI in production.
* BS Degree in Computer Science or related field. Masters degree is a plus.
* Demonstrated use of LLMs in production workflows or complex prototypes.
* Strong coding ability in Python or equivalent; familiarity with backend frameworks and cloud services.
* Experience with API integrations, database systems, and scalable architectures.
* Experience with multi\-modal models or multi\-agent system design.
* Familiarity with AI safety guardrails, hallucination mitigation, and structured output enforcement.
* Knowledge of vector DBs, RAG architectures, and prompt lifecycle tooling.</t>
        </is>
      </c>
    </row>
    <row r="35">
      <c r="A35" t="inlineStr">
        <is>
          <t>li-4375391891</t>
        </is>
      </c>
      <c r="B35" t="inlineStr">
        <is>
          <t>AI Engineer</t>
        </is>
      </c>
      <c r="C35" t="inlineStr">
        <is>
          <t>Haystack</t>
        </is>
      </c>
      <c r="D35" t="inlineStr">
        <is>
          <t>linkedin</t>
        </is>
      </c>
      <c r="E35" t="inlineStr"/>
      <c r="F35" t="inlineStr"/>
      <c r="G35" t="inlineStr"/>
      <c r="H35" t="inlineStr"/>
      <c r="I35" t="inlineStr">
        <is>
          <t>Solutions Architect \- AI/ML \| Herndon, Virginia, United States \| Hybrid \| 99000\-165000 USD yearly
 We're working with Vantor on this exciting opportunity. Vantor is seeking a Solutions Architect for their AI/ML\-powered Sentry products, bridging mission needs with technical solutions for defense and intelligence customers. This role is for problem solvers and changemakers looking to shape the future and make a significant impact.
 The Role
 • Act as a trusted technical advisor, translating mission needs into innovative, mission\-ready solutions
 • Partner with Product, Engineering, and Account Leads to align customer requirements with Sentry's capabilities and roadmaps
 • Turn customer requirements into actionable feature requests and participate in decomp, scoping, and prioritization
 • Lead technical discussions, solution workshops, and product demonstrations to showcase Sentry’s value
 • Provide market and customer insights to shape product development and business growth opportunities
 • Support business development efforts, including white papers, RFP responses, and solution strategy for USG opportunities
 What You'll Need
 • Bachelor's degree in Computer Science, Systems Engineering, Software Engineering, or a related field
 • Active U.S. Government Secret Security Clearance and U.S. Citizenship
 • 5\+ years of proven experience in a relevant technology domain, with preference for AI/ML and Computer Vision
 • Strong understanding of technical concepts related to managing cloud\-based data and machine learning pipelines (e.g., AWS)
 • Experience with DevOps tools and automation platforms like Terraform, Ansible, or similar technologies
 • Significant software development experience with Python, JavaScript, or similar
 What's On Offer
 • Competitive salary range of $99,000\.00 \- $165,000\.00 annually
 • Robust 401(k) with company match and comprehensive health benefits
 • Unique perks including student loan repayment assistance, adoption reimbursement, and pet insurance
 • Opportunity to work on cutting\-edge AI/ML products and impact national security
 Apply via Haystack today!</t>
        </is>
      </c>
    </row>
    <row r="36">
      <c r="A36" t="inlineStr">
        <is>
          <t>li-4351234904</t>
        </is>
      </c>
      <c r="B36" t="inlineStr">
        <is>
          <t>Senior AI Engineer</t>
        </is>
      </c>
      <c r="C36" t="inlineStr">
        <is>
          <t>Franklin Templeton</t>
        </is>
      </c>
      <c r="D36" t="inlineStr">
        <is>
          <t>linkedin</t>
        </is>
      </c>
      <c r="E36" t="inlineStr"/>
      <c r="F36" t="inlineStr"/>
      <c r="G36" t="inlineStr">
        <is>
          <t>New York, NY</t>
        </is>
      </c>
      <c r="H36" t="inlineStr"/>
      <c r="I36" t="inlineStr">
        <is>
          <t>**Senior AI Engineer, Business Solutions**
 ClearBridge Investments is a leading global equity manager with over $180 billion in assets under management. The firm is committed to delivering long\-term results through active management. We have followed this approach for more than 60 years and continue to offer investment solutions that emphasize differentiated stock selection to move our clients forward. Our investment decisions are supported by a robust research platform that conducts in\-depth fundamental analysis of individual securities. We integrate environmental, social and governance (ESG) considerations into our fundamental research process in all our investment strategies.
 Owned by Franklin Templeton, ClearBridge operates with investment independence from headquarters in New York and offices in Baltimore, Calgary, Fort Lauderdale, London, San Mateo and Sydney. ClearBridge Investments has been named by Pensions \&amp; Investments Magazine (P\&amp;I) as one of the Best Places to Work in Money Management for the thirteenth year in a row. These awards reflect the Firm's diverse and inclusive culture, spirit of collaboration, work/life balance and our ongoing investment in our employees.
**Job Summary**
 ClearBridge Investments seeks a Senior AI Engineer to join our New York City–based Technology team to design, build, and productionize AI systems that materially improve investment and enterprise workflows. This role is hands\-on. You will prototype quickly, harden what works, and decide when to build with APIs, extend our enterprise AI platforms, or buy from vendors. You will integrate ChatGPT Enterprise, Perplexity Enterprise, Microsoft Copilot, and Wand.ai with our Microsoft\-centric stack, enforce governance, and deliver measurable outcomes for research, portfolio operations, client reporting, distribution, and support teams. Location is New York City hybrid.
**Key Senior Business Engineer Responsibilities**
* Ship AI features and internal applications from discovery to POC to production with clear success criteria and telemetry.
* Architect LLM solutions including retrieval augmented generation, tool use, agentic flows, and structured output pipelines.
* Integrate and govern ChatGPT Enterprise, Perplexity Enterprise, and Wand.ai. Implement SSO and SCIM, usage analytics, cost controls, and data scoping.
* Own build versus buy. Run vendor pilots, compare to internal builds, quantify TCO, lock in risk, compliance posture, and speed to value. Present recommendations and rollout plans.
* Implement LLMOps. Version prompts and configs, stand up evaluation datasets and harnesses, run offline and online tests, monitor latency, quality, safety, and cost, and maintain rollback strategies.
* Engineer reliable retrieval over access\-controlled content. Design chunking, embeddings, reranking, and output validation aligned to entitlements, PII, retention, and audit needs.
* Convert low code prototypes into maintainable services where appropriate. Keep core logic in tested code with APIs, workers, and queues.
* Partner with stakeholders to frame problems, map processes, and quantify ROI. Produce concise design docs, run demos, and publish runbooks.
* Collaborate with security, risk, and compliance to define guardrails, incident playbooks, and monitoring for prompt injection and data leakage.
* Coordinate with developers, QA, and UAT to move solutions through environments with CI and automated checks.
**Qualifications**
 Required
* 7 to 10 years in software or ML engineering shipping production systems, including 2 or more years building with LLMs in production.
* Strong coding in Python or TypeScript. Experience with APIs, workers, queues, and event driven services.
* Proven integrations with enterprise AI platforms. Expertise in SSO, SCIM, tenant isolation, data scoping, usage analytics, and cost management.
* LLM solution patterns. Retrieval design, chunking, embeddings, reranking, tool calling, structured output validation, and evaluation.
* Azure fluency. Azure OpenAI, Copilot Studio, App Services or AKS, identity and access, Key Vault, storage, networking basics.
* Data skills. SQL and pragmatic data engineering for operational systems.
* Excellent communication. Ability to run discovery, write sharp specs, and present tradeoffs to senior stakeholders.
**Preferred**
* Asset management or broader financial services experience.
* Microsoft ecosystem experience. Power Platform, Copilot Studio, Graph, Teams, SharePoint.
* Vector databases such as Azure AI Search, Redis, Pinecone, or pgvector.
* Orchestration tools such as Semantic Kernel, LangChain, guidance libraries, or simple custom state machines.
* Frontend for internal tools. React or Power Apps.
* Familiarity with process mining and business process optimization.
 Familiar With the Following Tools
* Microsoft Power Platform including Power Apps, Power Automate, Dataverse, and Power BI.
* OpenAI ecosystem including ChatGPT Enterprise, Azure OpenAI, GPT APIs, and Custom GPTs.
* Perplexity Enterprise and Wand.ai for research and workflow acceleration.
* Copilot Studio, AI Builder, Azure Bot Framework, REST APIs.
* Microsoft 365 stack including Teams, SharePoint, Azure App Services, Azure identity and access.
* Jira Cloud and the Atlassian suite for workflow automation, dashboards, and ticketing.
* Optional tools for delivery velocity. Figma, Whimsical, Miro for UI mockups, Postman, SQL, and Python for testing and data operations.
**Total Rewards**
 Our employees have access to a competitive and valuable set of Total Rewards. Our Total Rewards include:
* Health, wellness and risk benefits to protect employees and their families
* Retirement savings, stock purchase and other incentive programs to help employees plan for the future
* Holiday, paid\-time\-off and other employee programs that support work\-life balance
* Support for pursuing certifications, external education and degree programs
* Learning, development and career advancement opportunities
* Ways to get involved in, and give back to, our communities, including paid time off for volunteering and charitable donation matching
* The salary range for this position is targeted for $170,000 to $230,000 plus discretionary bonus. Base pay offered may vary depending on job related knowledge, skills, and experience.
 ClearBridge is an Equal Opportunity Employer. We are committed to equal employment opportunity for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ClearBridge is an Equal Opportunity Employer. We are committed to equal employment opportunity for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If you believe that you need an accommodation or adjustment to search for, or apply for, one of our positions please send an email to accommodations@FranklinTempleton.com . In your email, please include the accommodation or adjustment you are requesting and the job title and job number you are applying for. It may take up to three business days to receive a response to your request. Please note that only requests for accommodations will receive a response.</t>
        </is>
      </c>
    </row>
    <row r="37">
      <c r="A37" t="inlineStr">
        <is>
          <t>li-4373850326</t>
        </is>
      </c>
      <c r="B37" t="inlineStr">
        <is>
          <t>Lead AI Engineer/GenAI Engineer/Data Scientist</t>
        </is>
      </c>
      <c r="C37" t="inlineStr">
        <is>
          <t>NeerInfo Solutions</t>
        </is>
      </c>
      <c r="D37" t="inlineStr">
        <is>
          <t>linkedin</t>
        </is>
      </c>
      <c r="E37" t="inlineStr"/>
      <c r="F37" t="inlineStr"/>
      <c r="G37" t="inlineStr">
        <is>
          <t>Richardson, TX</t>
        </is>
      </c>
      <c r="H37" t="inlineStr"/>
      <c r="I37" t="inlineStr">
        <is>
          <t>Role :
 **Lead AI Engineer/GenAI Engineer/Data Scientist** 
 fulltime role
 Location :
 **Austin Texas Richardson, TX or Raleigh, NC or Hartford, CT (Onsite)** 
**seeking an AI Engineer.** 
 In this role, you will enable digital transformation for our clients in a global delivery model, research on technologies independently, recommend appropriate solutions and contribute to technology\-specific best practices and standards. You will provide inputs for identifying best\-fit architectural solutions for one or more projects; develop design of applications, provide regular support and guidance to project teams on complex coding and issue resolution with the objective of ensuring best\-fit and high\-quality technical solutions within the area of technology specialization and in compliance with guidelines, policies and norms. You will be part of a learning culture, where teamwork and collaboration are encouraged, excellence is rewarded, and diversity is respected and valued.
**Required Qualifications:** 
* Bachelor’s degree or foreign equivalent required from an accredited institution. Will also consider three years of progressive experience in the specialty in lieu of every year of education.
* At least 4 years of experience in Information Technology
* Experience in AI, data engineering, creating data pipelines and processing huge volume of data.
* Experience in Machine learning engineering /MLE, data science and data engineering with a proven track record of delivering impactful solutions
**Preferred Qualifications** 
 :
* Good understanding of Agile software development frameworks
* Strong communication and Analytical skills
* Ability to work in teams in a diverse, multi\-stakeholder environment comprising of Business and Technology teams
* Experience and desire to work in a global delivery environment</t>
        </is>
      </c>
    </row>
    <row r="38">
      <c r="A38" t="inlineStr">
        <is>
          <t>li-4374288487</t>
        </is>
      </c>
      <c r="B38" t="inlineStr">
        <is>
          <t>Founding Applied AI Engineer – Production Agents (NYC)</t>
        </is>
      </c>
      <c r="C38" t="inlineStr">
        <is>
          <t>Evolve Group</t>
        </is>
      </c>
      <c r="D38" t="inlineStr">
        <is>
          <t>linkedin</t>
        </is>
      </c>
      <c r="E38" t="inlineStr"/>
      <c r="F38" t="inlineStr"/>
      <c r="G38" t="inlineStr">
        <is>
          <t>New York, United States</t>
        </is>
      </c>
      <c r="H38" t="inlineStr"/>
      <c r="I38" t="inlineStr">
        <is>
          <t>**One of the most sought\-after early\-stage AI companies in the world is hiring.** 
 This team is building production AI agents that are already deployed inside real firms, performing high\-value workflows and generating measurable economic output. These systems are live, embedded, and scaling rapidly.
 Revenue has grown aggressively in recent months. Significant capital has been raised from top\-tier technology investors. The company is fully in\-person in New York and operating at exceptional velocity.
**We are hiring high\-calibre engineers who want to build at the frontier of applied AI.** 
**What you will do** 
 Design and ship production\-grade AI systems that operate in real\-world environments
 Turn raw model capability into reliable, durable infrastructure
 Work across backend systems, model orchestration and product surfaces
 Own problems end\-to\-end from first principles to deployment
 Operate in a small, intensely focused team with high autonomy
**What this is** 
 A chance to build systems that create direct economic value
 High ownership from day one
 Real product\-market fit, not theoretical research
 A team of ambitious, technically serious people
 Strong cash compensation and meaningful equity
 Fully on\-site in
 **NYC** 
**What this is not** 
 Not a research lab detached from users
 Not incremental feature work on a mature product
 Not a remote\-first, low\-intensity culture
 Not a slow, consensus\-heavy corporate environment
**Not a place to coast** 
 We are looking for engineers with 2–10 years of experience in software, systems or applied AI who think clearly, move quickly, and care about building something enduring.
 If you are currently comfortable but under\-challenged, this will stretch you.
**If you want to help define a new category at the intersection of AI and the real economy, we should talk.**</t>
        </is>
      </c>
    </row>
    <row r="39">
      <c r="A39" t="inlineStr">
        <is>
          <t>li-4293665336</t>
        </is>
      </c>
      <c r="B39" t="inlineStr">
        <is>
          <t>Senior Machine Learning Engineer</t>
        </is>
      </c>
      <c r="C39" t="inlineStr">
        <is>
          <t>Mercury</t>
        </is>
      </c>
      <c r="D39" t="inlineStr">
        <is>
          <t>linkedin</t>
        </is>
      </c>
      <c r="E39" t="inlineStr"/>
      <c r="F39" t="inlineStr"/>
      <c r="G39" t="inlineStr"/>
      <c r="H39" t="inlineStr"/>
      <c r="I39" t="inlineStr">
        <is>
          <t>Before 1965, it was extremely difficult and time\-consuming to analyze complicated signals, like radio or images. You could solve it, but you had to throw a ton of compute at it. That all changed with the invention of the Fast Fourier transform, which could efficiently break that signal down into the frequencies that are a part of it. The Risk Onboarding team is working on efficiently reviewing customers’ applications without compromising on quality. We are the front line of defense for preventing money laundering and financial crimes, building systems to verify that someone is who they say they are and that we are allowed to do business with them.
 At Mercury, we are committed to crafting an exceptional banking\* experience for startups. Our team is passionately focused on ensuring our products create a safe environment that meets the needs of our customers, administrators, and regulators.
*\*Mercury is a fintech company, not an FDIC\-insured bank. Banking services provided through Choice Financial Group and Column N.A., Members FDIC.*
**As part of this role, you will:**
* Partner with data science \&amp; engineering teams to design and deploy ML \&amp; Gen AI microservices, primarily focusing on automating reviews
* Work with a full\-stack engineering team to embed these services into the overall review experience, including human in the loop, escalations, and feeding human decisions back into the service
* Implement testing, observability, alerting, and disaster recovery for all services
* Implement tracing, performance, and regression testing
* Feel a strong sense of product ownership and actively seek responsibility – we often self\-organize on small/medium projects, and we want someone who’s excited to help shape and build Mercury’s future
**The ideal candidate for the role has:**
* 7\+ years of experience in roles like machine learning engineering, data engineering, backend software engineering, and/or devops
* Expertise with:
+ A full modern data stack: Snowflake, dbt, Fivetran, Airbyte, Dagster, Airflow
+ SQL, dbt, Python
+ OLAP / OLTP data modelling and architecture
+ Key\-value stores: Redis, dynamoDB, or equivalent
+ Streaming / real\-time data pipelines: Kinesis, Kafka, Redpanda
+ API frameworks: FastAPI, Flask, etc.
+ Production ML Service experience
+ Working across full\-stack development environment, with experience transferable to Haskell, React, and TypeScript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 US employees (any location): $200,700 \- $250,900
* Canadian employees (any location): CAD 189,700 \- 237,100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We use Covey as part of our hiring and / or promotional process for jobs in NYC and certain features may qualify it as an AEDT. As part of the evaluation process we provide Covey with job requirements and candidate submitted applications. We began using Covey Scout for Inbound on January 22, 2024\. Please see the independent bias audit report covering our use of Covey here.</t>
        </is>
      </c>
    </row>
    <row r="40">
      <c r="A40" t="inlineStr">
        <is>
          <t>li-4293658647</t>
        </is>
      </c>
      <c r="B40" t="inlineStr">
        <is>
          <t>Senior Machine Learning Engineer</t>
        </is>
      </c>
      <c r="C40" t="inlineStr">
        <is>
          <t>Mercury</t>
        </is>
      </c>
      <c r="D40" t="inlineStr">
        <is>
          <t>linkedin</t>
        </is>
      </c>
      <c r="E40" t="inlineStr"/>
      <c r="F40" t="inlineStr"/>
      <c r="G40" t="inlineStr">
        <is>
          <t>San Francisco, CA</t>
        </is>
      </c>
      <c r="H40" t="inlineStr"/>
      <c r="I40" t="inlineStr">
        <is>
          <t>Before 1965, it was extremely difficult and time\-consuming to analyze complicated signals, like radio or images. You could solve it, but you had to throw a ton of compute at it. That all changed with the invention of the Fast Fourier transform, which could efficiently break that signal down into the frequencies that are a part of it. The Risk Onboarding team is working on efficiently reviewing customers’ applications without compromising on quality. We are the front line of defense for preventing money laundering and financial crimes, building systems to verify that someone is who they say they are and that we are allowed to do business with them.
 At Mercury, we are committed to crafting an exceptional banking\* experience for startups. Our team is passionately focused on ensuring our products create a safe environment that meets the needs of our customers, administrators, and regulators.
*\*Mercury is a fintech company, not an FDIC\-insured bank. Banking services provided through Choice Financial Group and Column N.A., Members FDIC.*
**As part of this role, you will:**
* Partner with data science \&amp; engineering teams to design and deploy ML \&amp; Gen AI microservices, primarily focusing on automating reviews
* Work with a full\-stack engineering team to embed these services into the overall review experience, including human in the loop, escalations, and feeding human decisions back into the service
* Implement testing, observability, alerting, and disaster recovery for all services
* Implement tracing, performance, and regression testing
* Feel a strong sense of product ownership and actively seek responsibility – we often self\-organize on small/medium projects, and we want someone who’s excited to help shape and build Mercury’s future
**The ideal candidate for the role has:**
* 7\+ years of experience in roles like machine learning engineering, data engineering, backend software engineering, and/or devops
* Expertise with:
+ A full modern data stack: Snowflake, dbt, Fivetran, Airbyte, Dagster, Airflow
+ SQL, dbt, Python
+ OLAP / OLTP data modelling and architecture
+ Key\-value stores: Redis, dynamoDB, or equivalent
+ Streaming / real\-time data pipelines: Kinesis, Kafka, Redpanda
+ API frameworks: FastAPI, Flask, etc.
+ Production ML Service experience
+ Working across full\-stack development environment, with experience transferable to Haskell, React, and TypeScript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 US employees (any location): $200,700 \- $250,900
* Canadian employees (any location): CAD 189,700 \- 237,100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We use Covey as part of our hiring and / or promotional process for jobs in NYC and certain features may qualify it as an AEDT. As part of the evaluation process we provide Covey with job requirements and candidate submitted applications. We began using Covey Scout for Inbound on January 22, 2024\. Please see the independent bias audit report covering our use of Covey here.</t>
        </is>
      </c>
    </row>
    <row r="41">
      <c r="A41" t="inlineStr">
        <is>
          <t>li-4345625802</t>
        </is>
      </c>
      <c r="B41" t="inlineStr">
        <is>
          <t>Staff Machine Learning Engineer (Tapestry)</t>
        </is>
      </c>
      <c r="C41" t="inlineStr">
        <is>
          <t>X, The Moonshot Factory</t>
        </is>
      </c>
      <c r="D41" t="inlineStr">
        <is>
          <t>linkedin</t>
        </is>
      </c>
      <c r="E41" t="inlineStr"/>
      <c r="F41" t="inlineStr"/>
      <c r="G41" t="inlineStr">
        <is>
          <t>Mountain View, CA</t>
        </is>
      </c>
      <c r="H41" t="inlineStr"/>
      <c r="I41" t="inlineStr">
        <is>
          <t>**About Tapestry**
 Tapestry is Alphabet’s moonshot for the electric grid, working at the frontier where energy’s complexity meets AI’s potential. We were born at X, the innovation lab responsible for breakthrough technologies like Waymo, Verily and Google Brain.
 To keep pace with humanity’s growing energy needs, the world needs a grid that is visible and understandable. We provide that clarity by building advanced, AI\-enabled analytical and planning tools that allow the entire energy ecosystem to plan smarter, move faster, and operate more efficiently—ensuring electricity remains reliable and affordable for everyone.
 This is a global effort. Tapestry is proud to support partners in the U.S., U.K., Chile, New Zealand, Australia and Brazil as they build a cleaner, more resilient energy future.
 Joining Tapestry allows you to do the best work of your life as part of a multidisciplinary team of experts in AI, energy systems, software engineering and product design—all collaborating to reshape energy on a global scale. If you want to tackle problems that matter and build tools with real impact, we would love to meet you. Learn more about our team and our mission here.
**About The Role**
 We're looking for a Staff Machine Learning Engineer to join our team. In this role, you will be responsible for developing and deploying state of the art machine learning models to solve complex challenges that face today’s electric grid. You’ll have the opportunity to lead model building and development across diverse ML domains such as time series analysis, planning and reinforcement learning, multi modal information retrieval and reasoning and agentic AI. In this role, you will be responsible for setting a vision for one or more of the above areas, work with and mentor junior machine learning engineers, lead cross\-functional collaborations and build the state of the art machine learning models to help power the grid of tomorrow.
**How You Will Make 10x Impact**
* Design, train, and deploy machine learning models in production environments.
* Lead the development of ML systems for one or more of planning and reinforcement learning, forecasting and multimodal machine learning
* Set long term strategy and actively collaborate with product, engineering, and data science teams to identify and address key business problems
* Mentor junior engineers and scientists and contribute to the team’s technical growth.
* Stay abreast of the latest advancements in machine learning
**What You Should Have**
* Master’s Degree/Bachelor's Degree in Machine Learning, Computer Science, Statistics or equivalent practical experience.
* 10\+ years of professional experience in machine learning model development and engineering.
* Deep expertise in one or more of the following areas: planning and control, reinforcement learning, forecasting, multimodal machine learning and information retrieval
* Strong programming skills in Python and experience with ML frameworks like PyTorch or TensorFlow.
* Experience with building and deploying ML systems at scale, and a proven ability to lead applied ML research and developing the state of the art
* Proven ability to work on cross\-functional projects and deliver results in a fast\-paced, collaborative environment
**It’d Be Great If You Also Had These**
* PhD in Machine Learning, Computer Science, Statistics, or a related field
* Experience with cloud platforms such as AWS, GCP, or Azure.
* Familiarity with MLOps practices and tools.
* A strong portfolio of projects demonstrating expertise in multiple ML domains.
**Our values**
* Take charge: We take initiative and own outcomes that move the mission forward.
* Transform with purpose: We build solutions that solve real problems and create meaningful impact.
* Be a Tapestry, not a thread: We collaborate across diverse skills and perspectives to achieve more than we can individually.
* Always fine\-tune: We stay curious, seek feedback, and refine our understanding as we learn.
* Stay grounded: We listen openly, value different perspectives, and stay focused on what matters most.
**What We Offer**
 A culture that supports growth, ownership, and meaningful impact, along with:
* Competitive salary and equity
* Medical, dental, and vision coverage
* Generous PTO and flexible hybrid work model
* 401(k) with employer contribution
* Professional development
* The ability to work on important real\-world problems within an Alphabet\-backed environment
 The US base salary range for this full\-time position is $197,000 \- $288,000 \+ bonus \+ equity \+ benefits. Within the range, individual pay is determined by work location and additional factors, including job\-related skills, experience, and relevant education or training. Your recruiter can share more about the specific salary range for your location during the hiring process.
 Please note that the compensation details listed in US role postings reflect the base salary only, and do not include bonus, equity, or benefits.</t>
        </is>
      </c>
    </row>
    <row r="42">
      <c r="A42" t="inlineStr">
        <is>
          <t>li-4166735282</t>
        </is>
      </c>
      <c r="B42" t="inlineStr">
        <is>
          <t>Distinguished Machine Learning Engineer - Safety</t>
        </is>
      </c>
      <c r="C42" t="inlineStr">
        <is>
          <t>Roblox</t>
        </is>
      </c>
      <c r="D42" t="inlineStr">
        <is>
          <t>linkedin</t>
        </is>
      </c>
      <c r="E42" t="inlineStr"/>
      <c r="F42" t="inlineStr"/>
      <c r="G42" t="inlineStr">
        <is>
          <t>San Mateo, CA</t>
        </is>
      </c>
      <c r="H42" t="inlineStr"/>
      <c r="I42"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Distinguished Machine Learning Engineer/Technical Director in the Safety organization at Roblox, you will drive the overall technical vision and execution for all machine learning initiatives focused on maintaining the safety and civility of our users. Our industry\-leading safety features ensure Roblox remains a safe and inclusive environment for our community to express themselves creatively and share experiences without fear. The Safety org is the reason why Roblox is the safest place on the internet, protecting users You will provide technical leadership on AI/ML efforts for Trust and Safety as the Roblox platform scales to serve different age groups and geographic locations.
**You Will**
* Own the technical direction and implementation of machine learning solutions for safety\-related systems
* Lead and mentor other engineers, fostering a culture of technical excellence and inclusivity
* Break down long\-term product requirements into iterative deliverable stages, ensuring continuous improvement
* Craft and build large\-scale machine learning models with billions of parameters, ensuring production\-readiness
* Facilitate challenging technical decisions across multiple teams, demonstrating empathy and finding common understanding
* Collaborate with cross\-functional teams to define and prioritize the machine learning roadmap
**You Have**
* 10\+ years of experience delivering and improving large\-scale machine learning systems
* Proven expertise in creating and launching machine learning models from scratch
* Ability to handle data problems, train models with large datasets, and ensure system reliability at scale
* Experience with distributed systems, data architecture, and model extraction
* Strong programming skills and willingness to be hands\-on as necessary
* Prior experience in a leadership role with a technical focus, including mentoring engineering teams
**You Are**
* A creative and strategic problem\-solver, able to simplify complex issues while integrating fresh ideas
* Committed to fostering a diverse and inclusive workplace where everyone feels valued and supported
* Passionate about maintaining deep technical expertise while meeting end\-user needs
* Knowledgeable about cutting\-edge ML technologies, including LLMs
* Experienced in NLP or computer vision (preferred)
* Familiar with maintaining and evolving safety systems at scale (preferred)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$397,460—$455,720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43">
      <c r="A43" t="inlineStr">
        <is>
          <t>li-4375728180</t>
        </is>
      </c>
      <c r="B43" t="inlineStr">
        <is>
          <t>Generative AI Engineer</t>
        </is>
      </c>
      <c r="C43" t="inlineStr">
        <is>
          <t>Programmers.io</t>
        </is>
      </c>
      <c r="D43" t="inlineStr">
        <is>
          <t>linkedin</t>
        </is>
      </c>
      <c r="E43" t="inlineStr"/>
      <c r="F43" t="inlineStr"/>
      <c r="G43" t="inlineStr">
        <is>
          <t>Irving, TX</t>
        </is>
      </c>
      <c r="H43" t="inlineStr"/>
      <c r="I43" t="inlineStr">
        <is>
          <t>One of our clients which is having operations globally is looking a
 **Senior Generative AI Developer\-** 
 rving, TX / Tampa, FL/ Jersey City, NJ (3 Days onsite/ week). Please find the below job description and request you to share me your resume to srinath.k@programmers.ai
**Title: Senior Generative AI Developer** 
**Location: Irving, TX / Tampa, FL/ Jersey City, NJ (3 Days onsite/ week)** 
**Duration: Full time with all the benefits** 
**Note: Only for USC/GC and H4 EAD** 
**Experience needed: 8 \+ Years** 
 We are looking for an experienced Senior Generative AI Developer to design and deliver enterprise\-scale AI solutions using Retrieval\-Augmented Generation (RAG). The ideal candidate has strong expertise in Python, FastAPI, system architecture, and cloud platforms (AWS, Azure, or GCP).
**Key Responsibilities** 
* Design and build scalable Generative AI applications using RAG frameworks.
* Architect secure, high\-performance AI\-driven systems.
* Develop and optimize APIs using FastAPI.
* Implement data ingestion, retrieval pipelines, and vector database integrations.
* Deploy and manage solutions on cloud platforms (AWS, Azure, or GCP).
* Collaborate with cross\-functional teams to integrate AI into existing systems.
* Optimize model and API performance.
**Required Qualifications** 
* 8\+ years of experience in software development and system design.
* Strong Python and FastAPI expertise.
* Hands\-on experience with Generative AI, LLMs, and RAG architectures.
* Experience with cloud platforms (AWS, Azure, or GCP).
* Knowledge of distributed systems and scalable architecture design.
**Preferred Qualifications** 
* Experience with LLM fine\-tuning and prompt engineering.
* Familiarity with Docker, Kubernetes, and CI/CD practices.</t>
        </is>
      </c>
    </row>
    <row r="44">
      <c r="A44" t="inlineStr">
        <is>
          <t>li-4325003478</t>
        </is>
      </c>
      <c r="B44" t="inlineStr">
        <is>
          <t>Staff AI Engineer, Trust &amp; Safety Operations</t>
        </is>
      </c>
      <c r="C44" t="inlineStr">
        <is>
          <t>Hinge</t>
        </is>
      </c>
      <c r="D44" t="inlineStr">
        <is>
          <t>linkedin</t>
        </is>
      </c>
      <c r="E44" t="inlineStr"/>
      <c r="F44" t="inlineStr"/>
      <c r="G44" t="inlineStr">
        <is>
          <t>New York, NY</t>
        </is>
      </c>
      <c r="H44" t="inlineStr"/>
      <c r="I44" t="inlineStr">
        <is>
          <t>**Hinge is the dating app designed to be deleted** 
 In today's digital world, finding genuine relationships is tougher than ever. At Hinge, we’re on a mission to inspire intimate connection to create a less lonely world. We’re obsessed with understanding our users’ behaviors to help them find love, and our success is defined by one simple metric– setting up great dates. With millions of users across the globe, we’ve become the most trusted way to find a relationship, for all.
**About the Role** 
 Join Hinge as a Staff AI Engineer for Trust \&amp; Safety Operations, where you’ll lay the cornerstone of our agent\-powered future. You will architect the foundational workflows, guardrails, and tooling that turn AI agents into everyday teammates for our Moderation, Appeals, and Support operators. Think of it as building the “operating system” for AI within Trust \&amp; Safety: establishing the orchestration layer, standardizing tool schemas, automating the agent lifecycle, instrumenting real\-time monitoring, and ensuring every solution is robust, scalable, efficient, and responsible.
 You’ll collaborate closely with operations professionals and engineers, meet non\-technical stakeholders where they are, and deliver value in tight, incremental loops tied directly to solving their biggest problems. Because we’re still early in our agent journey, you’ll enjoy a broad scope with an expectation of mentoring peers, shaping best practices, and defining the north star for AI\-native operations at Hinge.
 If you’re energized by building green\-field systems that leverage AI to solve challenging problems, this is your invitation to help write the next chapter of Trust \&amp; Safety to create a safer and more meaningful user experience on their journey to find an intimate connection.
**Responsibilities** 
- Own the technical roadmap for AI automation across Moderation, Appeals, and Support workflows, driving discovery and prioritization of high\-impact AI automation opportunities while providing hands\-on technical leadership from concept to production
- Prototype agentic solutions using the latest platforms and frameworks and integrate them with existing internal and third\-party tools and systems
- Deliver reliable, scalable, and robust automations with the appropriate evaluations, guardrails, human oversight, and clear performance monitoring
- Drive adoption by producing documentation, running hands\-on training and enablement sessions for non\-technical operators, and curating prompt libraries and playbooks that empower self\-service iteration.
- Collaborate closely with Data Scientists, Data Engineers, Product Managers, Backend Engineers, and the AI Platform Team to ensure a comprehensive and coordinated approach to improving operational efficiency
- Embed safety, privacy, auditability, and responsible\-AI standards into every workflow in partnership with Legal and Security teams
- Mentor and educate ML Engineers and Platform Engineers on new trends and research in AI/ML that can be applied to Trust \&amp; Safety initiatives to promote user safety and improve AI\-powered products and workflows
**What We're Looking For** 
- **Agentic \&amp; workflow\-orchestration expertise:** 
 Proven ability to design, build, and operate multi\-step LLM agents with modern coordination frameworks
- **Applied AI engineering \&amp; prompt craft:** 
 Deep Python skills plus hands\-on experience integrating foundation models and crafting robust prompts and utilizing vector databases
- **Rapid prototyping \&amp; experimentation:** 
 Comfortable shipping quick proofs of concept, running A/B or shadow launches, and iterating based on data
- **Backend, data\-systems \&amp; tool integration:** 
 Skilled at wiring external services and internal data into agent workflows through well\-designed APIs and schemas
- **Human\-in\-the\-loop system design:** 
 Able to blend automation with human oversight through clear escalation paths, review checkpoints, and moderator tooling
- **Operator enablement \&amp; training:** 
 Talent for translating technical workflows into clear, actionable training for non\-technical teams and supporting their day\-to\-day adoption
- **Working through ambiguity:** 
 Proven skill thriving in high\-ambiguity, fast\-moving environments—prioritizing effectively, adapting plans quickly, and delivering impact amid shifting requirements
**Prior Experience** 
- 7\+ years of software or machine\-learning engineering experience, with a recent focus on AI\-driven automation or agentic systems
- 2\+ years delivering solutions that combine automated decision support with human\-in\-the\-loop review, ideally in Trust \&amp; Safety, customer support, or adjacent domains
- 2\+ years designing and tracking operational metrics that demonstrate ROI, accuracy, and user\-experience improvements for automated workflows
- 1\+ years of hands\-on work prototyping or operating agentic workflows (e.g., MCP, Agentspace, n8n) in real\-world or open\-source projects
- A degree in computer science, engineering, or a related field (or equivalent practical experience)
**As a member of our team, you’ll enjoy:** 
**401(k) Matching:** 
 We match 100% of the first 10% of pre\-tax 401(k) contributions you make, up to a maximum of $10,000 per year.
**Professional Growth:** 
 Get an annual Learning \&amp; Development stipend once you’ve been with us for three months. You also get free access to Udemy, an online learning and teaching marketplace with over 6000 courses, starting your first day.
**Parental Leave \&amp; Planning:** 
 When you become a new parent, you’re eligible for 100% paid parental leave (20 paid weeks for both birth and non\-birth parents.)
**Fertility Support:** 
 You’ll get easy access to fertility care through Carrot, from basic treatments to fertility preservation. We also provide a stipend towards fertility preservation. You and your spouse/domestic partner are both eligible.
**Date Stipend:** 
 All Hinge employees receive a $100 monthly stipend for epic dates– Romantic or otherwise. Hinge Premium is also free for employees and their loved ones.
**ERGs:** 
 We have eight Employee Resource Groups (ERGs)—Asian, Unapologetic, Disability, LGBTQIA\+, R
 aices
 , Women/Nonbinary, Parents —that hold regular meetings, host events, and provide dedicated support to the organization \&amp; its community.
**At Hinge, our core values are…** 
**Authenticity:** 
 We share, never hide, our words, actions and intentions.
**Courage:** 
 We embrace lofty goals and tough challenges.
**Empathy:** 
 We deeply consider the perspective of others.
**Diversity inspires innovation** 
 Hinge is an equal\-opportunity employer. We value diversity at our company and do not discriminate on the basis of race, religion, color, national origin, gender, sexual orientation, age, marital status, veteran status, or disability status. We believe success is created by a diverse workforce of individuals with different ideas, strengths, interests, and cultural backgrounds.
***If you require reasonable accommodation to complete a job application, pre\-employment testing, or a job interview or to otherwise participate in the hiring process, please let your Talent Acquisition partner know.***
*\#Hinge* 
 Factors such as scope and responsibilities of the position, candidate's work experience, education/training, job\-related skills, internal peer equity, as well as market and business considerations may influence base pay offered. This salary range is reflective of a position based in New York City. This salary will be subject to a geographic adjustment (according to a specific city and state), if an authorization is granted to work outside of the location listed in this posting.</t>
        </is>
      </c>
    </row>
    <row r="45">
      <c r="A45" t="inlineStr">
        <is>
          <t>li-4321710027</t>
        </is>
      </c>
      <c r="B45" t="inlineStr">
        <is>
          <t>Full Stack AI Engineer - Senior Associate - Commercial Technology &amp; Innovation</t>
        </is>
      </c>
      <c r="C45" t="inlineStr">
        <is>
          <t>PwC</t>
        </is>
      </c>
      <c r="D45" t="inlineStr">
        <is>
          <t>linkedin</t>
        </is>
      </c>
      <c r="E45" t="inlineStr"/>
      <c r="F45" t="inlineStr"/>
      <c r="G45" t="inlineStr">
        <is>
          <t>Chicago, IL</t>
        </is>
      </c>
      <c r="H45" t="inlineStr"/>
      <c r="I45" t="inlineStr">
        <is>
          <t>**Specialty/Competency:** 
 Data Science
**Industry/Sector:** 
 Not Applicable
**Time Type:** 
 Full time
**Travel Requirements:** 
 Up to 40%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contribute to the evolution of AI technologies and methodologies. As a Senior Associate, you will analyze complex problems, mentor others, and maintain elevated standards while navigating intricate situations to drive project success.
**Responsibilities**
* Uphold exceptional standards in deliverables
* Work with diverse teams to improve product development
* Navigate complex scenarios to secure project success
* Maintain remarkable quality and performance in tasks
* Foster a culture of continuous improvement and innovation
 What You Must Have
* Bachelor's Degree
* 3 years of experience
 What Sets You Apart
* Master's Degree in Computer Engineering, Computer Science, Artificial Intelligence and Robotics, Software Engineering, Data Processing/Analytics/Science preferred
* Designing and deploying machine learning models and LLMs
* Developing scalable, cloud\-native microservices with Docker and Kubernetes
* Building end\-to\-end AI applications for web, mobile, or API\-first platforms
* Managing CI/CD pipelines for AI systems using GitHub Actions and MLflow
* Implementing vector databases and RAG pipelines with orchestration tools
* Translating complex business problems into software\-engineered AI solutions
* Fine\-tuning models on domain\-specific data
* Applying Responsible AI practices including governance and ethics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6">
      <c r="A46" t="inlineStr">
        <is>
          <t>li-4375726824</t>
        </is>
      </c>
      <c r="B46" t="inlineStr">
        <is>
          <t>Applied Scientist (Time-Series)</t>
        </is>
      </c>
      <c r="C46" t="inlineStr">
        <is>
          <t>Striv</t>
        </is>
      </c>
      <c r="D46" t="inlineStr">
        <is>
          <t>linkedin</t>
        </is>
      </c>
      <c r="E46" t="inlineStr"/>
      <c r="F46" t="inlineStr"/>
      <c r="G46" t="inlineStr"/>
      <c r="H46" t="inlineStr"/>
      <c r="I46" t="inlineStr">
        <is>
          <t>Who We Are
 Striv is a startup building AI\-powered wearable technology for real\-time athletic feedback, with team based in Boston. We operate at the intersection of smart wearables, biomechanics, and AI, helping users detect risk earlier, train smarter, and improve performance.
 We’ve raised multiple rounds of funding, completed early product validation, and shipped to users in 50\+ countries, with backing and use cases involving top Olympic athletes. We’re in a fast iteration and growth phase, expanding into more sports and movement scenarios.
 Our team is deeply technical, with early team members from MIT, Harvard, and leading companies.
 What You’ll Work On
* Build robust, interpretable signals and metrics from long\-horizon sensor time\-series data (e.g., baseline, variability, anomaly deviation, state changes)
* Develop modeling approaches across users and scenarios (e.g., stratification, normalization, drift detection, anomaly detection) to improve consistency and reliability
* Build personalization models that learn an individual’s normal pattern and detect early risk signals or performance changes
* Design evaluation and regression pipelines to measure model/rule improvements and monitor performance over time
* Collaborate with engineering to productionize algorithms: define interfaces/fields, support versioning, and enable fast iteration
 What We’re Looking For
 * **3–7 years** 
 of experience in applied data science / machine learning / algorithm development
* Strong experience with at least one of the following: time\-series data, sensor data, telemetry, or large\-scale behavioral/log data
* Solid Python \+ statistics / ML fundamentals, with the ability to handle real\-world issues: noise, missingness, distribution shift, weak labels, etc.
* Experience with (or strong interest in) heterogeneity and longitudinal / sequential modeling
* Strong engineering mindset: writes maintainable code, values evaluation rigor, reproducibility, and iteration speed
 Nice to Have
 * Experience in wearables, IoT, telemetry, personalization, or anomaly detection
* Experience taking models from offline analysis to production (monitoring, regression testing, experiment design, A/B testing, etc.)
* Interest in or long\-term engagement with sports, health, training, or smart hardware
* Experience in any of: forecasting, risk modeling, user modeling, representation learning
 What We Offer
 * **Rare data \+ fast validation:** 
 real device data, rapid iteration, direct product impact
* **0→1 ownership:** 
 define core modeling capabilities, evaluation standards, and algorithm direction
* **Compensation:** 
 competitive!
 📍
 **Location:** 
 Boston (remote or hybrid can be discussed)</t>
        </is>
      </c>
    </row>
    <row r="47">
      <c r="A47" t="inlineStr">
        <is>
          <t>li-4170776656</t>
        </is>
      </c>
      <c r="B47" t="inlineStr">
        <is>
          <t>Staff Applied Scientist</t>
        </is>
      </c>
      <c r="C47" t="inlineStr">
        <is>
          <t>Hippocratic AI</t>
        </is>
      </c>
      <c r="D47" t="inlineStr">
        <is>
          <t>linkedin</t>
        </is>
      </c>
      <c r="E47" t="inlineStr"/>
      <c r="F47" t="inlineStr"/>
      <c r="G47" t="inlineStr">
        <is>
          <t>Palo Alto, CA</t>
        </is>
      </c>
      <c r="H47" t="inlineStr"/>
      <c r="I47" t="inlineStr">
        <is>
          <t>**About Us**
 Hippocratic AI is the leading generative AI company in healthcare. We have the only system that can have safe, autonomous, clinical conversations with patients. We have trained our own LLMs as part of our Polaris constellation, resulting in a system with over 99\.9% accuracy.
**Why Join Our Team**
**Reinvent healthcare with AI that puts safety first.** 
 We’re building the world’s first healthcare‑only, safety‑focused LLM — a breakthrough platform designed to transform patient outcomes at a global scale. This is category creation.
**Work with the people shaping the future.** 
 Hippocratic AI was co‑founded by CEO Munjal Shah and a team of physicians, hospital leaders, AI pioneers, and researchers from institutions like El Camino Health, Johns Hopkins, Washington University in St. Louis, Stanford, Google, Meta, Microsoft, and NVIDIA.
**Backed by the world’s leading healthcare and AI investors.** 
 We recently raised a $126M Series C at a $3\.5B valuation, led by Avenir Growth, bringing total funding to $404M with participation from CapitalG, General Catalyst, a16z, Kleiner Perkins, Premji Invest, UHS, Cincinnati Children’s, WellSpan Health, John Doerr, Rick Klausner, and others.
**Build alongside the best in healthcare and AI.** 
 Join experts who’ve spent their careers improving care, advancing science, and building world‑changing technologies — ensuring our platform is powerful, trusted, and truly transformative.
**Location Requirement**
 We believe the best ideas happen together. To support fast collaboration and a strong team culture, this role is expected to be in our Palo Alto office five days a week, unless otherwise specified.
**About The Role**
 Applied Scientists at Hippocratic provide a dynamic opportunity to work with a team of world\-class research scientists and engineers, who are pursuing scientific and technical innovation to help solve complex challenges through the use of Generative AI technology.
 What You'll Do
 We are seeking Artificial Intelligence (AI) Applied Scientists to join our team and contribute to the development of Large Language Models (LLMs) aimed at creating disruptive safety\-focused generative intelligence for Healthcare. As an Applied Scientist, you will play a crucial role in developing, improving, and exploring the capabilities of LLMs to solve complex real\-world problems geared towards building Conversational AI products. Our ongoing research areas encompass but are not limited to:
* Post\-training: Instruction tuning and reinforcement learning from human and AI feedback.
* Multilinguality: Post\-training LLMs to talk fluently in any language, with medical accuracy and safety.
* Continual Learning: Enabling LLMs to evolve and adapt over time and learn from previous experiences over human interactions.
* Specialization: Tailoring LLMs to meet domain\-specific requirements.
* Efficiency: Optimizing the computational efficiency and cost\-effectiveness of LLM deployments.
**What You Bring**
**Must\-Have:**
* PhD in Computer Science, Electrical Engineering, or related field.
* 5\+ years of industry experience in NLP and machine learning, with a focus on LLMs.
* Strong programming skills in Python.
* Experience with deep learning frameworks such as PyTorch or TensorFlow.
* Experience with large\-scale data processing and distributed computing.
* Experience with training (pre\-training / fine\-tuning / RLHF / post\-training) autoregressive language models like LLaMA, GPT\-x, etc.
* Experience with open\-source LLM platforms and training stack (e.g., HuggingFace, Deepspeed etc.).
* Experience in healthcare or life sciences is a plus.
**Nice\-to\-Have:**
 Strong preference for individuals that can work onsite in our HQ located in Palo Alto, CA, but will consider individuals throughout the U.S.
 Applied Scientists are directly responsible for improving the product, safety, and intelligence of our system by researching innovative AI solutions and applying them into our models. Collaborating with accomplished doctoral candidates and some of the industry's brightest minds, Applied Scientist partake in an ongoing learning journey that fosters collaboration and establishes enduring connections. This position not only facilitates individual career advancement but also plays a crucial role in propelling forward innovative research and development initiatives.
**References**
* Polaris: A Safety\-focused LLM Constellation Architecture for Healthcare, https://arxiv.org/abs/2403\.13313
 2\. Polaris 2: https://www.hippocraticai.com/polaris2
 3\. Personalized Interactions: https://www.hippocraticai.com/personalized\-interactions
 4\. Human Touch in AI: https://www.hippocraticai.com/the\-human\-touch\-in\-ai
 5\. Empathetic Intelligence: https://www.hippocraticai.com/empathetic\-intelligence
 6\. Polaris 1: https://www.hippocraticai.com/research/polaris
 7\. Research and clinical blogs: https://www.hippocraticai.com/research
*Please be aware of recruitment scams impersonating Hippocratic AI. All recruiting communication will come from @* 
*hippocraticai.com* 
*email addresses. We will never request payment or sensitive personal information during the hiring process.*</t>
        </is>
      </c>
    </row>
    <row r="48">
      <c r="A48" t="inlineStr">
        <is>
          <t>li-4170780548</t>
        </is>
      </c>
      <c r="B48" t="inlineStr">
        <is>
          <t>Senior Applied Scientist</t>
        </is>
      </c>
      <c r="C48" t="inlineStr">
        <is>
          <t>Hippocratic AI</t>
        </is>
      </c>
      <c r="D48" t="inlineStr">
        <is>
          <t>linkedin</t>
        </is>
      </c>
      <c r="E48" t="inlineStr"/>
      <c r="F48" t="inlineStr"/>
      <c r="G48" t="inlineStr">
        <is>
          <t>Palo Alto, CA</t>
        </is>
      </c>
      <c r="H48" t="inlineStr"/>
      <c r="I48" t="inlineStr">
        <is>
          <t>**About Us**
 Hippocratic AI is the leading generative AI company in healthcare. We have the only system that can have safe, autonomous, clinical conversations with patients. We have trained our own LLMs as part of our Polaris constellation, resulting in a system with over 99\.9% accuracy.
**Why Join Our Team**
**Reinvent healthcare with AI that puts safety first.** 
 We’re building the world’s first healthcare‑only, safety‑focused LLM — a breakthrough platform designed to transform patient outcomes at a global scale. This is category creation.
**Work with the people shaping the future.** 
 Hippocratic AI was co‑founded by CEO Munjal Shah and a team of physicians, hospital leaders, AI pioneers, and researchers from institutions like El Camino Health, Johns Hopkins, Washington University in St. Louis, Stanford, Google, Meta, Microsoft, and NVIDIA.
**Backed by the world’s leading healthcare and AI investors.** 
 We recently raised a $126M Series C at a $3\.5B valuation, led by Avenir Growth, bringing total funding to $404M with participation from CapitalG, General Catalyst, a16z, Kleiner Perkins, Premji Invest, UHS, Cincinnati Children’s, WellSpan Health, John Doerr, Rick Klausner, and others.
**Build alongside the best in healthcare and AI.** 
 Join experts who’ve spent their careers improving care, advancing science, and building world‑changing technologies — ensuring our platform is powerful, trusted, and truly transformative.
**Location Requirement**
 We believe the best ideas happen together. To support fast collaboration and a strong team culture, this role is expected to be in our Palo Alto office five days a week, unless otherwise specified.
**About The Role**
 Applied Scientists at Hippocratic provide a dynamic opportunity to work with a team of world\-class research scientists and engineers, who are pursuing scientific and technical innovation to help solve complex challenges through the use of Generative AI technology.
 What You'll Do
 We are seeking Artificial Intelligence (AI) Applied Scientists to join our team and contribute to the development of Large Language Models (LLMs) aimed at creating disruptive safety\-focused generative intelligence for Healthcare. As an Applied Scientist, you will play a crucial role in developing, improving, and exploring the capabilities of LLMs to solve complex real\-world problems geared towards building Conversational AI products.
* Post\-training: Instruction tuning and reinforcement learning from human and AI feedback.
* Multilinguality: Post\-training LLMs to talk fluently in any language, with medical accuracy and safety.
* Continual Learning: Enabling LLMs to evolve and adapt over time and learn from previous experiences over human interactions.
* Specialization: Tailoring LLMs to meet domain\-specific requirements.
* Efficiency: Optimizing the computational efficiency and cost\-effectiveness of LLM deployments.
**What You Bring**
**Must\-Have:**
* MS in Computer Science, Electrical Engineering, or related field.
* 3\+ years of industry experience in NLP and machine learning, with a focus on LLMs.
* Strong programming skills in Python.
* Experience with deep learning frameworks such as PyTorch or TensorFlow.
* Experience with large\-scale data processing and distributed computing.
* Experience with training (pre\-training / fine\-tuning / RLHF / post\-training) autoregressive language models like LLaMA, GPT\-x, etc.
* Experience with open\-source LLM platforms and training stack (e.g., HuggingFace, Deepspeed etc.).
* Experience in healthcare or life sciences is a plus.
**Nice\-to\-Have:**
 Strong preference for individuals that can work onsite in our HQ located in Palo Alto, CA, but will consider individuals throughout the U.S.
 Applied Scientists are directly responsible for improving the product, safety, and intelligence of our system by researching innovative AI solutions and applying them into our models. Collaborating with accomplished doctoral candidates and some of the industry's brightest minds, Applied Scientist partake in an ongoing learning journey that fosters collaboration and establishes enduring connections. This position not only facilitates individual career advancement but also plays a crucial role in propelling forward innovative research and development initiatives.
**References**
* Polaris: A Safety\-focused LLM Constellation Architecture for Healthcare, https://arxiv.org/abs/2403\.13313
 2\. Polaris 2: https://www.hippocraticai.com/polaris2
 3\. Personalized Interactions: https://www.hippocraticai.com/personalized\-interactions
 4\. Human Touch in AI: https://www.hippocraticai.com/the\-human\-touch\-in\-ai
 5\. Empathetic Intelligence: https://www.hippocraticai.com/empathetic\-intelligence
 6\. Polaris 1: https://www.hippocraticai.com/research/polaris
 7\. Research and clinical blogs: https://www.hippocraticai.com/research
*Please be aware of recruitment scams impersonating Hippocratic AI. All recruiting communication will come from @* 
*hippocraticai.com* 
*email addresses. We will never request payment or sensitive personal information during the hiring process.*</t>
        </is>
      </c>
    </row>
    <row r="49">
      <c r="A49" t="inlineStr">
        <is>
          <t>li-4232235277</t>
        </is>
      </c>
      <c r="B49" t="inlineStr">
        <is>
          <t>Principal Applied Scientist (AI for Enterprise Apps), AWS Supply Chain</t>
        </is>
      </c>
      <c r="C49" t="inlineStr">
        <is>
          <t>Amazon Web Services (AWS)</t>
        </is>
      </c>
      <c r="D49" t="inlineStr">
        <is>
          <t>linkedin</t>
        </is>
      </c>
      <c r="E49" t="inlineStr"/>
      <c r="F49" t="inlineStr"/>
      <c r="G49" t="inlineStr">
        <is>
          <t>Seattle, WA</t>
        </is>
      </c>
      <c r="H49" t="inlineStr"/>
      <c r="I49" t="inlineStr">
        <is>
          <t>**Description**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Are you excited about developing state\-of\-the\-art GenAI/Agentic AI based solutions for enterprise applications? Do you have proven analytical capabilities and can multi\-task and thrive in a fast\-paced environment? You enjoy the prospect of solving real\-world problems that, quite frankly, have not been solved at scale anywhere before. Along the way, you’ll get opportunities to be a disruptor, prolific innovator, and a reputed problem solver—someone who truly enables machine learning to create significant impacts.
 We're seeking a Principal Applied Scientist with the ability to apply deep learning and generative AI techniques to conceptualize, promote, and execute advanced solutions for previously unsolved challenges. As an Applied Scientist at AWS Supply Chain, you will bring AI advancements to customer facing enterprise applications. You will be working in a fast\-paced, cross\-disciplinary team of researchers who are leaders in the field. You will take on challenging problems, distill real requirements, and then deliver solutions that either leverage existing academic and industrial research, or utilize your own out\-of\-the\-box pragmatic thinking. In addition to coming up with novel solutions and prototypes, you may even need to deliver these to production in customer facing products.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PhD in one of the following disciplines: Computer Science, Machine Learning, Statistics, Applied Math or a related quantitative field
* 8\+ years of relevant, broad research experience after PhD
* Publications at top\-tier peer\-reviewed conferences or journals in one of these areas: reinforcement learning, deep learning, and machine learning
* Fluency in Python, SQL or similar scripting languages
* Strong algorithm development experience
* Depth and breadth in state\-of\-the\-art machine learning technologies
* Strong prior experience with mentorship and/or management of senior scientists and engineers.
**Preferred Qualifications**
* Experience programming in Java, C\+\+, or related language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A2987510</t>
        </is>
      </c>
    </row>
    <row r="50">
      <c r="A50" t="inlineStr">
        <is>
          <t>li-4377015370</t>
        </is>
      </c>
      <c r="B50" t="inlineStr">
        <is>
          <t>Machine Learning Engineer</t>
        </is>
      </c>
      <c r="C50" t="inlineStr">
        <is>
          <t>Noetica</t>
        </is>
      </c>
      <c r="D50" t="inlineStr">
        <is>
          <t>linkedin</t>
        </is>
      </c>
      <c r="E50" t="inlineStr"/>
      <c r="F50" t="inlineStr"/>
      <c r="G50" t="inlineStr">
        <is>
          <t>New York, NY</t>
        </is>
      </c>
      <c r="H50" t="inlineStr"/>
      <c r="I50" t="inlineStr">
        <is>
          <t>**About Noetica**
 Noetica is solving critical NLP problems at the heart of the trillion\-dollar capital markets ecosystem with an in\-house machine learning platform and decades of ML PhD expertise. Founded in 2022 and based in New York, our high\-caliber team is dedicated to bringing innovation and efficiency to legal and financial industries.
 We count many of the top law firms in the world among our customers.
 To date we have raised \~$30M with our last round (Series A) led by Lightspeed.
 We're fortunate to have been featured in Wall Street Journal, Bloomberg, and American Banker, amongst others, and named a top AI company 2024 and 2025 by Business Insider, CB Insights, and others.
**The Opportunity**
 The global capital markets are among the largest markets in the world valued at $50T\+ and growing. Transactions in these markets are complex. Critical, nuanced legal terms are woven into lengthy documents. These documents must be digested and analyzed by many different parties over the course of a single transaction and multiple decisions are made based on the terms laid out and quantitative and qualitative attributes within. This fundamental need plus a booming market drives enormous demand for precise extraction and benchmarking of legal terms.
**Why We Need You**
 As a Machine Learning Engineer at Noetica, you'll contribute to the development of AI systems that extract actionable insights from complex legal documents and data. Our legal benchmarking platform requires sophisticated NLP and LLM implementations to analyze contractual language, identify legal patterns, and generate meaningful comparisons across thousands of documents. You will collaborate with a talented, cross\-functional team of ML experts, legal subject matter experts, data, security, and product engineers. Your role directly impacts our competitive advantage by enabling more advanced features and analysis of complex legal documents.
**Here's What You'll Be Doing**
 As a Machine Learning Engineer, you will:
* Develop NLP systems that can accurately process and understand complex legal language and terminology.
* Build ML models and pipelines with scalability and reproducibility as foundational principles, not afterthoughts.
* Design and implement LLM\-based solutions that are well\-documented, and empower legal professionals to extract valuable insights.
* Extend and create reliable model evaluation frameworks that ensure accuracy and reduce the risk of model drift or bias.
* Simplify complex ML systems into more manageable solutions that are easier to understand, maintain, and explain.
* Optimize model performance through smart feature engineering and efficient algorithm selection based on actual use cases.
* Work with security engineers to implement responsible AI practices that protect sensitive data while still delivering valuable insights.
**Required Qualifications**
* An MS or PhD in Computer Science, Machine Learning, or a related field with a focus in ML/AI.
* 3\+ years of professional software engineering experience.
* Practical experience with traditional/deep learning NLP techniques and modern LLM architectures.
* Strong experience in at least one of information extraction, generation/summarization, agents, and/or search.
* Proficiency with Python, PyTorch/TensorFlow, and ML deployment pipelines.
* Direct experience building and fine\-tuning language models for specialized domains.
* Strong experience designing effective evaluation metrics for NLP systems.
* Strong communication and collaboration skills.
* A self\-starting, problem\-solving approach biased towards action and scope minimization.
**Preferred Qualifications**
* You have experience optimizing model performance and resource utilization in data\-intensive environments.
* You have a strong background in legal text analysis or have worked with legal domain experts.
* You have experience with few\-shot learning and prompt engineering techniques.
* You have experience implementing ML systems in regulated industries.
* You have an understanding of how to get models into real production systems beyond proof\-of\-concept development.
* You are interested in language, law, finance, or economics.
* You thrive in a high\-leverage, fast\-paced environment.
**Compensation**
 The reasonably estimated yearly salary for this role is $187,000\-$270,000 USD. You will also be entitled to receive a significant early stage equity package and benefits. Individual pay decisions are based on a number of factors, including qualifications for the role, experience level, and skillset.
**Benefits**
 We offer numerous employee benefits, including:
* Medical, dental, and vision insurance with 100% employer\-paid premiums for employees and 65% for dependents
* Hybrid in\-office schedule
* Amazing office location next to Bryant Park/Grand Central
* 401(k) retirement plan
* Wellhub (Gympass) fitness membership
* Unlimited PTO
* Unlimited sick days
* Company offsites
* Commuter benefits
**Equal Opportunity Employment**
 We are an equal opportunity employer. We search for amazing people of diverse backgrounds, experiences, abilities, and perspectives. We take care of each other to create an inclusive work environment where we love to come to work every day. We'd be happy to provide reasonable accommodations to help you apply—just email us at hiring@noetica.ai. We hope you can join us.</t>
        </is>
      </c>
    </row>
    <row r="51">
      <c r="A51" t="inlineStr">
        <is>
          <t>li-4377004341</t>
        </is>
      </c>
      <c r="B51" t="inlineStr">
        <is>
          <t>Founding Machine Learning Engineer</t>
        </is>
      </c>
      <c r="C51" t="inlineStr">
        <is>
          <t>Tact</t>
        </is>
      </c>
      <c r="D51" t="inlineStr">
        <is>
          <t>linkedin</t>
        </is>
      </c>
      <c r="E51" t="inlineStr"/>
      <c r="F51" t="inlineStr"/>
      <c r="G51" t="inlineStr">
        <is>
          <t>New York, NY</t>
        </is>
      </c>
      <c r="H51" t="inlineStr"/>
      <c r="I51" t="inlineStr">
        <is>
          <t>**FOUNDING MACHINE LEARNING ENGINEER** 
***NYC · $300,000–$350,000 \+ Equity***
 Build the ML brain of a breakout AI cybersecurity company.
 Recently raised $80M\+ from tier\-1 investors. Rapid enterprise traction. Massive market. Serious founders who’ve built multi\-billion dollar companies before.
 There’s no ML team yet.
 You’ll build it.
**THE ROLE** 
 This is a true zero\-to\-one role.
 You will:
 • Define the company\-wide ML strategy
 • Design and stand up ML infrastructure from scratch
 • Build production ML systems end\-to\-end
 • Own data pipelines, training workflows, evaluation, inference, and monitoring
 • Establish regression detection and model quality standards
 • Make build vs buy decisions across tooling
 • Integrate LLM\-powered systems into real\-time products
 • Mentor engineers and raise the technical bar
 You won’t sit in research.
 You’ll ship systems that operate in production.
**YOUR BACKGROUND** 
 • 8\+ years building ML systems in production
 • Staff or Lead\-level experience
 • Have stood up ML infrastructure at an early\-stage company
 • Strong software engineering fundamentals
 • Experience with AWS ML tooling (SageMaker, Bedrock, etc.)
 • Hands\-on with PyTorch / TensorFlow / Spark
 • Have deployed LLM systems into production
 • Have mentored and developed other engineers
 Bonus: fraud, real\-time detection, trust \&amp; safety, cybersecurity.
**GROWTH** 
 Clear path: Staff → Principal → Head of AI
 This role scales as the function scales.
 You are building the foundation.
**COMPENSATION \&amp; PERKS** 
 $300,000–$350,000 base \+ meaningful equity
 100% employer\-covered medical, dental, vision
 401k
 Unlimited PTO
 Christmas to New Year, fully off
 Breakfast \&amp; lunch provided on select days
 Strong in\-office perks
 High\-collaboration NYC environment
**Don’t join an ML team. Define one.** 
 Apply!</t>
        </is>
      </c>
    </row>
    <row r="52">
      <c r="A52" t="inlineStr">
        <is>
          <t>li-4333355314</t>
        </is>
      </c>
      <c r="B52" t="inlineStr">
        <is>
          <t>Machine Learning Engineer</t>
        </is>
      </c>
      <c r="C52" t="inlineStr">
        <is>
          <t>Robert Half</t>
        </is>
      </c>
      <c r="D52" t="inlineStr">
        <is>
          <t>linkedin</t>
        </is>
      </c>
      <c r="E52" t="inlineStr"/>
      <c r="F52" t="inlineStr"/>
      <c r="G52" t="inlineStr">
        <is>
          <t>El Segundo, CA</t>
        </is>
      </c>
      <c r="H52" t="inlineStr"/>
      <c r="I52" t="inlineStr">
        <is>
          <t>**Title:** 
 3D Machine Learning Engineer
**Location:** 
 Hybrid – El Segundo, CA
**Compensation:** 
 Up to $190,000 DOE \+ benefits
 We’re seeking a
 **3D Machine Learning Engineer** 
 to join our innovative R\&amp; D team developing cutting\-edge vision systems and AI\-driven 3D modeling solutions. This hybrid role in
 **El Segundo** 
 offers the opportunity to work on challenging projects at the intersection of
 **computer vision, deep learning, and image processing** 
 .
**Responsibilities** 
* Design, train, and optimize deep learning models using
 **TensorFlow** 
 and
 **Python** 
 for 2D and 3D visual data.
* Develop algorithms for
 **3D reconstruction** 
 ,
 **object recognition** 
 , and
 **scene understanding** 
 .
* Implement and evaluate models for
 **image segmentation** 
 ,
 **depth estimation** 
 , and
 **motion tracking** 
 .
* Collaborate with multidisciplinary teams of engineers and researchers to deploy models into production environments.
* Contribute to data preprocessing, augmentation, and model performance evaluation.
 For immediate consideration, direct message Reid Gormly on LinkedIN Today and Apply now
**Qualifications** 
* **Bachelor’s degree** 
 in Computer Science, Engineering, Mathematics, or related STEM field.
* **2\+ years** 
 of professional experience in
 **machine learning** 
 or
 **computer vision** 
 .
* Strong programming skills in
 **Python** 
 and experience with
 **TensorFlow** 
 (PyTorch a plus).
* Hands\-on experience with
 **2D/3D image processing** 
 ,
 **feature extraction** 
 , and
 **geometric modeling** 
 .
* Familiarity with 3D data formats (e.g., point clouds, meshes, depth maps) and visualization tools.
* Excellent problem\-solving skills and ability to work in a collaborative environment.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Robert Half will consider for employment qualified applicants with arrest or conviction records in accordance with the Los Angeles County Fair Chance Ordinance for Employers and the California Fair Chance Act.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t>
        </is>
      </c>
    </row>
    <row r="53">
      <c r="A53" t="inlineStr">
        <is>
          <t>li-4375742952</t>
        </is>
      </c>
      <c r="B53" t="inlineStr">
        <is>
          <t>Machine Learning Engineer - Early Career</t>
        </is>
      </c>
      <c r="C53" t="inlineStr">
        <is>
          <t>Jobright.ai</t>
        </is>
      </c>
      <c r="D53" t="inlineStr">
        <is>
          <t>linkedin</t>
        </is>
      </c>
      <c r="E53" t="inlineStr"/>
      <c r="F53" t="inlineStr"/>
      <c r="G53" t="inlineStr"/>
      <c r="H53" t="inlineStr"/>
      <c r="I53"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Design, build, and maintain the scalable infrastructure required to deploy and serve production\-grade AI agents
* Implement and optimize Large Language Model (LLM) pipelines, focusing on latency reduction, throughput, and efficient resource utilization
* Develop automated systems for model monitoring, testing, and continuous integration to ensure the reliability of our AI agents
* Optimize data ingestion and processing layers to support real\-time agent responsiveness and complex RAG (Retrieval\-Augmented Generation) architectures
* Architect and refine APIs and backend services that bridge the gap between AI models and the user\-facing product
**Qualification** 
 Required
* Recent graduate or early\-career professional (0–2 years of experience) with a degree in Computer Science, Software Engineering, or a related technical field
* Strong proficiency in Python and experience with backend frameworks (such as FastAPI, Flask, or Django)
* Practical experience with machine learning frameworks (PyTorch or TensorFlow) and a solid understanding of software engineering best practices (version control, CI/CD, unit testing)
* Familiarity with the deployment of LLMs and an understanding of the infrastructure required to support autonomous agents
* Must live in and be authorized to work in the United States
 Preferred
* Previous internship or project experience in ML Ops, backend engineering, or distributed systems within an AI\-focused company
* Hands\-on experience with containerization (Docker, Kubernetes) and cloud infrastructure (AWS, GCP, or Azure)
* Knowledge of vector databases (such as Pinecone, Milvus, or Weaviate) and their role in production AI systems
* Strong foundation in SQL and NoSQL database management for high\-scale data handling</t>
        </is>
      </c>
    </row>
    <row r="54">
      <c r="A54" t="inlineStr">
        <is>
          <t>li-4374068479</t>
        </is>
      </c>
      <c r="B54" t="inlineStr">
        <is>
          <t>AI/ML Engineer – (Next-Generation AI Platforms &amp; Workloads)</t>
        </is>
      </c>
      <c r="C54" t="inlineStr">
        <is>
          <t>VeeAR Projects Inc.</t>
        </is>
      </c>
      <c r="D54" t="inlineStr">
        <is>
          <t>linkedin</t>
        </is>
      </c>
      <c r="E54" t="inlineStr"/>
      <c r="F54" t="inlineStr"/>
      <c r="G54" t="inlineStr">
        <is>
          <t>Sunnyvale, CA</t>
        </is>
      </c>
      <c r="H54" t="inlineStr"/>
      <c r="I54" t="inlineStr">
        <is>
          <t>**Role Overview** 
 As a core member of our AI engineering team, you will design, develop, and optimize cutting\-edge AI models and workloads that run natively on our high\-performance GPU clusters. Leverage our SOTA infrastructure to train, fine\-tune, and serve massive\-scale models at unprecedented efficiency. Collaborate across infrastructure, product, and research teams to align hardware capabilities with real\-world AI demands, driving breakthroughs in performance, scalability, and innovation.
**Key Responsibilities** 
* Design, implement, and train state\-of\-the\-art ML models for high\-impact applications (e.g., NLP, Computer Vision, Network Optimization).
* Optimize AI workloads for extreme performance and scalability on large\-scale GPU systems like GB200 NVL72, using tools such as Dynamo, vLLM, and advanced inference engines.
* Partner with cross\-functional teams to co\-design hardware\-software solutions that maximize AI processing efficiency.
* Build robust tools, data pipelines, evaluation frameworks, and deployment systems.
* Track and incorporate the latest AI research and technological advancements.
* Contribute to product requirements (PRDs) and agile execution (sprint planning and delivery).
* Champion a culture of humility, bold innovation, and high\-velocity product delivery.
**Minimum Qualifications** 
* Bachelor's degree in Computer Science, Electrical Engineering, Mathematics, Statistics, or a related technical field.
* 3\+ years of hands\-on experience in machine learning, deep learning, and software engineering.
* Proficiency in Python; experience with C/C\+\+.
* Strong working knowledge of major AI/ML frameworks (PyTorch, TensorFlow, JAX, or similar).
* Solid foundation in data structures, algorithms, and software design principles.
**Preferred Qualifications** 
* Master's or PhD in Computer Science, AI/ML, or a related discipline.
* Experience with Large Language Models (LLMs), Generative AI, or Computer Vision.
* Familiarity with distributed training frameworks and techniques (e.g., Ray, DeepSpeed, Megatron\-LM).
* Proven expertise optimizing models for GPU inference (e.g., TensorRT, Triton Inference Server).
* Knowledge of MLOps tools and practices (Kubeflow, MLflow, etc.).</t>
        </is>
      </c>
    </row>
    <row r="55">
      <c r="A55" t="inlineStr">
        <is>
          <t>li-4376809608</t>
        </is>
      </c>
      <c r="B55" t="inlineStr">
        <is>
          <t>Perception &amp; SLAM ML Engineer</t>
        </is>
      </c>
      <c r="C55" t="inlineStr">
        <is>
          <t>AIM</t>
        </is>
      </c>
      <c r="D55" t="inlineStr">
        <is>
          <t>linkedin</t>
        </is>
      </c>
      <c r="E55" t="inlineStr"/>
      <c r="F55" t="inlineStr"/>
      <c r="G55" t="inlineStr"/>
      <c r="H55" t="inlineStr"/>
      <c r="I55" t="inlineStr">
        <is>
          <t>**The Mission** 
 Everything humanity depends on is mined, dug, or grown. At AIM, we are building the autonomous linchpin of civilization. We transform heavy machinery—bulldozers, loaders, excavators—into AI\-powered fleets that operate continuously, safely, and at peak performance in the world’s harshest environments.
 AIM runs production mines, large scale infrastructure builds, and defense operations as a TRL9 hardened system, not a science experiment.
 Built by engineers from mining, construction, Waymo, SpaceX, Google and Tesla, AIM enables scalable earthmoving, turbocharging the global economy’s physical foundation. AIM is backed by some of the most sophisticated capital in the world, including General Catalyst, Khosla Ventures, Elad Gil, Human Capital, Ironspring Ventures, Mantis, DCVC.
**Responsibilities** 
* Advance AIM’s perception stack and sensor fusion algorithms
* This involves breaking new ground as earth moving machines don’t merely navigate on existing mapped roads – they modify and build the environment as they work which poses interesting novel challenges
* Research and development of state\-of\-the\-art machine learning methods
* Comfortable with hands\-on applications on machines deployed in the field
**Qualifications** 
* Proven track record of deployed ML\-based perception systems, ideally on autonomous vehicles
* Excellent grasp of machine perception methods in 2D and 3D (depth sensing)
* Real\-world experience with localization and SLAM state\-of\-the\-art methods
* Experience shipping production models
* Solid mathematical foundation of machine learning
* Excellent software development skills in python
* Proficiency in Tensorflow or PyTorch
* Creativity and curiosity for solving complex problems
* Ideal candidate will have additional experience in several of the following areas
* Reinforcement learning
* Robotics
* Radar based perception
* Point cloud processing
* Perception sensor calibration techniques (camera, lidar, radar, etc.)
**Joining AIM, you will** 
* Solve a massive set of real\-world problems that require scalable earth moving
* Accomplish that via deploying and expanding cutting edge tech
* Run your workstreams with the largest degree of autonomy
* Have an opportunity for rapid growth and a large voice on the direction of the company
* Receive company funded medical, dental, vision, 401k, life insurance, gourmet food \&amp; perks
* Experience a strong onsite collaboration (AIM offices, labs and proving grounds on the east side of the Greater Seattle area)
* Have an opportunity to travel to unique sites around the world (Americas, Australia, Africa \&amp; more)
**Equal Opportunity Statement** 
 \- AIM is an Equal Employment Opportunity and Affirmative Action Employers. Qualified applicants will receive consideration for employment without regard to race, religion, sex, sexual orientation, gender perception or identity, national origin, age, marital status, protected veteran status, or disability status. AIM's General Privacy Policy</t>
        </is>
      </c>
    </row>
    <row r="56">
      <c r="A56" t="inlineStr">
        <is>
          <t>li-4377012347</t>
        </is>
      </c>
      <c r="B56" t="inlineStr">
        <is>
          <t>AI Engineer &amp; Data Science Team Lead</t>
        </is>
      </c>
      <c r="C56" t="inlineStr">
        <is>
          <t>Quantile Health</t>
        </is>
      </c>
      <c r="D56" t="inlineStr">
        <is>
          <t>linkedin</t>
        </is>
      </c>
      <c r="E56" t="inlineStr"/>
      <c r="F56" t="inlineStr"/>
      <c r="G56" t="inlineStr">
        <is>
          <t>New York, NY</t>
        </is>
      </c>
      <c r="H56" t="inlineStr"/>
      <c r="I56" t="inlineStr">
        <is>
          <t>****Role: AI Engineer \&amp; Data Science Team Lead****
 We’re looking for a data\-driven problem solver to lead our AI Engineer and Data Science team. You will leverage large language models (LLMs) to transform unstructured data into ontologies and actionable insights that drive drug launches and access strategies. Leading and mentoring a team of 3–4 data scientists, you will set technical direction, manage projects, and remain hands\-on in building scalable, production\-ready AI applications at the intersection of AI and healthcare.
**Quantile Health \- Building AI Agents to Expand Patient Access**
 Quantile Health is a New York–based, seed\-stage AI startup building agentic applications to expand access to transformative medicines and reduce commercial costs for drug innovators.
**What You’ll Do**
* Lead and deliver agentic LLM applications that drive business impactful business outcome
* Project manage AI initiatives end\-to\-end, ensuring high\-quality, on\-time delivery, while mentoring and developing a team of 3–4 data scientists
* Partner with founders to define and drive the product roadmap and technical direction
* Remain hands\-on in research, model development, and building production\-ready AI systems
* Work closely with the Engineering team to design system architecture, internal tools, and scalable data and model infrastructure
**What We’re Looking For**
* A strong conceptual thinker who turns complex, ambiguous business challenges into clear, structured data problems
* Passionate about LLMs and real\-world AI applications, with a pragmatic, impact\-driven mindset
* PhD in a quantitative field (CS, Computational Biology, Statistics, etc.) with 3\+ years of industry experience, OR Bachelor’s/Master’s degree with 7\+ years of industry experience in finance, biotech, or tech startups
* 1\+ year of team management experience
* Hands\-on experience building AI applications, including prompt engineering, advanced analytics, and transforming large\-scale unstructured data into production\-ready solutions
**Compensation \&amp; Benefits**
 💰Cash compensation range: $195,000 \- $275,000
 📈 Equity grants in Quantile Health
 🏖 Unlimited PTO
 🏥 Employee benefits package
 📍 Location: Hudson Yards, NYC (on\-site 3 days a week)
 Compensation Range: $195K \- $275K</t>
        </is>
      </c>
    </row>
    <row r="57">
      <c r="A57" t="inlineStr">
        <is>
          <t>li-4375754844</t>
        </is>
      </c>
      <c r="B57" t="inlineStr">
        <is>
          <t>Senior Machine Learning Engineer – VLM/LLM Evaluation</t>
        </is>
      </c>
      <c r="C57" t="inlineStr">
        <is>
          <t>Waymo</t>
        </is>
      </c>
      <c r="D57" t="inlineStr">
        <is>
          <t>linkedin</t>
        </is>
      </c>
      <c r="E57" t="inlineStr"/>
      <c r="F57" t="inlineStr"/>
      <c r="G57" t="inlineStr">
        <is>
          <t>New York, NY</t>
        </is>
      </c>
      <c r="H57" t="inlineStr"/>
      <c r="I57"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mission of the Waymo AI Foundations team is to develop machine learning solutions addressing open problems in autonomous driving, towards the goal of safely operating Waymo vehicles in dozens of cities and under all driving conditions. As part of our work, we also initiate and foster collaborations with other research teams in Alphabet. AI Foundations areas that we are currently focusing on include reinforcement learning, learning from demonstration, generative modeling, Bayesian inference, hierarchical learning, and robust evaluation.
 This role follows a hybrid work schedule and you will report to a Senior Staff Software Engineer.
**You Will**
* Work with a creative team of people who help to build the state\-of\-the\-art Foundation Models that are used throughout Waymo’s systems, both onboard autonomous vehicles and offboard in simulation
* Drive the development or significantly contribute to end\-to\-end evaluation systems and benchmarks for Waymo Foundation models, encompassing the entire life\-cycle from pre\-training and supervised fine\-tuning (SFT) to reinforcement learning (RL), for evaluating the quality, safety, and realism of embodied AI agents
* Partner with cross\-functional teams within the organization to land innovative tech in production
* Implement and extend large large scale data and evaluation pipelines.
**You Have**
* Bachelor or Master’s degree in Computer Science, similar technical field of study, or equivalent practical experience
* Experience in ML engineering and applied Deep Learning
* Experience with large scale distributed system
* Proficient programming skills (eg: Python, C/C\+\+)
**We Prefer**
* ML infra experience: training, evaluating and deploying ML models at scale
* Deep learning experience, especially with generative models, e.g., LLMs/VLMs, and/or reinforcement learning
* Proficiency and in\-depth knowledge of the inner workings of an ML framework (e.g. Pytorch, JAX, Tensorflow)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58">
      <c r="A58" t="inlineStr">
        <is>
          <t>li-4376807478</t>
        </is>
      </c>
      <c r="B58" t="inlineStr">
        <is>
          <t>AI/ML Engineer</t>
        </is>
      </c>
      <c r="C58" t="inlineStr">
        <is>
          <t>micro1</t>
        </is>
      </c>
      <c r="D58" t="inlineStr">
        <is>
          <t>linkedin</t>
        </is>
      </c>
      <c r="E58" t="inlineStr"/>
      <c r="F58" t="inlineStr"/>
      <c r="G58" t="inlineStr"/>
      <c r="H58" t="inlineStr"/>
      <c r="I58" t="inlineStr">
        <is>
          <t>**Job Title:** 
 AI/ML Engineer
**Job Type:** 
 Full\-time, Contractual
**Job Summary:** 
 Join our customer's team as a AI/ML Engineer and play a pivotal role in driving mission\-critical government initiatives while also contributing to micro1’s proprietary AI infrastructure, you’ll harness advanced large language models (LLMs), retrieval\-augmented generation (RAG), and multi\-agent orchestration to deliver secure, scalable, and impactful machine learning systems. You’ll work closely with cross\-functional experts, leveraging frontier AI platforms and the latest in agentic AI tooling.
**Key Responsibilities:** 
* Design, implement, and optimize AI/ML models particularly leveraging LLMs, RAG, and prompt engineering for production grade applications.
* Develop and orchestrate multi\-agent systems using frameworks such as LangGraph and LangChain.
* Integrate and deploy solutions on secure cloud environments, including AWS GovCloud, Google GovCloud, Azure IL5\+, Vertex AI, and AWS Bedrock.
* Build robust data pipelines, manage ETL processes, and develop metadata catalogs and ontologies to ensure high\-quality data for AI training and inference.
* Create and maintain REST APIs and SDK integrations to facilitate seamless data and model interactions.
* Collaborate with product, security, and engineering teams to ensure best\-in\-class delivery, following secure coding and DevOps best practices (CI/CD).
* Document technical decisions and communicate complex concepts clearly to both technical and non\-technical stakeholders.
**Required Skills and Qualifications:** 
* Proficiency in Python for AI/ML development, including experience with REST APIs and SDK integration.
* Hands\-on experience with LLMs, RAG systems, and prompt engineering in production environments.
* Familiarity with multi\-agent orchestration, tool use, and frameworks like LangGraph and LangChain.
* Deep understanding of cloud AI services (AWS GovCloud, Google GovCloud, Azure IL5\+, Vertex AI, AWS Bedrock).
* Background in building and maintaining data pipelines, ontologies, metadata catalogs, and ETL processes.
* Strong grasp of secure coding and modern DevOps practices (CI/CD pipelines).
* Exceptional written and verbal communication skills for effective collaboration and documentation.
**Preferred Qualifications:** 
* Experience with AI/agentic platforms, such as Anthropic for Gov, OpenAI Enterprise, Gemini Enterprise, or Grok Enterprise.
* Knowledge of metadata catalog platforms (MCP) and advanced API development techniques.
* Prior exposure to government or highly regulated cloud environments and compliance standards.</t>
        </is>
      </c>
    </row>
    <row r="59">
      <c r="A59" t="inlineStr">
        <is>
          <t>li-4375752792</t>
        </is>
      </c>
      <c r="B59" t="inlineStr">
        <is>
          <t>AI Engineer, Entry Level</t>
        </is>
      </c>
      <c r="C59" t="inlineStr">
        <is>
          <t>Jobright.ai</t>
        </is>
      </c>
      <c r="D59" t="inlineStr">
        <is>
          <t>linkedin</t>
        </is>
      </c>
      <c r="E59" t="inlineStr"/>
      <c r="F59" t="inlineStr"/>
      <c r="G59" t="inlineStr"/>
      <c r="H59" t="inlineStr"/>
      <c r="I59"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Build and refine autonomous AI agents that interact with complex environments to solve real\-world user problems
* Develop and optimize sophisticated prompt engineering workflows and multi\-agent orchestration frameworks to enhance product capabilities
* Integrate Large Language Models (LLMs) into the Jobright application, ensuring high\-quality, low\-latency, and reliable AI responses
* Work at the intersection of product and engineering to transform user requirements into functional AI\-driven features
* Implement Retrieval\-Augmented Generation (RAG) systems and fine\-tune models to improve the accuracy and context\-awareness of our agents
**Qualification** 
 Required
* Recent graduate or entry\-level professional (0–2 years of experience) with a degree in Computer Science, AI, or a related technical field
* Strong proficiency in Python and experience working with LLM APIs (such as OpenAI, Anthropic, or open\-source models via Hugging Face)
* Practical understanding of agentic workflows, prompt chaining, and the latest trends in generative AI
* Solid software engineering foundations, including a strong grasp of APIs, asynchronous programming, and version control (Git)
* Must live in and be authorized to work in the United States
 Preferred
* Previous internship or personal project experience building AI\-powered applications, chatbots, or autonomous agents
* Familiarity with agent frameworks such as LangChain, AutoGPT, or CrewAI
* Experience with vector databases and semantic search implementation
* Basic understanding of front\-end or full\-stack integration to help bridge the gap between AI logic and user interfaces</t>
        </is>
      </c>
    </row>
    <row r="60">
      <c r="A60" t="inlineStr">
        <is>
          <t>li-4376894897</t>
        </is>
      </c>
      <c r="B60" t="inlineStr">
        <is>
          <t>AI Engineer</t>
        </is>
      </c>
      <c r="C60" t="inlineStr">
        <is>
          <t>Mercury Insurance</t>
        </is>
      </c>
      <c r="D60" t="inlineStr">
        <is>
          <t>linkedin</t>
        </is>
      </c>
      <c r="E60" t="inlineStr"/>
      <c r="F60" t="inlineStr"/>
      <c r="G60" t="inlineStr"/>
      <c r="H60" t="inlineStr"/>
      <c r="I60" t="inlineStr">
        <is>
          <t>Join an amazing team that is consistently recognized for our achievements and culture, including our most recent Forbes award of being one of America's Best Midsize Employers for 2025!
****Position Summary:****
 We're seeking an AI Engineer who combines strong software engineering skills with specialized expertise across multiple AI and ML domains. As part of our AI/ML Engineering team, you'll work with Large Language Models (LLMs), Vision Language Models (VLMs), speech recognition systems, and conversational AI technologies. This role requires someone who can implement document understanding solutions, OCR systems, human\-in\-the\-loop processes, and multimodal AI applications. You'll focus on model selection, evaluation, fine\-tuning, and deployment while collaborating with the broader engineering team to build systems that leverage both traditional software engineering principles and advanced AI technologies.
 An in\-person interview may be required during the hiring process.
**Geo\-Salary Information**
 State specific pay scales for this role are as follows:
 $83,670 to $161,875 (CA, NJ, NY, WA, HI, AK, MD, CT, RI, MA)
 $76,074 to $147,104 (NV, OR, AZ, CO, WY, TX, ND, MN, MO, IL, WI, FL, GA, MI, OH, VA, PA, DE, VT, NH, ME)
 $68,457 to $132,394 (UT, ID, MT, NM, SD, NE, KS, OK, IA, AR, LA, MS, AL, TN, KY, IN, SC, NC, WV)
 The expected base salary for this position will vary depending on a number of factors, including relevant experience, skills and location.
****Responsibilities****
**Essential Job Functions:**
* Implement and fine\-tune Large Language Models (LLMs) for various business applications
* Develop Vision Language Models (VLMs) for image understanding and multimodal applications
* Design and build document understanding systems leveraging OCR and advanced text processing
* Create speech recognition and conversational AI solutions
* Recommend and establish human\-in\-the\-loop processes for AI model improvement across modalities
* Build and deploy AI agents and assistants using foundation models
* Integrate multimodal capabilities (text, vision, speech) into unified AI systems
* Evaluate and benchmark foundation models across different domains and tasks
* Implement effective prompt engineering strategies for LLMs and VLMs
* Partner with our platform team for model serving infrastructure and monitoring solutions for production AI systems
* Create and maintain evaluation frameworks and metrics for different AI modalities
* Collaborate with team members to integrate AI capabilities into existing software systems
* Stay current with emerging AI technologies and research advancements
****Education:****
**Qualifications**
**Minimum:**
* Bachelor's degree in Computer Science, Software Engineering, or related technical field
**Preferred:**
* Master’s degree or PhD in Computer Science, Software Engineering, or related technical field
****Experience:****
 Minimum:
* 2\+ years of software engineering experience
* 2\+ years of hands\-on experience with AI/ML systems
* Experience with Large Language Models and/or Vision Language Models
* Familiarity with at least one of: document understanding, OCR, speech recognition, or conversational AI
* Experience with foundation model evaluation, selection, or fine\-tuning
* Knowledge of distributed systems concepts
**Preferred:**
* 3\+ years of software engineering experience
* 3\+ years of hands\-on experience implementing AI/ML solutions
* Demonstrated experience across multiple AI domains (language, vision, speech)
* Experience developing document understanding or OCR systems
* Track record of building conversational AI or speech recognition applications
* Experience with model deployment and monitoring in production
* Experience with multimodal AI systems integration
* Familiarity with large language model evaluation benchmarks
**Minimum:**
**Knowledge and Skills:**
* Strong programming skills in Python and at least one other modern language (e.g., Java, Go)
* Solid understanding of software design patterns and principles
* Experience with AI/ML frameworks (PyTorch, TensorFlow, or similar)
* Proficiency with foundation model APIs (OpenAI, Anthropic, etc.)
* Knowledge of LLM architectures and capabilities
* Knowledge and experience with fine\-tuning foundational models
* Experience with at least one: computer vision frameworks, OCR technologies, speech recognition systems, or conversational AI platforms
* Experience with prompt engineering and optimization for foundation models
* Knowledge of AI evaluation methodologies and metrics
* Ability to work with cloud\-based AI infrastructure
* Good verbal and written communication abilities
**Preferred:**
* Experience with multimodal AI systems (text, vision, speech)
* Expertise in document understanding or information extraction
* Skills in building conversational agents or voice assistants
* Experience with computer vision models and image processing
* Knowledge of RAG (Retrieval Augmented Generation) systems
* Experience with human\-in\-the\-loop AI systems
* Familiarity with AI alignment and safety practices
* Experience with model deployment and serving infrastructure
* Skills in AI/ML performance optimization techniques
* Experience with containerization and orchestration technologies
****About The Company****
**Why choose a career at Mercury?**
 At Mercury, we have been guided by our purpose to help people reduce risk and overcome unexpected events for more than 60 years. We are one team with a common goal to help others. Everyone needs insurance and we can’t imagine a world without it.
 Our team will encourage you to grow, make time to have fun, and work together to make great things happen. We embrace the strengths and values of each team member. We believe in having diverse perspectives where everyone is included, to serve customers from all walks of life.
 We care about our people, and we mean it. We reward our talented professionals with a competitive salary, bonus potential, and a variety of benefits to help our team members reach their health, retirement, and professional goals.
 Learn more about us here: https://www.mercuryinsurance.com/about/careers
****Perks And Benefits****
**We offer many great benefits, including:**
* Competitive compensation
* Flexibility to work from anywhere in the United States for most positions
* Paid time off (vacation time, sick time, 9 paid Company holidays, volunteer hours)
* Incentive bonus programs (potential for holiday bonus, referral bonus, and performance\-based bonus)
* Medical, dental, vision, life, and pet insurance
* 401 (k) retirement savings plan with company match
* Engaging work environment
* Promotional opportunities
* Education assistance
* Professional and personal development opportunities
* Company recognition program
* Health and wellbeing resources, including free mental wellbeing therapy/coaching sessions, child and eldercare resources, and more
 Mercury Insurance is an equal opportunity employer. All qualified applicants will receive consideration for employment without regard to race, color, religion, sex, sexual orientation, gender identity, national origin, disability, status as a protected veteran, or any other characteristic protected by federal, state, or local law.
**Pay Range**
 USD $85,479\.00 \- USD $157,868\.00 /Yr.</t>
        </is>
      </c>
    </row>
    <row r="61">
      <c r="A61" t="inlineStr">
        <is>
          <t>li-4376875273</t>
        </is>
      </c>
      <c r="B61" t="inlineStr">
        <is>
          <t>Applied AI Engineer</t>
        </is>
      </c>
      <c r="C61" t="inlineStr">
        <is>
          <t>Propio Language Services</t>
        </is>
      </c>
      <c r="D61" t="inlineStr">
        <is>
          <t>linkedin</t>
        </is>
      </c>
      <c r="E61" t="inlineStr"/>
      <c r="F61" t="inlineStr"/>
      <c r="G61" t="inlineStr">
        <is>
          <t>Overland Park, KS</t>
        </is>
      </c>
      <c r="H61" t="inlineStr"/>
      <c r="I61" t="inlineStr">
        <is>
          <t>Job Type
 Full\-time
**Description**
 Propio is on a mission to make communication accessible to everyone. As a leader in real\-time interpretation and multilingual language services, we connect people with the information they need across language, culture, and modality. We’re committed to building AI\-powered tools to enhance interpreter workflows, automate multilingual insights, and scale communication quality across industries.
 We are hiring an
 **Applied AI Engineer** 
 to build and deploy practical, high\-impact AI systems. You will work across speech recognition, large language models, and prompt engineering to ship products like AI\-generated summaries, interpreter QA tools, and multilingual retrieval systems. You'll operate at the intersection of engineering, research, and product with high ownership and startup\-level pace.
 This is a builder role, not a research\-only position and you will be working closely with our VP of AI to get things live, fast.
**Key Responsibilities**
* Prototype, build, and deploy end\-to\-end AI applications involving speech, LLMs, and text generation
* Integrate APIs like OpenAI, Whisper, Deepgram, and open\-source equivalents for ASR and NLP
* Collaborate with Engineers to iterate and refine MVPs before transitioning to model\-level optimization
* Develop internal tools and dashboards to test summarization, QA scoring, and multilingual understanding
* Rapidly test ideas and model variations to explore feasibility and impact (build\-measure\-learn loop)
* Ensure model pipelines are robust, scalable, and ready for handoff to MLOps and production
* Work with the AI PM to align technical outputs with business use cases and feedback loops
* Stay current on applied AI trends in speech and LLMs, and advise on what to use vs. build
**Requirements**
**Qualifications:**
* Master’s Degree in Engineering, preferably in Computer Science, Statistics, Data Science or equivalent work related experience
* 3–5\+ years of experience working with NLP or speech models in real\-world applications
* Experience with Python, Hugging Face Transformers, OpenAI APIs, Whisper, LangChain, or similar frameworks
* Experience deploying AI models in production or pilot environments (e.g., using FastAPI, Flask, or Streamlit)
* Strong understanding of embeddings, prompt chaining, and pipeline orchestration
* Familiarity with vector databases (e.g., FAISS, Pinecone, Weaviate)
* Comfortable with rapid iteration, MVP mindset, and cross\-functional collaboration
* Prior exposure to multilingual or low\-resource language challenges is a plus
**Preferred Qualifications**
* Experience building speech\-to\-text pipelines or hybrid ASR \+ LLM systems
* Experience with data labeling, annotation, or active learning workflows
* Familiarity with real\-time audio processing or latency\-sensitive applications
* Experience in healthcare, legal, or regulated environments (HIPAA, PHI, Section 1557\)</t>
        </is>
      </c>
    </row>
    <row r="62">
      <c r="A62" t="inlineStr">
        <is>
          <t>li-4377015219</t>
        </is>
      </c>
      <c r="B62" t="inlineStr">
        <is>
          <t>AI Engineer</t>
        </is>
      </c>
      <c r="C62" t="inlineStr">
        <is>
          <t>TalentAlly</t>
        </is>
      </c>
      <c r="D62" t="inlineStr">
        <is>
          <t>linkedin</t>
        </is>
      </c>
      <c r="E62" t="inlineStr"/>
      <c r="F62" t="inlineStr"/>
      <c r="G62" t="inlineStr"/>
      <c r="H62" t="inlineStr"/>
      <c r="I62" t="inlineStr">
        <is>
          <t>**Position Type:** 
 Regular
 Your opportunity
 At Schwab, you will build a rewarding career while making a difference in the lives of our millions of clients. Here, innovative thinking meets creative problem solving as we work together to challenge the status quo. We believe in the power of collaboration and value being together in the office, which is why this role is based on\-site in our San Francisco office. Joining Schwab means joining a company committed to transforming the financial industry and putting clients at the center of everything we do.
 Schwab's AI Strategy \&amp; Transformation team, known as AI.x, is the central hub for Artificial Intelligence at Schwab. We are an integrated product, engineering, strategy and risk team, all based in San Francisco. We help set the enterprise vision for AI, invest in the most promising opportunities, and accelerate delivery across the company. We also build the core platform that powers AI at scale and explore next\-generation GenAI efforts that will redefine how we serve our clients. As an AI Engineer on AI.x, you will play an important role in bringing these priorities to life by designing and delivering innovative AI solutions.
 This role is more than an engineering position. It is an opportunity to join a high\-profile team shaping Schwab's future with AI, to build solutions that matter to millions of clients, and to grow your career in one of the most exciting areas of technology today.
 As an AI Engineer, you will contribute to the design, development, and delivery of GenAI applications that enhance client experience and create business value. You will collaborate with architects, engineers, and business leaders to ensure solutions align with Schwab's enterprise strategy. You will have the opportunity to learn from senior engineers, participate in technical discussions, and help to build strong engineering practices while fostering a culture of continuous learning. You will work on solving complex technical challenges, support best engineering standards, and help drive iterations from concept to production. Above all, you will bring curiosity, creativity, and technical skill to help shape the next generation of AI at Schwab.
 What you have
**Required Qualifications** 
* 3\+ years of software development experience and 1\+ year of experience as a hands\-on engineer in startups and/or large organizations.
* Bachelor's degree in Computer Science or related field.
* 2\+ years of experience building products and supporting them in production environments.
* 1\+ year of experience developing applications that use Artificial Intelligence (AI) models to deliver business impact.
* 1\+ year of experience working with applications or data pipelines that interface with large datasets.
* 1\+ year of experience with containers and cloud\-native applications, with exposure to deploying them in the public cloud using infrastructure as code.
**Preferred Qualifications** 
* Strong computer science fundamentals and experience working across different parts of the tech stack.
* Exposure to proprietary or open\-source LLMs (Gemini, Claude, OpenAI or other models) and contributing to LLM\-powered applications.
* Commitment to quality in your work, with experience writing and maintaining tests.
* Experience evaluating and monitoring LLM\-generated outputs for quality and consistency.
* Strong communication skills \- able to clearly share your perspective with others on the team, both verbally and in writing.
* Interest in mentoring peers and learning from senior engineers through feedback and code reviews.
* Demonstrated commitment to continuous learning and improvement.
* Ability to address complex problems, even with ambiguous or incomplete data, within distributed systems.
* Broad business domain knowledge related to the products you've contributed to.
* Curiosity about new technologies and processes \- you seek to grow your skills and share knowledge with team members.
* Experience with Python and front\-end development is preferred but not required.
* Master's or advanced degrees in Computer Science or related fields are a plus.
 In addition to the salary range, this role is also eligible for bonus or incentive opportunities.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
 PDN\-a12670af\-eb9b\-4b05\-b605\-76937f04f1f3</t>
        </is>
      </c>
    </row>
    <row r="63">
      <c r="A63" t="inlineStr">
        <is>
          <t>li-4375737254</t>
        </is>
      </c>
      <c r="B63" t="inlineStr">
        <is>
          <t>AI Engineer</t>
        </is>
      </c>
      <c r="C63" t="inlineStr">
        <is>
          <t>Insight Global</t>
        </is>
      </c>
      <c r="D63" t="inlineStr">
        <is>
          <t>linkedin</t>
        </is>
      </c>
      <c r="E63" t="inlineStr"/>
      <c r="F63" t="inlineStr"/>
      <c r="G63" t="inlineStr"/>
      <c r="H63" t="inlineStr"/>
      <c r="I63" t="inlineStr">
        <is>
          <t>12 Month Contract\-To\-Hire : W2
 Fully Remote
**NOT** 
 looking for a Data Science background \- looking for Software focus!
**Required Qualifications:** 
* Node.js/TypeScript: 5\+ years, async patterns, generics, functional programming
* AI/LLM: Production experience, prompt engineering, tool use/function calling
* AWS: Bedrock, DynamoDB, Redis, PostgreSQL, IAM
* Testing: Jest, integration testing, TDD mindset Strongly Preferred
* Advanced AI: Multi\-agent orchestration, safety guardrails, LLM\-as\-judge evaluation, streaming (SSE)
* Distributed Systems: Task state management, event\-driven architecture, rate limiting at scale
* API Design: OpenAPI, JSON Schema validation, multi\-version support, BFF patterns
* DevOps: Docker, CI/CD, feature flags (LaunchDarkly), observability (OpenTelemetry, New Relic, CloudWatch)
**Preferred Qualifications:** 
* Healthcare: HIPAA, medical coding (CPT/HCPCS), insurance concepts
* Architecture: Plugin systems, A2A protocol, template engines
* Prompt Engineering: System prompt caching, tool schema design, evaluation frameworks
**Job Description** 
 Our Healthcare Insurance Client is looking to hire 4 AI Engineers. This position is remote work from home and contract to hire. This Digital Team works on the flagship web and mobile application for a national healthcare insurance client. As an AI Engineer you will be working on the Omni Member Experience. This is a full stack team but will primarily focused on backend server work. The Digital Product Organization would like to add new features this year such as AI Virtual Health Assistants and Site Search, which is natural languages questioning with a generative response based on existing APIs that connect to personal health benefits and member information. They are working on building out additional APIs. They are building Agents for Appeals, ID Cars, Member History, Medication, Appointment Scheduling, etc.
**Compensation** 
 :
 $80/hr to $100/hr.
 Exact compensation may vary based on several factors, including skills, experience, and education.
 Benefit packages for this role will start on the 31st day of employment and include medical, dental, and vision insurance, as well as HSA, FSA, and DCFSA account options, and 401k retirement account access with employer matching. Employees in this role are also entitled to paid sick leave and/or other paid time off as provided by applicable law.</t>
        </is>
      </c>
    </row>
    <row r="64">
      <c r="A64" t="inlineStr">
        <is>
          <t>li-4355749666</t>
        </is>
      </c>
      <c r="B64" t="inlineStr">
        <is>
          <t>AI Engineer- work on agentic healthcare products- $200,000-$350,000 base plus bonus!</t>
        </is>
      </c>
      <c r="C64" t="inlineStr">
        <is>
          <t>Saragossa</t>
        </is>
      </c>
      <c r="D64" t="inlineStr">
        <is>
          <t>linkedin</t>
        </is>
      </c>
      <c r="E64" t="inlineStr"/>
      <c r="F64" t="inlineStr"/>
      <c r="G64" t="inlineStr"/>
      <c r="H64" t="inlineStr"/>
      <c r="I64" t="inlineStr">
        <is>
          <t>Are you looking to build production\-grade AI systems that drive real business outcomes and see your work used daily across some of the largest healthcare organizations in the country?
 In this role, you won’t be experimenting in isolation or building generic copilots. You’ll help define how agentic AI systems transform healthcare revenue cycle operations, enabling providers to focus on delivering exceptional patient care. You’ll bring strong technical judgment, a builder’s mindset, and a deep appreciation for business context to create AI systems that actually get deployed, measured, and improved.
 As an AI Engineer, you’ll design, build, and own AI\-driven solutions end\-to\-end. You’ll develop LLM\-powered agents that reason over messy, unstructured healthcare data and execute clearly defined business workflows. Partnering closely with healthcare domain experts, product managers, and engineers, you’ll perform context engineering, design agentic evaluation frameworks, and continuously improve model performance in production.
 Hands\-on experience with LLMs, ML systems in production, and evaluation frameworks is essential, as is familiarity with modern AI tooling such as PyTorch, TensorFlow, Hugging Face, Databricks, AWS Bedrock, or Azure ML.
 You will also need to have experience working in a FAANG company or similar enterprise technology firm with ideally additional experience in the healthcare space.
 Salary: $200,000\-$350,000 base
 Location: San Francisco, New York City, Chicago, Austin (all hybrid)
 Option for completely remote is also available.
 Apply now! No up\-to\-date resume required.</t>
        </is>
      </c>
    </row>
    <row r="65">
      <c r="A65" t="inlineStr">
        <is>
          <t>li-4375746842</t>
        </is>
      </c>
      <c r="B65" t="inlineStr">
        <is>
          <t>AI Engineer (Agents)</t>
        </is>
      </c>
      <c r="C65" t="inlineStr">
        <is>
          <t>Jobright.ai</t>
        </is>
      </c>
      <c r="D65" t="inlineStr">
        <is>
          <t>linkedin</t>
        </is>
      </c>
      <c r="E65" t="inlineStr"/>
      <c r="F65" t="inlineStr"/>
      <c r="G65" t="inlineStr">
        <is>
          <t>Santa Clara, CA</t>
        </is>
      </c>
      <c r="H65" t="inlineStr"/>
      <c r="I65"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Design, build, and deploy end\-to\-end AI agents for business and user\-facing applications
* Develop agent\-driven applications, including user interaction flows and APIs
* Build and maintain agent infrastructure, including orchestration, monitoring, and reliability
* Implement and iterate on agent evaluation (quality, reliability, latency, cost)
* Collaborate closely with product and business teams to translate real problems into agent solutions
* Continuously improve agent performance using real\-world feedback and data
**Qualification** 
 Required
* Familiarity with at least one programming language (e.g. Python, JavaScript, TypeScript)
* Experience with writing a lot of code, backend or full\-stack
* Experience building applications
* Strong interest in AI agents and applied LLM systems
* Ability to own features end\-to\-end, from design to production
 Preferred
* Hands\-on experience using and deploying AI agents, such as: Claude Code, Codex, ClawdBot, OpenCode, or similar agent frameworks/tools
* Experience with agent orchestration, tooling, or infra
* Experience building production AI products rather than demos
* Experience in fast\-moving startup environments
* Product\-minded approach and comfort with ambiguous problems</t>
        </is>
      </c>
    </row>
    <row r="66">
      <c r="A66" t="inlineStr">
        <is>
          <t>li-4375750374</t>
        </is>
      </c>
      <c r="B66" t="inlineStr">
        <is>
          <t>AI/ML Engineer (Software Engineering)</t>
        </is>
      </c>
      <c r="C66" t="inlineStr">
        <is>
          <t>Wipro</t>
        </is>
      </c>
      <c r="D66" t="inlineStr">
        <is>
          <t>linkedin</t>
        </is>
      </c>
      <c r="E66" t="inlineStr"/>
      <c r="F66" t="inlineStr"/>
      <c r="G66" t="inlineStr">
        <is>
          <t>Austin, TX</t>
        </is>
      </c>
      <c r="H66" t="inlineStr"/>
      <c r="I66" t="inlineStr">
        <is>
          <t>Job description:
**Job Role: AI/ML Engineer (Software Engineering)** 
**Primary Skills:** 
 AI orchestration, Python Programming , API Integrations (Flask API/Fast API), Pandas, OR Numoy OR Tenserflow, LLM , RAG, Vector DB’s, ML Models.
**Overview  :** 
 As an AI/ML Engineer you will design and implement advanced language models that power customer service automation, personalized shopping experiences, and operational insights. Your work will directly enhance customer engagement, reduce service costs, and improve overall shopping journeys across online and in\-store channels.
 Required Skills \&amp; Responsibilities
* Strong expertise and programming experience into Python using Django, Flask API, Pandas, Numpy , Tensorflow , Pytorch.
* Technical proficiency in AI orchestration using different AI tools such as LLM’s and RAG.
* Technical Proficiency with Vector’s DB, ML models. ͏
* Ability to work with large datasets, unstructured text, and multilingual content to improve model performance.
* Proficient in automation to manage end to end workflow without constant human intervention
* API integrations :Connects disparate AI tools and external data sources via APIs and pipelines
* Strong collaboration skills to partner with product managers, data scientists, and retail operations teams.
 Experience: 5\-8 Years .
 The expected compensation for this role ranges from $60,000 to $135,000 .
 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
 Applicants are advised that employment in some roles may be conditioned on successful completion of a post\-offer drug screening, subject to applicable state law.
 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row>
    <row r="67">
      <c r="A67" t="inlineStr">
        <is>
          <t>li-4269214620</t>
        </is>
      </c>
      <c r="B67" t="inlineStr">
        <is>
          <t>Senior Machine Learning Engineer, Tidal Personalization AI</t>
        </is>
      </c>
      <c r="C67" t="inlineStr">
        <is>
          <t>TIDAL</t>
        </is>
      </c>
      <c r="D67" t="inlineStr">
        <is>
          <t>linkedin</t>
        </is>
      </c>
      <c r="E67" t="inlineStr"/>
      <c r="F67" t="inlineStr"/>
      <c r="G67" t="inlineStr"/>
      <c r="H67" t="inlineStr"/>
      <c r="I67" t="inlineStr">
        <is>
          <t>TIDAL was founded for artists by artists as the next innovative streaming platform to bring value back to the music industry. We empower artists with the products, resources, services, and content required to take control of their careers and connect more deeply with fans. Available in over 60\+ countries, TIDAL continues to help artists break down economic barriers to continue creating what's next in culture. TIDAL is part of Block, Inc. (NYSE: SQ), a global technology company with a focus on financial services.
 The Role
 The Personalization AI team uses AI/ML to directly support Tidal's mission to be the first consideration for an artist when they want to share their music. On the listener side, we algorithmically surface music artists have shared by creating playlists, making recommendations, and supporting advanced search. We collaborate closely with Design, Business and engineering teams across TIDAL and the rest of Block. We use a wide range of models including simple heuristics, embeddings, deep learning and large\-language models.
 You Will
 * Work on a mixture of personalization and AI engineering
* Develop new AI/ML systems that power Tidal's homepage including semantic search, recommendations, UX and playlists
* Build production systems that personalize the listener's experience
* Be a technical leader and establish quality practices that stick, make broader design decisions and set an example for others to follow
* Collaborate with a cross functional team of designers, business partners, and software engineers to build new technologies and features
* Design experiments, test them on production users, analyze and repeat
 You Have
 * 8\+ years building and operating quality software
* 5\+ years of experience with recommender systems, ranking systems, or similar
* Led the development of complex models trained on large datasets powering customer facing features
* Strong software engineering skills
* Strong communication skills and customer empathy
* Experience with PyTorch, PySpark, Databricks and AWS is a plus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future.To find a location’s zone designation, please refer to this resource. If a location of interest is not listed, please speak with a recruiter for additional information.  
 Zone A:: $228,700 USD \- $343,100 USD
 Zone B: : $217,300 USD \- $325,900 USD
 Zone C:: $205,900 USD \- $308,900 USD
 Zone D:: $194,500 USD \- $291,700 USD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68">
      <c r="A68" t="inlineStr">
        <is>
          <t>li-4375740937</t>
        </is>
      </c>
      <c r="B68" t="inlineStr">
        <is>
          <t>Founding AI Engineer</t>
        </is>
      </c>
      <c r="C68" t="inlineStr">
        <is>
          <t>Jobright.ai</t>
        </is>
      </c>
      <c r="D68" t="inlineStr">
        <is>
          <t>linkedin</t>
        </is>
      </c>
      <c r="E68" t="inlineStr"/>
      <c r="F68" t="inlineStr"/>
      <c r="G68" t="inlineStr">
        <is>
          <t>San Mateo, CA</t>
        </is>
      </c>
      <c r="H68" t="inlineStr"/>
      <c r="I68" t="inlineStr">
        <is>
          <t>This role is part of the
 **Jobright TNT** 
 \- the private hiring network connecting top talent with top AI startups like
 **Perplexity, Mercor, Cresta, Suno and 150 more.** 
 This is
 **not a mass job posting** 
 . Only select, high\-signal candidates are invited to Jobright TNT and recommended directly to hiring teams
**Hiring Company:** 
 Shiplight AI
**One\-liner:** 
 Shiplight brings autonomous AI agents to QA so every company can ship at lightspeed with confidence, backed by top investors like Pear VC.
**Salary:** 
 $130K/yr \- $200K/yr
 Why Join Us:
**Role Responsibilities** 
* Build core systems powering next\-generation intelligent agent capabilities
* Rapidly prototype, iterate, and ship production features used by enterprise customers
* Work directly with founders to shape product, architecture, and culture
* Collaborate with customers to deeply understand workflows and pain points
* Explore emerging techniques in reasoning, orchestration, and multi\-agent behavior
* Operate with extreme autonomy — owning projects end\-to\-end from idea → value
**Qualifications** 
 Required
* 1–7 years of strong engineering experience
* Fast learner who thrives in ambiguity and loves figuring things out
* Obsessed with customers — eager to talk to users and ship solutions they rely on
* Hands\-on builder comfortable moving from prototype → production quickly
* Strong fundamentals across Python, TypeScript, backend systems, or infra
* Great team player who enjoys collaborating in a high\-velocity environment
 Preferred
* Startup experience is strongly preferred
 How can I join Jobright TNT:
 If this is your first time applying to a Jobright TNT role, the process works as follows:
 1\. Apply to your first Jobright TNT role
 2\. We review your background to determine if you meet the TNT quality bar
 3\. If qualified, your application is directly recommended to the employer
 4\. Once accepted into TNT, you may be:
 \- Invited to apply for other exclusive TNT\-only roles
 \- Invited to private, invite\-only hiring events with top startups
 You will be notified of your TNT selection result.
 PS: All Jobright TNT roles are 100% real, directly hired by top AI startups we partner with, and come with priority review and higher response rates than the normal application queue.</t>
        </is>
      </c>
    </row>
    <row r="69">
      <c r="A69" t="inlineStr">
        <is>
          <t>li-4334940541</t>
        </is>
      </c>
      <c r="B69" t="inlineStr">
        <is>
          <t>Senior Machine Learning Engineer</t>
        </is>
      </c>
      <c r="C69" t="inlineStr">
        <is>
          <t>Spotify</t>
        </is>
      </c>
      <c r="D69" t="inlineStr">
        <is>
          <t>linkedin</t>
        </is>
      </c>
      <c r="E69" t="inlineStr"/>
      <c r="F69" t="inlineStr"/>
      <c r="G69" t="inlineStr">
        <is>
          <t>New York, NY</t>
        </is>
      </c>
      <c r="H69" t="inlineStr"/>
      <c r="I69" t="inlineStr">
        <is>
          <t>The Personalization team makes deciding what to play next easier and more enjoyable for every listener. From Blend to Discover Weekly, we’re behind some of Spotify’s most\-loved features. We built them by understanding the world of music, podcasts, and audiobooks better than anyone else. Join us and you’ll keep millions of users listening by making great recommendations to each and every one of them.
 We are looking for a Senior Machine Learning Engineer to join the Personalization team \- an area of hardworking engineers that are passionate about understanding what drives user satisfaction with Spotify \- and who make impactful changes to recommendation systems to achieve this goal. As an integral part of the squad, you will collaborate with research scientists, data scientists and other engineers across PZN in prototyping and productizing state\-of\-the\-art ML at the intersection of recommendations and long\-term user satisfaction.
 What You'll Do
* Contribute to designing, scaling/building, evaluating, integrating, shipping, and refining ML models for the personalization of the main homepage
* Lead collaborations and align across PZN to integrate and A/B test mid\-term signals in various recommendation systems
* Promote and role\-model best practices of ML systems development, testing, evaluation, etc., both inside the team as well as throughout the organization.
 Who You Are
* You have a strong background in machine learning, enjoy applying theory to develop real\-world applications, with expertise in statistics and optimization, especially in sequential models, transformer architecture models, and fine\-tuning processes for sequential models
* You have hands\-on experience with large cross\-collaborative machine learning projects and managing stakeholders
* You have hands\-on experience implementing production machine learning systems at scale in Java, Scala, Python, or similar languages
* Experience with TensorFlow, PyTorch, Scikit\-learn, etc. is a strong plus
* You have some experience with large scale, distributed data processing frameworks/tools like Apache Beam, Apache Spark, or even our open source API for it \- Scio, and cloud platforms like GCP or AWS
* You care about agile software processes, data\-driven development, reliability, and disciplined experimentation.
 Where You'll Be
* We offer you the flexibility to work where you work best! For this role, you can be within the North America region as long as we have a work location.
 The United States base range for this position is $176,166 $251,666 plus equity. The benefits available for this position include health insurance, six month paid parental leave, 401(k) retirement plan, monthly meal allowance, 23 paid days off, 13 paid flexible holidays, paid sick leave. These ranges may be modified in the future.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Find our AI notice here: https://lifeatspotify.com/ai\-notice
 Today, we are the world’s most popular audio streaming subscription service.</t>
        </is>
      </c>
    </row>
    <row r="70">
      <c r="A70" t="inlineStr">
        <is>
          <t>li-4374523034</t>
        </is>
      </c>
      <c r="B70" t="inlineStr">
        <is>
          <t>AI Engineer - Robotics Foundation Model</t>
        </is>
      </c>
      <c r="C70" t="inlineStr">
        <is>
          <t>Alldus</t>
        </is>
      </c>
      <c r="D70" t="inlineStr">
        <is>
          <t>linkedin</t>
        </is>
      </c>
      <c r="E70" t="inlineStr"/>
      <c r="F70" t="inlineStr"/>
      <c r="G70" t="inlineStr">
        <is>
          <t>Sunnyvale, CA</t>
        </is>
      </c>
      <c r="H70" t="inlineStr"/>
      <c r="I70" t="inlineStr">
        <is>
          <t>**About the Company**
* The next era of national security will be shaped by teams that can deploy intelligent machines at scale. We are building a large\-scale multimodal model designed to serve as the cognitive backbone for fleets of autonomous robotic systems operating in complex, real\-world environments.
* Our platform enables operators to coordinate groups of robots using natural language while those systems independently perceive, reason, and execute tasks in dynamic conditions. This is not incremental autonomy — it is a step\-change in how intelligent machines are trained, coordinated, and deployed in mission\-critical settings.
* We are an early\-stage, venture\-backed company operating with urgency and high ownership. This is an opportunity to help define the technical foundation of next\-generation autonomous systems from the ground up.
**About The Role**
* We are seeking an AI Engineer with a strong interest in embodied intelligence and multimodal learning systems.
* You will work across perception, planning, and control, developing and deploying advanced vision\-language\-action (VLA) models that power robotic platforms in adversarial and unstructured environments. This role bridges research and production — translating cutting\-edge ML advances into real\-time, field\-ready autonomy.
* You should expect rapid iteration, aggressive experimentation, and a high degree of ownership. As an early team member, you will influence architecture, technical direction, and engineering standards.
**What You'll Do**
* Design, train, and evaluate advanced multimodal models for autonomous robotic systems
* Build scalable systems for multimodal fusion, continual learning, and domain transfer
* Develop memory, coordination, and tool\-use capabilities for AI agents
* Convert research prototypes into real\-time perception and decision systems suitable for deployment
* Integrate ML pipelines with robotic hardware and onboard autonomy stacks
* Maintain training, simulation, and inference infrastructure
* Run rigorous experiments to measure robustness and performance in unstructured environments
* Stay current on research across vision\-language models, reinforcement learning, computer vision, and agent architectures
* Participate in field validation and deployment testing under real operational constraints
**Must Have Qualifications**
* Must be a US Citizen
* 2\+ years of hands\-on experience building and deploying machine learning systems
* Experience in robotics, autonomous systems, agentic AI, or other real\-time ML applications preferred
* Strong foundation in computer vision, deep learning, multimodal transformers, or agent architectures
* Proficiency in Python and modern ML frameworks such as PyTorch or TensorFlow
* Bonus: experience with JAX, CUDA, distributed training, or low\-latency inference optimization
* Working knowledge of fine\-tuning, reinforcement learning, and large\-scale model training techniques
* Bachelor’s degree in Computer Science, AI, Robotics, or related field; advanced degrees valued
* Proven ability to move from research concepts to production systems in fast\-paced environments
 We are also looking for researchers to work on agents, multi\-modal reasoning, and RL \- as well as AI Infrastructure engineers.</t>
        </is>
      </c>
    </row>
    <row r="71">
      <c r="A71" t="inlineStr">
        <is>
          <t>li-4316553803</t>
        </is>
      </c>
      <c r="B71" t="inlineStr">
        <is>
          <t>Staff Machine Learning Engineer, Fraud &amp; Abuse</t>
        </is>
      </c>
      <c r="C71" t="inlineStr">
        <is>
          <t>Block</t>
        </is>
      </c>
      <c r="D71" t="inlineStr">
        <is>
          <t>linkedin</t>
        </is>
      </c>
      <c r="E71" t="inlineStr"/>
      <c r="F71" t="inlineStr"/>
      <c r="G71" t="inlineStr"/>
      <c r="H71" t="inlineStr"/>
      <c r="I71" t="inlineStr">
        <is>
          <t>**The Role**
 As a Staff Machine Learning Engineer in Fraud and Abuse ML Engineering, you will play a central role in designing, building, and evolving the machine learning systems that safeguard Block's ecosystem from fraud, abuse, and other malicious activity. You will architect and lead the development of high\-scale, real\-time ML systems that power our fraud decisioning across the Block network, protecting millions of customers and merchants while maintaining seamless user experiences.
**You Will**
* Build and maintain real\-time and batch data pipelines/APIs to support ML model inference at scale.
* Design elegant ML pipelines and services, prototype new approaches, and productionize solutions at scale.
* Collaborate with product and engineering teams to define data models and schemas for consistent and structured data flow.
* Integrate and enrich diverse internal and third\-party data sources to enhance our feature store and modeling capabilities.
* Ensure data quality and completeness through automated validation, monitoring, and alerting.
* Develop new triggers and event hooks that support enhanced risk evaluations and detections.
* Participate in SEV management by rapidly integrating new data, deploying new features, and implementing stopgap controls to mitigate risk.
* Apply ML and engineering best practices to shape how Block develops, tests, and maintains ML\-platform solutions.
* Support the integration of risk decisions and scores into downstream systems, ensuring they are consumed and acted upon correctly.
**You Have**
* 12\+ years of experience in software development and demonstrated technical initiative and leadership on previous machine learning projects.
* A proven ability to shape how teams effectively adopt and evolve AI practices; driving adoption of AI\-first workflows by coaching leaders, identifying scalable use cases, and embedding quality and accountability in team norms.
* Experience leading experimentation cycles and building a shared understanding of how AI drives business outcomes.
* Curiosity and a passion for Block's mission of economic empowerment.
* Experience helping your teammates grow through mentorship and providing constructive feedback.
* A desire to be hands\-on and help invent the future of AI.
* The ability to work autonomously in the rapidly evolving world of ML.
**Technologies We Use and Teach**
* Python, Java and Kotlin
* Tensorflow and PyTorch
* AWS, Databricks and Kubernetes
* MySQL, DynamoDB, Kafka, Spark
 We're working to build a more inclusive economy where our customers have equal access to opportunity, and we strive to live by these same values in building our workplace. Block is a proud equal opportunity employer. We work hard to evaluate all employees and job applicants consistently, based solely on the core competencies required of the role at hand, and without regard to any legally protected class.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an inclusive workplace? Check out our Inclusion \&amp; Diversity page***
**Full\-time Employee Benefits Include The Following**
* Healthcare coverage (Medical, Vision and Dental insurance)
* Health Savings Account and Flexible Spending Account
* Retirement Plans including company match
* Employee Stock Purchase Program
* Wellness programs, including access to mental health, 1:1 financial planners, and a monthly wellness allowance
* Paid parental and caregiving leave
* Paid time off (including 12 paid holidays)
* Paid sick leave (1 hour per 26 hours worked (max 80 hours per calendar year to the extent legally permissible) for non\-exempt employees and covered by our Flexible Time Off policy for exempt employees)
* Learning and Development resources
* Paid Life insurance, AD\&amp;D, and disability benefits
 These benefits are further detailed in Block's policies. This role is also eligible to participate in Block's equity plan subject to the terms of the applicable plans and policies, and may be eligible for a sign\-on bonus. Sales roles may be eligible to participate in a commission plan subject to the terms of the applicable plans and policies. Pay and benefits are subject to change at any time, consistent with the terms of any applicable compensation or benefit plans.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$276,800—$415,200 USD
**Zone B**
 $276,800—$415,200 USD
**Zone C**
 $276,800—$415,200 USD
**Zone D**
 $276,800—$415,200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72">
      <c r="A72" t="inlineStr">
        <is>
          <t>li-4375720733</t>
        </is>
      </c>
      <c r="B72" t="inlineStr">
        <is>
          <t>Lead Edge AI Engineer</t>
        </is>
      </c>
      <c r="C72" t="inlineStr">
        <is>
          <t>5V Tech</t>
        </is>
      </c>
      <c r="D72" t="inlineStr">
        <is>
          <t>linkedin</t>
        </is>
      </c>
      <c r="E72" t="inlineStr"/>
      <c r="F72" t="inlineStr"/>
      <c r="G72" t="inlineStr"/>
      <c r="H72" t="inlineStr"/>
      <c r="I72" t="inlineStr">
        <is>
          <t>Lead Edge AI Engineer
 Location:
 Remote (Must be based in NA)
 $200,000 – $300,000 \+ equity
 We’re working with a venture\-backed technology company building
 **foundational infrastructure for an edge\-first AI world** 
 \- where intelligence runs directly on devices, vehicles, robots, and satellites, not in distant cloud data centers.
 Their mission is to make edge\-native AI
 **private, verifiable, collaborative, and resilient by design** 
 . Instead of centralized control, they’re enabling AI systems that can train, adapt, and operate across distributed environments \- even when the cloud is unavailable.
 This is deep, systems\-level work at the intersection of
 **edge computing, AI infrastructure, and distributed systems** 
 , backed by real\-world deployments rather than prototypes or slide decks.
 As
 **Lead Edge AI Engineer** 
 , you’ll own the edge\-AI engineering roadmap and help define how AI is developed, deployed, and verified across decentralized environments.
 You’ll design and build systems that enable:
* On\-device inference and local training
* Federated and collaborative learning across devices
* Adaptive compute pipelines on heterogeneous hardware
 This is a senior, hands\-on technical leadership role with real influence over architecture, standards, and developer experience.
 What You’ll Do
* Architect and prototype
 **edge\-AI pipelines** 
 for training, inference, and cross\-device collaboration
* Build
 **developer\-facing APIs and SDKs** 
 that hide distributed complexity behind elegant abstractions
* Optimize performance across
 **constrained and diverse hardware** 
 (GPUs, NPUs, embedded accelerators)
* Integrate AI workloads with
 **privacy\-preserving and verifiable computation frameworks**
* Partner closely with product, research, and infrastructure teams to shape the edge\-AI developer experience
* Mentor engineers and help define a culture focused on
 **precision, performance, and trust**
 What We’re Looking For
* Deep experience deploying
 **AI/ML systems in real\-world edge environments**
* Strong proficiency in
 **Rust, Go, C\+\+, or Python**
* Solid understanding of
 **distributed systems** 
 , federated learning, or privacy\-preserving AI
* Experience working with
 **edge compute constraints and hardware runtimes**
* Background in a
 **startup or scale\-up** 
 environment
* Proven track record delivering complex systems
 **end\-to\-end**
* Strong curiosity around
 **verifiable computing, zero\-trust architectures, and data\-centric AI**
* First\-principles thinker who wants to build infrastructure that lasts decades
 Why This Role Stands Out
* Build
 **core infrastructure** 
 that defines how edge\-native AI works globally
* Influence systems that may run across
 **billions of devices**
* Work with a small, elite engineering team on genuinely hard problems
* High\-impact role with
 **technical ownership and strategic influence**
* Competitive compensation with meaningful equity upside
 If you’re driven by first principles, real technical ownership, and genuinely cutting\-edge problems at the frontier of AI and distributed systems, this is the role for you.
 Take the next step in your career and apply today!
***5V Tech are acting as an Employment Agency for the purposes of this job vacancy. We offer a reward scheme if you can recommend someone for this position, up to $250 for you and an additional $250 to a charity of your choice, 5V Tech are recognised talent solutions experts within IoT and Deep Tech working across Europe, the UK, and North America.***</t>
        </is>
      </c>
    </row>
    <row r="73">
      <c r="A73" t="inlineStr">
        <is>
          <t>li-4361929593</t>
        </is>
      </c>
      <c r="B73" t="inlineStr">
        <is>
          <t>Lead AI Engineer (R&amp;D Innovation Team)</t>
        </is>
      </c>
      <c r="C73" t="inlineStr">
        <is>
          <t>dentsu</t>
        </is>
      </c>
      <c r="D73" t="inlineStr">
        <is>
          <t>linkedin</t>
        </is>
      </c>
      <c r="E73" t="inlineStr"/>
      <c r="F73" t="inlineStr"/>
      <c r="G73" t="inlineStr"/>
      <c r="H73" t="inlineStr"/>
      <c r="I73" t="inlineStr">
        <is>
          <t>As a Lead AI Engineer, you will design, build, and deploy artificial intelligence capabilities that drive business value and enhance our global products. You will work cross\-functionally with product managers, data scientists, engineers, and stakeholders to deliver scalable AI systems for content personalization, audience analytics, creative optimization, and more. You will report to the Global Head of AI \&amp; Innovation.
**This is a remote role. Employees within 90 min of our NY, MI, IL \&amp; Chicago offices may expect 3 days a week onsite.** 
**What You'll Do:**
* **AI Solution Development:** 
 Architect, develop, and maintain AI systems for media products.
* **Collaboration** 
 : Partner with product, engineering, and data teams to translate business needs into technical solutions.
* **Deployment \&amp; Scaling** 
 : Implement AI models in production environments, ensuring reliability, scalability, and performance across global markets.
* **Continuous Improvement** 
 : Monitor, evaluate, and iterate on AI models using real\-world data and feedback.
* **Research \&amp; Innovation** 
 : Stay current with AI/ML advancements; prototype and recommend new technologies to keep our products at the forefront of innovation.
* **Ethics \&amp; Compliance** 
 : Champion responsible AI practices, ensuring fairness, transparency, and compliance with data privacy regulations.
**What You'll Have**
* Master’s degree in Computer Science, Engineering, or related field (PhD a plus).
* Strong Python skills, with experience in LLM orchestration libraries (e.g., LangChain, LlamaIndex, Semantic Kernel), chain\-of\-thought, and structured reasoning approaches.
* Demonstrated experience with enterprise LLMs – their APIs, performance challenges, and how to mitigate those (OpenAI, Anthropic, Cohere, etc.)
* Demonstrated production experience with API conventions and integration into pipelines, e.g. RESTful API, FastAPI, or similar.
* Demonstrated experience integrating multiple approaches for extracting highest\-quality output from LLMs, e.g. prompt engineering, multi\-agents, structured output validation, hybrid RAG, in\-context learning (ICL), or NLP\- or ontology\-powered layering.
* Proficiency with document processing pipelines (text extraction, chunking, embedding)
* Demonstrated production experience with measuring and improving AI systems, tracing and AI observability (e.g. Arize, OpenTelemetry, LangSmith)
* Strong foundation in data science fundamentals, including data analysis, statistical methods, and experience working with structured and unstructured data
* Experience with cloud platforms (AWS, GCP, Azure) and MLOps tools.
 The annual salary range for this position is (163,000\-$210,00\). Placement within the salary range is based on a variety of factors, including relevant experience, knowledge, skills, and other factors permitted by law. Additionally, this position is eligible for discretionary incentive compensation.
 Benefits available with this position include:
* Medical, vision, and dental insurance,
* Life insurance,
* Short\-term and long\-term disability insurance,
* 401k,
* Flexible paid time off,
* At least 15 paid holidays per year,
* Paid sick and safe leave, and
* Paid parental leave.
 Dentsu also complies with applicable state and local laws regarding employee leave benefits, including, but not limited to providing time off pursuant to the Colorado Healthy Families and Workplaces Act, in accordance with its plans and policies. For further details regarding Dentsu benefits, please visit www.dentsubenefitsplus.com.</t>
        </is>
      </c>
    </row>
    <row r="74">
      <c r="A74" t="inlineStr">
        <is>
          <t>li-4321750008</t>
        </is>
      </c>
      <c r="B74" t="inlineStr">
        <is>
          <t>Full Stack AI Engineer - Senior Associate - Commercial Technology &amp; Innovation</t>
        </is>
      </c>
      <c r="C74" t="inlineStr">
        <is>
          <t>PwC</t>
        </is>
      </c>
      <c r="D74" t="inlineStr">
        <is>
          <t>linkedin</t>
        </is>
      </c>
      <c r="E74" t="inlineStr"/>
      <c r="F74" t="inlineStr"/>
      <c r="G74" t="inlineStr">
        <is>
          <t>Tampa, FL</t>
        </is>
      </c>
      <c r="H74" t="inlineStr"/>
      <c r="I74" t="inlineStr">
        <is>
          <t>**Specialty/Competency:** 
 Data Science
**Industry/Sector:** 
 Not Applicable
**Time Type:** 
 Full time
**Travel Requirements:** 
 Up to 40%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contribute to the evolution of AI technologies and methodologies. As a Senior Associate, you will analyze complex problems, mentor others, and maintain elevated standards while navigating intricate situations to drive project success.
**Responsibilities**
* Uphold exceptional standards in deliverables
* Work with diverse teams to improve product development
* Navigate complex scenarios to secure project success
* Maintain remarkable quality and performance in tasks
* Foster a culture of continuous improvement and innovation
 What You Must Have
* Bachelor's Degree
* 3 years of experience
 What Sets You Apart
* Master's Degree in Computer Engineering, Computer Science, Artificial Intelligence and Robotics, Software Engineering, Data Processing/Analytics/Science preferred
* Designing and deploying machine learning models and LLMs
* Developing scalable, cloud\-native microservices with Docker and Kubernetes
* Building end\-to\-end AI applications for web, mobile, or API\-first platforms
* Managing CI/CD pipelines for AI systems using GitHub Actions and MLflow
* Implementing vector databases and RAG pipelines with orchestration tools
* Translating complex business problems into software\-engineered AI solutions
* Fine\-tuning models on domain\-specific data
* Applying Responsible AI practices including governance and ethics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5">
      <c r="A75" t="inlineStr">
        <is>
          <t>li-4375760021</t>
        </is>
      </c>
      <c r="B75" t="inlineStr">
        <is>
          <t>Senior AWS Cloud &amp; Agentic AI Engineer</t>
        </is>
      </c>
      <c r="C75" t="inlineStr">
        <is>
          <t>Jobs via Dice</t>
        </is>
      </c>
      <c r="D75" t="inlineStr">
        <is>
          <t>linkedin</t>
        </is>
      </c>
      <c r="E75" t="inlineStr"/>
      <c r="F75" t="inlineStr"/>
      <c r="G75" t="inlineStr">
        <is>
          <t>Jupiter, FL</t>
        </is>
      </c>
      <c r="H75" t="inlineStr"/>
      <c r="I75" t="inlineStr">
        <is>
          <t>Dice is the leading career destination for tech experts at every stage of their careers. Our client, NAAS Technologies, is seeking the following. Apply via Dice today!
**Role: Senior AWS Cloud \&amp; Agentic AI Engineer
 Location: Jupiter, FL (Need Locals or nearby)
 Duration: 6 months to start**
**Overview:**
 We are seeking a Senior AWS Cloud \&amp; Agentic AI Engineer to design and build scalable, cloud\-native and AI\-driven platforms on AWS. This role focuses on developing APIs, MCP servers, and end\-to\-end agentic workflows using AWS Bedrock AgentCore, with deep integrations across AWS Connect and core AWS services. You will work closely with multiple teams in a complex enterprise environment to deliver secure, production\-ready solutions.
**Required Skills \&amp; Experience:**
 Strong hands\-on experience with AWS and cloud\-native architectures
 Experience building scalable APIs using Lambda, ECS, and/or EKS
 Hands\-on experience building MCP Servers
 Experience delivering end\-to\-end solutions with AWS Bedrock AgentCore
 Experience integrating AWS Connect with backend systems and workflows
**Infrastructure as Code:** 
 AWS CloudFormation and AWS CDK
**CI/CD:** 
 GitHub Actions
 Experience with spec\-driven development, including use of AI\-powered tools such as Windsurf and SpecIt
 Experience working in complex, multi\-team enterprise environments</t>
        </is>
      </c>
    </row>
    <row r="76">
      <c r="A76" t="inlineStr">
        <is>
          <t>li-4377004412</t>
        </is>
      </c>
      <c r="B76" t="inlineStr">
        <is>
          <t>Lead, GenAI Engineer</t>
        </is>
      </c>
      <c r="C76" t="inlineStr">
        <is>
          <t>Royal Caribbean Group</t>
        </is>
      </c>
      <c r="D76" t="inlineStr">
        <is>
          <t>linkedin</t>
        </is>
      </c>
      <c r="E76" t="inlineStr"/>
      <c r="F76" t="inlineStr"/>
      <c r="G76" t="inlineStr">
        <is>
          <t>Miami, FL</t>
        </is>
      </c>
      <c r="H76" t="inlineStr"/>
      <c r="I76" t="inlineStr">
        <is>
          <t>**Journey with us!** 
 Combine your career goals and sense of adventure by joining our exciting team of employees. Royal Caribbean Group is pleased to offer a competitive compensation and benefits package, and excellent career development opportunities, each offering unique ways to explore the world.
 We are proud to be the vacation\-industry leader with global brands — including Royal Caribbean International, Celebrity Cruises and Silversea Cruises — the most innovative fleet and private destinations, and the best people. Together, we are dedicated to turning the vacation of a lifetime into a lifetime of vacations for our guests.
 The Royal Caribbean Group’s
 **AI \&amp; Analytics Team** 
 has an exciting career opportunity for a full\-time
 **Senior Gen AI Engineer** 
 reporting to the
 **Senior Director, Enterprise Data \&amp; Analytics.**
**The position is onsite and based in Miami, Florida.**
**The position is also not eligible for work authorization sponsorship.**
**Position Summary**
 We are seeking a highly skilled Senior, Gen AI Engineer to design, develop, and deploy full\-stack GenAI applications using modern cloud and AI technologies. This role is hands\-on, focused on building robust solutions, collaborating with cross\-functional teams, and leveraging AI\-assisted development tools to accelerate delivery and innovation.
**Essential Duties And Responsibilities**
* Develop and maintain GenAI\-powered applications using Azure AI Foundry, Azure Container Apps, Azure AI Search, and Azure Databricks.
* Integrate multi\-cloud GenAI capabilities (AWS Bedrock, Google Vertex AI) as needed.
* Build scalable full\-stack solutions with Next.js, Streamlit, FastAPI, Radix UI, Tailwind CSS, Zustand, and related frameworks.
* Implement secure authentication and authorization using Azure AD \&amp; MSAL.
* Design and optimize data pipelines with Databricks Serverless SQL, SQL Server, and Azure Cosmos DB.
* Develop intelligent retrieval systems using Azure AI Search.
* Manage APIs and microservices with Azure APIM and FastAPI.
* Ensure security, observability, and cost\-efficiency using Azure Monitor, Log Analytics, Azure Key Vault, and Azure Cost Management.
* Apply best practices for AI model deployment, scaling, and monitoring.
* Collaborate with product managers, data engineers, and business stakeholders to deliver impactful solutions.
* Utilize AI\-assisted development tools (e.g., GitHub Copilot, Microsoft Copilot Studio) to enhance productivity and code quality.
* Contribute to full\-stack architecture decisions and participate in code reviews.
* Lead troubleshooting and debugging efforts for complex technical issues.
* Stay current with advancements in GenAI, machine learning, and software engineering.
* Support DevOps practices using Azure DevOps for CI/CD and infrastructure automation.
* Mentor junior engineers and share knowledge across the team.
**Qualifications, Knowledge, and Skills**
* 5\+ years of experience in software engineering, with 1\+ years in GenAI or LLM\-based application development.
* Bachelor’s degree in Computer Science, Engineering, or related field.
* Proven hands\-on expertise in full\-stack development and Azure cloud services.
* Experience with enterprise identity management and secure coding practices.
* Familiarity with GenAI architectures (including RAG) and multi\-cloud platforms.
* Demonstrated experience using AI\-assisted development tools (e.g., GitHub Copilot, Microsoft Copilot Studio).
* Strong coding skills in Python, JavaScript/TypeScript, and modern frameworks.
* Knowledge of cloud platforms (AWS, Azure, Google Cloud) and integration services.
* Excellent problem\-solving skills and ability to work in a fast\-paced, dynamic environment.
* Effective communication skills for presenting solutions to technical and non\-technical stakeholders.
**Agency and Third\-Party Submissions:** 
 Please note this is a direct search by the Company, and applications through agencies and other third parties will not be accepted, nor will fees be paid for unsolicited resumes. Any unsolicited resumes will be considered the Company's property.
**We know there's a lot to consider.** 
 As you go through the application process, our recruiters will be glad to provide guidance, and more relevant details to answer any additional questions. Thank you again for your interest in Royal Caribbean Group. We'll hope to see you onboard soon!
 It is the policy of the Company to ensure equal employment and promotion opportunity to qualified candidates without discrimination or harassment on the basis of race, color, religion, sex, age, national origin, disability, sexual orientation, sexuality, gender identity or expression, marital status, or any other characteristic protected by law. Royal Caribbean Group and each of its subsidiaries prohibit and will not tolerate discrimination or harassment.</t>
        </is>
      </c>
    </row>
    <row r="77">
      <c r="A77" t="inlineStr">
        <is>
          <t>li-4374516260</t>
        </is>
      </c>
      <c r="B77" t="inlineStr">
        <is>
          <t>Java Full Stack AI Engineer (Senior Software Engineer)</t>
        </is>
      </c>
      <c r="C77" t="inlineStr">
        <is>
          <t>LTIMindtree</t>
        </is>
      </c>
      <c r="D77" t="inlineStr">
        <is>
          <t>linkedin</t>
        </is>
      </c>
      <c r="E77" t="inlineStr"/>
      <c r="F77" t="inlineStr"/>
      <c r="G77" t="inlineStr">
        <is>
          <t>Tampa, FL</t>
        </is>
      </c>
      <c r="H77" t="inlineStr"/>
      <c r="I77" t="inlineStr">
        <is>
          <t>**Role Description**
**Title: Java Full Stack \- AI Engineer**
**Location: Tampa, FL**
 Join our pioneering team as a Full Stack AI Engineer and be at the forefront of building the next generation of intelligent AI powered products that redefine user experiences and solve complex business challenges This pivotal role empowers you to own the entire solution stack from intuitive frontend interfaces to robust backend infrastructure and cutting edge agentic AI systems You will play a critical role in designing developing and deploying high impact AI driven solutions driving engineering excellence and influencing our software architecture Were seeking a passionate problem solver who thrives in a collaborative agile environment dedicated to crafting innovative solutions and contributing to vibrant technical community.
**Key Responsibilities**
* Pioneer Full Stack AI Application Development Design develop and deploy transformative end\-to\-end applications leveraging modern web frameworks React Next.js Fast API, Python Java with Large Language Models LLMs at their core
* Architect Agentic AI Systems Lead the design and implementation of sophisticated autonomous agents capable of multistep reasoning planning and dynamic task execution using frameworks like LangChain LangGraph or AutoGen
* Innovate RAG Pipeline Design Architect and optimize production grade Retrieval Augmented Generation RAG pipelines focusing on advanced embedding strategies efficient vector database management Pinecone Milvus Chroma and superior retrieval performance
* Build Scalable Backend API Integrations Develop highly performant asynchronous backend services that seamlessly integrate LLMs external APIs and tools ensuring exceptional reliability and ultralow latency
* Optimize Data Database Management Strategically manage structured and unstructured data overseeing both traditional SQL NoSQL databases and advanced vector databases to enable context aware and intelligent AI systems
* Champion Engineering Excellence Agile Delivery Drive best practices in code quality unit testing CICD and security Act as a strong contributor within an Agile software delivery team collaborating to achieve sprint goals and actively participating in the broader technical community and Agile Scrum processes
**Required Qualifications**
* 5 years of progressive professional software engineering experience with a minimum of 2 years dedicated to building and deploying Ai powered solutions
* Expert proficiency in Python Java or Typescript JavaScript coupled with a profound understanding of Data Structures and Object Oriented Principles
* Extensive hands on experience with Large Language Models LLMs eg OpenAI GPT Anthropic Claude Gemini Llama including finetuning techniques and advanced prompt engineering
* Proven expertise in designing and implementing RAG architectures encompassing embedding strategies vector stores and semantic search
* Deep experience with microservices designing and implementing RESTful, Graph QL, APIs and practical application of containerization technologies Docker, Kubernetes, OpenShift
* Demonstrated experience with modern web stacks React Next.js Tailwind CSS JavaScript TypeScript etc
* Practical experience with Agentic frameworks LangChain, LangGraph, AutoGen Crew AI etc including designing implementing and orchestrating multiagent systems
* Solid understanding and practical application of frameworks such as Spring Boot Fast API Express etc
* Significant experience working within agile and iterative software delivery methodologies SAFe SCRUM Kanban
* Proficiency in various database technologies including advanced SQL and vector databases Oracle PostgreSQL MongoDB Aurora Pinecone pg vector etc
* Experience with event driven design and architecture eg: SQS SNS Kinesis Kafka Spark Flink RabbitMQ
* BTech BE Eng degree or equivalent work experience
* Preferred Qualifications
* Experience in designing and implementing complex multiagent collaboration architectures
* Familiarity with AI driven development tools eg: Cursor Claude Copilot to enhance productivity
* Proven architectural experience in building horizontally scalable highly available highly resilient and low latency applications
* Experience with both on premise and public cloud infrastructure eg: OpenShift AWS including Infrastructure as Code tools eg: Terraform CloudFormation
* Knowledge of Security Observability and Monitoring tools eg: Grafana Prometheus Splunk ELK CloudWatch
* Prior experience mentoring and providing technical leadership to teams of 5 or more developers
* Familiarity with Job Schedulers eg Apache Workflow Autosys CloudWatch
**Skills**
**Mandatory Skills :** 
 AI/GenAI Research, Java, React, Spring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$ 79,851\.00 to 107,720\.00 per year</t>
        </is>
      </c>
    </row>
    <row r="78">
      <c r="A78" t="inlineStr">
        <is>
          <t>li-4375741877</t>
        </is>
      </c>
      <c r="B78" t="inlineStr">
        <is>
          <t>Senior Full Stack GenAI Engineer</t>
        </is>
      </c>
      <c r="C78" t="inlineStr">
        <is>
          <t>Jobs via Dice</t>
        </is>
      </c>
      <c r="D78" t="inlineStr">
        <is>
          <t>linkedin</t>
        </is>
      </c>
      <c r="E78" t="inlineStr"/>
      <c r="F78" t="inlineStr"/>
      <c r="G78" t="inlineStr">
        <is>
          <t>Plano, TX</t>
        </is>
      </c>
      <c r="H78" t="inlineStr"/>
      <c r="I78" t="inlineStr">
        <is>
          <t>Dice is the leading career destination for tech experts at every stage of their careers. Our client, ComTec Information Systems, is seeking the following. Apply via Dice today!
 Senior Full Stack GenAI Engineer
 12 months
 Location: Plano, TX
 The hiring manager is looking forward to onboard Senior Full Stack Gen AI Engineer, someone who has all the experience of working with building software, deploying applications, hands on with Python/JAVA, creating CI/CD pipelines, experience with modern architecture styles: microservices, APIs.
* The team will be working on current projects, business applications, responsible to influence the platform, AI testing framework (RAGAS, DeepEval).
* Exposure to GenAI tools and frameworks (e.g., LLMs, vector databases, prompt orchestration, LangChain, Bedrock)
* Familiarity with AWS AI/ML services (e.g., SageMaker, Bedrock, Comprehend, Lex)
* Full Stack Experience 5\-6 years, Gen AI Framework and Tool 3\+ years. Total experience 10 years. AWS \- Highly preferred.
* 6\-12 months months contract with possibility of extension/conversion.
* This will be a hybrid position (3 days in office Tue \-Thu), please submit local candidates.
 Interview Process:
* 1st Round\- MS Teams 1st round Technical Screening 30 Minutes
* 2nd Round Onsite 1 hour, might include coding as well.
 What you ll be doing
* Design scalable and robust GenAI architectures using LLMs, multimodal models, and retrieval\-augmented generation (RAG).
* Fine\-tune foundation models using domain\-specific data.
* Implement prompt engineering, instruction tuning, and reinforcement learning from human feedback (RLHF).
* Integrate GenAI capabilities into enterprise platforms using APIs, SDKs, and orchestration tools.
* Implement responsible AI practices including bias detection, hallucination mitigation, and explainability.
* Monitor and optimize model performance, latency, and cost.
* Use techniques like quantization, distillation, and caching to improve efficiency.
* Stay ahead of GenAI trends and emerging technologies.
* Drive experimentation with new models, agents, and frameworks (e.g., LangChain, LlamaIndex, OpenAI, Anthropic, etc.).
* Ensure compliance with data privacy, security, and regulatory standards.
* Evaluate and select appropriate model types (open\-source vs proprietary) based on business needs.
* Lead hands\-on solution evaluations, prototypes, and proofs of concept, especially for initiatives involving AI, GenAI, and emerging technologies
* Make informed architectural trade\-offs based on business needs, performance, cost, and long\-term maintainability
* Contribute reusable patterns and documentation that support solution delivery across teams
* Stay informed on trends in cloud services, architecture frameworks, and GenAI tooling.
* Full Stack 5 years Java/Python, CI/C pipelines must
* Atleast 2 years should be with Gen AI tools and framework.
* AWS \- Must
 Requirements:
 Qualifications/ What you bring (Must Haves) Highlight Top 3\-5 skills
* 10\+ years of software engineering and development experience
 Proven experience in building and deploying GenAI applications in production.
* Strong programming skills in Python/JAVA and familiarity with GenAI libraries (Transformers, LangChain, Hugging Face, etc.).
* Deep understanding of LLMs, embeddings, vector databases (e.g., FAISS, Pinecone, Weaviate).
* Experience with cloud platforms (AWS, Azure, Google Cloud Platform) and containerization (Docker, Kubernetes).
* Familiarity with CI/CD for ML workflows and versioning tools like MLflow or DVC.
* Knowledge of prompt engineering, few\-shot learning, and agent\-based systems.
* Hands\-on experience designing and building cloud\-native solutions (preferably on AWS)
* Experience with modern architecture styles: microservices, APIs, event\-driven systems
* Strong ability to articulate technical solutions, trade\-offs, and system behavior to both technical and non\-technical stakeholders
 Added bonus if you have (Preferred):
* Exposure to GenAI tools and frameworks (e.g., LLMs, vector databases, prompt orchestration, LangChain, Bedrock)
* Familiarity with AWS AI/ML services (e.g., SageMaker, Bedrock, Comprehend, Lex)
* AWS AI certification
* Financial Services experience</t>
        </is>
      </c>
    </row>
    <row r="79">
      <c r="A79" t="inlineStr">
        <is>
          <t>li-4376010599</t>
        </is>
      </c>
      <c r="B79" t="inlineStr">
        <is>
          <t>Machine Learning Engineer - Backend/Data Engineer: Agentic Workflows, Siri Core Modeling</t>
        </is>
      </c>
      <c r="C79" t="inlineStr">
        <is>
          <t>Apple</t>
        </is>
      </c>
      <c r="D79" t="inlineStr">
        <is>
          <t>linkedin</t>
        </is>
      </c>
      <c r="E79">
        <f>HYPERLINK("https://www.linkedin.com/jobs/view/4376010599", "https://www.linkedin.com/jobs/view/4376010599")</f>
        <v/>
      </c>
      <c r="F79" t="inlineStr"/>
      <c r="G79" t="inlineStr">
        <is>
          <t>Cupertino, CA</t>
        </is>
      </c>
      <c r="H79" t="inlineStr"/>
      <c r="I79" t="inlineStr">
        <is>
          <t>**Summary**
 Imagine what you could do here. At Apple, great ideas have a way of becoming great products, services, and customer experiences very quickly. Bring passion and dedication to your job and there’s no telling what you could accomplish.
 Do you want to make Siri and Apple products more intelligent for our users? The Siri \&amp; Information Intelligence team is building groundbreaking technology to revolutionize how users interact with Apple devices.
 As part of this group, you will contribute to build the infrastructure to power the development of multi\-modal agentic workflows.
**Description**
 We design, build and maintain infrastructure to support agentic workflows for Siri. Our team is in charge of data generation, introspection and evaluation frameworks that are key to efficiently developing foundation models and agentic workflows for Siri applications. In this team you will have the opportunity to work at the intersection of with cutting edge foundation models and products.
**Minimum Qualifications**
* Strong background in computer science: algorithms, data structures and system design
* Strong Python skills
* Experience building multi\-turn agent evaluation systems (model\-as\-a\-judge, human evaluations, graders/rubrics, metrics, simulation environments, etc.)
* Experience with SQL/NoSQL database technologies, data warehouse frameworks like BigQuery/Snowflake/RedShift/Iceberg and data pipeline frameworks like GCP Dataflow/Apache Beam/Spark/Kafka
**Preferred Qualifications**
* Experience with large scale distributed system design, operation and optimization
* Experience with Vector Databases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80">
      <c r="A80" t="inlineStr">
        <is>
          <t>li-4377083492</t>
        </is>
      </c>
      <c r="B80" t="inlineStr">
        <is>
          <t>Sr. Applied Scientist, Prime Video - Personalization and Discovery Science</t>
        </is>
      </c>
      <c r="C80" t="inlineStr">
        <is>
          <t>Prime Video &amp; Amazon MGM Studios</t>
        </is>
      </c>
      <c r="D80" t="inlineStr">
        <is>
          <t>linkedin</t>
        </is>
      </c>
      <c r="E80">
        <f>HYPERLINK("https://www.linkedin.com/jobs/view/4377083492", "https://www.linkedin.com/jobs/view/4377083492")</f>
        <v/>
      </c>
      <c r="F80" t="inlineStr"/>
      <c r="G80" t="inlineStr">
        <is>
          <t>Sunnyvale, CA</t>
        </is>
      </c>
      <c r="H80" t="inlineStr"/>
      <c r="I80"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Our organization is building world\-class teams with deep expertise in large\-scale recommender systems. This role sits at the intersection of AI research and direct business impact, where recommendation quality directly influences business outcomes and customer satisfaction. You'll be joining a team focused on foundational models for recommender systems and working on production systems that serve millions of customers and shape the future of personalized entertainment experiences.
 We're seeking talent who can deliver measurable impact on our core business metrics while advancing the state\-of\-the\-art in personalization and recommendation technology.
 Key job responsibilities
* Develop AI solutions for various Prime Video Search \&amp; Recommendation systems using Deep Learning, Reinforcement Learning, Optimization Methods, and most importantly, GenAI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The Prime Video \- Personalization \&amp; Discovery Science team owns science solution to power search experience on various devices, from sourcing, relevance, \&amp; ranking (to name a few). We are on a mission to deliver an AI\-first customer experience. At the heart of this transformation are our recommendation systems \-\- core, customer\-facing components that serve as primary drivers of engagement \&amp; growth.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
**Company** 
 \- Amazon.com Services LLC
 Job ID: A3187309</t>
        </is>
      </c>
    </row>
    <row r="81">
      <c r="A81" t="inlineStr">
        <is>
          <t>li-4377082514</t>
        </is>
      </c>
      <c r="B81" t="inlineStr">
        <is>
          <t>Sr. Applied Scientist, Prime Video - Personalization and Discovery Science</t>
        </is>
      </c>
      <c r="C81" t="inlineStr">
        <is>
          <t>Prime Video &amp; Amazon MGM Studios</t>
        </is>
      </c>
      <c r="D81" t="inlineStr">
        <is>
          <t>linkedin</t>
        </is>
      </c>
      <c r="E81">
        <f>HYPERLINK("https://www.linkedin.com/jobs/view/4377082514", "https://www.linkedin.com/jobs/view/4377082514")</f>
        <v/>
      </c>
      <c r="F81">
        <f>HYPERLINK("https://www.amazon.jobs/jobs/3187309/sr-applied-scientist-prime-video\u002d\u002dpersonalization-and-discovery-science?cmpid=SPLICX0248M&amp;utm_source=linkedin.com&amp;utm_campaign=cxro&amp;utm_medium=social_media&amp;utm_content=job_posting&amp;ss=paid&amp;urlHash=nzhV", "https://www.amazon.jobs/jobs/3187309/sr-applied-scientist-prime-video\u002d\u002dpersonalization-and-discovery-science?cmpid=SPLICX0248M&amp;utm_source=linkedin.com&amp;utm_campaign=cxro&amp;utm_medium=social_media&amp;utm_content=job_posting&amp;ss=paid&amp;urlHash=nzhV")</f>
        <v/>
      </c>
      <c r="G81" t="inlineStr">
        <is>
          <t>New York, United States</t>
        </is>
      </c>
      <c r="H81" t="inlineStr"/>
      <c r="I81"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Our organization is building world\-class teams with deep expertise in large\-scale recommender systems. This role sits at the intersection of AI research and direct business impact, where recommendation quality directly influences business outcomes and customer satisfaction. You'll be joining a team focused on foundational models for recommender systems and working on production systems that serve millions of customers and shape the future of personalized entertainment experiences.
 We're seeking talent who can deliver measurable impact on our core business metrics while advancing the state\-of\-the\-art in personalization and recommendation technology.
 Key job responsibilities
* Develop AI solutions for various Prime Video Search \&amp; Recommendation systems using Deep Learning, Reinforcement Learning, Optimization Methods, and most importantly, GenAI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The Prime Video \- Personalization \&amp; Discovery Science team owns science solution to power search experience on various devices, from sourcing, relevance, \&amp; ranking (to name a few). We are on a mission to deliver an AI\-first customer experience. At the heart of this transformation are our recommendation systems \-\- core, customer\-facing components that serve as primary drivers of engagement \&amp; growth.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
**Company** 
 \- Amazon.com Services LLC
 Job ID: A3187309</t>
        </is>
      </c>
    </row>
    <row r="82">
      <c r="A82" t="inlineStr">
        <is>
          <t>li-4377057942</t>
        </is>
      </c>
      <c r="B82" t="inlineStr">
        <is>
          <t>Junior AI/ML Engineer (Remote)</t>
        </is>
      </c>
      <c r="C82" t="inlineStr">
        <is>
          <t>Lensa</t>
        </is>
      </c>
      <c r="D82" t="inlineStr">
        <is>
          <t>linkedin</t>
        </is>
      </c>
      <c r="E82">
        <f>HYPERLINK("https://www.linkedin.com/jobs/view/4377057942", "https://www.linkedin.com/jobs/view/4377057942")</f>
        <v/>
      </c>
      <c r="F82" t="inlineStr"/>
      <c r="G82" t="inlineStr">
        <is>
          <t>Boston, MA</t>
        </is>
      </c>
      <c r="H82" t="inlineStr"/>
      <c r="I8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FocusKPI Inc.. Clicking "Apply Now" or "Read more" on Lensa redirects you to the job board/employer site. Any information collected there is subject to their terms and privacy notice.
 Location: Remote (EST preferred)
 Type: Paid Internship or Contract (Full\-time)
 Start Date: Immediate
 Role Overview
 We are seeking a Junior AI/ML Engineer to support the development of an enterprise AI chatbot and data intelligence system. This role will focus on building interactive AI agents that connect to enterprise databases, generate insights, and support decision\-making.
 The position includes hands\-on work in both LLM\-based chatbot/agent development and machine learning , including building prediction models and integrating them into production workflows. This is a client\-facing technical role requiring strong coding ability, analytical thinking, and the ability to work in a fast\-paced environment.
 Key Responsibilities
* Develop and deploy AI chatbot/agent solutions for enterprise use cases
* Integrate LLM\-based agents with structured and unstructured enterprise data
* Connect chat interfaces to SQL/enterprise databases and internal APIs
* Build and integrate machine learning models (prediction, classification, clustering, etc.)
* Perform data preprocessing, feature engineering, and model evaluation
* Integrate ML outputs into chatbot or workflow interfaces
* Support data pipeline development and automation
* Collaborate with internal team and occasionally clients to understand requirements
* Document model logic, workflows, and implementation details
**Required Qualifications**
* Bachelor’s or Master’s degree in Computer Science, Data Science, Statistics, Engineering, or related quantitative field
* Strong Python programming skills
* Hands\-on experience with machine learning (regression, classification, clustering, or similar)
* Familiarity with ML libraries such as scikit\-learn, pandas, numpy, or similar
* Experience working with databases (SQL, PostgreSQL, or similar)
* Familiarity with LLM APIs (OpenAI, Claude, or open\-source models)
* Experience building APIs or backend services (FastAPI, Flask, or similar)
* Strong analytical and problem\-solving skills
* Ability to work independently and communicate clearly
**Preferred Qualifications**
* Graduate degree or currently pursuing MS in AI, Data Science, or related field
* Experience with agent frameworks (LangChain, LlamaIndex, LangGraph, CrewAI, etc.)
* Experience deploying or integrating ML models into applications
* Knowledge of vector databases or embeddings
* Familiarity with AWS, GCP, or Azure
* Prior internship or project experience building AI/ML applications
 How to Apply
 Please submit the following to danz@focuskpi.com :
* Resume
* GitHub or portfolio that includes at least one agentic or AI chatbot project
* A short written explanation (3–6 paragraphs) of one project, including:
* What problem the agent/chatbot solves
* Architecture and tools used (LLM, framework, database, etc.)
* Your specific contribution
* Challenges encountered and how you solved them
 Candidates without project examples or explanation will not be considered.
 Immediate start preferred.
 NOTICE: Please be aware of fraudulent emails regarding job postings, job offers and fake checks. FocusKPI's recruiting team will strictly reach out via @focuskpi.com email domain. If you have received fraudulent emails now or in the past, please report it to https://reportfraud.ftc.gov/ . The domain @focuskpijobs.com is fraudulent and not related to FocusKPI. Please do not not reply or communicate to anyone with @focuskpijobs.com.
 Powered by JazzHR
 If you have questions about this posting, please contact support@lensa.com</t>
        </is>
      </c>
    </row>
    <row r="83">
      <c r="A83" t="inlineStr">
        <is>
          <t>li-4377026886</t>
        </is>
      </c>
      <c r="B83" t="inlineStr">
        <is>
          <t>Senior AI/ML Engineer</t>
        </is>
      </c>
      <c r="C83" t="inlineStr">
        <is>
          <t>Modus Create</t>
        </is>
      </c>
      <c r="D83" t="inlineStr">
        <is>
          <t>linkedin</t>
        </is>
      </c>
      <c r="E83">
        <f>HYPERLINK("https://www.linkedin.com/jobs/view/4377026886", "https://www.linkedin.com/jobs/view/4377026886")</f>
        <v/>
      </c>
      <c r="F83" t="inlineStr"/>
      <c r="G83" t="inlineStr">
        <is>
          <t>Boston, MA</t>
        </is>
      </c>
      <c r="H83" t="inlineStr"/>
      <c r="I83" t="inlineStr">
        <is>
          <t>**Remote US \| Full\-Time**
 We're looking for an exceptional Senior AI Engineer with 4\+ years of software engineering experience and a proven track record delivering Generative AI solutions to join Modus's Engineering Consulting team.
**What You'll Do**
 No two days look the same in this role. You might spend one day whiteboarding an architecture with a client, the next drafting a proposal for a new engagement, and the next deep in code shipping an LLM\-powered feature. As a senior engineer on our consulting team, you'll move fluidly between:
* **Designing and building AI solutions** 
 : scoping, architecting, and implementing applications powered by generative AI, from proof of concept to production deployment.
* **Working directly with clients** 
 : understanding their problems, proposing solutions, and translating business needs into technical plans. You're the trusted technical advisor in the room.
* **Hands\-on engineering** 
 : writing production\-quality code, integrating LLMs and ML models into real systems, and deploying them to the cloud.
* **Collaborating across disciplines** 
 : partnering with cloud architects, DevOps specialists, and front\-end developers to deliver end\-to\-end solutions.
* **Supporting business development** 
 — contributing to proposals, scoping engagements, and supporting sales and marketing efforts when needed.
**About You**
 You're an engineer who thrives in client\-facing environments and can own problems end\-to\-end, from a vague business need to a working system in production.
 Your core strength is deploying and operationalizing AI. You have hands\-on experience deploying large and small language models (LLMs/SLMs) in the cloud and on\-premises, and you're comfortable with techniques like prompt engineering, retrieval\-augmented generation (RAG), fine\-tuning, and agentic architectures (tool use, multi\-agent orchestration, human\-in\-the\-loop workflows). You understand how to evaluate model outputs and build reliable systems around inherently probabilistic components.
 Familiarity with classical ML (prediction, classification) and data science fundamentals is a desirable plus. A background in cloud services for machine learning, text extraction, speech recognition, or computer vision will broaden the engagements you can contribute to.
 Proficiency in Python is a must. Experience with other programming languages like Java, Scala, Rust or R is highly desirable, as it will enable you to work on a broader range of engagements.
 You'll work side by side with cloud architects, DevOps specialists and front\-end developers, so some knowledge and experience in any of these would help in collaboration.
 You should be comfortable presenting work to both technical and non\-technical audiences, driving alignment with stakeholders and between technical and business outcomes, leading technical teams and cross\-collaborating with teams in adjacent domains. Experience in supporting sales and marketing efforts is a desirable plus.
**Requirements**
* LLM deployment and agentic AI: experience with LLM orchestration frameworks (e.g., LangChain, LangGraph, Google ADK), agent tooling and protocols (e.g., MCP, function calling), and evaluation/observability libraries. Cloud deployment of LLM\-based applications
* Cloud AI services: experience with managed AI services such as Amazon Bedrock, SageMaker, Rekognition, etc. or equivalents on other platforms
* Machine learning frameworks: familiarity with frameworks like TensorFlow or PyTorch is a plus
* AI\-assisted development tools: experience with AI\-powered coding assistants (e.g., GitHub Copilot, Cursor, Claude Code) and agentic coding workflows
* Cloud platforms: solid experience with at least one major cloud provider (AWS preferred); infrastructure as code (e.g., Terraform) is a plus
* Version control and DevOps: Git, GitHub/GitLab; DevOps and CI/CD experience is a big plus
* Programming and scripting languages: Python, Bash; knowledge of other languages is a plus
* Data storage and querying: SQL and NoSQL databases
 Above all, AI is a rapidly\-evolving field so the curiosity and drive to keep learning matter as much as what you already know.
 Founded in 2011, Modus is a global, fully remote team of world\-class technologists who thrive in a collaborative, innovative environment. We were fully remote before it was cool! We support organizations on their digital transformation journey through strategic consulting and full lifecycle product development, partnering with industry leaders including Atlassian, GitHub and AWS. Recognized as one of the Inc. 5000 Fastest Growing Private Companies for nine years and a top remote work company by FlexJobs, we have helped some of the world's largest brands deliver powerful digital experiences.
**We combine boutique expertise with enterprise\-scale capabilities, helping organizations drive customer engagement, enhance retention, and maximize long\-term value. As an award\-winning Atlassian partner, we enable businesses to build customer\-centric products that foster lasting relationships and adoption.**
**Why Modus Create**
 Modus Create is a global consulting firm that helps organizations modernize their platforms, products, and processes. From open\-source roots to enterprise transformation, we bring together strategy, design, engineering, and AI to build what's next.
* 100% remote since day one
* Named a top company for remote work by FlexJobs and Inc.
* Trusted by leading brands across the globe
* Culture of autonomy, mastery, inclusion and continuous learning
 By joining our team, you'll be part of a high\-performing group that leverages each other's strengths and celebrates every success together. Apply now and show us you have what it takes to drive impactful data engineering \&amp; machine learning strategies with Modus Create!</t>
        </is>
      </c>
    </row>
    <row r="84">
      <c r="A84" t="inlineStr">
        <is>
          <t>li-4376023221</t>
        </is>
      </c>
      <c r="B84" t="inlineStr">
        <is>
          <t>ML Engineer</t>
        </is>
      </c>
      <c r="C84" t="inlineStr">
        <is>
          <t>MetAntz</t>
        </is>
      </c>
      <c r="D84" t="inlineStr">
        <is>
          <t>linkedin</t>
        </is>
      </c>
      <c r="E84">
        <f>HYPERLINK("https://www.linkedin.com/jobs/view/4376023221", "https://www.linkedin.com/jobs/view/4376023221")</f>
        <v/>
      </c>
      <c r="F84">
        <f>HYPERLINK("https://app.sproutsai.com/job-post/details/699867e2b6522b000710fce9?source=linkedin&amp;urlHash=VwFF", "https://app.sproutsai.com/job-post/details/699867e2b6522b000710fce9?source=linkedin&amp;urlHash=VwFF")</f>
        <v/>
      </c>
      <c r="G84" t="inlineStr">
        <is>
          <t>Palo Alto, CA</t>
        </is>
      </c>
      <c r="H84" t="inlineStr"/>
      <c r="I84" t="inlineStr">
        <is>
          <t>**Job Details**
**Senior Machine Learning Engineer**
**Role Context**
 Nenu AI builds applied AI systems that must survive real users real data and real constraints. This role is not research theater. It is production ownership. You will design build deploy and operate ML systems that directly shape the product. Expect ambiguity. Expect velocity. Expect accountability.
**What You Will Own**
* End\-to\-end ML lifecycle across real products. Data ingestion feature design model selection training deployment monitoring iteration. No handoffs.
* Production\-grade ML systems built with PyTorch or TensorFlow with attention to latency reliability cost and failure modes.
* Applied GenAI and LLM work where it creates measurable value. Fine\-tuning RAG prompt orchestration evaluation and guardrails. No hype\-first work.
* MLOps foundations. Model versioning CI,CD automated testing deployment pipelines serving layers monitoring and A,B experimentation.
* Tight partnership with product engineering and data. Translate fuzzy business problems into tractable ML solutions and quantify impact.
* Technical leadership. Code reviews model reviews mentoring and raising the bar for ML engineering discipline.
* Incident ownership. Debug production failures data drift performance regressions and bias issues calmly and decisively.
**Required Profile**
* 7\+ years of hands\-on ML engineering with clear senior\-level ownership of production systems.
* Strong academic grounding or equivalent applied depth in machine learning computer science or related fields.
* Expert Python. Deep familiarity with PyTorch preferred. TensorFlow acceptable.
* Demonstrated experience deploying maintaining and scaling ML models in production environments.
* Solid cloud experience across AWS GCP or Azure. Comfort with Spark SQL Docker Kubernetes.
* Strong grasp of ML fundamentals. Model architectures optimization tradeoffs evaluation design experimentation rigor.
* Clear written and verbal communication. Able to explain complex systems without theatrics.
**Preferred Signals**
* Direct experience with LLM systems in production. Fine\-tuning RAG evaluation safety cost control.
* Exposure to MLOps platforms such as MLflow Kubeflow Airflow or equivalent internal systems.
* Depth in one or more domains such as NLP search recommendations forecasting anomaly detection.
* Evidence of technical leadership. Open\-source contributions internal platforms publications or scaled internal tools.
**What Nenu AI Offers**
* Meaningful ownership over core AI systems not edge experiments.
* Compensation aligned to senior impact not titles.
* Performance bonus in the 10–20% range plus modest equity aligned to company stage.
* Full benefits including health dental vision 401(k) unlimited PTO learning budget.
* Hybrid Bay Area setup optimized for collaboration without dogma.
* Work that compounds. Systems that ship. Problems that matter.</t>
        </is>
      </c>
    </row>
    <row r="85">
      <c r="A85" t="inlineStr">
        <is>
          <t>li-4106249053</t>
        </is>
      </c>
      <c r="B85" t="inlineStr">
        <is>
          <t>AI Engineer</t>
        </is>
      </c>
      <c r="C85" t="inlineStr">
        <is>
          <t>Kahuna Labs</t>
        </is>
      </c>
      <c r="D85" t="inlineStr">
        <is>
          <t>linkedin</t>
        </is>
      </c>
      <c r="E85">
        <f>HYPERLINK("https://www.linkedin.com/jobs/view/4106249053", "https://www.linkedin.com/jobs/view/4106249053")</f>
        <v/>
      </c>
      <c r="F85" t="inlineStr"/>
      <c r="G85" t="inlineStr"/>
      <c r="H85" t="inlineStr"/>
      <c r="I85" t="inlineStr">
        <is>
          <t>**Company Description**
 Kahuna Labs is redefining the future of technical product support by partnering with mid\-size and large\-scale product companies to revolutionize customer experiences. Several of these organizations already successfully utilize the Kahuna platform in their operations. The company is supported by premier institutional investors, ensuring a solid foundation for growth and innovation. Kahuna Labs is dedicated to delivering cutting\-edge solutions with a focus on excellence and collaborative partnerships.
**Role Description**
 This is a full\-time remote role for an AI Engineer. The AI Engineer will be responsible for designing, developing, and optimizing artificial intelligence and machine learning models, working on tasks such as pattern recognition, natural language processing (NLP), and neural networks. Responsibilities include researching and implementing state\-of\-the\-art algorithms, developing software applications, and collaborating with cross\-functional teams to integrate AI solutions into existing platforms. The role also involves identifying opportunities to enhance product support workflows using AI technologies.
**Qualifications**
* Strong knowledge and practical experience in Pattern Recognition and Neural Networks
* Proficiency in Natural Language Processing (NLP) and related AI technologies
* Solid background in Computer Science and Software Development
* Problem\-solving skills and the ability to develop innovative AI\-driven solutions
* Familiarity with cloud environments and deployment of AI models is a plus
* Bachelor's or advanced degree in Computer Science, Artificial Intelligence, or a related field
* Experience working remotely and independently, with excellent communication and collaboration abilities</t>
        </is>
      </c>
    </row>
    <row r="86">
      <c r="A86" t="inlineStr">
        <is>
          <t>li-4377069986</t>
        </is>
      </c>
      <c r="B86" t="inlineStr">
        <is>
          <t>AI Engineer New Grad 2025-2026 - Poe (Remote)</t>
        </is>
      </c>
      <c r="C86" t="inlineStr">
        <is>
          <t>Quora</t>
        </is>
      </c>
      <c r="D86" t="inlineStr">
        <is>
          <t>linkedin</t>
        </is>
      </c>
      <c r="E86">
        <f>HYPERLINK("https://www.linkedin.com/jobs/view/4377069986", "https://www.linkedin.com/jobs/view/4377069986")</f>
        <v/>
      </c>
      <c r="F86" t="inlineStr"/>
      <c r="G86" t="inlineStr">
        <is>
          <t>Austin, TX</t>
        </is>
      </c>
      <c r="H86" t="inlineStr"/>
      <c r="I86" t="inlineStr">
        <is>
          <t>*\[* 
***Quora is a privately held, "remote\-first" company***
***.** 
 This position can be performed remotely from multiple countries around the world. Please visit* 
*careers.quora.com/eligible\-countries* 
*for details regarding employment eligibility by country.]*
**About Quora:**
 Quora’s mission is to grow the world's collective intelligence. To do so, we have two platforms:
* Quora: a global knowledge sharing platform with over 300M monthly unique visitors, bringing people together to share insights on various topics and providing a unique platform to learn and connect with others.
* Poe: a platform providing millions of global users with one place to chat, explore and build with a wide variety of AI language models (bots), including GPT\-5\.2, Claude Opus 4\.5, Grok 4\.1, Veo 3\.1, Nano Banana Pro (Gemini 3 Pro Image), and more. As AI capabilities rapidly advance, Poe provides a single platform to instantly integrate and utilize these new models.
 Behind these products are passionate, collaborative, and high\-performing global teams. We have a culture rooted in transparency, idea\-sharing, and experimentation that allows us to celebrate success and grow together through meaningful work. Join us on this journey to create a positive impact and make a significant change in the world.
**This role will be working on our Poe product.**
**About the Team and Role:**
 Our small engineering team works on challenging problems every day. We have a culture that's rooted in constantly learning and improving, and our engineers are encouraged to think big and experiment with new ideas. Using continuous deployment, we quickly see our changes in the product and make fast iterations. Everyone on the engineering team has a huge impact on our product and our company.
 At Poe, we use AI in various parts of the product \- bot/app routing and recommendation, agent flow, RAG, etc. Our team of AI Engineers has high impact by advancing the current AI systems, building performant and reliable LLM applications, and collaborating with our product team to uncover new opportunities for the Poe product. You will also play a key role in developing tools and abstractions that other developers will build on top of.
**Responsibilities:**
* Work with other engineers on a wide variety of AI engineering tasks, including prompt engineering, retrieval\-augmented generation, and agentic workflow optimization, etc to improve our existing applied AI systems
* Identify new opportunities to apply emerging AI capabilities to different parts of the Poe product
* Take end\-to\-end ownership of applied AI systems \- from prototyping, data pipelines, model optimization/evaluation to reliable deployment at scale
**Minimum Requirements:**
* Ability to be available for meetings and impromptu communication during Quora's “coordination hours" (Mon\-Fri: 9am\-3pm Pacific Time)
* A 2025 or Summer 2026 graduate with or pursuing a B.S., M.S., or Ph.D. in Computer Science, Engineering or a related technical field
* Strong engineering background (Python or TypeScript)
* Understanding of mathematical foundations of Machine Learning algorithms
* Experience of LLM applications or transformer models
* A passion for learning and always improving yourself and the team around you
**Preferred Requirements:**
* Previous software engineering experience via an internship, work experience or coding competition
* Previous hands\-on experience working on LLM and prompt engineering
* Passion for Poe and Quora’s mission and goals
**At Quora, we value diversity and inclusivity and welcome individuals from all backgrounds, including marginalized or underrepresented groups in tech, to apply for our job openings. We encourage all candidates who share a passion for growing the world’s knowledge, even those who may not strictly meet all the preferred requirements, to apply, as we know that a diverse range of perspectives can have a significant impact on our products and our culture.**
**Additional Information:**
 We are accepting applications on an ongoing basis. This role is a backfill for an existing vacancy.
 Quora offers a wide range of benefits including medical/dental/vision coverage, equity refreshers, remote work reimbursement, paid time off, employee assistance programs, and more. Benefits are country\-specific and may vary.
 There are many factors that will determine the starting pay, including but not limited to experience, location, education, and business needs.
* US candidates only: For US based applicants, the salary range is $107,360 \- $152,900 USD \+ equity \+ benefits.
* Canada candidates only: For Toronto and Vancouver based applicants, the salary range is $140,796 \- $160,415 CAD \+ equity \+ benefits. For all other locations in Canada, the salary range is $131,409 \- $149,720 CAD \+ equity \+ benefits.
 We are an equal opportunity employer and value diversity at our company. We do not discriminate on the basis of race, religion, color, national origin, gender, sexual orientation, age, marital status, veteran status, or disability status.
 AI technology may assist in sorting applications and recording interview notes, but all decisions are made by a member of our team.
**To ensure a secure hiring process, all final candidates will undergo identity verification and a comprehensive background check prior to onboarding.**
 Job Applicant Privacy Notice: https://www.careers.quora.com/pages/quora\-global\-job\-applicant\-privacy\-notice</t>
        </is>
      </c>
    </row>
    <row r="87">
      <c r="A87" t="inlineStr">
        <is>
          <t>li-4374549209</t>
        </is>
      </c>
      <c r="B87" t="inlineStr">
        <is>
          <t>Machine Learning Engineer (Associate)</t>
        </is>
      </c>
      <c r="C87" t="inlineStr">
        <is>
          <t>Huron</t>
        </is>
      </c>
      <c r="D87" t="inlineStr">
        <is>
          <t>linkedin</t>
        </is>
      </c>
      <c r="E87">
        <f>HYPERLINK("https://www.linkedin.com/jobs/view/4374549209", "https://www.linkedin.com/jobs/view/4374549209")</f>
        <v/>
      </c>
      <c r="F87" t="inlineStr"/>
      <c r="G87" t="inlineStr">
        <is>
          <t>Chicago, IL</t>
        </is>
      </c>
      <c r="H87" t="inlineStr"/>
      <c r="I87"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
 Join our team as the expert you are now and create your future.
 Huron is a global consultancy that collaborates with clients to drive strategic growth, ignite innovation, and navigate constant change. We're seeking a Machine Learning Engineer to join the Data Science \&amp; Machine Learning team in our Commercial Digital practice, where you'll design, build, and deploy intelligent systems that solve complex business problems across Financial Services, Manufacturing, Energy \&amp; Utilities, and other commercial industries.
 This isn't a research role or a support function—you'll own the full ML solution lifecycle from problem definition through production deployment. You'll work on systems that matter: forecasting models that inform multi\-million\-dollar decisions, agentic AI systems that automate complex workflows, and operational ML solutions that transform how enterprises run. Our clients are Fortune 500 companies looking for partners who can deliver, not just advise.
 The variety is real. In your first year, you might build an agentic demand forecasting system for a global manufacturer, deploy an intelligent knowledge processing pipeline for a financial services firm, and architect an energy grid demand simulation model for a utilities company. If you thrive on learning new domains quickly and shipping intelligent production systems, this role is for you.
 What You'll Do
* Design and build end\-to\-end ML solutions—from data pipelines and feature engineering through model training, evaluation, and production deployment. You own the outcome, not just a piece of it.
* Develop both traditional ML and generative AI systems, including supervised/unsupervised learning, time\-series forecasting, NLP, LLM applications, RAG architectures, and agent\-based systems using frameworks like Agent Framework, LangChain, LangGraph, or similar.
* Build financial and operational models that drive business decisions—demand forecasting, pricing optimization, risk scoring, anomaly detection, and process automation for commercial enterprises.
* Create production\-grade APIs and services (FastAPI, Flask, or similar) that integrate ML capabilities into client systems and workflows.
* Implement MLOps practices—CI/CD pipelines, model versioning, monitoring, drift detection, and automated retraining to ensure solutions remain reliable in production.
* Collaborate directly with clients to understand business problems, translate requirements into technical solutions, and communicate results to both technical and executive audiences.
**Required Qualifications**
* 2\+ (3\+ years for Sr. Associate) years of hands\-on experience building and deploying ML solutions in production—not just notebooks and prototypes. You've trained models, put them into production, and maintained them.
* Strong Python and JavaScript programming skills with deep experience in the ML ecosystem (NumPy, Pandas, Scikit\-learn, PyTorch or TensorFlow, etc.) and proficiency with JavaScript web app development.
* Solid foundation in ML fundamentals: supervised and unsupervised learning, model evaluation, feature engineering, hyperparameter tuning, and understanding of when different approaches are appropriate.
* Experience with cloud ML platforms, particularly Azure Machine Learning, with working knowledge of AWS SageMaker or Google AI Platform. We're platform\-flexible but Microsoft\-preferred.
* Proficiency with data platforms: SQL, Snowflake, Databricks, or similar. You're comfortable working with large datasets and building data pipelines.
* Experience with LLMs and generative AI: prompt engineering, fine\-tuning, embeddings, RAG systems, or agent frameworks. You understand both the capabilities and limitations.
* Ability to communicate technical concepts to non\-technical stakeholders and work effectively with cross\-functional teams.
* Bachelor's degree in Computer Science, Engineering, Mathematics, Physics, or related quantitative field (or equivalent practical experience).
* Willingness to travel approximately 30% to client sites as needed.
**Preferred Qualifications**
* Experience in Financial Services, Manufacturing, or Energy \&amp; Utilities industries.
* Background in forecasting, optimization, or financial modeling applications.
* Experience with deep learning frameworks such as PyTorch, Tensorflow, fastai, DeepSpeed, etc.
* Experience with MLOps tools such as MLflow and Weights \&amp; Biases
* Contributions to open\-source projects or familiarity with open\-source ML tools and frameworks.
* Experience building agentic AI systems using Agent Framework (or predecessors), LangChain, LangGraph, CrewAI, or similar frameworks.
* Cloud certifications (Azure AI Engineer, AWS ML Specialty, or Databricks ML Associate).
* Consulting experience or demonstrated ability to work across multiple domains and adapt quickly to new problem spaces.
* Master's degree or PhD in a quantitative field.
 Why Huron
**Variety that accelerates your growth.** 
 In consulting, you'll work across industries and problem types that would take a decade to encounter at a single company. Our Commercial segment spans Financial Services, Manufacturing, Energy \&amp; Utilities, and more—each engagement is a new domain to master and a new system to ship.
**Impact you can measure.** 
 Our clients are Fortune 500 companies making significant investments in AI. The models you build will inform real decisions—production schedules, pricing strategies, risk assessments, capital allocation. You'll see your work drive outcomes.
**A team that builds.** 
 Huron's Data Science \&amp; Machine Learning team is a close\-knit group of practitioners, not just advisors. We write code, train models, and deploy systems. You'll work alongside engineers and data scientists who understand the craft and push each other to improve.
**Investment in your development.** 
 We provide resources for continuous learning, conference attendance, and certification. As our DSML practice grows, there's significant opportunity to take on technical leadership and shape our capabilities.
****Position Level****
 Associate
****Country****
 United States of America</t>
        </is>
      </c>
    </row>
    <row r="88">
      <c r="A88" t="inlineStr">
        <is>
          <t>li-4377065324</t>
        </is>
      </c>
      <c r="B88" t="inlineStr">
        <is>
          <t>ML Engineer, Tracking</t>
        </is>
      </c>
      <c r="C88" t="inlineStr">
        <is>
          <t>Flock</t>
        </is>
      </c>
      <c r="D88" t="inlineStr">
        <is>
          <t>linkedin</t>
        </is>
      </c>
      <c r="E88">
        <f>HYPERLINK("https://www.linkedin.com/jobs/view/4377065324", "https://www.linkedin.com/jobs/view/4377065324")</f>
        <v/>
      </c>
      <c r="F88">
        <f>HYPERLINK("https://jobs.ashbyhq.com/Flock%20Safety/2c38821d-fdb4-474e-99ad-ce821d1f297f?utm_source=53ANrgQzgE&amp;urlHash=FW1l", "https://jobs.ashbyhq.com/Flock%20Safety/2c38821d-fdb4-474e-99ad-ce821d1f297f?utm_source=53ANrgQzgE&amp;urlHash=FW1l")</f>
        <v/>
      </c>
      <c r="G88" t="inlineStr"/>
      <c r="H88" t="inlineStr"/>
      <c r="I88" t="inlineStr">
        <is>
          <t>**Who is Flock?**
 Flock Safety is the leading safety technology platform, helping communities thrive by taking a proactive approach to crime prevention and security. Our hardware and software suite connects cities, law enforcement, businesses, schools, and neighborhoods in a nationwide public\-private safety network. Trusted by over 5,000 communities, 4,500 law enforcement agencies, and 1,000 businesses, Flock delivers real\-time intelligence while prioritizing privacy and responsible innovation.
 We’re a high\-performance, low\-ego team driven by urgency, collaboration, and bold thinking. Working at Flock means tackling big challenges, moving fast, and continuously improving. It’s intense but deeply rewarding for those who want to make an impact.
 With nearly $700M in venture funding and a $7\.5B valuation, we’re scaling intentionally and seeking top talent to help build the impossible. If you value teamwork, ownership, and solving tough problems, Flock could be the place for you.
**The Opportunity**
 Flock Safety is a leading public safety company dedicated to eliminating crime through a full\-service offering of hybrid hardware and software systems. Flock’s LPR and Video products detect and track objects to provide its customers with the best information to make actionable decisions. As a Machine Learning Engineer in Object Tracking, you will play a critical role in architecting and deploying large\-scale, real\-time, and accurate multi\-object tracking solutions. You will work closely with research scientists, ML engineers, infrastructure teams, and operations to develop high\-performance systems for tracking people, vehicles, or other objects.
**How You’ll Make An Impact**
* Develop motion\-based and appearance\-based tracking models, integrating deep learning, probabilistic modeling, and graph\-based techniques.
* Optimize tracking algorithms for speed, accuracy, and scalability in real\-time and batch processing environments.
* Collaborate with device, data engineering and infrastructure teams to manage hybrid video processing, and storage.
* Develop data pipelines to create appropriate datasets and model feedback
* Leverage cutting\-edge research and technology to create custom solutions
* Design and run experiments to test new ideas or improvements to existing models
* Build visualization and monitoring tools to evaluate the quality of our data and models
* Collaborate across teams and product to deliver solutions that fit within business and organizational requirements
* Review code of other Machine Learning Engineers
**The Skillset**
* 3\+ years of industry experience in Deep Learning and Computer Vision
* Experience with Computer Vision modeling, such as Object Detection, Multi\-Object Tracking, etc.
* Experience in metric learning, contrastive learning, and embedding\-based ReID models
* Experience with integrating tracking algorithms like SORT, DeepSORT, ByteTrack, FairMOT, or graph\-based tracking into systems
* Knowledge of probabilistic models (e.g., Kalman Filters, Bayesian filtering) and trajectory prediction.
* Experience in working with hybrid systems of deployed devices working with cloud processing
* Strong experience in Python
* Experience leading projects from R\&amp;D to production
* Experience with SQL
* Basic Git knowledge
* Basic Bash knowledge
*Feeling uneasy that you haven’t ticked every box? That’s okay; we’ve felt that way too. Studies have shown women and minorities are less likely to apply unless they meet all qualifications. We encourage you to break the status quo and apply to roles that would make you excited to come to work every day.*
**90 Days at Flock**
 We prescribe to 90 day plans and believe that good days lead to good weeks, which lead to good months. This serves as a preview of the 90 day plan you will receive if you were to be hired in this role at Flock Safety.
**The First 30 Days**
* Analyze and document the end\-to\-end pipeline. Understand and improve the tools we have to triage customer complaints and to monitor performance in production.
**The First 60 Days**
* Define clear SOP for triaging customer issues and analysing root causes.
* Perform a small improvement to R\&amp;D environment (from a list of known issues/tech debt.
**90 Days \&amp; Beyond**
* Work with one of the tracking team members to improve Object Detection, Tracking or selection.
* Work with one of the tracking team members to improve one of our algorithms.
**Salary \&amp; Equity**
 In this role, you’ll receive a starting salary between $150,000 and $165,000 as well as Flock Safety Stock Options. Base salary is determined by job\-related experience, education/training, as well as market indicators. Your recruiter will discuss this in\-depth with you during our first chat.
**Location**
 We’re building the impossible, together. To drive innovation through in\-person collaboration, we’re prioritizing candidates in our key hubs: Atlanta, Boston, Chicago, Denver, Los Angeles, New York City, San Francisco, and Austin. While we value the energy of our hub communities, we embrace remote work and welcome applications from exceptional talent across the United States.
**The Perks**
 🌴
 **Flexible PTO** 
 : We offer non\-accrual PTO, plus 11 company holidays.
 ⚕️
 **Fully\-paid** 
**health benefits** 
**plan for employees** 
 : including Medical, Dental, and Vision and an HSA match.
 👪
 **Family Leave** 
 : All employees receive 12 weeks of 100% paid parental leave. Birthing parents are eligible for an additional 6\-8 weeks of physical recovery time.
 🍼
 **Fertility \&amp; Family Benefits:** 
 We have partnered with Maven, a complete digital health benefit for starting and raising a family. Flock will provide a $50,000\-lifetime maximum benefit related to eligible adoption, surrogacy, or fertility expenses.
 🧠
 **Spring Health:** 
 Spring Health offers a variety of mental health benefits, including therapy, coaching, medication management, and digital tools, all tailored to each individual's needs.
 💖
 **Caregiver Support:** 
 We have partnered with Cariloop to provide our employees with caregiver support
 💸
 **Carta Tax Advisor:** 
 Employees receive 1:1 sessions with Equity Tax Advisors who can address individual grants, model tax scenarios, and answer general questions.
 💚
 **ERGs:** 
 We want all employees to thrive and feel like they belong at Flock. We offer four ERGs today \- Women of Flock, Flock Proud, LEOs and Melanin Motion. If you are interested in talking to a representative from one of these, please let your recruiter know.
**💻WFH Stipend:** 
 $150 per month to cover the costs of working from home.
**📚Productivity Stipend:** 
 $300 per year to use on Audible, Calm, Masterclass, Duolingo and so much more.
**🏠Home Office Stipend:** 
 A one\-time $750 to help you create your dream office.
*If an offer is extended and accepted, this position requires the ability to obtain and maintain Criminal Justice Information Services (CJIS) certification as a condition of employment. Applicants must meet all FBI CJIS Security Policy requirements, including a fingerprint\-based background check.*
*Flock is an equal opportunity employer. We celebrate diverse backgrounds and thoughts and welcome everyone to apply for employment with us. We are committed to fostering an environment that is inclusive, transparent, and collaborative. Mutual respect is central to how Flock operates, and we believe the best solutions come from diverse perspectives, experiences, and skills. We embrace our differences and know that we are stronger working together.*
*If you need assistance or an accommodation due to a disability, please email us at recruiting@flocksafety.com. This information will be treated as confidential and used only to determine an appropriate accommodation for the interview process.*
*At Flock Safety, we compensate our employees fairly for their work. Base salary is determined by job\-related experience, education/training, as well as market indicators. The range above is representative of base salary only and does not include equity, sales bonus plans (when applicable) and benefits. This range may be modified in the future. This job posting may span more than one career level.*
*Flock Safety is aware of fraudulent individuals and agencies falsely claiming to represent our company. All legitimate communication from Flock Safety will come from an email address ending in
 **@***
***flocksafety.com***
*. We do not make job offers through messaging apps, social platforms, or unauthorized third parties, and we will never request payment or sensitive personal information during the hiring process. If you encounter suspicious outreach related to a Flock Safety role, please report it to* 
*recruiting@flocksafety.com*</t>
        </is>
      </c>
    </row>
    <row r="89">
      <c r="A89" t="inlineStr">
        <is>
          <t>li-4377073345</t>
        </is>
      </c>
      <c r="B89" t="inlineStr">
        <is>
          <t>Entry level AI/ML Engineer: SVL</t>
        </is>
      </c>
      <c r="C89" t="inlineStr">
        <is>
          <t>Lensa</t>
        </is>
      </c>
      <c r="D89" t="inlineStr">
        <is>
          <t>linkedin</t>
        </is>
      </c>
      <c r="E89">
        <f>HYPERLINK("https://www.linkedin.com/jobs/view/4377073345", "https://www.linkedin.com/jobs/view/4377073345")</f>
        <v/>
      </c>
      <c r="F89" t="inlineStr"/>
      <c r="G89" t="inlineStr">
        <is>
          <t>San Jose, CA</t>
        </is>
      </c>
      <c r="H89" t="inlineStr"/>
      <c r="I8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IBM Automation and AI group is seeking an entry level AI/ML Engineer specializing in machine learning and Large Language Models (LLMs) to join our AI/ML Center of Excellence team at the IBM Silicon Valley Lab location. In this role, you will collaborate with cross\-functional product teams to implement cutting\-edge AI/ML capabilities across IBM's Automation product portfolio. You will lead efforts in data collection for LLM training and evaluation, integrate LLM technologies into existing and new products, and establish best practices for AI/ML feature implementation by product teams.
**Your Role And Responsibilities**
 Data Collection and Management for LLM Evaluation and Training
* Design and implement robust data collection pipelines for diverse LLM training datasets leveraging the IBM AI Model \&amp; Data Catalog.
* Develop data quality assessment frameworks to ensure training data meets IBM's high standards
* Create annotation guidelines and workflows for specialized domain\-specific datasets
* Implement data governance protocols that ensure compliance with privacy regulations and ethical AI principles following the IBM Data \&amp; Model Governance process and tooling.
* Establish evaluation datasets and benchmarks to measure LLM performance across various use cases leveraging \[1] FM\-Eval and Unitxt.
 LLM Integration and Implementation
* Architect solutions to integrate LLMs with IBM's existing and emerging products and ecosystem
* Develop APIs and interfaces that enable seamless interaction between LLMs and other software components
* Optimize LLM deployment for various computing environments (cloud, edge, on\-premises)
* Implement techniques for model compression, quantization, and optimization to improve inference efficiency and minimize resource requirements
* Design and implement prompt engineering frameworks for consistent LLM behavior across products
 AI/ML Best Practices and Innovation
* Establish technical standards and best practices for AI/ML feature implementation
* Create reusable components and design patterns for common LLM use cases
* Develop monitoring systems to track model performance, drift, and potential biases
* Research and implement techniques for responsible AI, including explainability and fairness
* Collaborate with product teams to identify opportunities for AI\-driven innovation
 References
 Visible links
* https://github.ibm.com/IBM\-Research\-AI/fm\-eval
**Required Technical And Professional Expertise**
* Bachelor's or master's degree or higher in Computer Science, Machine Learning, AI, or related technical field
* Less than one year of experience in machine learning engineering or data science roles
* Demonstrated knowledge of NLP and large language models (e.g., transformer architectures) including model evaluation and algorithm design.
* Strong programming skills in Python and familiarity with ML frameworks (PyTorch, TensorFlow, or JAX)
* Experience with data processing pipelines and working with large datasets
* Knowledge of MLOps practices and tools for model deployment and monitoring
* Ability to work independently and collaborate effectively across diverse teams.
* Strong communication skills to explain complex AI concepts to diverse audiences
* Problem\-solving mindset with ability to navigate technical and business constraints
**Preferred Technical And Professional Experience**
* Experience with fine\-tuning and prompt engineering for LLMs
* Deep understanding of transformer architectures and attention mechanisms
* Proficiency in vector databases and embedding technologies
* Knowledge of model serving frameworks (TensorRT, ONNX, TorchServe)
* Familiarity with cloud platforms (IBM Cloud, AWS, Azure, GCP)
* Commitment to continuous learning in the rapidly evolving field of AI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90">
      <c r="A90" t="inlineStr">
        <is>
          <t>li-4375789875</t>
        </is>
      </c>
      <c r="B90" t="inlineStr">
        <is>
          <t>Founding Machine Learning Engineer</t>
        </is>
      </c>
      <c r="C90" t="inlineStr">
        <is>
          <t>Pragmatike</t>
        </is>
      </c>
      <c r="D90" t="inlineStr">
        <is>
          <t>linkedin</t>
        </is>
      </c>
      <c r="E90">
        <f>HYPERLINK("https://www.linkedin.com/jobs/view/4375789875", "https://www.linkedin.com/jobs/view/4375789875")</f>
        <v/>
      </c>
      <c r="F90" t="inlineStr"/>
      <c r="G90" t="inlineStr">
        <is>
          <t>New York, NY</t>
        </is>
      </c>
      <c r="H90" t="inlineStr"/>
      <c r="I90" t="inlineStr">
        <is>
          <t>Location: New York, NY (Eastern Time) – Hybrid
 Start date: ASAP
 Languages: English (required)
**About The Role**
 Pragmatike is hiring on behalf of a high\-growth AI cybersecurity company backed by top\-tier investors and strategic AI leaders. The company is building the security layer for the AI era, protecting enterprises against AI\-powered threats such as deepfakes, smishing, and synthetic voice attacks.
 Following a major Series B funding round led by industry\-leading AI and venture partners, the company is entering a critical growth phase. Trusted by major banks, technology companies, and healthcare organizations, they are scaling rapidly to meet enterprise demand in a $200B\+ market opportunity.
 We are looking for a
 **Staff Machine Learning Engineer** 
 to define and build the companys ML capabilities from the ground up. ML is central to the product vision. This role is not about incremental optimization — it is about owning the strategy, infrastructure, and execution of machine learning across the organization.
 There is currently no dedicated ML infrastructure or ML team. You will establish the foundations: define where ML drives product value, design production systems end\-to\-end, and set the technical direction for how ML evolves across the company.
 This is a high\-impact, highly autonomous role suited for someone who has built ML systems in production and is ready to architect an ML function from zero to scale.
 What Youll Do
* Define the companys ML strategy: where ML should be applied across products, what infrastructure is required, and how to approach build vs. buy decisions.
* Design and build production ML systems end\-to\-end — including data pipelines, model training workflows, evaluation frameworks, and inference serving.
* Establish rigorous evaluation methodology to measure model quality, detect regressions, and support data\-driven iteration.
* Own the data strategy: determine what data is needed, how it should be labeled, how feedback loops are structured, and how models continuously improve.
* Partner closely with product and backend engineers to integrate ML into customer\-facing systems.
* Write production\-quality code within the existing codebase and contribute to architectural decisions.
* Over time, help recruit, mentor, and lead the ML team as the function expands.
 What Were Looking For
* 8\+ years of experience building ML systems in production environments.
* Experience standing up ML infrastructure at an early\-stage startup or serving as the senior/lead ML engineer at a company.
* Strong software engineering fundamentals with production experience in languages such as Python, Java, or TypeScript.
* Experience with cloud\-based ML infrastructure (e.g., SageMaker, Bedrock, Modal, Baseten, or similar platforms).
* Hands\-on experience with ML and data frameworks such as PyTorch, TensorFlow, Spark, or equivalent tools.
* Comfortable working across the stack — infrastructure, backend systems, and data platforms.
* Demonstrated ability to mentor engineers and elevate technical standards within a team.
* High autonomy and ownership mindset, with the ability to define direction and execute without predefined playbooks.
 Bonus Points
* Experience building ML systems for security, fraud detection, or adversarial environments.
* Experience working with LLMs in production (evaluation, fine\-tuning, retrieval systems, guardrails).
* Background in real\-time inference systems or high\-throughput distributed systems.
* Experience making strategic build vs. buy infrastructure decisions.
* Previous startup experience in high\-growth environments.
 Why This Role Will Pivot Your Career
* Strategic AI backing: Supported by leading AI and venture investors shaping the future of AI infrastructure and cybersecurity.
* Founding\-level impact: Build and define the ML function from zero in a company where ML is core to product value.
* Enterprise traction: Products already trusted by major banks, tech firms, and healthcare organizations.
* Massive market opportunity: Positioned in a rapidly expanding AI cybersecurity space.
* Leadership path: Opportunity to evolve into Head of ML as the organization scales.
* Ownership \&amp; autonomy: Direct influence over architecture, infrastructure, and long\-term technical direction.
**Benefits**
* Competitive salary \&amp; equity options
* Health, Dental, and Vision
* 401k
* Hybrid flexibility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91">
      <c r="A91" t="inlineStr">
        <is>
          <t>li-4377081424</t>
        </is>
      </c>
      <c r="B91" t="inlineStr">
        <is>
          <t>Founding Machine Learning Engineer</t>
        </is>
      </c>
      <c r="C91" t="inlineStr">
        <is>
          <t>Pragmatike</t>
        </is>
      </c>
      <c r="D91" t="inlineStr">
        <is>
          <t>linkedin</t>
        </is>
      </c>
      <c r="E91">
        <f>HYPERLINK("https://www.linkedin.com/jobs/view/4377081424", "https://www.linkedin.com/jobs/view/4377081424")</f>
        <v/>
      </c>
      <c r="F91">
        <f>HYPERLINK("https://jobs.ashbyhq.com/pragmatike/b393ecf1-0c0c-4df2-84c4-98ef4905263b/application?utm_source=pKPejxJ0kE&amp;urlHash=Eyw0", "https://jobs.ashbyhq.com/pragmatike/b393ecf1-0c0c-4df2-84c4-98ef4905263b/application?utm_source=pKPejxJ0kE&amp;urlHash=Eyw0")</f>
        <v/>
      </c>
      <c r="G91" t="inlineStr">
        <is>
          <t>California, United States</t>
        </is>
      </c>
      <c r="H91" t="inlineStr"/>
      <c r="I91" t="inlineStr">
        <is>
          <t>Location: New York, NY
 Start date: ASAP
 Languages: English (required)
**About The Role**
 Pragmatike is hiring on behalf of a high\-growth AI cybersecurity company backed by top\-tier investors and strategic AI leaders. The company is building the security layer for the AI era, protecting enterprises against AI\-powered threats such as deepfakes, smishing, and synthetic voice attacks.
 Following a major Series B funding round led by industry\-leading AI and venture partners, the company is entering a critical growth phase. Trusted by major banks, technology companies, and healthcare organizations, they are scaling rapidly to meet enterprise demand in a $200B\+ market opportunity.
 We are looking for a
 **Staff Machine Learning Engineer** 
 to define and build the companys ML capabilities from the ground up. ML is central to the product vision. This role is not about incremental optimization — it is about owning the strategy, infrastructure, and execution of machine learning across the organization.
 There is currently no dedicated ML infrastructure or ML team. You will establish the foundations: define where ML drives product value, design production systems end\-to\-end, and set the technical direction for how ML evolves across the company.
 This is a high\-impact, highly autonomous role suited for someone who has built ML systems in production and is ready to architect an ML function from zero to scale.
**What Youll Do**
* Define the companys ML strategy: where ML should be applied across products, what infrastructure is required, and how to approach build vs. buy decisions.
* Design and build production ML systems end\-to\-end — including data pipelines, model training workflows, evaluation frameworks, and inference serving.
* Establish rigorous evaluation methodology to measure model quality, detect regressions, and support data\-driven iteration.
* Own the data strategy: determine what data is needed, how it should be labeled, how feedback loops are structured, and how models continuously improve.
* Partner closely with product and backend engineers to integrate ML into customer\-facing systems.
* Write production\-quality code within the existing codebase and contribute to architectural decisions.
* Over time, help recruit, mentor, and lead the ML team as the function expands.
**What Were Looking For**
* 8\+ years of experience building ML systems in production environments.
* Experience standing up ML infrastructure at an early\-stage startup or serving as the senior/lead ML engineer at a company.
* Strong software engineering fundamentals with production experience in languages such as Python, Java, or TypeScript.
* Experience with cloud\-based ML infrastructure (e.g., SageMaker, Bedrock, Modal, Baseten, or similar platforms).
* Hands\-on experience with ML and data frameworks such as PyTorch, TensorFlow, Spark, or equivalent tools.
* Comfortable working across the stack — infrastructure, backend systems, and data platforms.
* Demonstrated ability to mentor engineers and elevate technical standards within a team.
* High autonomy and ownership mindset, with the ability to define direction and execute without predefined playbooks.
**Bonus Points**
* Experience building ML systems for security, fraud detection, or adversarial environments.
* Experience working with LLMs in production (evaluation, fine\-tuning, retrieval systems, guardrails).
* Background in real\-time inference systems or high\-throughput distributed systems.
* Experience making strategic build vs. buy infrastructure decisions.
* Previous startup experience in high\-growth environments.
**Why This Role Will Pivot Your Career**
* Strategic AI backing: Supported by leading AI and venture investors shaping the future of AI infrastructure and cybersecurity.
* Founding\-level impact: Build and define the ML function from zero in a company where ML is core to product value.
* Enterprise traction: Products already trusted by major banks, tech firms, and healthcare organizations.
* Massive market opportunity: Positioned in a rapidly expanding AI cybersecurity space.
* Leadership path: Opportunity to evolve into Head of ML as the organization scales.
* Ownership \&amp; autonomy: Direct influence over architecture, infrastructure, and long\-term technical direction.
**Benefits**
* Competitive salary \&amp; equity options
* Health, Dental, and Vision
* 401k
* Hybrid flexibility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92">
      <c r="A92" t="inlineStr">
        <is>
          <t>li-4375786990</t>
        </is>
      </c>
      <c r="B92" t="inlineStr">
        <is>
          <t>Founding Machine Learning Engineer</t>
        </is>
      </c>
      <c r="C92" t="inlineStr">
        <is>
          <t>Pragmatike</t>
        </is>
      </c>
      <c r="D92" t="inlineStr">
        <is>
          <t>linkedin</t>
        </is>
      </c>
      <c r="E92">
        <f>HYPERLINK("https://www.linkedin.com/jobs/view/4375786990", "https://www.linkedin.com/jobs/view/4375786990")</f>
        <v/>
      </c>
      <c r="F92" t="inlineStr"/>
      <c r="G92" t="inlineStr">
        <is>
          <t>New Jersey, United States</t>
        </is>
      </c>
      <c r="H92" t="inlineStr"/>
      <c r="I92" t="inlineStr">
        <is>
          <t>Location: New York, NY (Eastern Time) – Hybrid
 Start date: ASAP
 Languages: English (required)
**About The Role**
 Pragmatike is hiring on behalf of a high\-growth AI cybersecurity company backed by top\-tier investors and strategic AI leaders. The company is building the security layer for the AI era, protecting enterprises against AI\-powered threats such as deepfakes, smishing, and synthetic voice attacks.
 Following a major Series B funding round led by industry\-leading AI and venture partners, the company is entering a critical growth phase. Trusted by major banks, technology companies, and healthcare organizations, they are scaling rapidly to meet enterprise demand in a $200B\+ market opportunity.
 We are looking for a
 **Staff Machine Learning Engineer** 
 to define and build the companys ML capabilities from the ground up. ML is central to the product vision. This role is not about incremental optimization — it is about owning the strategy, infrastructure, and execution of machine learning across the organization.
 There is currently no dedicated ML infrastructure or ML team. You will establish the foundations: define where ML drives product value, design production systems end\-to\-end, and set the technical direction for how ML evolves across the company.
 This is a high\-impact, highly autonomous role suited for someone who has built ML systems in production and is ready to architect an ML function from zero to scale.
 What Youll Do
* Define the companys ML strategy: where ML should be applied across products, what infrastructure is required, and how to approach build vs. buy decisions.
* Design and build production ML systems end\-to\-end — including data pipelines, model training workflows, evaluation frameworks, and inference serving.
* Establish rigorous evaluation methodology to measure model quality, detect regressions, and support data\-driven iteration.
* Own the data strategy: determine what data is needed, how it should be labeled, how feedback loops are structured, and how models continuously improve.
* Partner closely with product and backend engineers to integrate ML into customer\-facing systems.
* Write production\-quality code within the existing codebase and contribute to architectural decisions.
* Over time, help recruit, mentor, and lead the ML team as the function expands.
 What Were Looking For
* 8\+ years of experience building ML systems in production environments.
* Experience standing up ML infrastructure at an early\-stage startup or serving as the senior/lead ML engineer at a company.
* Strong software engineering fundamentals with production experience in languages such as Python, Java, or TypeScript.
* Experience with cloud\-based ML infrastructure (e.g., SageMaker, Bedrock, Modal, Baseten, or similar platforms).
* Hands\-on experience with ML and data frameworks such as PyTorch, TensorFlow, Spark, or equivalent tools.
* Comfortable working across the stack — infrastructure, backend systems, and data platforms.
* Demonstrated ability to mentor engineers and elevate technical standards within a team.
* High autonomy and ownership mindset, with the ability to define direction and execute without predefined playbooks.
 Bonus Points
* Experience building ML systems for security, fraud detection, or adversarial environments.
* Experience working with LLMs in production (evaluation, fine\-tuning, retrieval systems, guardrails).
* Background in real\-time inference systems or high\-throughput distributed systems.
* Experience making strategic build vs. buy infrastructure decisions.
* Previous startup experience in high\-growth environments.
 Why This Role Will Pivot Your Career
* Strategic AI backing: Supported by leading AI and venture investors shaping the future of AI infrastructure and cybersecurity.
* Founding\-level impact: Build and define the ML function from zero in a company where ML is core to product value.
* Enterprise traction: Products already trusted by major banks, tech firms, and healthcare organizations.
* Massive market opportunity: Positioned in a rapidly expanding AI cybersecurity space.
* Leadership path: Opportunity to evolve into Head of ML as the organization scales.
* Ownership \&amp; autonomy: Direct influence over architecture, infrastructure, and long\-term technical direction.
**Benefits**
* Competitive salary \&amp; equity options
* Health, Dental, and Vision
* 401k
* Hybrid flexibility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93">
      <c r="A93" t="inlineStr">
        <is>
          <t>li-4375790930</t>
        </is>
      </c>
      <c r="B93" t="inlineStr">
        <is>
          <t>Founding Machine Learning Engineer</t>
        </is>
      </c>
      <c r="C93" t="inlineStr">
        <is>
          <t>Pragmatike</t>
        </is>
      </c>
      <c r="D93" t="inlineStr">
        <is>
          <t>linkedin</t>
        </is>
      </c>
      <c r="E93">
        <f>HYPERLINK("https://www.linkedin.com/jobs/view/4375790930", "https://www.linkedin.com/jobs/view/4375790930")</f>
        <v/>
      </c>
      <c r="F93">
        <f>HYPERLINK("https://pragmatike.careers-page.com/jobs/b7a0354b-a725-4003-8b64-03259de50c46?utm_medium=free_job_board&amp;utm_source=linkedin&amp;urlHash=cWNf", "https://pragmatike.careers-page.com/jobs/b7a0354b-a725-4003-8b64-03259de50c46?utm_medium=free_job_board&amp;utm_source=linkedin&amp;urlHash=cWNf")</f>
        <v/>
      </c>
      <c r="G93" t="inlineStr">
        <is>
          <t>San Francisco, CA</t>
        </is>
      </c>
      <c r="H93" t="inlineStr"/>
      <c r="I93" t="inlineStr">
        <is>
          <t>Location: New York, NY (Eastern Time) – Hybrid
 Start date: ASAP
 Languages: English (required)
**About The Role**
 Pragmatike is hiring on behalf of a high\-growth AI cybersecurity company backed by top\-tier investors and strategic AI leaders. The company is building the security layer for the AI era, protecting enterprises against AI\-powered threats such as deepfakes, smishing, and synthetic voice attacks.
 Following a major Series B funding round led by industry\-leading AI and venture partners, the company is entering a critical growth phase. Trusted by major banks, technology companies, and healthcare organizations, they are scaling rapidly to meet enterprise demand in a $200B\+ market opportunity.
 We are looking for a
 **Staff Machine Learning Engineer** 
 to define and build the companys ML capabilities from the ground up. ML is central to the product vision. This role is not about incremental optimization — it is about owning the strategy, infrastructure, and execution of machine learning across the organization.
 There is currently no dedicated ML infrastructure or ML team. You will establish the foundations: define where ML drives product value, design production systems end\-to\-end, and set the technical direction for how ML evolves across the company.
 This is a high\-impact, highly autonomous role suited for someone who has built ML systems in production and is ready to architect an ML function from zero to scale.
 What Youll Do
* Define the companys ML strategy: where ML should be applied across products, what infrastructure is required, and how to approach build vs. buy decisions.
* Design and build production ML systems end\-to\-end — including data pipelines, model training workflows, evaluation frameworks, and inference serving.
* Establish rigorous evaluation methodology to measure model quality, detect regressions, and support data\-driven iteration.
* Own the data strategy: determine what data is needed, how it should be labeled, how feedback loops are structured, and how models continuously improve.
* Partner closely with product and backend engineers to integrate ML into customer\-facing systems.
* Write production\-quality code within the existing codebase and contribute to architectural decisions.
* Over time, help recruit, mentor, and lead the ML team as the function expands.
 What Were Looking For
* 8\+ years of experience building ML systems in production environments.
* Experience standing up ML infrastructure at an early\-stage startup or serving as the senior/lead ML engineer at a company.
* Strong software engineering fundamentals with production experience in languages such as Python, Java, or TypeScript.
* Experience with cloud\-based ML infrastructure (e.g., SageMaker, Bedrock, Modal, Baseten, or similar platforms).
* Hands\-on experience with ML and data frameworks such as PyTorch, TensorFlow, Spark, or equivalent tools.
* Comfortable working across the stack — infrastructure, backend systems, and data platforms.
* Demonstrated ability to mentor engineers and elevate technical standards within a team.
* High autonomy and ownership mindset, with the ability to define direction and execute without predefined playbooks.
 Bonus Points
* Experience building ML systems for security, fraud detection, or adversarial environments.
* Experience working with LLMs in production (evaluation, fine\-tuning, retrieval systems, guardrails).
* Background in real\-time inference systems or high\-throughput distributed systems.
* Experience making strategic build vs. buy infrastructure decisions.
* Previous startup experience in high\-growth environments.
 Why This Role Will Pivot Your Career
* Strategic AI backing: Supported by leading AI and venture investors shaping the future of AI infrastructure and cybersecurity.
* Founding\-level impact: Build and define the ML function from zero in a company where ML is core to product value.
* Enterprise traction: Products already trusted by major banks, tech firms, and healthcare organizations.
* Massive market opportunity: Positioned in a rapidly expanding AI cybersecurity space.
* Leadership path: Opportunity to evolve into Head of ML as the organization scales.
* Ownership \&amp; autonomy: Direct influence over architecture, infrastructure, and long\-term technical direction.
**Benefits**
* Competitive salary \&amp; equity options
* Health, Dental, and Vision
* 401k
* Hybrid flexibility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94">
      <c r="A94" t="inlineStr">
        <is>
          <t>li-4377055845</t>
        </is>
      </c>
      <c r="B94" t="inlineStr">
        <is>
          <t>Machine Learning Engineer</t>
        </is>
      </c>
      <c r="C94" t="inlineStr">
        <is>
          <t>Aarki</t>
        </is>
      </c>
      <c r="D94" t="inlineStr">
        <is>
          <t>linkedin</t>
        </is>
      </c>
      <c r="E94">
        <f>HYPERLINK("https://www.linkedin.com/jobs/view/4377055845", "https://www.linkedin.com/jobs/view/4377055845")</f>
        <v/>
      </c>
      <c r="F94" t="inlineStr"/>
      <c r="G94" t="inlineStr">
        <is>
          <t>San Francisco, CA</t>
        </is>
      </c>
      <c r="H94" t="inlineStr"/>
      <c r="I94" t="inlineStr">
        <is>
          <t>**Who are we?**
 Aarki is an AI\-driven company specializing in mobile advertising solutions designed to fuel revenue growth. We leverage AI to discover audiences in a privacy\-first environment through trillions of contextual bidding signals and proprietary behavioral models. Our audience engagement platform includes creative strategy and execution. We handle 5 million mobile ad requests per second from over 10 billion devices, driving performance for both publishers and brands. We are headquartered in San Francisco, CA, with a global presence across the United States, EMEA, and APAC.
**The role?**
 We are seeking a motivated and detail\-oriented Machine Learning Engineer to join our team. As an ML Engineer, you will be involved in designing and implementing machine learning models and data pipelines to enhance our programmatic demand\-side platform (DSP). You will work closely with Senior MLE and other team members to drive impactful machine learning projects and contribute to innovative solutions.
**What will you do?**
* Support the development of machine learning models to address challenges in programmatic advertising, such as predicting user responses, forecasting bid landscapes, and detecting fraud.
* Collaborate with senior data scientists and cross\-functional teams (product, engineering, and analytics) to integrate models into production workflows.
* Analyze the impact of integrating new data sources and features into our models.
* Build and maintain data pipelines to process and prepare large datasets for model training and evaluation.
* Contribute ideas and assist in testing new tools, methodologies, and technologies to improve our machine learning capabilities.
* Document experiments, assumptions, and outcomes; maintain reproducibility
**What are we looking for?**
* Bachelor’s degree in Mathematics, Physics, Computer Science, or a related technical field.
* At least 2 years of professional experience in machine learning, statistical analysis, and data analysis.
* Experience with machine learning techniques such as regression, classification, and clustering.
* Proficiency in Python and SQL and familiarity with big data tools (e.g., Spark) and ML libraries (e.g., TensorFlow, PyTorch, Scikit\-Learn).
* Strong grasp of probability, statistics, and data analysis principles.
* Ability to work effectively in a team environment, with good communication skills to explain complex concepts to diverse stakeholders.
 Nice\-to\-Have
* Familiarity with system programming languages including C\+\+ and Rust is a plus.
* Exposure to online inference systems, gRPC/REST model endpoints, or streaming features (Kafka/Flink)
* Ad\-tech familiarity: auction dynamics, pacing, fraud signals, creative personalization.</t>
        </is>
      </c>
    </row>
    <row r="95">
      <c r="A95" t="inlineStr">
        <is>
          <t>li-4377023707</t>
        </is>
      </c>
      <c r="B95" t="inlineStr">
        <is>
          <t>Machine Learning Engineer</t>
        </is>
      </c>
      <c r="C95" t="inlineStr">
        <is>
          <t>SPECTRAFORCE</t>
        </is>
      </c>
      <c r="D95" t="inlineStr">
        <is>
          <t>linkedin</t>
        </is>
      </c>
      <c r="E95">
        <f>HYPERLINK("https://www.linkedin.com/jobs/view/4377023707", "https://www.linkedin.com/jobs/view/4377023707")</f>
        <v/>
      </c>
      <c r="F95" t="inlineStr"/>
      <c r="G95" t="inlineStr"/>
      <c r="H95" t="inlineStr"/>
      <c r="I95" t="inlineStr">
        <is>
          <t>**Job Title: ML Engineer** 
**Duration: Direct Hire** 
**Location: REMOTE** 
**About the ML Engineer role:** 
 You are an expert at finding patterns and explaining insights from application \&amp; event data using supervised and unsupervised ML approaches to customers. Our AI insights \&amp; signals are the source of powering orchestrated actions (next\-best action) that improve GTM performance of customer\-centric organizations. You will be accountable for the development \&amp; packaging, fine\-tuning, and performance monitoring of the Client's products (Cohorts AI \&amp; Growth AI). A summary of your responsibilities is below:
* Field\-deployed AI/ML Engineer working across 1 \- 5 customers
* Analyzing diverse and dynamic data sets across application telemetry, CRM, Support, Accounting / Billing, Website Analytics, and other common enterprise data sources.
* Utilize our auto feature engineering assets focused on large telemetry data sets (TBs to PBs)
* Deploy, train, test, and monitor AI products at scale within a customer’s operating architecture in platforms such as Vertex AI
* Engage with other client\-deployed colleagues on the explanation of data insights, confirmation of design requirements, root cause analysis, etc.
* Work with Customers on AI feature roadmaps (incl. GenAI applications) for their models and ongoing performance management of deployed AI models
* Collaborate with Client's colleagues, Customer Cloud Ops, and Partners on ML ops, integrations, and performance management
* Contribute to Client's codebase for auto\-feature engineering, AI product packaging, next best action logic, and more
**Basic Qualifications \- Must have:** 
* Bachelor’s degree in Computer Science, Data Science, Statistics, Mathematics, or other related field
* 3\+ years of relevant experience in data science or product development
* Experience with data science and cloud computing environments like VertexAI, Sagemaker, or similar tools
* Demonstrated success in the use of clustering, classification, regression, decision trees, etc., to deliver transformative insights
* Strong experience in building, training, and tuning predictive machine learning, especially in the domains of next best offer or recommended action based on time\-series type data sets
* Experience in Natural Language Processing (NLP) for sentiment analysis and behavioral modeling
* Hands\-on experience with Pandas, Polars, and/or Dask (Coiled) for data transformation \&amp; feature engineering
**Advanced Qualifications \- Nice to have:** 
* Master's degree in Computer Science, Data Science, Applied Statistics, or a related field
* Deployment architecture experience for MLOps optimization using technologies like Dagster ora similar tool
* Experience in the use of Large Language Models (LLMs, both Open Source \&amp; Proprietary), Embeddings algorithms, Vector DB,s and APIs to create GenAI applications
* Familiarity with technologies and/or data architectures such as Pendo, Salesforce, and Open Telemetry
* Direct experience in the use of AI/ML to automate essential business processes that have an impact on Field teams or Customers</t>
        </is>
      </c>
    </row>
    <row r="96">
      <c r="A96" t="inlineStr">
        <is>
          <t>li-4376001659</t>
        </is>
      </c>
      <c r="B96" t="inlineStr">
        <is>
          <t>Founding Machine Learning Engineer</t>
        </is>
      </c>
      <c r="C96" t="inlineStr">
        <is>
          <t>Pragmatike</t>
        </is>
      </c>
      <c r="D96" t="inlineStr">
        <is>
          <t>linkedin</t>
        </is>
      </c>
      <c r="E96">
        <f>HYPERLINK("https://www.linkedin.com/jobs/view/4376001659", "https://www.linkedin.com/jobs/view/4376001659")</f>
        <v/>
      </c>
      <c r="F96" t="inlineStr"/>
      <c r="G96" t="inlineStr">
        <is>
          <t>Pennsylvania, United States</t>
        </is>
      </c>
      <c r="H96" t="inlineStr"/>
      <c r="I96" t="inlineStr">
        <is>
          <t>Location: New York, NY (Eastern Time) – Hybrid
 Start date: ASAP
 Languages: English (required)
**About The Role**
 Pragmatike is hiring on behalf of a high\-growth AI cybersecurity company backed by top\-tier investors and strategic AI leaders. The company is building the security layer for the AI era, protecting enterprises against AI\-powered threats such as deepfakes, smishing, and synthetic voice attacks.
 Following a major Series B funding round led by industry\-leading AI and venture partners, the company is entering a critical growth phase. Trusted by major banks, technology companies, and healthcare organizations, they are scaling rapidly to meet enterprise demand in a $200B\+ market opportunity.
 We are looking for a
 **Staff Machine Learning Engineer** 
 to define and build the companys ML capabilities from the ground up. ML is central to the product vision. This role is not about incremental optimization — it is about owning the strategy, infrastructure, and execution of machine learning across the organization.
 There is currently no dedicated ML infrastructure or ML team. You will establish the foundations: define where ML drives product value, design production systems end\-to\-end, and set the technical direction for how ML evolves across the company.
 This is a high\-impact, highly autonomous role suited for someone who has built ML systems in production and is ready to architect an ML function from zero to scale.
 What Youll Do
* Define the companys ML strategy: where ML should be applied across products, what infrastructure is required, and how to approach build vs. buy decisions.
* Design and build production ML systems end\-to\-end — including data pipelines, model training workflows, evaluation frameworks, and inference serving.
* Establish rigorous evaluation methodology to measure model quality, detect regressions, and support data\-driven iteration.
* Own the data strategy: determine what data is needed, how it should be labeled, how feedback loops are structured, and how models continuously improve.
* Partner closely with product and backend engineers to integrate ML into customer\-facing systems.
* Write production\-quality code within the existing codebase and contribute to architectural decisions.
* Over time, help recruit, mentor, and lead the ML team as the function expands.
 What Were Looking For
* 8\+ years of experience building ML systems in production environments.
* Experience standing up ML infrastructure at an early\-stage startup or serving as the senior/lead ML engineer at a company.
* Strong software engineering fundamentals with production experience in languages such as Python, Java, or TypeScript.
* Experience with cloud\-based ML infrastructure (e.g., SageMaker, Bedrock, Modal, Baseten, or similar platforms).
* Hands\-on experience with ML and data frameworks such as PyTorch, TensorFlow, Spark, or equivalent tools.
* Comfortable working across the stack — infrastructure, backend systems, and data platforms.
* Demonstrated ability to mentor engineers and elevate technical standards within a team.
* High autonomy and ownership mindset, with the ability to define direction and execute without predefined playbooks.
 Bonus Points
* Experience building ML systems for security, fraud detection, or adversarial environments.
* Experience working with LLMs in production (evaluation, fine\-tuning, retrieval systems, guardrails).
* Background in real\-time inference systems or high\-throughput distributed systems.
* Experience making strategic build vs. buy infrastructure decisions.
* Previous startup experience in high\-growth environments.
 Why This Role Will Pivot Your Career
* Strategic AI backing: Supported by leading AI and venture investors shaping the future of AI infrastructure and cybersecurity.
* Founding\-level impact: Build and define the ML function from zero in a company where ML is core to product value.
* Enterprise traction: Products already trusted by major banks, tech firms, and healthcare organizations.
* Massive market opportunity: Positioned in a rapidly expanding AI cybersecurity space.
* Leadership path: Opportunity to evolve into Head of ML as the organization scales.
* Ownership \&amp; autonomy: Direct influence over architecture, infrastructure, and long\-term technical direction.
**Benefits**
* Competitive salary \&amp; equity options
* Health, Dental, and Vision
* 401k
* Hybrid flexibility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97">
      <c r="A97" t="inlineStr">
        <is>
          <t>li-4375787971</t>
        </is>
      </c>
      <c r="B97" t="inlineStr">
        <is>
          <t>Founding Machine Learning Engineer</t>
        </is>
      </c>
      <c r="C97" t="inlineStr">
        <is>
          <t>Pragmatike</t>
        </is>
      </c>
      <c r="D97" t="inlineStr">
        <is>
          <t>linkedin</t>
        </is>
      </c>
      <c r="E97">
        <f>HYPERLINK("https://www.linkedin.com/jobs/view/4375787971", "https://www.linkedin.com/jobs/view/4375787971")</f>
        <v/>
      </c>
      <c r="F97">
        <f>HYPERLINK("https://pragmatike.careers-page.com/jobs/1554eee4-40ca-4242-a967-8d86113b9a5a?utm_medium=free_job_board&amp;utm_source=linkedin&amp;urlHash=4FfL", "https://pragmatike.careers-page.com/jobs/1554eee4-40ca-4242-a967-8d86113b9a5a?utm_medium=free_job_board&amp;utm_source=linkedin&amp;urlHash=4FfL")</f>
        <v/>
      </c>
      <c r="G97" t="inlineStr">
        <is>
          <t>Austin, TX</t>
        </is>
      </c>
      <c r="H97" t="inlineStr"/>
      <c r="I97" t="inlineStr">
        <is>
          <t>Location: New York, NY (Eastern Time) – Hybrid
 Start date: ASAP
 Languages: English (required)
**About The Role**
 Pragmatike is hiring on behalf of a high\-growth AI cybersecurity company backed by top\-tier investors and strategic AI leaders. The company is building the security layer for the AI era, protecting enterprises against AI\-powered threats such as deepfakes, smishing, and synthetic voice attacks.
 Following a major Series B funding round led by industry\-leading AI and venture partners, the company is entering a critical growth phase. Trusted by major banks, technology companies, and healthcare organizations, they are scaling rapidly to meet enterprise demand in a $200B\+ market opportunity.
 We are looking for a
 **Staff Machine Learning Engineer** 
 to define and build the companys ML capabilities from the ground up. ML is central to the product vision. This role is not about incremental optimization — it is about owning the strategy, infrastructure, and execution of machine learning across the organization.
 There is currently no dedicated ML infrastructure or ML team. You will establish the foundations: define where ML drives product value, design production systems end\-to\-end, and set the technical direction for how ML evolves across the company.
 This is a high\-impact, highly autonomous role suited for someone who has built ML systems in production and is ready to architect an ML function from zero to scale.
 What Youll Do
* Define the companys ML strategy: where ML should be applied across products, what infrastructure is required, and how to approach build vs. buy decisions.
* Design and build production ML systems end\-to\-end — including data pipelines, model training workflows, evaluation frameworks, and inference serving.
* Establish rigorous evaluation methodology to measure model quality, detect regressions, and support data\-driven iteration.
* Own the data strategy: determine what data is needed, how it should be labeled, how feedback loops are structured, and how models continuously improve.
* Partner closely with product and backend engineers to integrate ML into customer\-facing systems.
* Write production\-quality code within the existing codebase and contribute to architectural decisions.
* Over time, help recruit, mentor, and lead the ML team as the function expands.
 What Were Looking For
* 8\+ years of experience building ML systems in production environments.
* Experience standing up ML infrastructure at an early\-stage startup or serving as the senior/lead ML engineer at a company.
* Strong software engineering fundamentals with production experience in languages such as Python, Java, or TypeScript.
* Experience with cloud\-based ML infrastructure (e.g., SageMaker, Bedrock, Modal, Baseten, or similar platforms).
* Hands\-on experience with ML and data frameworks such as PyTorch, TensorFlow, Spark, or equivalent tools.
* Comfortable working across the stack — infrastructure, backend systems, and data platforms.
* Demonstrated ability to mentor engineers and elevate technical standards within a team.
* High autonomy and ownership mindset, with the ability to define direction and execute without predefined playbooks.
 Bonus Points
* Experience building ML systems for security, fraud detection, or adversarial environments.
* Experience working with LLMs in production (evaluation, fine\-tuning, retrieval systems, guardrails).
* Background in real\-time inference systems or high\-throughput distributed systems.
* Experience making strategic build vs. buy infrastructure decisions.
* Previous startup experience in high\-growth environments.
 Why This Role Will Pivot Your Career
* Strategic AI backing: Supported by leading AI and venture investors shaping the future of AI infrastructure and cybersecurity.
* Founding\-level impact: Build and define the ML function from zero in a company where ML is core to product value.
* Enterprise traction: Products already trusted by major banks, tech firms, and healthcare organizations.
* Massive market opportunity: Positioned in a rapidly expanding AI cybersecurity space.
* Leadership path: Opportunity to evolve into Head of ML as the organization scales.
* Ownership \&amp; autonomy: Direct influence over architecture, infrastructure, and long\-term technical direction.
**Benefits**
* Competitive salary \&amp; equity options
* Health, Dental, and Vision
* 401k
* Hybrid flexibility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98">
      <c r="A98" t="inlineStr">
        <is>
          <t>li-4377081425</t>
        </is>
      </c>
      <c r="B98" t="inlineStr">
        <is>
          <t>Founding Machine Learning Engineer</t>
        </is>
      </c>
      <c r="C98" t="inlineStr">
        <is>
          <t>Pragmatike</t>
        </is>
      </c>
      <c r="D98" t="inlineStr">
        <is>
          <t>linkedin</t>
        </is>
      </c>
      <c r="E98">
        <f>HYPERLINK("https://www.linkedin.com/jobs/view/4377081425", "https://www.linkedin.com/jobs/view/4377081425")</f>
        <v/>
      </c>
      <c r="F98">
        <f>HYPERLINK("https://jobs.ashbyhq.com/pragmatike/b393ecf1-0c0c-4df2-84c4-98ef4905263b/application?utm_source=pKPejxJ0kE&amp;urlHash=Eyw0", "https://jobs.ashbyhq.com/pragmatike/b393ecf1-0c0c-4df2-84c4-98ef4905263b/application?utm_source=pKPejxJ0kE&amp;urlHash=Eyw0")</f>
        <v/>
      </c>
      <c r="G98" t="inlineStr">
        <is>
          <t>Chicago, IL</t>
        </is>
      </c>
      <c r="H98" t="inlineStr"/>
      <c r="I98" t="inlineStr">
        <is>
          <t>Location: New York, NY
 Start date: ASAP
 Languages: English (required)
**About The Role**
 Pragmatike is hiring on behalf of a high\-growth AI cybersecurity company backed by top\-tier investors and strategic AI leaders. The company is building the security layer for the AI era, protecting enterprises against AI\-powered threats such as deepfakes, smishing, and synthetic voice attacks.
 Following a major Series B funding round led by industry\-leading AI and venture partners, the company is entering a critical growth phase. Trusted by major banks, technology companies, and healthcare organizations, they are scaling rapidly to meet enterprise demand in a $200B\+ market opportunity.
 We are looking for a
 **Staff Machine Learning Engineer** 
 to define and build the companys ML capabilities from the ground up. ML is central to the product vision. This role is not about incremental optimization — it is about owning the strategy, infrastructure, and execution of machine learning across the organization.
 There is currently no dedicated ML infrastructure or ML team. You will establish the foundations: define where ML drives product value, design production systems end\-to\-end, and set the technical direction for how ML evolves across the company.
 This is a high\-impact, highly autonomous role suited for someone who has built ML systems in production and is ready to architect an ML function from zero to scale.
**What Youll Do**
* Define the companys ML strategy: where ML should be applied across products, what infrastructure is required, and how to approach build vs. buy decisions.
* Design and build production ML systems end\-to\-end — including data pipelines, model training workflows, evaluation frameworks, and inference serving.
* Establish rigorous evaluation methodology to measure model quality, detect regressions, and support data\-driven iteration.
* Own the data strategy: determine what data is needed, how it should be labeled, how feedback loops are structured, and how models continuously improve.
* Partner closely with product and backend engineers to integrate ML into customer\-facing systems.
* Write production\-quality code within the existing codebase and contribute to architectural decisions.
* Over time, help recruit, mentor, and lead the ML team as the function expands.
**What Were Looking For**
* 8\+ years of experience building ML systems in production environments.
* Experience standing up ML infrastructure at an early\-stage startup or serving as the senior/lead ML engineer at a company.
* Strong software engineering fundamentals with production experience in languages such as Python, Java, or TypeScript.
* Experience with cloud\-based ML infrastructure (e.g., SageMaker, Bedrock, Modal, Baseten, or similar platforms).
* Hands\-on experience with ML and data frameworks such as PyTorch, TensorFlow, Spark, or equivalent tools.
* Comfortable working across the stack — infrastructure, backend systems, and data platforms.
* Demonstrated ability to mentor engineers and elevate technical standards within a team.
* High autonomy and ownership mindset, with the ability to define direction and execute without predefined playbooks.
**Bonus Points**
* Experience building ML systems for security, fraud detection, or adversarial environments.
* Experience working with LLMs in production (evaluation, fine\-tuning, retrieval systems, guardrails).
* Background in real\-time inference systems or high\-throughput distributed systems.
* Experience making strategic build vs. buy infrastructure decisions.
* Previous startup experience in high\-growth environments.
**Why This Role Will Pivot Your Career**
* Strategic AI backing: Supported by leading AI and venture investors shaping the future of AI infrastructure and cybersecurity.
* Founding\-level impact: Build and define the ML function from zero in a company where ML is core to product value.
* Enterprise traction: Products already trusted by major banks, tech firms, and healthcare organizations.
* Massive market opportunity: Positioned in a rapidly expanding AI cybersecurity space.
* Leadership path: Opportunity to evolve into Head of ML as the organization scales.
* Ownership \&amp; autonomy: Direct influence over architecture, infrastructure, and long\-term technical direction.
**Benefits**
* Competitive salary \&amp; equity options
* Health, Dental, and Vision
* 401k
* Hybrid flexibility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99">
      <c r="A99" t="inlineStr">
        <is>
          <t>li-4377083356</t>
        </is>
      </c>
      <c r="B99" t="inlineStr">
        <is>
          <t>Founding Machine Learning Engineer</t>
        </is>
      </c>
      <c r="C99" t="inlineStr">
        <is>
          <t>Pragmatike</t>
        </is>
      </c>
      <c r="D99" t="inlineStr">
        <is>
          <t>linkedin</t>
        </is>
      </c>
      <c r="E99">
        <f>HYPERLINK("https://www.linkedin.com/jobs/view/4377083356", "https://www.linkedin.com/jobs/view/4377083356")</f>
        <v/>
      </c>
      <c r="F99">
        <f>HYPERLINK("https://jobs.ashbyhq.com/pragmatike/b393ecf1-0c0c-4df2-84c4-98ef4905263b/application?utm_source=pKPejxJ0kE&amp;urlHash=Eyw0", "https://jobs.ashbyhq.com/pragmatike/b393ecf1-0c0c-4df2-84c4-98ef4905263b/application?utm_source=pKPejxJ0kE&amp;urlHash=Eyw0")</f>
        <v/>
      </c>
      <c r="G99" t="inlineStr">
        <is>
          <t>Rhode Island, United States</t>
        </is>
      </c>
      <c r="H99" t="inlineStr"/>
      <c r="I99" t="inlineStr">
        <is>
          <t>Location: New York, NY
 Start date: ASAP
 Languages: English (required)
**About The Role**
 Pragmatike is hiring on behalf of a high\-growth AI cybersecurity company backed by top\-tier investors and strategic AI leaders. The company is building the security layer for the AI era, protecting enterprises against AI\-powered threats such as deepfakes, smishing, and synthetic voice attacks.
 Following a major Series B funding round led by industry\-leading AI and venture partners, the company is entering a critical growth phase. Trusted by major banks, technology companies, and healthcare organizations, they are scaling rapidly to meet enterprise demand in a $200B\+ market opportunity.
 We are looking for a
 **Staff Machine Learning Engineer** 
 to define and build the companys ML capabilities from the ground up. ML is central to the product vision. This role is not about incremental optimization — it is about owning the strategy, infrastructure, and execution of machine learning across the organization.
 There is currently no dedicated ML infrastructure or ML team. You will establish the foundations: define where ML drives product value, design production systems end\-to\-end, and set the technical direction for how ML evolves across the company.
 This is a high\-impact, highly autonomous role suited for someone who has built ML systems in production and is ready to architect an ML function from zero to scale.
**What Youll Do**
* Define the companys ML strategy: where ML should be applied across products, what infrastructure is required, and how to approach build vs. buy decisions.
* Design and build production ML systems end\-to\-end — including data pipelines, model training workflows, evaluation frameworks, and inference serving.
* Establish rigorous evaluation methodology to measure model quality, detect regressions, and support data\-driven iteration.
* Own the data strategy: determine what data is needed, how it should be labeled, how feedback loops are structured, and how models continuously improve.
* Partner closely with product and backend engineers to integrate ML into customer\-facing systems.
* Write production\-quality code within the existing codebase and contribute to architectural decisions.
* Over time, help recruit, mentor, and lead the ML team as the function expands.
**What Were Looking For**
* 8\+ years of experience building ML systems in production environments.
* Experience standing up ML infrastructure at an early\-stage startup or serving as the senior/lead ML engineer at a company.
* Strong software engineering fundamentals with production experience in languages such as Python, Java, or TypeScript.
* Experience with cloud\-based ML infrastructure (e.g., SageMaker, Bedrock, Modal, Baseten, or similar platforms).
* Hands\-on experience with ML and data frameworks such as PyTorch, TensorFlow, Spark, or equivalent tools.
* Comfortable working across the stack — infrastructure, backend systems, and data platforms.
* Demonstrated ability to mentor engineers and elevate technical standards within a team.
* High autonomy and ownership mindset, with the ability to define direction and execute without predefined playbooks.
**Bonus Points**
* Experience building ML systems for security, fraud detection, or adversarial environments.
* Experience working with LLMs in production (evaluation, fine\-tuning, retrieval systems, guardrails).
* Background in real\-time inference systems or high\-throughput distributed systems.
* Experience making strategic build vs. buy infrastructure decisions.
* Previous startup experience in high\-growth environments.
**Why This Role Will Pivot Your Career**
* Strategic AI backing: Supported by leading AI and venture investors shaping the future of AI infrastructure and cybersecurity.
* Founding\-level impact: Build and define the ML function from zero in a company where ML is core to product value.
* Enterprise traction: Products already trusted by major banks, tech firms, and healthcare organizations.
* Massive market opportunity: Positioned in a rapidly expanding AI cybersecurity space.
* Leadership path: Opportunity to evolve into Head of ML as the organization scales.
* Ownership \&amp; autonomy: Direct influence over architecture, infrastructure, and long\-term technical direction.
**Benefits**
* Competitive salary \&amp; equity options
* Health, Dental, and Vision
* 401k
* Hybrid flexibility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100">
      <c r="A100" t="inlineStr">
        <is>
          <t>li-4376001658</t>
        </is>
      </c>
      <c r="B100" t="inlineStr">
        <is>
          <t>Founding Machine Learning Engineer</t>
        </is>
      </c>
      <c r="C100" t="inlineStr">
        <is>
          <t>Pragmatike</t>
        </is>
      </c>
      <c r="D100" t="inlineStr">
        <is>
          <t>linkedin</t>
        </is>
      </c>
      <c r="E100">
        <f>HYPERLINK("https://www.linkedin.com/jobs/view/4376001658", "https://www.linkedin.com/jobs/view/4376001658")</f>
        <v/>
      </c>
      <c r="F100" t="inlineStr"/>
      <c r="G100" t="inlineStr">
        <is>
          <t>New Hampshire, United States</t>
        </is>
      </c>
      <c r="H100" t="inlineStr"/>
      <c r="I100" t="inlineStr">
        <is>
          <t>Location: New York, NY (Eastern Time) – Hybrid
 Start date: ASAP
 Languages: English (required)
**About The Role**
 Pragmatike is hiring on behalf of a high\-growth AI cybersecurity company backed by top\-tier investors and strategic AI leaders. The company is building the security layer for the AI era, protecting enterprises against AI\-powered threats such as deepfakes, smishing, and synthetic voice attacks.
 Following a major Series B funding round led by industry\-leading AI and venture partners, the company is entering a critical growth phase. Trusted by major banks, technology companies, and healthcare organizations, they are scaling rapidly to meet enterprise demand in a $200B\+ market opportunity.
 We are looking for a
 **Staff Machine Learning Engineer** 
 to define and build the companys ML capabilities from the ground up. ML is central to the product vision. This role is not about incremental optimization — it is about owning the strategy, infrastructure, and execution of machine learning across the organization.
 There is currently no dedicated ML infrastructure or ML team. You will establish the foundations: define where ML drives product value, design production systems end\-to\-end, and set the technical direction for how ML evolves across the company.
 This is a high\-impact, highly autonomous role suited for someone who has built ML systems in production and is ready to architect an ML function from zero to scale.
 What Youll Do
* Define the companys ML strategy: where ML should be applied across products, what infrastructure is required, and how to approach build vs. buy decisions.
* Design and build production ML systems end\-to\-end — including data pipelines, model training workflows, evaluation frameworks, and inference serving.
* Establish rigorous evaluation methodology to measure model quality, detect regressions, and support data\-driven iteration.
* Own the data strategy: determine what data is needed, how it should be labeled, how feedback loops are structured, and how models continuously improve.
* Partner closely with product and backend engineers to integrate ML into customer\-facing systems.
* Write production\-quality code within the existing codebase and contribute to architectural decisions.
* Over time, help recruit, mentor, and lead the ML team as the function expands.
 What Were Looking For
* 8\+ years of experience building ML systems in production environments.
* Experience standing up ML infrastructure at an early\-stage startup or serving as the senior/lead ML engineer at a company.
* Strong software engineering fundamentals with production experience in languages such as Python, Java, or TypeScript.
* Experience with cloud\-based ML infrastructure (e.g., SageMaker, Bedrock, Modal, Baseten, or similar platforms).
* Hands\-on experience with ML and data frameworks such as PyTorch, TensorFlow, Spark, or equivalent tools.
* Comfortable working across the stack — infrastructure, backend systems, and data platforms.
* Demonstrated ability to mentor engineers and elevate technical standards within a team.
* High autonomy and ownership mindset, with the ability to define direction and execute without predefined playbooks.
 Bonus Points
* Experience building ML systems for security, fraud detection, or adversarial environments.
* Experience working with LLMs in production (evaluation, fine\-tuning, retrieval systems, guardrails).
* Background in real\-time inference systems or high\-throughput distributed systems.
* Experience making strategic build vs. buy infrastructure decisions.
* Previous startup experience in high\-growth environments.
 Why This Role Will Pivot Your Career
* Strategic AI backing: Supported by leading AI and venture investors shaping the future of AI infrastructure and cybersecurity.
* Founding\-level impact: Build and define the ML function from zero in a company where ML is core to product value.
* Enterprise traction: Products already trusted by major banks, tech firms, and healthcare organizations.
* Massive market opportunity: Positioned in a rapidly expanding AI cybersecurity space.
* Leadership path: Opportunity to evolve into Head of ML as the organization scales.
* Ownership \&amp; autonomy: Direct influence over architecture, infrastructure, and long\-term technical direction.
**Benefits**
* Competitive salary \&amp; equity options
* Health, Dental, and Vision
* 401k
* Hybrid flexibility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101">
      <c r="A101" t="inlineStr">
        <is>
          <t>li-4377036356</t>
        </is>
      </c>
      <c r="B101" t="inlineStr">
        <is>
          <t>Sr. Machine Learning Engineer</t>
        </is>
      </c>
      <c r="C101" t="inlineStr">
        <is>
          <t>People In AI</t>
        </is>
      </c>
      <c r="D101" t="inlineStr">
        <is>
          <t>linkedin</t>
        </is>
      </c>
      <c r="E101">
        <f>HYPERLINK("https://www.linkedin.com/jobs/view/4377036356", "https://www.linkedin.com/jobs/view/4377036356")</f>
        <v/>
      </c>
      <c r="F101" t="inlineStr"/>
      <c r="G101" t="inlineStr"/>
      <c r="H101" t="inlineStr"/>
      <c r="I101" t="inlineStr">
        <is>
          <t>**Role: Senior Machine Learning Engineer** 
**Compensation:** 
 $250,000 – $275,000 base \+ meaningful equity
**Location:** 
 Remote (US)
 Join a well\-capitalized AI company building large\-scale behavioral modeling systems that power real\-time personalization and predictive decisioning products. This is not a research\-only environment. The models ship. The metrics matter. And the feedback loops are tight.
 This is a senior, hands\-on role where machine learning sits at the core of the product, not as a feature layered on top.
**The Mission** 
* Turn foundational behavioral models into scalable, revenue\-driving applications
* Build and iterate on ML\-powered personalization and prediction systems in production
* Close the loop between representation learning, experimentation, and product outcomes
* Deliver measurable impact through real\-world ML systems operating at scale
**The Role** 
* Senior IC role focused on applied, production ML
* Own models, metrics, pipelines, and deployment for ML\-powered products
* Collaborate closely with Product, Engineering, and foundational ML teams
* Drive 0\-to\-1 product initiatives as well as iterative optimization
* Operate across the full ML lifecycle from data to inference to monitoring
**What You’ll Do** 
* Design and deploy recommender, ranking, or personalization models in production
* Build and maintain data processing and training pipelines
* Define evaluation metrics tied directly to business outcomes
* Partner with product stakeholders to shape experimentation strategy
* Improve system performance through monitoring, iteration, and feedback loops
* Contribute to infrastructure and tooling that support scalable ML workflows
**What You’ll Bring** 
* Experience shipping ML systems in production environments
* Background in recommender systems, personalization, CTR modeling, ranking, or related domains
* Comfort working across the full ML stack, including data orchestration and deployment
* Strong product instincts and ability to translate model performance into business value
* Pragmatic problem\-solving mindset with a bias toward impact
* Comfort operating in a lean, fast\-moving environment
**Tech Stack (Contextual)** 
* Python and large\-scale ML frameworks
* Distributed data processing systems
* Workflow orchestration and CI/CD tooling
* Experiment tracking and evaluation systems
* Production inference services
**Why Join?** 
* High ownership: Direct line between your models and product outcomes
* 0\-to\-1 opportunity: Help define new ML\-powered products
* Lean team: High talent density, minimal bureaucracy
* Long runway: Strong financial backing and technical ambition
* Remote\-first: Flexible environment with meaningful autonomy
**About People In AI** 
 People In AI partners with AI\-first companies to hire senior engineers and applied scientists building durable, production\-grade systems. We focus on technically deep, high\-impact roles with long\-term growth potential.
 If you're interested in applied ML where your work directly ships and drives measurable results, we’d love to connect.</t>
        </is>
      </c>
    </row>
    <row r="102">
      <c r="A102" t="inlineStr">
        <is>
          <t>li-4377067570</t>
        </is>
      </c>
      <c r="B102" t="inlineStr">
        <is>
          <t>REMOTE AI Engineer</t>
        </is>
      </c>
      <c r="C102" t="inlineStr">
        <is>
          <t>Lensa</t>
        </is>
      </c>
      <c r="D102" t="inlineStr">
        <is>
          <t>linkedin</t>
        </is>
      </c>
      <c r="E102">
        <f>HYPERLINK("https://www.linkedin.com/jobs/view/4377067570", "https://www.linkedin.com/jobs/view/4377067570")</f>
        <v/>
      </c>
      <c r="F102" t="inlineStr"/>
      <c r="G102" t="inlineStr">
        <is>
          <t>Jersey City, NJ</t>
        </is>
      </c>
      <c r="H102" t="inlineStr"/>
      <c r="I10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Insight Global is looking for an AI Engineer to join one of the world's leading financial institutions on a remote basis working EST hours. This person will be joining the Machine Learning and Artificial Intelligence team within their Enterprise Technology Operations group. This team is looking to build an Agentic AI solution that automates production support across the entire bank. The team is looking for AI engineers that have taken an existing AI Model and within their organization built robust engineering solutions and ideally deployed into production to solve business problems.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 6\+ years in software development (Python preferred)
* 3\+ years designing, architecting and building production ML systems
* Hands\-on experience with LLMs, RAG pipelines, and AI agents
* Strong problem\-solving and communication skills \-Hands on experience with any cloud provider (ideally AWS)
 If you have questions about this posting, please contact support@lensa.com</t>
        </is>
      </c>
    </row>
    <row r="103">
      <c r="A103" t="inlineStr">
        <is>
          <t>li-4377051813</t>
        </is>
      </c>
      <c r="B103" t="inlineStr">
        <is>
          <t>AI Engineer</t>
        </is>
      </c>
      <c r="C103" t="inlineStr">
        <is>
          <t>Akkodis Group Nordics</t>
        </is>
      </c>
      <c r="D103" t="inlineStr">
        <is>
          <t>linkedin</t>
        </is>
      </c>
      <c r="E103">
        <f>HYPERLINK("https://www.linkedin.com/jobs/view/4377051813", "https://www.linkedin.com/jobs/view/4377051813")</f>
        <v/>
      </c>
      <c r="F103">
        <f>HYPERLINK("https://www.akkodis.com/en-us/careers/jobs/ai-engineer-san-jose/US_EN_6_973631_1617981&amp;urlHash=Q9o8", "https://www.akkodis.com/en-us/careers/jobs/ai-engineer-san-jose/US_EN_6_973631_1617981&amp;urlHash=Q9o8")</f>
        <v/>
      </c>
      <c r="G103" t="inlineStr">
        <is>
          <t>San Jose, CA</t>
        </is>
      </c>
      <c r="H103" t="inlineStr"/>
      <c r="I103" t="inlineStr">
        <is>
          <t>Akkodis is seeking an
 **AI Engineer** 
 for a
 **Contract** 
 with a client in
 **San Jose, CA.** 
 You will be responsible for building intelligent automation solutions and are expected to think independently and drive innovation.
**Rate Range:** 
 $55/hour to $60/hour; The rate may be negotiable based on experience, education, geographic location, and other factors.
**AI Engineer Job Responsibilities Include**
* Designing, developing, and optimizing RAG‑based AI solutions using advanced Python programming.
* Proactively identifying opportunities for automation and contributing innovative ideas to improve system performance.
* Collaborating cross‑functionally to translate business needs into scalable AI architectures and implementations.
* Continuously evaluating and enhancing AI models to ensure accuracy, reliability, and efficiency.
**Required Qualifications**
* Bachelor’s degree in computer science, Engineering, or a related technical field.
* 6–8 years of overall experience, including 3\+ years of hands‑on RAG and Python\-based AI engineering.
* Proven ability to think independently and contribute proactively to AI solution design.
* Demonstrated expertise in building automation/AI systems aligned with client needs and performance expectations.
 If you are interested in this role, then please click APPLY NOW. For other opportunities available at Akkodis, or any questions, feel free to contact me at
 **Deep.Kumar@** 
**akkodisgroup.com.**
**Pay Details:** 
 $50\.00 to $60\.00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104">
      <c r="A104" t="inlineStr">
        <is>
          <t>li-4376024279</t>
        </is>
      </c>
      <c r="B104" t="inlineStr">
        <is>
          <t>Machine Learning Engineer - Backend/Data Engineer: Agentic Workflows, Siri Core Modeling</t>
        </is>
      </c>
      <c r="C104" t="inlineStr">
        <is>
          <t>Apple</t>
        </is>
      </c>
      <c r="D104" t="inlineStr">
        <is>
          <t>linkedin</t>
        </is>
      </c>
      <c r="E104">
        <f>HYPERLINK("https://www.linkedin.com/jobs/view/4376024279", "https://www.linkedin.com/jobs/view/4376024279")</f>
        <v/>
      </c>
      <c r="F104" t="inlineStr"/>
      <c r="G104" t="inlineStr">
        <is>
          <t>Sunnyvale, CA</t>
        </is>
      </c>
      <c r="H104" t="inlineStr"/>
      <c r="I104" t="inlineStr">
        <is>
          <t>**Summary**
 Imagine what you could do here. At Apple, great ideas have a way of becoming great products, services, and customer experiences very quickly. Bring passion and dedication to your job and there’s no telling what you could accomplish.
 Do you want to make Siri and Apple products more intelligent for our users? The Siri \&amp; Information Intelligence team is building groundbreaking technology to revolutionize how users interact with Apple devices.
 As part of this group, you will contribute to build the infrastructure to power the development of multi\-modal agentic workflows.
**Description**
 We design, build and maintain infrastructure to support agentic workflows for Siri. Our team is in charge of data generation, introspection and evaluation frameworks that are key to efficiently developing foundation models and agentic workflows for Siri applications. In this team you will have the opportunity to work at the intersection of with cutting edge foundation models and products.
**Minimum Qualifications**
* Strong background in computer science: algorithms, data structures and system design
* Strong Python skills
* Experience building multi\-turn agent evaluation systems (model\-as\-a\-judge, human evaluations, graders/rubrics, metrics, simulation environments, etc.)
* Experience with SQL/NoSQL database technologies, data warehouse frameworks like BigQuery/Snowflake/RedShift/Iceberg and data pipeline frameworks like GCP Dataflow/Apache Beam/Spark/Kafka
**Preferred Qualifications**
* Experience with large scale distributed system design, operation and optimization
* Experience with Vector Databases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05">
      <c r="A105" t="inlineStr">
        <is>
          <t>li-4377068161</t>
        </is>
      </c>
      <c r="B105" t="inlineStr">
        <is>
          <t>Ai Engineer</t>
        </is>
      </c>
      <c r="C105" t="inlineStr">
        <is>
          <t>Hirenza</t>
        </is>
      </c>
      <c r="D105" t="inlineStr">
        <is>
          <t>linkedin</t>
        </is>
      </c>
      <c r="E105">
        <f>HYPERLINK("https://www.linkedin.com/jobs/view/4377068161", "https://www.linkedin.com/jobs/view/4377068161")</f>
        <v/>
      </c>
      <c r="F105" t="inlineStr"/>
      <c r="G105" t="inlineStr"/>
      <c r="H105" t="inlineStr"/>
      <c r="I105" t="inlineStr">
        <is>
          <t>**About The Company**
 MassMutual is a leading mutual life insurance company committed to helping individuals and families secure their financial futures. With a rich history spanning over 170 years, MassMutual has established itself as a trusted provider of insurance, retirement, and wealth management solutions. The company prides itself on its customer\-centric approach, innovative products, and a strong focus on community engagement. As a mutual organization, MassMutual operates with a focus on long\-term stability and policyholder value, fostering a collaborative and inclusive corporate culture that encourages continuous growth and development.
**About The Role**
 We are seeking a highly skilled and impact\-driven AI Engineer to join our dynamic Data Science team at MassMutual. This full\-time hybrid position offers the opportunity to work from our offices in Boston, NYC, or Springfield, combining the flexibility of remote work with the benefits of in\-person collaboration. In this role, you will be instrumental in developing and deploying advanced artificial intelligence solutions that influence strategic decision\-making and drive business transformation across the organization. Your expertise will be pivotal in applying state\-of\-the\-art machine learning, generative AI, and large language models (LLMs) to solve complex, high\-value problems. You will collaborate closely with cross\-functional teams, including software engineers, data scientists, and product managers, to deliver scalable AI\-powered applications and systems that support the company's growth and innovation initiatives.
**Qualifications**
 The ideal candidate will possess a strong technical background with a minimum of 5 years of experience in SQL, database design, and Python programming. Familiarity with cloud\-native data platforms, vector databases, and semantic search technologies is advantageous. Candidates should have a deep understanding of machine learning, natural language processing, statistics, optimization, and LLMs, supported by at least 3 years in data science or AI engineering roles. Hands\-on experience with AI deployment frameworks such as agentcore, strands, langchain, MCP, and A2A is essential, along with a minimum of 2 years working with AI agents and LLM systems, including prompt management, multi\-step workflows, and evaluation across various models and benchmarks. A background in building AI\-powered applications and collaborating with software engineers and product teams is required. Additionally, proficiency in cloud\-native development, containerization, and orchestration tools like Docker and Kubernetes is necessary. A Master’s degree in Computer Science, Statistics, Applied Mathematics, Electrical Engineering, Physics, or a related quantitative field is preferred.
**Responsibilities**
* Design, develop, and deploy end\-to\-end machine learning and AI solutions supporting diverse use cases within the enterprise, utilizing large language models, deep learning, and probabilistic modeling from ideation to production.
* Implement scalable generative AI and agentic AI systems that align with and support strategic business objectives.
* Establish and promote best practices in AI development, responsible AI deployment, and ethical considerations to ensure compliance and safety.
* Collaborate with engineering teams to build robust, production\-grade AI pipelines, APIs, and infrastructure that facilitate seamless integration and scalability.
* Prototype and deliver AI\-driven applications such as web interfaces, dashboards, and visualizations that empower data\-driven decision\-making across departments.
* Stay current with emerging AI research, tools, and frameworks, integrating innovative solutions to enhance existing systems and processes.
* Communicate complex technical concepts effectively to non\-technical stakeholders, ensuring alignment and understanding across teams.
**Benefits**
 MassMutual offers a comprehensive benefits package designed to support the well\-being and professional growth of our employees. This includes competitive salary packages, health, dental, and vision insurance, and a robust retirement plan. Employees have access to flexible work arrangements, including hybrid work models, to promote work\-life balance. We also provide opportunities for continuous learning and development through training programs, certifications, and conferences. Our inclusive workplace culture fosters diversity, equity, and inclusion, ensuring all employees feel valued and empowered. Additional benefits include paid time off, wellness programs, employee assistance programs, and various employee resource groups aimed at fostering community and support.
 Equal Opportunity
 MassMutual is an equal employment opportunity employer. We are committed to fostering an inclusive environment where all individuals are treated with respect and dignity. We welcome applicants of all backgrounds, regardless of race, color, religion, gender, gender identity or expression, sexual orientation, national origin, age, disability, or veteran status. We believe that diversity and inclusion drive innovation and excellence, and we strive to create a workplace that reflects these values. If you require an accommodation during the application process, please contact us and share the specifics of your needs. For residents of California, additional information regarding your rights under the California Consumer Privacy Act (CCPA) is available on our CCPA Disclosures page.</t>
        </is>
      </c>
    </row>
    <row r="106">
      <c r="A106" t="inlineStr">
        <is>
          <t>li-4284180479</t>
        </is>
      </c>
      <c r="B106" t="inlineStr">
        <is>
          <t>Senior Machine Learning Engineer (Model Dev)</t>
        </is>
      </c>
      <c r="C106" t="inlineStr">
        <is>
          <t>ArteraAI</t>
        </is>
      </c>
      <c r="D106" t="inlineStr">
        <is>
          <t>linkedin</t>
        </is>
      </c>
      <c r="E106">
        <f>HYPERLINK("https://www.linkedin.com/jobs/view/4284180479", "https://www.linkedin.com/jobs/view/4284180479")</f>
        <v/>
      </c>
      <c r="F106">
        <f>HYPERLINK("https://jobs.lever.co/artera/8e50bf14-120a-40d4-8b0b-d2234a7a6df9/apply?source=LinkedIn&amp;urlHash=lP0T", "https://jobs.lever.co/artera/8e50bf14-120a-40d4-8b0b-d2234a7a6df9/apply?source=LinkedIn&amp;urlHash=lP0T")</f>
        <v/>
      </c>
      <c r="G106" t="inlineStr"/>
      <c r="H106" t="inlineStr"/>
      <c r="I106" t="inlineStr">
        <is>
          <t>**About Us:** 
 Artera is an AI startup that develops medical artificial intelligence tests to personalize therapy for cancer patients. Artera is on a mission to personalize medical decisions for patients and physicians on a global scale.
 As a Senior Machine Learning Engineer at Artera, you will be a key technical leader driving the development of AI\-based biomarkers that personalize cancer therapy. You will design, build, deploy, and continuously improve multimodal models—combining whole\-slide images with clinical and molecular data—to predict molecular traits and patient outcomes. Partnering with product, clinical development, and biostatistics, you’ll translate clinical needs into robust, well\-validated solutions, incorporate mechanistic interpretability to explain decisions, and shepherd models from prototype to production in a regulated environment.
**Essential Responsibilities**
* Lead the technical effort and define the strategic vision for developing novel biomarkers in collaboration with partners from product, clinical development, and biostatistics.
* Design and build AI\-based biomarkers on multimodal data (including whole\-slide images) to predict molecular traits and patient outcomes; and evaluate emerging technologies to continuously enhance product capabilities.
* Architect and implement tools and processes to streamline the end\-to\-end model development lifecycle—from prototyping to production—ensuring efficiency, robust performance, regulatory compliance, and scalability.
* Develop and integrate mechanistic interpretability methods to explain model decisions, build customer trust, and drive actionable improvements.
* Drive and contribute to publications in scientific journals and presentations at machine\-learning conferences.
* Mentor and coach a team of machine\-learning scientists and engineers, fostering their technical growth and collaboration skills.
**Experience Requirements**
* 5\+ years of industry experience using PyTorch or TensorFlow.
* 2\+ years of experience as a technical lead, launching and monitoring machine\-learning products in production environments.
* Proven ability to communicate complex ML concepts effectively to cross\-functional, non\-ML collaborators.
**Desired**
* Track record of research contributions, including peer\-reviewed publications and conference presentations.
* History of external academic or industry collaborations.
* Experience with self\-supervised representation learning (e.g., MoCo, DINOv2\).
**Work Authorization Requirement**
* This is a remote role open to candidates who are currently authorized to work either in the United States or in Canada without the need for current or future employment\-based visa sponsorship. Artera does not sponsor visas for this position.
* Eligible candidates may include:
* Individuals authorized to work in the United States on a permanent basis (e.g., U.S. citizens, U.S. permanent residents), or
* Individuals authorized to work in Canada (e.g., Canadian citizens or Canadian permanent residents).
* Visa Transfers (if needed)
 $180,000 \- $220,000 a year
 In addition to base salary, equity is a core component of our compensation. We also offer 401k matching, unlimited paid time off (PTO), and more.
 The base salary is competitive and commensurate with experience, qualifications, and other factors to be discussed during the interview process.
**Equal Employee Opportunity:** 
 At Artera, we value bringing together individuals from diverse backgrounds to develop new and innovative solutions for patients and physicians. As an equal opportunity employer, we do not discriminate on the basis of race, color, religion, national origin, age, sex (including pregnancy), physical or mental disability, medical condition, genetic information gender identity or expression, sexual orientation, marital status, protected veteran status, or any other legally protected characteristic.</t>
        </is>
      </c>
    </row>
    <row r="107">
      <c r="A107" t="inlineStr">
        <is>
          <t>li-4376802596</t>
        </is>
      </c>
      <c r="B107" t="inlineStr">
        <is>
          <t>AI Engineer</t>
        </is>
      </c>
      <c r="C107" t="inlineStr">
        <is>
          <t>Wilmac Technologies</t>
        </is>
      </c>
      <c r="D107" t="inlineStr">
        <is>
          <t>linkedin</t>
        </is>
      </c>
      <c r="E107">
        <f>HYPERLINK("https://www.linkedin.com/jobs/view/4376802596", "https://www.linkedin.com/jobs/view/4376802596")</f>
        <v/>
      </c>
      <c r="F107" t="inlineStr"/>
      <c r="G107" t="inlineStr">
        <is>
          <t>Rochester, NY</t>
        </is>
      </c>
      <c r="H107" t="inlineStr"/>
      <c r="I107" t="inlineStr">
        <is>
          <t>**AI Automation \&amp; Applications Engineer** 
**Wilmac Technologies** 
 Wilmac Technologies is an AI\-driven software company focused on transforming customer interaction and workforce data into intelligent, automated systems. Our platforms — Continuity Replay and Continuity Workforce Management (WFM) — help organizations in highly regulated industries capture, analyze, and operationalize critical communications.
 AI isn't a side project here. We're embedding advanced AI, agent\-driven workflows, and intelligent automation directly into our products and internal operations — and this role sits at the center of that effort.
**The Role** 
 We're looking for an engineer who builds and ships. This is a hands\-on implementation role with two areas of focus: accelerating our internal operations through AI\-powered workflows, and bringing AI capabilities directly into our SaaS products.
 You'll work closely with teams across Sales, Marketing, Operations, and Product — translating real business problems into working systems and iterating based on measurable outcomes. You'll be expected to identify the right approach, choose the right tools, and own the result end\-to\-end.
 This is not a research role. This is not a policy role. You will be building and shipping.
**What You'll Do** 
*Internal AI Automation* 
* Build AI\-powered workflows that improve how our Sales, Marketing, and Operations teams work
* Integrate LLM APIs with internal systems and third\-party tools
* Evaluate and implement off\-the\-shelf AI platforms where they're the right fit
* Rapidly prototype, test, and iterate based on real\-world feedback
*Product\-Facing AI Capabilities* 
* Implement AI\-powered features inside our SaaS platforms
* Design retrieval\-based workflows (RAG) and structured extraction systems
* Integrate AI services into existing product infrastructure
* Improve quality, reliability, and performance of AI\-powered systems over time
**Day\-to\-Day** 
* Connecting APIs and building integrations across internal and external systems
* Configuring and extending AI platforms — open\-source or SaaS
* Designing prompts, structured outputs, and agent\-driven workflows
* Working with structured data and databases
* Deploying and maintaining production\-ready systems
* Collaborating with business and technical stakeholders to understand problems and communicate solutions
**What We're Looking For** 
* 4–7 years of experience in software engineering, systems integration, or technical implementation — we're open to strong candidates at both ends of that range
* Hands\-on experience building with LLM APIs (OpenAI, Anthropic, etc.)
* Strong understanding of AI application patterns: RAG, structured outputs, tool use, and agent workflows
* Experience integrating third\-party APIs and SaaS platforms
* Ability to work cross\-functionally with both technical and business teams
* Strong ownership mindset and bias toward execution
 We don't require a specific tech stack. Whether you reach for an off\-the\-shelf automation platform, deploy open\-source software, or build something custom, we care that you can choose the right tool for the job and deliver a working result.
**Nice to Have** 
* Experience with workflow automation platforms (e.g., n8n, Make, Zapier)
* Familiarity with AI evaluation or observability tools (e.g., LangSmith, Braintrust)
* Background in SaaS product development
* Experience in contact center, workforce management, or regulated industry environments
**What Success Looks Like** 
 Within 6–12 months, you will have:
* Deployed multiple internal AI workflows actively used by teams across the business
* Integrated at least one AI\-powered feature into our product
* Delivered clear, measurable productivity or capability improvements
* Laid scalable foundations for future AI initiatives</t>
        </is>
      </c>
    </row>
    <row r="108">
      <c r="A108" t="inlineStr">
        <is>
          <t>li-4377074755</t>
        </is>
      </c>
      <c r="B108" t="inlineStr">
        <is>
          <t>Applied AI Engineer</t>
        </is>
      </c>
      <c r="C108" t="inlineStr">
        <is>
          <t>Qualified Health</t>
        </is>
      </c>
      <c r="D108" t="inlineStr">
        <is>
          <t>linkedin</t>
        </is>
      </c>
      <c r="E108">
        <f>HYPERLINK("https://www.linkedin.com/jobs/view/4377074755", "https://www.linkedin.com/jobs/view/4377074755")</f>
        <v/>
      </c>
      <c r="F108">
        <f>HYPERLINK("https://job-boards.greenhouse.io/qualifiedhealth/jobs/4937396008&amp;urlHash=u7p-", "https://job-boards.greenhouse.io/qualifiedhealth/jobs/4937396008&amp;urlHash=u7p-")</f>
        <v/>
      </c>
      <c r="G108" t="inlineStr">
        <is>
          <t>Palo Alto, CA</t>
        </is>
      </c>
      <c r="H108" t="inlineStr"/>
      <c r="I108" t="inlineStr">
        <is>
          <t>**Transform healthcare with us.** 
 At Qualified Health, we’re redefining what’s possible with Generative AI in healthcare. Our infrastructure provides the guardrails for safe AI governance, healthcare\-specific agent creation, and real\-time algorithm monitoring—working alongside leading health systems to drive real change.
 This is more than just a job. It’s an opportunity to build the future of AI in healthcare, solve complex challenges, and make a lasting impact on patient care. If you’re ambitious, innovative, and ready to move fast, we’d love to have you on board.
 Join us in shaping the future of healthcare.
**Job Summary:** 
 We’re hiring an
 **Applied AI Engineer** 
 to focus on building and scaling real\-world AI workflows. This role is designed for engineers who are hands\-on with deploying generative AI applications. You’ll spend the majority of your time developing agentic workflows and production\-grade integrations across multiple of our product lines.
 You’ll work closely with product and engineering teammates to design, deploy, and scale AI\-powered applications that solve real problems in healthcare.
**Key Responsibilities:** 
* Develop and deploy
 **agentic workflows** 
 and automation pipelines (approx. 60% of role).
* Build and maintain production\-ready services, REST APIs, and integrations (approx. 30%).
* Ship production solutions in days, not months emphasizing scrappiness and speed.
* Collaborate across product, engineering, and design to deliver end\-to\-end AI\-powered features.
* Evaluate and integrate state\-of\-the\-art LLMs (OpenAI, Anthropic, Mistral, etc.) into production use cases.
* Contribute to building a scalable workflow infrastructure that will support 100\+ workflows
**Required Qualifications:** 
* Bachelor’s degree \+ 4 years OR Master’s degree \+ 2 years in Computer Science, Engineering, or related field.
* Strong
 **software engineering foundation** 
 (Python required; solid coding practices).
* Experience building
 **AI\-powered applications** 
 in the past 1–2 years using ChatGPT, Claude, Anthropic, or Mistral.
* Hands\-on experience with
 **REST API development** 
 and deploying services into cloud environments (GCP preferred).
* Clear understanding of MLOps, model deployment, or workflow automation in production systems.
**Desirable Skills:** 
* Background in
 **software engineering → ML path** 
 .
* Experience with
 **agentic workflows** 
 or adjacent skills such as prompt tuning, eval pipelines, or automation frameworks.
* Startup experience: demonstrated scrappiness, speed, and bias toward shipping.
* Exposure to both startup agility and big tech engineering rigor is ideal.
* Strong communication skills and ability to collaborate in fast\-paced, ambiguous environments.
**Why Join Qualified Health?** 
 This is an opportunity to join a fast\-growing company and a world\-class team, that is poised to change the healthcare industry. We are a passionate, mission\-driven team that is building a category\-defining product. We are backed by premier investors and are looking for founding team members who are excited to do the best work of their careers.
 Our employees are integral to achieving our goals so we are proud to offer competitive salaries with equity packages, robust medical/dental/vision insurance, flexible working hours, hybrid work options and an inclusive environment that fosters creativity and innovation.
**Our Commitment to Diversity** 
 Qualified Health is an equal opportunity employer. We believe that a diverse and inclusive workplace is essential to our success, and we are committed to building a team that reflects the world we live in. We encourage applications from all qualified individuals, regardless of race, color, religion, gender, sexual orientation, gender identity or expression, age, national origin, marital status, disability, or veteran status.
**Pay \&amp; Benefits** 
 The pay range for this role is between $180,000 and $250,000, depending on skills, qualifications, experience, and location. This role is also eligible for equity and benefits.
***Join our mission to revolutionize healthcare with AI.***
 To apply, please send your resume through the application below.</t>
        </is>
      </c>
    </row>
    <row r="109">
      <c r="A109" t="inlineStr">
        <is>
          <t>li-4375779367</t>
        </is>
      </c>
      <c r="B109" t="inlineStr">
        <is>
          <t>Agentic AI Engineer</t>
        </is>
      </c>
      <c r="C109" t="inlineStr">
        <is>
          <t>Vybers Inc.</t>
        </is>
      </c>
      <c r="D109" t="inlineStr">
        <is>
          <t>linkedin</t>
        </is>
      </c>
      <c r="E109">
        <f>HYPERLINK("https://www.linkedin.com/jobs/view/4375779367", "https://www.linkedin.com/jobs/view/4375779367")</f>
        <v/>
      </c>
      <c r="F109" t="inlineStr"/>
      <c r="G109" t="inlineStr"/>
      <c r="H109" t="inlineStr"/>
      <c r="I109" t="inlineStr">
        <is>
          <t>Agentic AI Engineer (LLM Agents) — Full\-Time
 About Vybers
 Vybers builds AI\-native products that help users get real work done—fast. We’re building agentic systems that can reason over context, use tools, collaborate with humans, and reliably complete tasks end\-to\-end.
 The Role
 We’re looking for an
 **Agentic Engineer** 
 to design, build, and ship production\-grade AI agents. You’ll work across modeling, product, and infra to turn “LLM demos” into
 **robust, observable, safe, and cost\-effective** 
 agentic workflows.
 You’ll own agent behavior end\-to\-end: orchestration, tool use, memory, evaluation, reliability, and deployment—while partnering tightly with product and design to deliver delightful user outcomes.
 What You’ll Do
 * Build and improve agentic workflows (planning, tool\-calling, reflection/verification, multi\-step execution).
* Design tool interfaces and function schemas; integrate with internal/external systems (APIs, databases, docs, web, etc.).
* Implement memory and context management (retrieval, summarization, user/session state, long\-term memory patterns).
* Develop evaluation harnesses: offline tests, regression suites, simulation, human\-in\-the\-loop review, and A/B experiments.
* Improve reliability: guardrails, fallback strategies, constraint enforcement, error recovery, and adversarial testing.
* Optimize performance and cost: caching, batching, routing, model selection, latency profiling, token economy.
* Ship to production with observability: traces, structured logs, metrics, prompt/version management, and incident playbooks.
* Collaborate across engineering, product, and research; help set best practices for agent development.
 What We’re Looking For
**Must\-haves** 
* Strong software engineering fundamentals (design, testing, debugging, performance).
* Experience building LLM\-based systems (agents, RAG, tool use, prompt/versioning).
* Comfort working in ambiguous, fast\-moving product environments.
* Ability to reason about reliability, safety, and evaluation—not just “making it work once.”
**Nice\-to\-haves** 
* Production experience with orchestration frameworks (LangGraph, Temporal, Prefect, Airflow, etc.).
* Experience with vector databases / retrieval systems (pgvector, Pinecone, Weaviate, Elasticsearch, etc.).
* Practical applied ML experience (fine\-tuning, embedding models, distillation, reward modeling).
* Experience building developer tooling (SDKs, internal platforms, analytics/observability).
* Familiarity with security/privacy patterns for AI products.
 Tech Stack (example—adjust as needed)
 * Backend: Python / TypeScript, REST/gRPC
* Data: Postgres, Redis, vector search
* Infra: Docker/K8s, cloud services, CI/CD
* Observability: OpenTelemetry, metrics/logging/tracing
* AI: LLM APIs \+ internal evaluation/experimentation tooling
 How We Evaluate Success
 * Agents complete real user tasks reliably with measurable quality.
* Strong regression discipline: improvements don’t break prior behaviors.
* Clear operational ownership: dashboards, alerts, root\-cause analysis, iteration loops.
* Product impact: higher task success rate, lower cost/latency, better user trust.
 Why Vybers
 * High\-ownership role at the center of product and engineering.
* Ship quickly, measure outcomes, iterate.
* Work on challenging problems: reliability, tool use, memory, evaluation, and agent UX.
 Compensation \&amp; Benefits
 Competitive salary \+ equity \+ benefits. (Add specifics if you want.)
 How to Apply
 Send your resume \+ a short note on
 **an agentic system you’ve built or shipped** 
 (repo, write\-up, or screenshots welcome).</t>
        </is>
      </c>
    </row>
    <row r="110">
      <c r="A110" t="inlineStr">
        <is>
          <t>li-4326268411</t>
        </is>
      </c>
      <c r="B110" t="inlineStr">
        <is>
          <t>Generative AI Engineer - Demand Science Portfolio</t>
        </is>
      </c>
      <c r="C110" t="inlineStr">
        <is>
          <t>Conagra Brands</t>
        </is>
      </c>
      <c r="D110" t="inlineStr">
        <is>
          <t>linkedin</t>
        </is>
      </c>
      <c r="E110">
        <f>HYPERLINK("https://www.linkedin.com/jobs/view/4326268411", "https://www.linkedin.com/jobs/view/4326268411")</f>
        <v/>
      </c>
      <c r="F110">
        <f>HYPERLINK("https://careers.conagrabrands.com/us/en/job/CXGCONUSREQ035524EXTERNALENUS/Generative-AI-Engineer-Demand-Science-Portfolio?utm_source=linkedin&amp;utm_medium=phenom-feeds&amp;urlHash=0l4_", "https://careers.conagrabrands.com/us/en/job/CXGCONUSREQ035524EXTERNALENUS/Generative-AI-Engineer-Demand-Science-Portfolio?utm_source=linkedin&amp;utm_medium=phenom-feeds&amp;urlHash=0l4_")</f>
        <v/>
      </c>
      <c r="G110" t="inlineStr">
        <is>
          <t>Chicago, IL</t>
        </is>
      </c>
      <c r="H110" t="inlineStr"/>
      <c r="I110" t="inlineStr">
        <is>
          <t>Reporting to the Director of Information Technology, you will join Conagra Brands as a Demand Science Generative AI Engineer, playing a key role in reinventing our culture and IT capabilities to deliver business value and support strategic goals. You will orchestrate AI solutions, develop applications, and explore emerging technologies to create best\-in\-class experiences on Conagra platforms. This hybrid role offers an exciting opportunity to collaborate across IT and business teams while driving innovation in consumer demand, marketing strategy, and product development.
**You Impact**
* Deliver agentic AI solutions. Taking AI use cases and POCs from business teams and turning them into end user products\- Orchestrating AI workflows and building cohesive end user experiences on Conagra platforms.
* Spend time between developing high quality software with internal and external teams to deliver against product features and stories
* Help determine product prioritization and technology roadmaps with development vendor resources and integration resources.
* Contribute to solution paths for both technical and business problems.
* Partner across IT and the business to support agile application development, DevOps with short\-cycle iterations to deliver value.
* Participate in all Agile ceremonies, including: planning, pointing, demos, and retros
* Prioritize unit tests, both manual and automated, to ensure the highest code quality
* Contribute to the delivery pipeline using CI/CD best practices
* Collaborate with the team on technical blueprints / designs to develop specific features / stories
* Define enabling features to achieve a product's architectural roadmaps. Support the product manager and delivery manager in defining non\-functional requirements for features.
* Develop system integrations following established application integration architecture framework and standards.
* Work with Business Analysts and Quality Assurance (QA) to ensure requirements are deliverable and testable.
**Your Experience**
* BS/BA or greater in Computer Science, Mathematics, Software Engineering, Computer Engineering, or a related field
* 2\+ yrs. of related software development experience with Visual Studio, C\#, Windows, MSSQL and backend data loads, and JavaScript
* Experience working in a .NET enterprise environment and a proficient level understanding of OOP/SOLID principles.
* Familiarity and experience with agentic AI and concepts (orchestration, observability, Judging, MCP protocol, A2A)
* Experience With ML / Gen AI capabilities, LLM's, vector stores, text\-to\-speech etc.
* Experience working in an environment with big data (Databricks / snowflake, Data warehousing)
* Experience using Git and Azure DevOps, understanding of one\-branch or trunk\-based development
* Experience using CI/CD pipelines
* Experience with cloud infrastructure (Azure preferred) including Kubernetes, having experience with IaC and Terraform a plus
* Experience with cloud engineering concepts (serverless development, infrastructure as code, distributed computing)
* Versed in Agile, Continuous Delivery, and DevOps methodologies
* Experience using various unit testing frameworks
* Demonstrated individual and team success using agile methodologies to deliver
* Ability to work 3 days per week onsite (Tues, Weds \&amp; Thurs)
**Compensation**
 Pay Range:$72,500\-$107,000
*The annual salary listed above is the expected offering for this position. An employee’s actual annual salary will be based on but not limited to: location, relevant experience/level and skillset, while balancing internal Conagra employees’ equity. Conagra Brands will comply with applicable law regarding minimum salaries for exempt employees.*
**Our Benefits**
 We care about your total well\-being and will support you with the following, subject to your location and role:
* Health: Comprehensive healthcare plans, wellness incentive program, mental wellbeing support and fitness reimbursement
* Wealth: Great pay, bonus incentive opportunity, matching 401(k) and stock purchase plan
* Growth: Career development opportunities, employee resource groups, on\-demand learning and tuition reimbursement
* Balance: Paid\-time off, parental leave, flexible work\-schedules (subject to your location and role) and volunteer opportunities
**Our Company**
 At Conagra Brands, we have a rich heritage of making great food. We aspire to have the most impactful, energized and inclusive culture in food. As a member of our 18,000\+ person team across 40\+ locations, you are empowered to reach your potential, make an impact and own your career. We're in the business of building champions – within our people and our iconic brands like Birds Eye ®, Slim Jim® and Reddi\-Wip®.
 Our focus on innovation extends beyond making great food, it also reflects our commitment to embracing new solutions that positively impact our team, the communities we serve and the health of our planet. Foodies Welcome.
 Conagra Brands is an equal opportunity employer and considers qualified applicants for employment without regard to sex, race, color, religion, ethnic or national origin, gender, sexual orientation, gender identity or expression, age, pregnancy, leave status, disability, veteran status, genetic information and/or any other characteristic or status protected by national, federal, state or local law. Reasonable accommodation may be made upon request.</t>
        </is>
      </c>
    </row>
    <row r="111">
      <c r="A111" t="inlineStr">
        <is>
          <t>li-4358549451</t>
        </is>
      </c>
      <c r="B111" t="inlineStr">
        <is>
          <t>Senior Machine Learning Engineer, Ranking - Quora (Remote)</t>
        </is>
      </c>
      <c r="C111" t="inlineStr">
        <is>
          <t>Quora</t>
        </is>
      </c>
      <c r="D111" t="inlineStr">
        <is>
          <t>linkedin</t>
        </is>
      </c>
      <c r="E111">
        <f>HYPERLINK("https://www.linkedin.com/jobs/view/4358549451", "https://www.linkedin.com/jobs/view/4358549451")</f>
        <v/>
      </c>
      <c r="F111" t="inlineStr"/>
      <c r="G111" t="inlineStr"/>
      <c r="H111" t="inlineStr"/>
      <c r="I111" t="inlineStr">
        <is>
          <t>*\[* 
***Quora is a privately held, "remote\-first" company***
***.** 
 This position can be performed remotely from multiple countries around the world. Please visit* 
*careers.quora.com/eligible\-countries* 
*for details regarding employment eligibility by country.]*
**About Quora**
 Quora’s mission is to grow the world's collective intelligence. To do so, we have two platforms:
* Quora: a global knowledge sharing platform with over 300M monthly unique visitors, bringing people together to share insights on various topics and providing a unique platform to learn and connect with others.
* Poe: a platform providing millions of global users with one place to chat, explore and build with a wide variety of AI language models (bots), including GPT\-5\.2, Claude Opus 4\.5, Grok 4\.1, Veo 3\.1, Nano Banana Pro (Gemini 3 Pro Image), and more. As AI capabilities rapidly advance, Poe provides a single platform to instantly integrate and utilize these new models.
 Behind these products are passionate, collaborative, and high\-performing global teams. We have a culture rooted in transparency, idea\-sharing, and experimentation that allows us to celebrate success and grow together through meaningful work. Join us on this journey to create a positive impact and make a significant change in the world.
**This role will be working on our Quora product.**
**About The Team And Role**
 Our small engineering team works on challenging problems every day. We have a culture that's rooted in constantly learning and improving, and our engineers are encouraged to think big and experiment with new ideas. As a remote\-first company, our engineers have a high degree of flexibility and autonomy. Everyone on the engineering team has a significant impact on our product and our company. We are looking for an experienced Machine Learning engineer to join our growing distribution team, working on recommendation systems such as feed, notifications, and Quora’s famous digest emails and A2A. At Quora, we use machine learning in almost every part of the product and recommendation systems play an important role in connecting users with content.
 As a ranking modeling expert, you will have a unique opportunity to have high impact by advancing our ranking model and by applying latest machine learning techniques. You will also play a key role in developing methodologies that our other developers will build on top of.
**Responsibilities**
* Improve our existing machine learning ranking models using your core coding skills and ML knowledge
* Identify new opportunities to apply machine learning to different parts of the Quora product
* Work with other machine learning engineers to implement algorithms and systems efficiently
* Take end\-to\-end ownership of machine learning systems \- data pipelines, candidate extraction, feature engineering, model training, as well as integration into our production systems
**Minimum Requirements**
* Availability for meetings and impromptu communication during Quora's “coordination hours" (Mon\-Fri: 9am\-3pm Pacific Time)
* 3\+ years of professional experience working on recommendation models
* Good understanding of mathematical foundations of machine learning algorithms
* Previous experience building end\-to\-end machine learning systems.
* Good communication and interpersonal skills
* BS, MS, or PhD in Computer Science, Engineering, or a related technical field
**Preferred Requirements**
* 5\+ years of experience writing Python or C\+\+ code
* Experience with leading large\-scale multi\-engineer projects
* Flexible and positive team player with outstanding interpersonal skills
* Passion for Quora's mission and goals
**At Quora, we value diversity and inclusivity and welcome individuals from all backgrounds, including marginalized or underrepresented groups in tech, to apply for our job openings. We encourage all candidates who share a passion for growing the world’s knowledge, even those who may not strictly meet all the preferred requirements, to apply, as we know that a diverse range of perspectives can have a significant impact on our products and our culture.**
**Additional Information**
 We are accepting applications on an ongoing basis. This role is a backfill for an existing vacancy.
 Quora offers a wide range of benefits including medical/dental/vision coverage, equity refreshers, remote work reimbursement, paid time off, employee assistance programs, and more. Benefits are country\-specific and may vary.
 There are many factors that will determine the starting pay, including but not limited to experience, location, education, and business needs.
* US candidates only: For US based applicants, the salary range is $189,507 \- $274,603 USD \+ equity \+ benefits.
* Canada candidates only: For Toronto and Vancouver based applicants, the salary range is $248,526 \- $288,100 CAD \+ equity \+ benefits. For all other locations in Canada, the salary range is $231,958 \- $268,893 CAD \+ equity \+ benefits.
 We are an equal opportunity employer and value diversity at our company. We do not discriminate on the basis of race, religion, color, national origin, gender, sexual orientation, age, marital status, veteran status, or disability status.
 AI technology may assist in sorting applications and recording interview notes, but all decisions are made by a member of our team.
**To ensure a secure hiring process, all final candidates will undergo identity verification and a comprehensive background check prior to onboarding.**
 Job Applicant Privacy Notice: https://www.careers.quora.com/pages/quora\-global\-job\-applicant\-privacy\-notice</t>
        </is>
      </c>
    </row>
    <row r="112">
      <c r="A112" t="inlineStr">
        <is>
          <t>li-4374516731</t>
        </is>
      </c>
      <c r="B112" t="inlineStr">
        <is>
          <t>Principal Machine Learning Engineer</t>
        </is>
      </c>
      <c r="C112" t="inlineStr">
        <is>
          <t>Acceler8 Talent</t>
        </is>
      </c>
      <c r="D112" t="inlineStr">
        <is>
          <t>linkedin</t>
        </is>
      </c>
      <c r="E112">
        <f>HYPERLINK("https://www.linkedin.com/jobs/view/4374516731", "https://www.linkedin.com/jobs/view/4374516731")</f>
        <v/>
      </c>
      <c r="F112" t="inlineStr"/>
      <c r="G112" t="inlineStr">
        <is>
          <t>Santa Clara County, CA</t>
        </is>
      </c>
      <c r="H112" t="inlineStr"/>
      <c r="I112" t="inlineStr">
        <is>
          <t>**Principal Machine Learning Engineer \- Inference Serving Frameworks** 
 Acceler8 Talent is seeking a Principal Machine Learning Engineer to join an early stage startup backed by a Tier\-1 VC that is rethinking AI infrastructure from first principles.
 Founded by highly respected industry veterans, they are innovating at the chip and system level to deliver an order of magnitude better performance\-per\-watt for inference, which would mean a huge economic shift for anyone running large scale models, unlocking larger context windows and longer generations, making new workloads economically viable.
**Responsibilities:** 
 ● Design, develop, and tune multi\-node inference techniques to optimize throughput and latency.
 ● Employ strategies such as TP/PP/EP hybrids, continuous batching, and KV cache management to optimize at the intersection of compute, networking, and storage.
 ● Drive performance improvements in frameworks (vLLM, SGLang, PyTorch) and develop advanced cluster scheduling algorithms to optimize throughput and latency.
 ● Engage with the open\-source community to upstream optimizations, influence roadmaps, and ensure the sustainability of our contributions.
 ● Apply best practices in performance benchmarking, testing, and debugging to maintain a robust production\-grade stack.
**Experience:** 
 ● Strong proficiency in Python, C\+\+, and PyTorch, with a demonstrated history of shipping high\-quality software in a startup or fast\-paced environment.
 ● Experience contributing to one or more LLM inference serving frameworks such as vLLM or SGLang.
 ● Deep understanding of LLM inference internals (KV cache, batching, attention mechanisms).
 ● Experience running and optimizing large\-scale workloads on heterogeneous clusters. Familiarity with networking, storage management, or distributed scheduling (e.g., Orca, LMCache) is a significant plus.
 ● Proficiency in performance analysis and GPU kernel development (CUDA, Triton, or ROCm) is a plus.
 ● Master’s or PhD in Computer Science, Computer Engineering, Electrical Engineering, or a related field.
 If you're looking for massive ownership, huge impact, and the opportunity to build from the ground up, please apply here or reach out to me at ltomaszko@acceler8talent.com to hear more.</t>
        </is>
      </c>
    </row>
    <row r="113">
      <c r="A113" t="inlineStr">
        <is>
          <t>li-4373815477</t>
        </is>
      </c>
      <c r="B113" t="inlineStr">
        <is>
          <t>Senior AI Engineer</t>
        </is>
      </c>
      <c r="C113" t="inlineStr">
        <is>
          <t>Capgemini</t>
        </is>
      </c>
      <c r="D113" t="inlineStr">
        <is>
          <t>linkedin</t>
        </is>
      </c>
      <c r="E113">
        <f>HYPERLINK("https://www.linkedin.com/jobs/view/4373815477", "https://www.linkedin.com/jobs/view/4373815477")</f>
        <v/>
      </c>
      <c r="F113">
        <f>HYPERLINK("https://www.capgemini.com/jobs/416947-en_GB_SAPBTP/Senior-AI-Engineer&amp;urlHash=AB7y", "https://www.capgemini.com/jobs/416947-en_GB_SAPBTP/Senior-AI-Engineer&amp;urlHash=AB7y")</f>
        <v/>
      </c>
      <c r="G113" t="inlineStr">
        <is>
          <t>Atlanta, GA</t>
        </is>
      </c>
      <c r="H113" t="inlineStr"/>
      <c r="I113"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Location
 This is a hybrid role based across multiple locations \- Atlanta, Nashville, Chicago, Dallas, New jersey
**About The Job You're Considering**
 The Capgemini Google Cloud team offers extensive career opportunities and provides mentoring and coaching for teammates. The Senior AI Engineer role is for an experinrced professional with expertise in Vertex AI MLOps, Traditional ML and supervised learning models.
 Your role
* The core of the project relies on Google Cloud Platform (GCP) and specifically Vertex AI
* Self\-directed, disciplined, and self\-aware to balance project development and support activities with a commitment to excellence in quality and communication
* Builds effective relationships and communicates with business partners and vendors to collect and clarify business requirements
**Your Skills And Experience**
* Senior candidate with 8 plus years relevant experience in Cloud Platform \&amp; AI Services (Google Cloud/Vertex AI).
* Vertex AI Capabilities: Using built\-in features for predictive and generative AI, as well as the Model Garden to discover and customize models.
* Vertex AI Pipelines: Building and executing steps in Vertex Pipelines, including understanding how to use Kubeflow to build pipeline templates for interoperability,.
* Core GCP Services: Configuring and enabling APIs for BigQuery, Google Cloud Storage, and managed Vertex AI notebooks.
* Good experience in MLOps \&amp; Automation \- A major focus of the engagement is establishing Machine Learning Operations (MLOps) maturity.
* CI/CD Integration: Implementing Continuous Integration/Continuous Delivery workflows using Cloud Build or GitHub to deploy pipeline components,.
* Model Lifecycle Management: Managing models through the Vertex AI Model Registry, using Artifact Registry for Docker images, and setting up Vertex AI Experiments for tracking pipeline runs.
* Infrastructure as Code (IaC): Developing automation scripts (likely Terraform, though 'IaC' is the term used) to manage the lifecycle of AI/ML sandbox projects and environments.
 The base compensation range for this role in the posted location is: $76,200 \- $187,740\.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114">
      <c r="A114" t="inlineStr">
        <is>
          <t>li-4375799763</t>
        </is>
      </c>
      <c r="B114" t="inlineStr">
        <is>
          <t>AI/ ML Engineer</t>
        </is>
      </c>
      <c r="C114" t="inlineStr">
        <is>
          <t>Jobs via Dice</t>
        </is>
      </c>
      <c r="D114" t="inlineStr">
        <is>
          <t>linkedin</t>
        </is>
      </c>
      <c r="E114">
        <f>HYPERLINK("https://www.linkedin.com/jobs/view/4375799763", "https://www.linkedin.com/jobs/view/4375799763")</f>
        <v/>
      </c>
      <c r="F114" t="inlineStr"/>
      <c r="G114" t="inlineStr">
        <is>
          <t>Dallas, TX</t>
        </is>
      </c>
      <c r="H114" t="inlineStr"/>
      <c r="I114" t="inlineStr">
        <is>
          <t>Dice is the leading career destination for tech experts at every stage of their careers. Our client, Raas Infotek LLC, is seeking the following. Apply via Dice today!
**Job Summary:**
 Experience with 12\+ experience and Design, develop, and deploy Machine Learning and AI models to solve business problems and integrate them into production systems.
**Key Responsibilities:**
* Build and deploy ML/DL models.
* Develop end\-to\-end ML pipelines.
* Perform data preprocessing, feature engineering, and model tuning.
* Deploy models using MLOps practices.
* Collaborate with data and software teams.
**Required Skills:**
* Strong Python programming.
* Experience with TensorFlow / PyTorch / Scikit\-learn
* Knowledge of NLP/Deep Learning.
* Experience with Docker \&amp; Kubernetes
* Exposure to cloud platforms like AWS / Microsoft Azure / Google Cloud Platform
**Education:** 
 Bachelor’s/Master’s in Computer Science or related field.</t>
        </is>
      </c>
    </row>
    <row r="115">
      <c r="A115" t="inlineStr">
        <is>
          <t>li-4377036979</t>
        </is>
      </c>
      <c r="B115" t="inlineStr">
        <is>
          <t>Lead AI Engineer - Search &amp; AI Components</t>
        </is>
      </c>
      <c r="C115" t="inlineStr">
        <is>
          <t>Salesforce</t>
        </is>
      </c>
      <c r="D115" t="inlineStr">
        <is>
          <t>linkedin</t>
        </is>
      </c>
      <c r="E115">
        <f>HYPERLINK("https://www.linkedin.com/jobs/view/4377036979", "https://www.linkedin.com/jobs/view/4377036979")</f>
        <v/>
      </c>
      <c r="F115">
        <f>HYPERLINK("https://salesforce.wd12.myworkdayjobs.com/External_Career_Site/job/Washington\u002d\u002d-Seattle/Lead-AI-Engineer\u002d\u002d-Search\u002d\u002d-AI-Components_JR324784?source=LinkedIn_Jobs&amp;urlHash=bZf4", "https://salesforce.wd12.myworkdayjobs.com/External_Career_Site/job/Washington\u002d\u002d-Seattle/Lead-AI-Engineer\u002d\u002d-Search\u002d\u002d-AI-Components_JR324784?source=LinkedIn_Jobs&amp;urlHash=bZf4")</f>
        <v/>
      </c>
      <c r="G115" t="inlineStr">
        <is>
          <t>Seattle, WA</t>
        </is>
      </c>
      <c r="H115" t="inlineStr"/>
      <c r="I115"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seeking a
 **Lead AI Engineer** 
 to shape the technical foundations of Salesforce’s
 **Agentic Enterprise** 
 product suite. In this role, you will develop
 **agentic retrieval and AI skills** 
 , leveraging
 **cutting\-edge AI, GraphRAG, and multi\-agent architectures** 
 . You will collaborate with data engineers, product managers, and data scientists to execute the product roadmap, building scalable, high\-impact solutions that redefine what’s possible in
 **Agentforce** 
 .
 You will be a
 **technical thought leader** 
 , translating innovative AI concepts into production\-ready systems that power next\-generation agentic experiences.
**Responsibilities**
**Architect Agentic Systems**
* Design and implement new features and functions across the app ecosystem in partnership with Product Managers and data engineers.
* Build scalable agentic AI architectures for MCP servers and multi\-agent environments.
**Implement Advanced Retrieval**
* Design RAG and GraphRAG pipelines to ensure agents are grounded in accurate, high\-context, and real\-time data.
* Optimize retrieval strategies for enhanced agent performance and responsiveness.
**AI Orchestration \&amp; Integration**
* Develop infrastructure that delivers seamless, responsive AI experiences for internal and external users.
* Integrate Salesforce technologies and open\-source tools to create the enterprise agentic data foundation.
**Operationalize AI Research**
* Collaborate with Data Scientists to translate evaluation metrics into scalable, production\-grade services.
* Establish frameworks to continuously measure and improve agent performance.
**Engineering Excellence**
* Define and enforce coding standards, testing strategies, and best practices to maintain high\-quality, high\-performance systems.
* Produce strategic technical documentation that captures architecture, product strategy, and implementation details.
**Qualifications**
**Education \&amp; Experience**
* Bachelor’s or Master’s degree in Computer Science, AI, Information Technology, or related fields.
* 8\+ years of proven experience as a full\-stack software engineer, developing robust web and AI\-enabled applications.
**Technical Expertise**
* Strong knowledge of embedding models, LLM grounding, and agentic AI skills development.
* Familiarity with the Salesforce ecosystem, Agentforce, and pro\-code tools such as Heroku.
* Hands\-on experience with NoSQL and Graph databases (Neo4j, MongoDB, Cassandra, Redis) and vector databases (Milvus, Pinecone).
* Proficient in back\-end development using Python, Java, or similar languages and server\-side frameworks.
* Skilled in version control (Git) and CI/CD pipelines for production deployment.
**Strategic \&amp; Analytical Skills**
* Ability to translate complex AI research into actionable engineering solutions.
* Strong problem\-solving skills and the ability to think strategically about emerging AI technologies.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$172,500 \- $260,100 annually. The range represents base salary only, and does not include company bonus, incentive for sales roles, equity or benefits, as applicable.</t>
        </is>
      </c>
    </row>
    <row r="116">
      <c r="A116" t="inlineStr">
        <is>
          <t>li-4374550662</t>
        </is>
      </c>
      <c r="B116" t="inlineStr">
        <is>
          <t>Machine Learning Engineer IV</t>
        </is>
      </c>
      <c r="C116" t="inlineStr">
        <is>
          <t>Panasonic Avionics Corporation</t>
        </is>
      </c>
      <c r="D116" t="inlineStr">
        <is>
          <t>linkedin</t>
        </is>
      </c>
      <c r="E116">
        <f>HYPERLINK("https://www.linkedin.com/jobs/view/4374550662", "https://www.linkedin.com/jobs/view/4374550662")</f>
        <v/>
      </c>
      <c r="F116" t="inlineStr"/>
      <c r="G116" t="inlineStr">
        <is>
          <t>Irvine, CA</t>
        </is>
      </c>
      <c r="H116" t="inlineStr"/>
      <c r="I116" t="inlineStr">
        <is>
          <t>**Overview**
 Our new global headquarters is conveniently located in Irvine, CA near John Wayne Airport in the Park Place development. For our onsite and hybrid employees you will be able to enjoy amenities such as access to many restaurants and shops, running trails, a fitness deck, outdoor seating, dry cleaning, car wash, free garage parking, car charging stations, shuttle service for train commuters, outdoor games like bocce, horseshoes, gaming tables, pickle ball, and basketball. For more information on Park Place visit www.parkplaceirvine.com
**Who We Are**
 Ever wonder who brings the entertainment to your flights? Panasonic Avionics Corporation is \#1 in the industry for delivering inflight products such as movies, games, WiFi, and now Bluetooth headphone connectivity!
 How exciting would it be to be a part of the innovation that goes into creating technology that delights millions of people in an industry that’s here to stay! With our company’s history spanning over 40 years, you will have stability, career growth opportunities, and will work with the brightest minds in the industry. And we are committed to a diverse and inclusive culture that will help our organization thrive! We seek diversity in many areas such as background, culture, gender, ways of thinking, skills and more.
 If you want to learn more about us visit us at www.panasonic.aero
 And for a full listing of open job opportunities go to www.panasonic.aero/join\-us/
**The Avionics Way**
 The Avionics Way captures the essence of what makes our employees special, and by extension, our organization. It’s comprised of 5 core identifiers \- Pioneers, Problem Solvers, Accountable, Collaborative, and Customer Focused \- that together form a robust, working framework for our continued success. Beyond a philosophy, the Avionics Way is our guide to daily practices. It provides a clear, actionable model to help employees, at all levels, realize their ambitions through outsized contributions to their teams and the company. This model clearly defines expectations for performance at all levels of the organization, as well as establishes specific actions and modes of working that reinforce our philosophy on the path to achieving our goals.
**Responsibilities**
 Leads machine learning projects, providing technical guidance and mentorship to junior and mid\-level engineers. Design, develop, and implement data\-driven solutions, leveraging machine learning techniques to enhance our In\-Flight Entertainment \&amp; Connectivity (IFEC) systems. Collaborate with cross\-functional teams to drive innovation and elevate the passenger experience through advanced technological solutions.
**What You Will Be Doing**
 Technical Leadership
* Lead the design and implementation of complex, robust, scalable, and high\-performance data\-driven systems, integrating machine learning algorithms to improve content delivery, personalization, and connectivity services.
 Algorithm Development \&amp; Implementation
* Develop and deploy machine learning models, predictive analytics, and data\-driven strategies to optimize user experiences and enhance IFEC functionalities.
* Develop machine learning frameworks, tools, and technologies. They often have expertise in specialized areas such as distributed computing, deep learning, or natural language processing. They may also have contributed to open\-source projects or developed custom tools and libraries.
 Machine Learning Infrastructure \&amp; Engineering
* Plays a key role in architectural decisions related to machine learning infrastructure and deployment pipelines.
* Represent the team in discussions with stakeholders, articulating technical concepts and recommending strategical technical direction.
* Designs scalable and efficient machine learning pipelines, leveraging cloud\-based platforms and distributed computing frameworks.
 Experimentation \&amp; Innovation
* Explore emerging trends and technologies in machine learning, conduct research, and propose innovative approaches to improve our IFEC offerings. Publish technical papers and submit patents.
 Cross\-functional Collaboration
* Work collaboratively with data scientists, software engineers, product managers, and internal and external stakeholders, effectively communicating technical concepts and insights to drive project alignment and success.
 Performance Optimization
* Continuously monitor and optimize the performance of machine learning models, identifying areas for improvement and implementing enhancements to achieve optimal results.
 Mentorship \&amp; Knowledge Sharing
* Mentor engineers, provide technical guidance, and contribute to the development of a culture of excellence and continuous learning within the team.
 The salary range of $138,000 – $231,000 annually is just one component of Panasonic’s total package. The final offer amount may vary based on factors including but not limited to individual’s knowledge, skills, experience, and location.
**Qualifications**
**What we are looking for:**
* Bachelor’s degree in Computer Science, Data Science, Software Engineering, or a related field. Advanced degree preferred.
* 8\+ years of experience in software engineering, with a focus on data\-driven applications, machine learning, or AI, preferably in the aerospace or tech industry.
* Demonstrated proficiency in programming languages such as Python, Java, or similar, along with expertise in machine learning frameworks (e.g., TensorFlow, PyTorch) and data processing technologies.
* Demonstrated leadership skills with the ability to lead technical initiatives, collaborate effectively across teams, and drive projects to successful completion.
* Excellent problem\-solving abilities, critical thinking, and a passion for innovation and technology.
* Ability to write technical publications preferred.
**What We Offer**
 At Panasonic Avionics Corporation we realize the most important aspects in leading our industry are the bright minds behind everything we do. We are proud to offer our employees a highly competitive, comprehensive and flexible benefits program.
* Paid time off: Exempt Salaried employees receive unlimited PTO. This means that there is no fixed number, range, or limit to the amount of Personal and Vacation Days that may be taken for exempt employees. Non\-exempt hourly employees accrue 14 vacation days per year \+ 7 sick days \+ 3 personal days. Accrual rate increases with tenure. All employees receive 11 company paid holidays per year plus a paid company\-wide shut down in the U.S. between Christmas and New Year.
* Insurance: Medical insurance offerings from Aetna and Kaiser (CA \&amp;HI). Options for Employee Only, Employee \+ Spouse/Domestic Partner, Employee \+ Children, or Family. Dental PPO and DMO options \&amp; Vision insurance through EyeMed or VSP.
* 401K with 50% match on up to 8% contribution, full vested from day 1\.
* Other offerings include: Wellness Program, Counseling services, FSA \&amp; HSA, Life Insurance for employee, spouse and child, AD\&amp;D Insurance, Long\-term and Short\-term disability, Critical Illness Insurance, Accident Insurance, Legal Assistance, Pet Insurance, Identity Theft Protection, Dependent Care FLSA, Education Assistance, Commuter Program, Employee Purchase Program, Service Award Program.
 Panasonic is proud to be an Equal Opportunity/Affirmative Action employer. All qualified applicants will receive consideration for employment without regard to race, color, religion,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 sensitive positions or as may otherwise be required by contract or law. Due to the high volume of responses, we will only be able to respond to candidates of interest. All candidates must have valid authorization to work in the U.S. Thank you for your interest in Panasonic Avionics Corporation.
**Salary Range**
 $138,000 \- $221,000 annually REQ\-153961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2026-02-24T03:33:05Z</dcterms:created>
  <dcterms:modified xsi:type="dcterms:W3CDTF">2026-02-24T03:33:05Z</dcterms:modified>
</cp:coreProperties>
</file>