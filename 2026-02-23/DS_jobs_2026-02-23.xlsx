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7"/>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in-cf4e320a103759f6</t>
        </is>
      </c>
      <c r="B2" t="inlineStr">
        <is>
          <t>Sr. Applied Scientist, Amazon Ads</t>
        </is>
      </c>
      <c r="C2" t="inlineStr">
        <is>
          <t>Amazon.com</t>
        </is>
      </c>
      <c r="D2" t="inlineStr">
        <is>
          <t>indeed</t>
        </is>
      </c>
      <c r="E2" t="inlineStr"/>
      <c r="F2" t="inlineStr"/>
      <c r="G2" t="inlineStr">
        <is>
          <t>Brooklyn, NY, US</t>
        </is>
      </c>
      <c r="H2" s="1"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in-61fd44ec8f339648</t>
        </is>
      </c>
      <c r="B3" t="inlineStr">
        <is>
          <t>Sr. Applied Scientist, Amazon Ads</t>
        </is>
      </c>
      <c r="C3" t="inlineStr">
        <is>
          <t>Amazon.com</t>
        </is>
      </c>
      <c r="D3" t="inlineStr">
        <is>
          <t>indeed</t>
        </is>
      </c>
      <c r="E3" t="inlineStr"/>
      <c r="F3" t="inlineStr"/>
      <c r="G3" t="inlineStr">
        <is>
          <t>Tukwila, WA, US</t>
        </is>
      </c>
      <c r="H3" s="1"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in-7197f9b67df51b13</t>
        </is>
      </c>
      <c r="B4" t="inlineStr">
        <is>
          <t>Sr. Applied Scientist, Amazon Ads</t>
        </is>
      </c>
      <c r="C4" t="inlineStr">
        <is>
          <t>Amazon.com</t>
        </is>
      </c>
      <c r="D4" t="inlineStr">
        <is>
          <t>indeed</t>
        </is>
      </c>
      <c r="E4" t="inlineStr"/>
      <c r="F4" t="inlineStr"/>
      <c r="G4" t="inlineStr">
        <is>
          <t>Boulder, CO, US</t>
        </is>
      </c>
      <c r="H4" s="1"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in-d915e8a365060c59</t>
        </is>
      </c>
      <c r="B5" t="inlineStr">
        <is>
          <t>Sr. Applied Scientist, Amazon Ads</t>
        </is>
      </c>
      <c r="C5" t="inlineStr">
        <is>
          <t>Amazon.com</t>
        </is>
      </c>
      <c r="D5" t="inlineStr">
        <is>
          <t>indeed</t>
        </is>
      </c>
      <c r="E5" t="inlineStr"/>
      <c r="F5" t="inlineStr"/>
      <c r="G5" t="inlineStr">
        <is>
          <t>Seattle, WA, US</t>
        </is>
      </c>
      <c r="H5" s="1"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in-675588ad3bd38f99</t>
        </is>
      </c>
      <c r="B6" t="inlineStr">
        <is>
          <t>Sr. Applied Scientist, Amazon Ads</t>
        </is>
      </c>
      <c r="C6" t="inlineStr">
        <is>
          <t>Amazon.com</t>
        </is>
      </c>
      <c r="D6" t="inlineStr">
        <is>
          <t>indeed</t>
        </is>
      </c>
      <c r="E6" t="inlineStr"/>
      <c r="F6" t="inlineStr"/>
      <c r="G6" t="inlineStr">
        <is>
          <t>Sunnyvale, CA, US</t>
        </is>
      </c>
      <c r="H6" s="1"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in-ccbaaba11ad30056</t>
        </is>
      </c>
      <c r="B7" t="inlineStr">
        <is>
          <t>Sr. Applied Scientist, Amazon Ads</t>
        </is>
      </c>
      <c r="C7" t="inlineStr">
        <is>
          <t>Amazon.com</t>
        </is>
      </c>
      <c r="D7" t="inlineStr">
        <is>
          <t>indeed</t>
        </is>
      </c>
      <c r="E7" t="inlineStr"/>
      <c r="F7" t="inlineStr"/>
      <c r="G7" t="inlineStr">
        <is>
          <t>New York, NY, US</t>
        </is>
      </c>
      <c r="H7" s="1"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in-fbc9cfabf62a7da7</t>
        </is>
      </c>
      <c r="B8" t="inlineStr">
        <is>
          <t>Sr. Applied Scientist, Amazon Ads</t>
        </is>
      </c>
      <c r="C8" t="inlineStr">
        <is>
          <t>Amazon.com</t>
        </is>
      </c>
      <c r="D8" t="inlineStr">
        <is>
          <t>indeed</t>
        </is>
      </c>
      <c r="E8" t="inlineStr"/>
      <c r="F8" t="inlineStr"/>
      <c r="G8" t="inlineStr">
        <is>
          <t>Corvallis, OR, US</t>
        </is>
      </c>
      <c r="H8" s="1"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in-4915f4f20957515d</t>
        </is>
      </c>
      <c r="B9" t="inlineStr">
        <is>
          <t>Sr. Applied Scientist, Amazon Ads</t>
        </is>
      </c>
      <c r="C9" t="inlineStr">
        <is>
          <t>Amazon.com</t>
        </is>
      </c>
      <c r="D9" t="inlineStr">
        <is>
          <t>indeed</t>
        </is>
      </c>
      <c r="E9" t="inlineStr"/>
      <c r="F9" t="inlineStr"/>
      <c r="G9" t="inlineStr">
        <is>
          <t>Boston, MA, US</t>
        </is>
      </c>
      <c r="H9" s="1"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in-232c86889f9080ff</t>
        </is>
      </c>
      <c r="B10" t="inlineStr">
        <is>
          <t>Sr. Applied Scientist, Amazon Ads</t>
        </is>
      </c>
      <c r="C10" t="inlineStr">
        <is>
          <t>Amazon.com</t>
        </is>
      </c>
      <c r="D10" t="inlineStr">
        <is>
          <t>indeed</t>
        </is>
      </c>
      <c r="E10" t="inlineStr"/>
      <c r="F10" t="inlineStr"/>
      <c r="G10" t="inlineStr">
        <is>
          <t>Palo Alto, CA, US</t>
        </is>
      </c>
      <c r="H10" s="1"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in-756dbe4b69655468</t>
        </is>
      </c>
      <c r="B11" t="inlineStr">
        <is>
          <t>Sr. Applied Scientist, Amazon Ads</t>
        </is>
      </c>
      <c r="C11" t="inlineStr">
        <is>
          <t>Amazon.com</t>
        </is>
      </c>
      <c r="D11" t="inlineStr">
        <is>
          <t>indeed</t>
        </is>
      </c>
      <c r="E11" t="inlineStr"/>
      <c r="F11" t="inlineStr"/>
      <c r="G11" t="inlineStr">
        <is>
          <t>Santa Monica, CA, US</t>
        </is>
      </c>
      <c r="H11" s="1"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in-f29d44a9aefb4992</t>
        </is>
      </c>
      <c r="B12" t="inlineStr">
        <is>
          <t>Applied Scientist II, Prime Video - Personalization and Discovery Science, Personalization and Discovery Science</t>
        </is>
      </c>
      <c r="C12" t="inlineStr">
        <is>
          <t>Amazon.com</t>
        </is>
      </c>
      <c r="D12" t="inlineStr">
        <is>
          <t>indeed</t>
        </is>
      </c>
      <c r="E12" t="inlineStr"/>
      <c r="F12" t="inlineStr"/>
      <c r="G12" t="inlineStr">
        <is>
          <t>Sunnyvale, CA, US</t>
        </is>
      </c>
      <c r="H12" s="1" t="n">
        <v>45930</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in-2eb7614b1413e427</t>
        </is>
      </c>
      <c r="B13" t="inlineStr">
        <is>
          <t>Applied Scientist II, Prime Video - Personalization and Discovery Science, Personalization and Discovery Science</t>
        </is>
      </c>
      <c r="C13" t="inlineStr">
        <is>
          <t>Amazon.com</t>
        </is>
      </c>
      <c r="D13" t="inlineStr">
        <is>
          <t>indeed</t>
        </is>
      </c>
      <c r="E13" t="inlineStr"/>
      <c r="F13" t="inlineStr"/>
      <c r="G13" t="inlineStr">
        <is>
          <t>New York, NY, US</t>
        </is>
      </c>
      <c r="H13" s="1" t="n">
        <v>45930</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in-4eaa9ad8d5d10edd</t>
        </is>
      </c>
      <c r="B14" t="inlineStr">
        <is>
          <t>Applied Scientist II, Prime Video - Personalization and Discovery Science, Personalization and Discovery Science</t>
        </is>
      </c>
      <c r="C14" t="inlineStr">
        <is>
          <t>Amazon.com</t>
        </is>
      </c>
      <c r="D14" t="inlineStr">
        <is>
          <t>indeed</t>
        </is>
      </c>
      <c r="E14" t="inlineStr"/>
      <c r="F14" t="inlineStr"/>
      <c r="G14" t="inlineStr">
        <is>
          <t>Seattle, WA, US</t>
        </is>
      </c>
      <c r="H14" s="1" t="n">
        <v>45930</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in-3cc80c94e1bd1f01</t>
        </is>
      </c>
      <c r="B15" t="inlineStr">
        <is>
          <t>Applied Scientist II, Prime Video - Personalization and Discovery Science</t>
        </is>
      </c>
      <c r="C15" t="inlineStr">
        <is>
          <t>Amazon.com</t>
        </is>
      </c>
      <c r="D15" t="inlineStr">
        <is>
          <t>indeed</t>
        </is>
      </c>
      <c r="E15" t="inlineStr"/>
      <c r="F15" t="inlineStr"/>
      <c r="G15" t="inlineStr">
        <is>
          <t>New York, NY, US</t>
        </is>
      </c>
      <c r="H15" s="1" t="n">
        <v>45881</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in-1be45389c40c1a10</t>
        </is>
      </c>
      <c r="B16" t="inlineStr">
        <is>
          <t>Sr. Applied Scientist, Prime Video - Personalization and Discovery Science</t>
        </is>
      </c>
      <c r="C16" t="inlineStr">
        <is>
          <t>Amazon.com</t>
        </is>
      </c>
      <c r="D16" t="inlineStr">
        <is>
          <t>indeed</t>
        </is>
      </c>
      <c r="E16" t="inlineStr"/>
      <c r="F16" t="inlineStr"/>
      <c r="G16" t="inlineStr">
        <is>
          <t>New York, NY, US</t>
        </is>
      </c>
      <c r="H16" s="1" t="n">
        <v>45881</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in-a5ff7471ae346392</t>
        </is>
      </c>
      <c r="B17" t="inlineStr">
        <is>
          <t>Sr. Applied Scientist, Prime Video - Personalization and Discovery Science</t>
        </is>
      </c>
      <c r="C17" t="inlineStr">
        <is>
          <t>Amazon.com</t>
        </is>
      </c>
      <c r="D17" t="inlineStr">
        <is>
          <t>indeed</t>
        </is>
      </c>
      <c r="E17" t="inlineStr"/>
      <c r="F17" t="inlineStr"/>
      <c r="G17" t="inlineStr">
        <is>
          <t>Sunnyvale, CA, US</t>
        </is>
      </c>
      <c r="H17" s="1"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in-3e2dc976a18cdf98</t>
        </is>
      </c>
      <c r="B18" t="inlineStr">
        <is>
          <t>Applied Scientist II, Prime Video - Personalization and Discovery Science</t>
        </is>
      </c>
      <c r="C18" t="inlineStr">
        <is>
          <t>Amazon.com</t>
        </is>
      </c>
      <c r="D18" t="inlineStr">
        <is>
          <t>indeed</t>
        </is>
      </c>
      <c r="E18" t="inlineStr"/>
      <c r="F18" t="inlineStr"/>
      <c r="G18" t="inlineStr">
        <is>
          <t>Sunnyvale, CA, US</t>
        </is>
      </c>
      <c r="H18" s="1"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in-828edff1f48e3d38</t>
        </is>
      </c>
      <c r="B19" t="inlineStr">
        <is>
          <t>Applied Scientist II, Prime Video - Personalization and Discovery Science</t>
        </is>
      </c>
      <c r="C19" t="inlineStr">
        <is>
          <t>Amazon.com</t>
        </is>
      </c>
      <c r="D19" t="inlineStr">
        <is>
          <t>indeed</t>
        </is>
      </c>
      <c r="E19" t="inlineStr"/>
      <c r="F19" t="inlineStr"/>
      <c r="G19" t="inlineStr">
        <is>
          <t>Seattle, WA, US</t>
        </is>
      </c>
      <c r="H19" s="1"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in-d25b6515c0243958</t>
        </is>
      </c>
      <c r="B20" t="inlineStr">
        <is>
          <t>Sr. Applied Scientist, Prime Video - Personalization and Discovery Science</t>
        </is>
      </c>
      <c r="C20" t="inlineStr">
        <is>
          <t>Amazon.com</t>
        </is>
      </c>
      <c r="D20" t="inlineStr">
        <is>
          <t>indeed</t>
        </is>
      </c>
      <c r="E20" t="inlineStr"/>
      <c r="F20" t="inlineStr"/>
      <c r="G20" t="inlineStr">
        <is>
          <t>Seattle, WA, US</t>
        </is>
      </c>
      <c r="H20" s="1"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in-8e6d069b2afe94ef</t>
        </is>
      </c>
      <c r="B21" t="inlineStr">
        <is>
          <t>Principal Data Scientist</t>
        </is>
      </c>
      <c r="C21" t="inlineStr">
        <is>
          <t>Epicor Software</t>
        </is>
      </c>
      <c r="D21" t="inlineStr">
        <is>
          <t>indeed</t>
        </is>
      </c>
      <c r="E21" t="inlineStr"/>
      <c r="F21" t="inlineStr"/>
      <c r="G21" t="inlineStr">
        <is>
          <t>Lehi, UT, US</t>
        </is>
      </c>
      <c r="H21" s="1" t="n">
        <v>46075</v>
      </c>
      <c r="I21" t="inlineStr">
        <is>
          <t>As a Principal Data Scientist at Epicor, you will be the technical leader driving advanced analytics, machine learning, and AI strategy across our product ecosystem. You will guide data scientists and analytics engineers, shape the technical architecture of ML solutions, and ensure our analytics experiences are impactful, intuitive, and aligned with real customer use cases. You will be responsible for influencing product direction, introducing emerging technologies, and delivering high‑value models that scale across complex datasets and customer environments. We are seeking applicants with deep technical expertise, strong leadership instincts, and the ability to partner across teams to deliver meaningful business outcomes.
**What you will be doing:**
---------------------------
* Provide technical leadership, mentorship, and industry expertise to data scientists and analytics engineers, guiding high‑complexity modeling and solution design.
* Lead the development of analytics product packages aligned with product roadmaps or customer contracts, ensuring the end‑user experience maps to clear business use cases.
* Conduct research, perform advanced statistical and ML modeling, and drive the front‑end analytics user experience for customer‑facing solutions.
* Partner across cross‑functional analytics teams—including DW engineers, ETL engineers, data science engineers, data production teams, SMEs, and customers—to architect end‑to‑end analytics solutions.
* Evaluate and integrate emerging analytics technologies, new data sources, and modern ML/AI approaches to keep Epicor’s analytics offerings innovative and competitive.
* Develop and apply advanced models and algorithms to improve operations, enhance customer outcomes, and answer complex business questions.
* Mine and analyze large, complex, and unstructured datasets using sophisticated statistical methods to drive data‑informed decision‑making and product excellence.
* Collaborate with product operations leadership to ensure high availability, performance, and reliability of analytics solutions that meet or exceed contracted service levels.
**What you will likely bring:**
-------------------------------
* 9\+ years’ experience building, deploying, and supporting large‑scale analytics, ML, or AI solutions.
* Advanced proficiency in Python, including expertise in building ML/AI models at scale.
* Experience with PyTorch, ML SDKs, and production‑grade machine learning frameworks.
* Strong background working with large datasets and architecting scalable data science solutions.
* Advanced analytical thinking, statistical and mathematical expertise, and skill in solving highly complex technical problems.
* Experience with SQL and/or Python for analytics, and exposure to database modeling and data‑warehousing concepts.
* Experience with front‑end analytics platforms such as MicroStrategy, Power BI, or Tableau.
* Experience implementing ML or data science routines in Python and/or R.
**What could set you apart:**
-----------------------------
* Experience with GPU‑accelerated ML or deep learning workflows.
* Experience writing, interpreting, or applying ML/AI whitepapers or research findings.
* Ability to influence and lead cross‑functional technical decisions across finance, professional services, engineering, and product teams.
* Experience with big data pipelines and distributed compute environments.
* Strong capability in advanced data visualization and high‑volume BI tools such as Tableau or MicroStrategy.
\#LI\-HYBRID \#LI\-MB2
**About Epicor**
At Epicor, we’re truly a team. Join 5,000 talented professionals in creating a world of better business through data, AI, and cognitive ERP. We help businesses stay future\-ready by connecting people, processes, and technology. From software engineers who command the latest AI technology to business development reps who help us seize new opportunities, the work we do matters. Together, Epicor employees are creating a more resilient global supply chain.
**We’re** **Proactive, Proud, Partners** **.**
Whatever your career journey, we’ll help you find the right path. Through our training courses, mentorship, and continuous support, you’ll get everything you need to thrive. At Epicor, your success is our success. And that success really matters, because we’re the essential partners for the world’s most essential businesses—the hardworking companies who make, move, and sell the things the world needs.
**Competitive Pay \&amp; Benefits**
* **Health and Wellness:** Comprehensive health and wellness benefits designed to support your overall well\-being.
* **Internal Mobility:** Opportunities for mentorship, continuing education, and focused career goal setting, with 25% of positions filled internally.
* **Career Development:** Free LinkedIn Learning licenses for everyone, along with our Mentoring Program to boost your personal development.
* **Education Support:** Geographically specific programs to balance the cost of education with the benefits of continued learning and personal development.
* **Inclusive Workplace:** Collaborate with a diverse team in an inclusive, global workplace that fosters innovation and celebrates partnership.
* **Work\-Life Balance:** Policies built on mutual trust and support, encouraging time off to rest, recharge, and reconnect.
* **Global Mobility:** Comprehensive support for international relocations and permanent residency processes.
**Equal Opportunities and Accommodations Statement**
Epicor is committed to creating a workplace and global community where inclusion is valued; where you bring the whole and real you— that’s who we’re interested in. If you have interest in this or any role\- but your experience doesn’t match every qualification of the job description, that’s okay\- consider applying regardless.
We are an equal\-opportunity employer.
**Recruiter:**
Matthew Brady</t>
        </is>
      </c>
    </row>
    <row r="22">
      <c r="A22" t="inlineStr">
        <is>
          <t>in-9d327ea3b7cd34ed</t>
        </is>
      </c>
      <c r="B22" t="inlineStr">
        <is>
          <t>Data Scientist, AWS Infrastructure Services Science</t>
        </is>
      </c>
      <c r="C22" t="inlineStr">
        <is>
          <t>Amazon.com</t>
        </is>
      </c>
      <c r="D22" t="inlineStr">
        <is>
          <t>indeed</t>
        </is>
      </c>
      <c r="E22" t="inlineStr"/>
      <c r="F22" t="inlineStr"/>
      <c r="G22" t="inlineStr">
        <is>
          <t>Seattle, WA, US</t>
        </is>
      </c>
      <c r="H22" s="1" t="n">
        <v>46065</v>
      </c>
      <c r="I2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23">
      <c r="A23" t="inlineStr">
        <is>
          <t>in-f4568bcd3d9ac05b</t>
        </is>
      </c>
      <c r="B23" t="inlineStr">
        <is>
          <t>Data Scientist, AWS Infrastructure Services Science</t>
        </is>
      </c>
      <c r="C23" t="inlineStr">
        <is>
          <t>Amazon.com</t>
        </is>
      </c>
      <c r="D23" t="inlineStr">
        <is>
          <t>indeed</t>
        </is>
      </c>
      <c r="E23" t="inlineStr"/>
      <c r="F23" t="inlineStr"/>
      <c r="G23" t="inlineStr">
        <is>
          <t>Herndon, VA, US</t>
        </is>
      </c>
      <c r="H23" s="1" t="n">
        <v>46065</v>
      </c>
      <c r="I2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24">
      <c r="A24" t="inlineStr">
        <is>
          <t>in-279801a98be7b1de</t>
        </is>
      </c>
      <c r="B24" t="inlineStr">
        <is>
          <t>Data Scientist</t>
        </is>
      </c>
      <c r="C24" t="inlineStr">
        <is>
          <t>U.S. Citizenship and Immigration Services</t>
        </is>
      </c>
      <c r="D24" t="inlineStr">
        <is>
          <t>indeed</t>
        </is>
      </c>
      <c r="E24" t="inlineStr"/>
      <c r="F24" t="inlineStr"/>
      <c r="G24" t="inlineStr">
        <is>
          <t>Camp Springs, MD, US</t>
        </is>
      </c>
      <c r="H24" s="1" t="n">
        <v>46075</v>
      </c>
      <c r="I24" t="inlineStr">
        <is>
          <t>**Summary**
-----------
Protect your homeland and defend your culture. Join USCIS, America's frontline defense against illegal foreign infiltration and fraud.  
As a **Data Scientist**, you will gather and analyze facts, determine the accuracy of data, apply technical proficiency in using current software functionality, and research ways to improve production and/or increase the quality of the work product.
**This job is open to**
-----------------------
### **The public**
U.S. Citizens, Nationals or those who owe allegiance to the U.S.
### **Career transition (CTAP, ICTAP, RPL)**
Federal employees whose job, agency or department was eliminated and are eligible for priority over other applicants.
### **Clarification from the agency**
If you're ready to help safeguard the nation's immigration system and combat immigration fraud, review the HOW TO APPLY section for steps to prepare for your online applications. These positions will be filled through the Office of Personnel Management's Direct Hire Authority for the occupations and is open to all U.S. citizens.
**Duties**
----------
* Organizational Location: This position is located in the Department of Homeland Security, U.S. Citizenship and Immigration Services, within Fraud Detection and National Security Directorate, HQFDNS and are assigned based on the need of the agency.
* Apply statistical theories, procedures, and techniques to design analyses and studies of the agency's programs, operations, and databases to produce valid and reliable threat and vulnerability assessments.
* Lead efforts to prioritize and collect specialized data sets from restricted and readily available sources required to create visualization products (e.g., dashboards) using information technology resources.
* Evaluate and produce recommendations for selecting the appropriate algorithms to most efficiently address a problem when working with large data sets or in resource\-constrained environments.
* Evaluate alternatives to determine the most appropriate and feasible methodology for studying immigration data efficiently and reliably, including developing new or modified techniques, procedures, or tools to better highlight trends and findings.
* Serve as a technical expert and consultant in analytical projects by: representing FDNS and/or the agency at meetings and conferences; coordinating with subject matter experts to resolve novel research problems; and provide training to staff.
* Coordinate with information technology and contractor resources and staff on a frequent basis to assist with implementing new policies and tasks associated with enhanced data validation and processing
**Requirements**
----------------
### **Conditions of employment**
**Conditions of Employment:**
* You must be a U.S. Citizen or U.S. National to apply for this position
* Successfully pass a Background Investigation including financial disclosure
* You must pass a drug screening
* Males born after 12/31/1959 must be registered with the Selective Service
* Political appointees may require OPM approval before on\-boarding
* USCIS applies the Telework Enhancement Act of 2010 to its telework program
This position **IS NOT** considered "essential" for purposes of reporting to work when the facility might otherwise be closed.  
**THIS IS NOT A LAW ENFORCEMENT (COVERED) POSITION.**  
**Residency Requirement**: There is a residency requirement for all applicants not currently employed by U.S. Citizenship and Immigration Services. This residency requirement states that candidates must have, for three of the last five years immediately prior to applying for this position; (1\) resided in the United States; OR (2\) worked for the United States Government as an employee overseas in a Federal or Military capacity, OR (3\) been a dependent of a U.S. Federal or Military employee serving overseas.  
**Probationary Period:** You may be required to serve a probationary period of 1 year.
### **Qualifications**
**The qualifications for this position must be met by 11:59 PM (Eastern Time) on** **03/04/2026\.**  
**Time in Grade does not apply to Delegated Examining Announcements, any reference to Time in Grade in the questionnaire will not apply to the rating and ranking of applicants.**  
**This announcement is issued under the Direct Hire Authority to recruit for positions for which the Department of Homeland Security, U.S. Citizenship and Immigration Services, has a critical hiring need.**  
**Basic Requirements:** All applicants must meet the following basic requirements: (Must be supported in Transcripts from an accredited institution, Resume and/or Applicable Certificate)
* Degree: Mathematics, statistics, computer science, data science or field directly related to the position. The degree must be in a major field of study (at least at the baccalaureate level) that is appropriate for the position. OR
* Combination of education and experience: Courses equivalent to a major field of study (30 semester hours) as shown in paragraph A above, plus additional education or appropriate experience.
**Selective Placement Factor:** You must have experience working with programming languages such as: SQL, R, Python, SAS, SPSS or Stata to conduct statistical analyses, query or integrate data sets. This experience must be documented in your resume. Failure to do so may result in an ineligible rating.
**GS\-14**: You qualify at the GS\-14 level if you possess one (1\) year of specialized experience, which is equivalent to at least the GS\-13 level in the federal government, that equipped you with the skills needed to successfully perform the duties of the position. You must have experience performing the following duties:
* Using technical programming and data analysis tools to derive insights from large and varied data sets;
* Applying statistical methods in analytical projects to produce recommendations for improvements to agency programs;
* Leading cross\-functional teams to design and implement data\-driven solutions that address organizational challenges and support strategic decision\-making; and,
* Communicating analytical findings or technical concepts to senior leadership and non\-technical stakeholders through clear reports, presentations, or briefings.
**Please read the following important information to ensure you submit everything we need to consider your application:** It is your responsibility to ensure that you submit your responses and appropriate documentation prior to 03/04/2026\.Your resume will be used to determine your qualifications for the position advertised in this announcement. Therefore, your resume must highlight your most relevant, significant experience related to the requirements found in the qualification section of this announcement, as well as any applicable education. Limit your resume to no more than two pages. The USAJOBS database will not allow an applicant to submit an application that includes a resume over two pages. To help ensure your resume remains clear and easy to read, we recommend using margins of at least 0\.8 inches and a font size of at least 11 point. Be clear and specific when describing your work history since human resources cannot make assumptions regarding your experience. Your application will be rated and ranked based on your responses to the online questions.  
**Please ensure EACH work history includes ALL of the following information:**
* Job Title (include series and grade if Federal Job)
* Duties (be specific in describing your duties)
* Employer's name and address
* Supervisor name and phone number
* Start and end dates including month, day and year (e.g. June 18 2007 to April 05 2008\)
* Start and end dates for each grade/pay level if you've held a federal position.
* Full\-time or part\-time status (include hours worked per week)
* Salary
**Determining length of General or Specialized Experience is dependent on the above information and failure to provide the above information may result in a finding of ineligible.**  
**Note:** Overstating your qualifications and/or experience in your application materials or application questionnaire may result in your removal from consideration.  
**Federal Experience:** If you are using current or prior federal experience as a basis for qualifying for this position, the grade levels and length of employment (mm/dd/year) at each grade level must be listed in your work history. This information will be further validated if selected for this position.  
**National Service Experience (i.e., volunteer experience):** Experience refers to paid and unpaid experience, including volunteer work done through National Service programs (e.g., Peace Corps, AmeriCorps) and other organizations (e.g., professional; philanthropic; religious; spiritual; community, student, social). Volunteer work helps build criteria competencies, knowledge, and skills and can provide valuable training and experience that translates directly to paid employment. You will receive credit for all qualifying experience, including volunteer service.
### **Education**
**EDUCATIONAL SUBSTITUTION:** There is no educational substitution at this grade level.  
**Basic Education or Experience Requirement:** This position has a basic requirement that can be met by either education or experience. If you meet this requirement via education, you must submit a copy of your college transcript(s) (unofficial is acceptable) to support the basic educational requirement or a list of coursework with hours completed. For verification purposes, the transcript submitted must include your name and educational institution. If you meet this requirement via experience, the experience must be listed in your resume.  
The **Fraud Detection and National Security Directorate (FDNS)** was established within USCIS to strengthen national security and the integrity of the country's legal immigration system by closely aligning the adjudication of immigration benefits and services with the identification of potential threats to national security and/or public safety, the detection and deterrence of fraud, and the use of law enforcement and intelligence information to ensure optimal security for U.S. communities. FDNS systematically identifies updates, and records indicators of fraudulent activities; manages fraud cases; identifies vulnerabilities and other weaknesses that compromise the integrity of the legal immigration system; and coordinates and provides logistical support in law enforcement and national security matters. FDNS is the primary conduit for information sharing and collaboration with law enforcement and intelligence agencies.
**Voluntary Separation Incentive Payment (VSIP):** Per 5 CFR 576\.202, An employee who receives a Voluntary Separation Incentive Payment (VSIP) and later accepts employment for compensation with the Government of the United States within 5 years of the date of the separation on which the VSIP is based, including work under a personal services contract or other direct contract, must repay the entire amount of the VSIP to the agency that paid it (proof of payment is required) before the individual's first day of reemployment.
### **Additional information**
**Background Investigation:** To ensure the accomplishment of our mission, DHS requires every employee to be reliable and trustworthy. To meet those standards, all selected applicants must undergo and successfully pass a background investigation. This may include a review of financial issues such as delinquency in the payment of debts, child support and/or tax obligations, as well as certain criminal offenses and illegal use or possession of drugs. The background investigation process is initiated after a selection is made. For more information visit the OPM Mythbuster Page.  
If a **SECRET** or **TOP SECRET** clearance is needed or the position is designated a Sensitive National Security position, all selected candidates must meet the requirements for these clearances or Sensitive National Security position prior to placement AND maintain that level of clearance or national security eligibility while encumbering the position.  
DHS uses E\-Verify, an Internet\-based system, to confirm the eligibility of all newly hired employees to work in the United States. Learn more about E\-Verify, including your rights and responsibilities.  
If you receive a conditional offer of employment for this position, you will be required to complete an Optional Form 306, Declaration for Federal Employment, and to sign and certify the accuracy of all information in your application, prior to entry on duty. False statements on any part of the application may result in withdrawal of offer of employment, dismissal after beginning work, fine, or imprisonment.  
It is our responsibility to eliminate any risks to national security, public health, and public safety that could be posed by individuals who use illegal drugs. This position may be subject to random testing as a condition of employment. A positive drug test or refusal to be tested will result in disciplinary action, up to and including removal from Federal service.  
**Note**: If you previously retired from the Federal service and are receiving an annuity, your salary may be offset by the amount of your annuity.  
The Fair Chance to Compete for Jobs Act prohibits the Department of Homeland Security and its Components from requesting an applicant's criminal history record before that individual receives a conditional offer of employment. In accordance with 5 U.S. Code § 9202(c) and 5 C.F.R § 920\.201 certain positions are exempt from the provisions of the Fair Chance to Compete Act. Applicants who believe they have been subjected to a violation of the Fair Chance to Compete for Jobs Act, may submit a written complaint to our Staffing Helpdesk.  
DHS offers competitive salaries and an attractive benefits package, including health, dental, vision, life, and long\-term care insurance; retirement plan; Thrift Savings Plan \[similar to a 401(k)]; Flexible Spending Account; Employee Assistance Program; personal leave days; and paid federal holidays.  
Other benefits may include flexible work schedules; telework; tuition reimbursement; transportation subsidies; uniform allowance; health and wellness programs; and fitness centers. DHS is committed to employee development and offers a variety of employee training and developmental opportunities. For more information, go to the DHS Careers website and select "Benefits." Disabled veteran leave will be available to any Federal employee hired on or after November 5, 2016, who is a veteran with a service\- connected disability rating of 30 percent or more.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**Under the provisions of the Direct Hire Authority, veterans' preference and category rating do not apply.**  
Your resume must support your responses to the level of education claimed, experience, and/or training. To remain in consideration for this position, please ensure your resume covers this requirement and that your resume has been successfully submitted as part of your on\-line application package.  
**NOTE:** Your resume and supporting documentation will be verified. Please follow all instructions carefully. Errors or omissions may affect your consideration for employment.  
You may be referred to the hiring manager for consideration and may be contacted for an interview.  
**Agency Career Transition Assistance Program (CTAP) or the Interagency Career Transition Assistance Program (ICTAP) Eligible:**If you have never worked for the federal government, you are not CTAP/ICTAP eligible. View information about CTAP or ICTAP eligibility on OPM's Career Transition Resources website. To be considered well qualified under CTAP/ ICTAP, you must be placed in the Well\-Qualified category for this position, as described above. In addition, you must submit the supporting documents listed under the required documents section of this job announcement.  
**Note:** Applicants who are referred to the hiring office for selection consideration may be required to complete a writing sample and/or other writing exercise as part of the interview/selection process. If the hiring office decides to request a writing sample and/or other writing exercise as part of its selection process, a designated contractor or Agency representative will contact you to: (1\) inform you of this requirement; and (2\) provide further instructions.
**Required Documents**
----------------------
**Resume:** You must submit a resume that clearly demonstrates you have experience that meets the requirements of this position as outlined in the "Qualifications" section. Limit your resume to no more than two pages. The USAJOBS database will not allow an applicant to submit an application that includes a resume over two pages. To help ensure your resume remains clear and easy to read, we recommend using margins of at least 0\.8 inches and a font size of at least 11 point.  
Your responses to the job questionnaire https://apply.usastaffing.gov/ViewQuestionnaire/12891816, which are submitted through the on\-line application process in USAJOBS, DO NOT need to be attached as an additional document to your application.  
The Department of Homeland Security encourages persons with disabilities to apply, to include persons with intellectual, severe physical or psychiatric disabilities, as defined by 5 CFR 213\.3102(u), and or Disabled Veterans with a compensable service\-connected disability of 30 percent or more as defined by 5 CFR 315\.707\. Veterans, Peace Corps, VISTA volunteers, and persons with disabilities possess a wealth of unique talents, experiences, and competencies that can be invaluable to the DHS mission. If you are a member of one of these groups, you may not have to compete with the public for federal jobs. To determine your eligibility for non\-competitive appointment and to understand the required documentation, click on the links above or contact the servicing Human Resources Office listed at the bottom of this announcement.  
**Are you a current or former Federal employee?** Submit a copy of your official SF\-50\* (no text version) or other official "Notification of Personnel Action" document that shows the following information:
* your appointment in the competitive service
* tenure
* grade and step
* full performance level
**Are you claiming special priority selection rights under the Agency Career Transition Assistance Program (CTAP) or the Interagency Career Transition Assistance Program (ICTAP)? Submit:**
* a copy of your agency notice,
* a copy of your most recent performance rating, and
* a copy of your most recent SF\-50\*, Notification of Personnel Action, noting your current position, grade level, and duty location.
**Are you a current or former political Schedule A, Schedule C, Non\-career SES or Presidential Appointee employee?** Submit a copy of your applicable SF\-50\*, along with a statement that provides the following information regarding your most recent political appointment:
* Position Title
* Type of appointment (Schedule A, Schedule C, Non\-career SES, or Presidential Appointee)
* Agency
* Beginning and ending dates of appointment
* **A General Adjustment, Detail, Any Award (Cash, Time Off, Performance, etc.) or Realignment SF\-50 may NOT have the information needed.**
**Any offers of employment made pursuant to this announcement will be consistent with all applicable authorities, including Presidential Memoranda, Executive Orders, interpretive U.S. Office of Personnel Management guidance and U.S. Office of Management and Budget plans and policies concerning hiring. These authorities are subject to change.**  
**Applying to this announcement certifies that you give permission for DHS to share your application with others in DHS for similar positions.**  
Common definitions for hiring terms found in this announcement.
**How to Apply**
----------------
**Please read the entire announcement and all instructions before you begin an application.**  
You may submit a curriculum vitae (CV) and attach in the "other document" option.  
**Application Limit:** This vacancy is limited to the first **50** applications received. All applications received prior to midnight 11:59 PM (ET) of the day the application limit is reached will be accepted and considered. If the application limit is not reached by the closing date of the announcement, all applications received during the open period will be considered. Any required documents must be submitted at the time that you apply as documents will not be accepted past the day the application limit is reached, if applicable. If you choose to edit your application after it has been submitted, it will be removed from consideration until you re\-submit your application. The date your application is last submitted will be used to determine whether you meet the cut\-off criteria.  
To apply for this position, you must complete the initial online application, to include submission of the documentation specified in the Required Documents section above. The complete application package must be submitted by 11:59 PM (ET) on 03/04/2026 to receive consideration. The application process is as follows:
* To begin the application process, click the Apply Online
* Answer the questions presented in the application and attach all necessary supporting documentation.
* Click the Submit Application button prior to 11:59 PM (ET) 03/04/2026\.
To update your application, at any time during the announcement open period, return to your USAJOBS account. There you will find a record of your application, the application status, and an option to Update Application. This option will no longer be available once the announcement has closed.  
To verify the status of your application both during and after the announcement open period, log into your USAJOBS account (https://secure.login.gov/). All of your applications will appear on the Welcome page. The application record in your USAJOBS account provides the Announcement Status and a "You applied on" date. This information does not confirm the agency application status. Use the "Track this Application" link for additional information regarding the agency application status, the documentation you submitted and any correspondence we have sent related to this application. The Announcement Status will appear along with the date your application was last updated. For information on what each Announcement Status means, visit: https://www.usajobs.gov/Help/how\-to/application/status/.  
We strongly encourage you to apply online. If you cannot apply online, you must contact the Human Resource Office listed below at least one business day prior to 03/04/2026 for instructions. Applications will not be accepted by mail.  
### **Agency contact information**
HROC Staffing Help Desk
Phone
952\-697\-8380
Email
HROCStaffingHelpDesk@uscis.dhs.gov
### **Next steps**
Once you submit your application, we will assess your experience and training, identify the best qualified applicants, and refer those applications to the selecting official for further consideration and a possible interview. Your status will be updated on USAJOBS throughout the process. To check your status, log on to your USAJOBS account, click on "Track this Application." We expect to make a final job offer within 90 days after the deadline for applications. If you are selected, we will conduct a suitability/security background investigation.  
**Telework**: USCIS provides episodic telework opportunities for eligible employees serving in positions approved to work at an alternate work site in accordance with agency policy. Teleworkers are expected to work during dismissals and closures or request leave. **You will be expected to report for work at a USCIS facility based on the needs of the hiring office.**  
USCIS may fill one or more positions using this vacancy.  
Additional information pertaining to your interest and availability for this position may be needed after the closing date of the job opportunity announcement; therefore, a timely response to these requests must be adhered to in order to remain in consideration.  
**Conditions of Employment Reminder:** If you fail to meet the conditions of employment or any other pre\-employment requirements, such as missing any of the scheduled appointments, the hiring agency may rescind their tentative offer of employment.  
**The Office of Personnel Management (OPM) must authorize employment offers made to current or former political appointees. If you are currently, or have been within the last 5 years, a political Schedule A, Schedule C, Non\-career SES or Presidential Appointee employee in the Executive Branch, you must disclose this information to the Human Resources Office.**
**Overview**
------------
Accepting applications
Open \&amp; closing dates
02/23/2026 to 03/04/2026
This job will close when we have received **50 applications** which may be sooner than the closing date. Learn more
Salary
$143,913 to \- $187,093 per year
Pay scale \&amp; grade
GS 14
Location
1 vacancy in the following location:
Camp Springs, MD
Remote job
No
Telework eligible
Yes—as determined by the agency policy.
Travel Required
Not required
Relocation expenses reimbursed
No
Appointment type
Permanent
Work schedule
Full\-time
Service
Competitive
Promotion potential
None
Job family (Series)
* 1560 Data Science Series
Supervisory status
No
Security clearance
Secret
Drug test
Yes
Position sensitivity and risk
Noncritical\-Sensitive (NCS)/Moderate Risk
Trust determination process
* Credentialing
* Suitability/Fitness
* National security
Financial disclosure
No
Bargaining unit status
No
Announcement number
12891816\-FDSRAB\-DE\-26
Control number
858246200</t>
        </is>
      </c>
    </row>
    <row r="25">
      <c r="A25" t="inlineStr">
        <is>
          <t>in-a945eeadbd175e82</t>
        </is>
      </c>
      <c r="B25" t="inlineStr">
        <is>
          <t>Senior Data Scientist</t>
        </is>
      </c>
      <c r="C25" t="inlineStr">
        <is>
          <t>Mitsui Sumitomo Insurance Group</t>
        </is>
      </c>
      <c r="D25" t="inlineStr">
        <is>
          <t>indeed</t>
        </is>
      </c>
      <c r="E25" t="inlineStr"/>
      <c r="F25" t="inlineStr"/>
      <c r="G25" t="inlineStr">
        <is>
          <t>New York, NY, US</t>
        </is>
      </c>
      <c r="H25" s="1" t="n">
        <v>46075</v>
      </c>
      <c r="I25" t="inlineStr">
        <is>
          <t>MSIG USA continues to grow!
Company Overview:
MSIG USA is the US\-based subsidiary of MS\&amp;AD Insurance Group Holdings, Inc., one of the world’s top P\&amp;C carriers and a global Class 15 insurer, with A\+ ratings and a reach that spans 40\+ countries and regions. Leveraging our 350\-year heritage, MSIG USA brings the financial strength, expertise, and global footprint to offer commercial insurance solutions that address your business’s unique risks.
Summary/Job Purpose:
Data and analytics are at the heart of decision making at MSIG USA – a data\-driven specialty insurance provider in the US. We are seeking a highly analytical and innovative Insurance Data Scientist to join our Insurance Analytics team to help drive profitable growth in new and existing markets. This role involves designing and implementing advanced algorithms to extract actionable insights from large and complex datasets, applying statistical and machine learning techniques to solve business problems, and collaborating across departments (Pricing, Underwriting, Claims, Actuarial, etc.) to enhance decision\-making. The ideal candidate will possess balanced tactical and strategic thinking, problem\-solving skills, and the ability to communicate technical findings to non\-technical stakeholders. A passion for data\-driven decision making in the insurance domain is essential.
Essential Functions:* Perform ad\-hoc and recurring analyses across all insurance business units (e.g., pricing, underwriting, claims, operations, etc.) and lines of business. Extract insights from structured and unstructured data sources, including text.
* Develop end\-to\-end data science and analytics solutions (for all business units), including data preparation, model development, testing, documentation, implementation, monitoring, and iteration.
* Identify required technology and tools to support analysis and solutions, collaborating with other teams to implement these tools.
* Develop and implement data pipelines to support analytical needs and tools. Augement existing datasets with derived data and external information.
* Design visualizations and dashboards to support insight sharing and enable real\-time performance monitoring. Implement these solutions utilizing dashboarding tools and custom web applications.
* Collaborate cross\-functionally with IT, Data, Claims, Underwriting, Actuarial, Finance, and Leadership to identify and solve high\-impact problems. Work with these stakeholders to define the data science and analytics needs and become a trusted business partner by delivering on these requirements.
* Contribute to the prioritization and roadmapping of data and analytics initiatives.
* Communicate findings effectively to both technical and non\-technical audiences.
* Continuously seek opportunities to learn new skills and techniques, and actively share knowledge with peers.
Qualifications: To perform this job successfully, an individual must be able to perform each essential duty. The requirements listed below are representative of the knowledge, skill, and/or ability required. Reasonable accommodations may be made to enable individuals with disabilities to perform the essential functions.* Technical – Solid statistical, machine learning and data science skills, utilizing a variety of tools
* Tactical thinking – Ability to execute on short\-term business needs
* Strategic thinking – Ability to visualize long\-range solutions to business goals
* Innovation \- Displays original thinking and creativity
* Problem Solving \- Identifies root causes and resolves problems in a timely manner
* Teamwork \- Balances team and individual responsibilities
* Judgment \- Makes timely and sound decisions
* Planning/Organizing \- Prioritizes and plans work activities
* Quality \- Demonstrates and enforces accuracy and thoroughness
* Initiative \- Volunteers readily; Undertakes self\-development activities; Seeks increased responsibilities
Education and Experience Required:* Bachelor’s or Master’s degree in Computer Science, Statistics, Mathematics, or a related field
* Minimum of 5 years of relevant experience in data science and analytics, including machine learning
* Strong proficiency in Python or R for statistical analysis, model development, and application deployment
* Experience setting up and using various different data science tools (e.g. Airflow, Jupyter Notebooks, H20, Spark, etc.)
* Experience with dashboarding tools (e.g. Tableau, Power BI, etc.)
* Advanced SQL skills for data extraction, transformation, and manipulation
* Proven track record of end\-to\-end development of machine learning models
* Experience with data visualization tools such as Tableau or Power BI
* Excellent problem\-solving and critical thinking abilities
* Strong communication skills with the ability to convey technical concepts to non\-technical stakeholders
Preferred Qualifications* Experience in data science and analytics for commercial insurance, across all lines of business
* Experience using a range of different coding languages
* Experience working with unstructured data, including text, images, and video
* Familiarity with cloud computing platforms such as AWS or Azure
Why Join MSIG USA?
At MSIG USA, strength comes from experience — and vision. Backed by a 350\-year global legacy, we are forging a path forward in specialty insurance with the same stability and discipline that define our foundation. We are focused on innovation that matters: data\-driven, client\-focused, and built for long\-term impact.
You’ll join a company that values performance, integrity, and purposeful growth. Your role here is more than a job — it’s a commitment to delivering excellence alongside a high\-performing,
collaborative team.
Competitive Compensation Package includes:
Competitive salary commensurate with experience along with a performance\-based bonus.
SALARY: The estimated salary range for this position is $165,000 to $180,000 per year. This is a good\-faith assessment of the salary range for this position only. In determining the actual salary within this range, MSIG USA will consider a candidate’s relevant experience, location, and other job\-related factors.
Additional Benefits:
Healthcare and Retirement Benefits* Comprehensive medical, dental, and vision coverage
* 401(k) with a generous employer match and profit\-sharing contribution
* Wellness incentive program
* Life and accidental death and dismemberment (AD\&amp;D) insurance
* Flexible spending programs
* Short\-term and long\-term disability plans
Additional Benefit Programs* Paid time off program
* Paid charitable leave
* Paid parental leave
* Tuition reimbursement program
* Personal insurance (auto/homeowners) discounts
It's an exciting time for our company and a great opportunity to join a financially sound and growing global insurance group!  
It is the policy of MSIG USA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MSIG USA will provide reasonable accommodations for qualified individuals with disabilities.</t>
        </is>
      </c>
    </row>
    <row r="26">
      <c r="A26" t="inlineStr">
        <is>
          <t>in-e211211ee94282db</t>
        </is>
      </c>
      <c r="B26" t="inlineStr">
        <is>
          <t>Applied Scientist II, Physics Simulation, Amazon Industrial Robotics</t>
        </is>
      </c>
      <c r="C26" t="inlineStr">
        <is>
          <t>Amazon.com</t>
        </is>
      </c>
      <c r="D26" t="inlineStr">
        <is>
          <t>indeed</t>
        </is>
      </c>
      <c r="E26" t="inlineStr"/>
      <c r="F26" t="inlineStr"/>
      <c r="G26" t="inlineStr">
        <is>
          <t>Reading, MA, US</t>
        </is>
      </c>
      <c r="H26" s="1" t="n">
        <v>46057</v>
      </c>
      <c r="I2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We are seeking a talented Applied Scientist to join our advanced robotics team, focusing on developing and applying cutting\-edge simulation methodologies for advanced robotics systems. This role centers on research and development of physics\-based simulation techniques, sim\-to\-real transfer methods, and machine learning approaches that enable rapid development, testing, and validation of robotic systems operating in complex, real\-world environments.
Key job responsibilities  
* Advance physics\-based simulation fidelity for contact\-rich manipulation and locomotion
* Design and build high\-performance simulation tools integrated into a production robotics stack
* Translate research ideas into robust, scalable software pipelines
* Develop methods to quantify and reduce simulation\-to\-reality gaps across design, safety, and control
* Architect scalable simulation solutions for rigid and deformable body dynamics
* Build simulation pipelines optimized for large\-scale reinforcement and policy learning
* Establish frameworks for continuous simulation improvement using real\-world deployment data
* Collaborate with engineering, science, and safety teams on simulation requirements and validation
About the team  
Our team is building a comprehensive simulation platform for advanced robotics development, combining locomotion and manipulation capabilities. We operate at the cutting edge of physics simulation, reinforcement learning, and sim\-to\-real transfer, collaborating with world\-class robotics engineers, applied scientists, and mechanical designers in a fast\-paced, innovation\-driven environment.
This role uniquely combines fundamental research with real\-world deployment. You will pursue core research questions in physics\-based simulation while seeing your work translated into production systems, validated on real hardware, and informed by deployment data. Working alongside Simulation Software Engineers, you will help transform research ideas into scalable, production\-grade simulation capabilities that directly impact how robots are designed, trained, and deployed.
**BASIC QUALIFICATIONS**
------------------------
* Currently has, or is in the process of obtaining, a PhD in computer science, computer engineering, or related field
* 2\+ years of science, technology, engineering or related field experience
* Deep expertise in physics\-based simulation, including rigid and deformable dynamics, contact mechanics, computational geometry, and numerical methods
* Experience designing and optimizing physics\-based simulation systems for high\-performance and large\-scale computing environments
* Strong programming skills in C\+\+ and Python, with an emphasis on maintainable, performance\-critical code
* Working knowledge of modern physics engines such as MuJoCo, Isaac Lab, Drake, and Newton
**PREFERRED QUALIFICATIONS**
----------------------------
* Experience with reinforcement learning and policy training in simulation
* Familiarity with differentiable physics, learned simulation models, or neural physics engines
* Background in contact\-rich manipulation or legged locomotion simulation
* Experience with robotics model formats and pipelines (e.g., URDF, SDF, USD)
* Expertise in GPU\-accelerated computing and algorithms
* Experience deploying simulation\-trained policies on real robotic systems
* Demonstrated research leadership, from project conception through publication and deployment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27">
      <c r="A27" t="inlineStr">
        <is>
          <t>in-65d6416554cad2f7</t>
        </is>
      </c>
      <c r="B27" t="inlineStr">
        <is>
          <t>Applied Scientist II, Physics Simulation, Amazon Industrial Robotics</t>
        </is>
      </c>
      <c r="C27" t="inlineStr">
        <is>
          <t>Amazon.com</t>
        </is>
      </c>
      <c r="D27" t="inlineStr">
        <is>
          <t>indeed</t>
        </is>
      </c>
      <c r="E27" t="inlineStr"/>
      <c r="F27" t="inlineStr"/>
      <c r="G27" t="inlineStr">
        <is>
          <t>Reading, MA, US</t>
        </is>
      </c>
      <c r="H27" s="1" t="n">
        <v>46057</v>
      </c>
      <c r="I2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We are seeking a talented Applied Scientist to join our advanced robotics team, focusing on developing and applying cutting\-edge simulation methodologies for advanced robotics systems. This role centers on research and development of physics\-based simulation techniques, sim\-to\-real transfer methods, and machine learning approaches that enable rapid development, testing, and validation of robotic systems operating in complex, real\-world environments.
Key job responsibilities  
* Advance physics\-based simulation fidelity for contact\-rich manipulation and locomotion
* Design and build high\-performance simulation tools integrated into a production robotics stack
* Translate research ideas into robust, scalable software pipelines
* Develop methods to quantify and reduce simulation\-to\-reality gaps across design, safety, and control
* Architect scalable simulation solutions for rigid and deformable body dynamics
* Build simulation pipelines optimized for large\-scale reinforcement and policy learning
* Establish frameworks for continuous simulation improvement using real\-world deployment data
* Collaborate with engineering, science, and safety teams on simulation requirements and validation
About the team  
Our team is building a comprehensive simulation platform for advanced robotics development, combining locomotion and manipulation capabilities. We operate at the cutting edge of physics simulation, reinforcement learning, and sim\-to\-real transfer, collaborating with world\-class robotics engineers, applied scientists, and mechanical designers in a fast\-paced, innovation\-driven environment.
This role uniquely combines fundamental research with real\-world deployment. You will pursue core research questions in physics\-based simulation while seeing your work translated into production systems, validated on real hardware, and informed by deployment data. Working alongside Simulation Software Engineers, you will help transform research ideas into scalable, production\-grade simulation capabilities that directly impact how robots are designed, trained, and deployed.
**BASIC QUALIFICATIONS**
------------------------
* Currently has, or is in the process of obtaining, a PhD in computer science, computer engineering, or related field
* 2\+ years of science, technology, engineering or related field experience
* Deep expertise in physics\-based simulation, including rigid and deformable dynamics, contact mechanics, computational geometry, and numerical methods
* Experience designing and optimizing physics\-based simulation systems for high\-performance and large\-scale computing environments
* Strong programming skills in C\+\+ and Python, with an emphasis on maintainable, performance\-critical code
* Working knowledge of modern physics engines such as MuJoCo, Isaac Lab, Drake, and Newton
**PREFERRED QUALIFICATIONS**
----------------------------
* Experience with reinforcement learning and policy training in simulation
* Familiarity with differentiable physics, learned simulation models, or neural physics engines
* Background in contact\-rich manipulation or legged locomotion simulation
* Experience with robotics model formats and pipelines (e.g., URDF, SDF, USD)
* Expertise in GPU\-accelerated computing and algorithms
* Experience deploying simulation\-trained policies on real robotic systems
* Demonstrated research leadership, from project conception through publication and deployment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28">
      <c r="A28" t="inlineStr">
        <is>
          <t>in-05d7220a6e2d5294</t>
        </is>
      </c>
      <c r="B28" t="inlineStr">
        <is>
          <t>Sr. Applied Scientist - SLAM, Amazon Industrial Robotics</t>
        </is>
      </c>
      <c r="C28" t="inlineStr">
        <is>
          <t>Amazon.com</t>
        </is>
      </c>
      <c r="D28" t="inlineStr">
        <is>
          <t>indeed</t>
        </is>
      </c>
      <c r="E28" t="inlineStr"/>
      <c r="F28" t="inlineStr"/>
      <c r="G28" t="inlineStr">
        <is>
          <t>Reading, MA, US</t>
        </is>
      </c>
      <c r="H28" s="1" t="n">
        <v>46050</v>
      </c>
      <c r="I28"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9">
      <c r="A29" t="inlineStr">
        <is>
          <t>in-7949184f020e705f</t>
        </is>
      </c>
      <c r="B29" t="inlineStr">
        <is>
          <t>Sr. Applied Scientist - SLAM, Amazon Industrial Robotics</t>
        </is>
      </c>
      <c r="C29" t="inlineStr">
        <is>
          <t>Amazon.com</t>
        </is>
      </c>
      <c r="D29" t="inlineStr">
        <is>
          <t>indeed</t>
        </is>
      </c>
      <c r="E29" t="inlineStr"/>
      <c r="F29" t="inlineStr"/>
      <c r="G29" t="inlineStr">
        <is>
          <t>Reading, MA, US</t>
        </is>
      </c>
      <c r="H29" s="1" t="n">
        <v>46050</v>
      </c>
      <c r="I29"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0">
      <c r="A30" t="inlineStr">
        <is>
          <t>in-fd74b40b9baa285b</t>
        </is>
      </c>
      <c r="B30" t="inlineStr">
        <is>
          <t>Principal Applied Scientist, Sensing, Industrial Robotics Group</t>
        </is>
      </c>
      <c r="C30" t="inlineStr">
        <is>
          <t>Amazon.com</t>
        </is>
      </c>
      <c r="D30" t="inlineStr">
        <is>
          <t>indeed</t>
        </is>
      </c>
      <c r="E30" t="inlineStr"/>
      <c r="F30" t="inlineStr"/>
      <c r="G30" t="inlineStr">
        <is>
          <t>Reading, MA, US</t>
        </is>
      </c>
      <c r="H30" s="1" t="n">
        <v>46050</v>
      </c>
      <c r="I30"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31">
      <c r="A31" t="inlineStr">
        <is>
          <t>in-37aa838b467474f6</t>
        </is>
      </c>
      <c r="B31" t="inlineStr">
        <is>
          <t>Principal Applied Scientist, Sensing, Industrial Robotics Group</t>
        </is>
      </c>
      <c r="C31" t="inlineStr">
        <is>
          <t>Amazon.com</t>
        </is>
      </c>
      <c r="D31" t="inlineStr">
        <is>
          <t>indeed</t>
        </is>
      </c>
      <c r="E31" t="inlineStr"/>
      <c r="F31" t="inlineStr"/>
      <c r="G31" t="inlineStr">
        <is>
          <t>Reading, MA, US</t>
        </is>
      </c>
      <c r="H31" s="1" t="n">
        <v>46050</v>
      </c>
      <c r="I31"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32">
      <c r="A32" t="inlineStr">
        <is>
          <t>in-8e8cd7089830be66</t>
        </is>
      </c>
      <c r="B32" t="inlineStr">
        <is>
          <t>Sr. Applied Scientist, Sponsored Products Off-Search Sourcing</t>
        </is>
      </c>
      <c r="C32" t="inlineStr">
        <is>
          <t>Amazon.com</t>
        </is>
      </c>
      <c r="D32" t="inlineStr">
        <is>
          <t>indeed</t>
        </is>
      </c>
      <c r="E32" t="inlineStr"/>
      <c r="F32" t="inlineStr"/>
      <c r="G32" t="inlineStr">
        <is>
          <t>Palo Alto, CA, US</t>
        </is>
      </c>
      <c r="H32" s="1" t="n">
        <v>46049</v>
      </c>
      <c r="I32"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3">
      <c r="A33" t="inlineStr">
        <is>
          <t>in-0170cff21177b702</t>
        </is>
      </c>
      <c r="B33" t="inlineStr">
        <is>
          <t>Sr. Applied Scientist, Sponsored Products Off-Search Sourcing</t>
        </is>
      </c>
      <c r="C33" t="inlineStr">
        <is>
          <t>Amazon.com</t>
        </is>
      </c>
      <c r="D33" t="inlineStr">
        <is>
          <t>indeed</t>
        </is>
      </c>
      <c r="E33" t="inlineStr"/>
      <c r="F33" t="inlineStr"/>
      <c r="G33" t="inlineStr">
        <is>
          <t>Seattle, WA, US</t>
        </is>
      </c>
      <c r="H33" s="1" t="n">
        <v>46049</v>
      </c>
      <c r="I33"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4">
      <c r="A34" t="inlineStr">
        <is>
          <t>in-36cc4a47705b67b5</t>
        </is>
      </c>
      <c r="B34" t="inlineStr">
        <is>
          <t>Sr. Applied Scientist, Sponsored Products Off-Search Sourcing</t>
        </is>
      </c>
      <c r="C34" t="inlineStr">
        <is>
          <t>Amazon.com</t>
        </is>
      </c>
      <c r="D34" t="inlineStr">
        <is>
          <t>indeed</t>
        </is>
      </c>
      <c r="E34" t="inlineStr"/>
      <c r="F34" t="inlineStr"/>
      <c r="G34" t="inlineStr">
        <is>
          <t>New York, NY, US</t>
        </is>
      </c>
      <c r="H34" s="1" t="n">
        <v>46049</v>
      </c>
      <c r="I34"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5">
      <c r="A35" t="inlineStr">
        <is>
          <t>in-6579d80899f62538</t>
        </is>
      </c>
      <c r="B35" t="inlineStr">
        <is>
          <t>Principal Applied Scientist, AWS Science of Security</t>
        </is>
      </c>
      <c r="C35" t="inlineStr">
        <is>
          <t>Amazon.com</t>
        </is>
      </c>
      <c r="D35" t="inlineStr">
        <is>
          <t>indeed</t>
        </is>
      </c>
      <c r="E35" t="inlineStr"/>
      <c r="F35" t="inlineStr"/>
      <c r="G35" t="inlineStr">
        <is>
          <t>Arlington, VA, US</t>
        </is>
      </c>
      <c r="H35" s="1" t="n">
        <v>46049</v>
      </c>
      <c r="I35"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6">
      <c r="A36" t="inlineStr">
        <is>
          <t>in-4dbfb33a28952eed</t>
        </is>
      </c>
      <c r="B36" t="inlineStr">
        <is>
          <t>Principal Applied Scientist, AWS Science of Security</t>
        </is>
      </c>
      <c r="C36" t="inlineStr">
        <is>
          <t>Amazon.com</t>
        </is>
      </c>
      <c r="D36" t="inlineStr">
        <is>
          <t>indeed</t>
        </is>
      </c>
      <c r="E36" t="inlineStr"/>
      <c r="F36" t="inlineStr"/>
      <c r="G36" t="inlineStr">
        <is>
          <t>Seattle, WA, US</t>
        </is>
      </c>
      <c r="H36" s="1" t="n">
        <v>46049</v>
      </c>
      <c r="I36"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7">
      <c r="A37" t="inlineStr">
        <is>
          <t>in-ebd6ba92841921b6</t>
        </is>
      </c>
      <c r="B37" t="inlineStr">
        <is>
          <t>Principal Applied Scientist, AWS Science of Security</t>
        </is>
      </c>
      <c r="C37" t="inlineStr">
        <is>
          <t>Amazon.com</t>
        </is>
      </c>
      <c r="D37" t="inlineStr">
        <is>
          <t>indeed</t>
        </is>
      </c>
      <c r="E37" t="inlineStr"/>
      <c r="F37" t="inlineStr"/>
      <c r="G37" t="inlineStr">
        <is>
          <t>New York, NY, US</t>
        </is>
      </c>
      <c r="H37" s="1" t="n">
        <v>46049</v>
      </c>
      <c r="I37"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8">
      <c r="A38" t="inlineStr">
        <is>
          <t>in-5942f266e0849cad</t>
        </is>
      </c>
      <c r="B38" t="inlineStr">
        <is>
          <t>Senior Applied Scientist, Amazon Industrial Robotics</t>
        </is>
      </c>
      <c r="C38" t="inlineStr">
        <is>
          <t>Amazon.com</t>
        </is>
      </c>
      <c r="D38" t="inlineStr">
        <is>
          <t>indeed</t>
        </is>
      </c>
      <c r="E38" t="inlineStr"/>
      <c r="F38" t="inlineStr"/>
      <c r="G38" t="inlineStr">
        <is>
          <t>Reading, MA, US</t>
        </is>
      </c>
      <c r="H38" s="1" t="n">
        <v>46048</v>
      </c>
      <c r="I3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9">
      <c r="A39" t="inlineStr">
        <is>
          <t>in-5d1b1de23ec0a22a</t>
        </is>
      </c>
      <c r="B39" t="inlineStr">
        <is>
          <t>Senior Applied Scientist, Amazon Industrial Robotics</t>
        </is>
      </c>
      <c r="C39" t="inlineStr">
        <is>
          <t>Amazon.com</t>
        </is>
      </c>
      <c r="D39" t="inlineStr">
        <is>
          <t>indeed</t>
        </is>
      </c>
      <c r="E39" t="inlineStr"/>
      <c r="F39" t="inlineStr"/>
      <c r="G39" t="inlineStr">
        <is>
          <t>Reading, MA, US</t>
        </is>
      </c>
      <c r="H39" s="1" t="n">
        <v>46048</v>
      </c>
      <c r="I3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0">
      <c r="A40" t="inlineStr">
        <is>
          <t>in-9f0b14d39b977644</t>
        </is>
      </c>
      <c r="B40" t="inlineStr">
        <is>
          <t>Applied Scientist II, Prime Video Personalization and Discovery Science</t>
        </is>
      </c>
      <c r="C40" t="inlineStr">
        <is>
          <t>Amazon.com</t>
        </is>
      </c>
      <c r="D40" t="inlineStr">
        <is>
          <t>indeed</t>
        </is>
      </c>
      <c r="E40" t="inlineStr"/>
      <c r="F40" t="inlineStr"/>
      <c r="G40" t="inlineStr">
        <is>
          <t>Sunnyvale, CA, US</t>
        </is>
      </c>
      <c r="H40" s="1" t="n">
        <v>46047</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1">
      <c r="A41" t="inlineStr">
        <is>
          <t>in-bc8c4f8c3a7f6a6b</t>
        </is>
      </c>
      <c r="B41" t="inlineStr">
        <is>
          <t>Applied Scientist II, Prime Video Personalization and Discovery Science</t>
        </is>
      </c>
      <c r="C41" t="inlineStr">
        <is>
          <t>Amazon.com</t>
        </is>
      </c>
      <c r="D41" t="inlineStr">
        <is>
          <t>indeed</t>
        </is>
      </c>
      <c r="E41" t="inlineStr"/>
      <c r="F41" t="inlineStr"/>
      <c r="G41" t="inlineStr">
        <is>
          <t>New York, NY, US</t>
        </is>
      </c>
      <c r="H41" s="1" t="n">
        <v>46047</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2">
      <c r="A42" t="inlineStr">
        <is>
          <t>in-6aeef324bc45f27f</t>
        </is>
      </c>
      <c r="B42" t="inlineStr">
        <is>
          <t>Applied Scientist, Amazon Connect</t>
        </is>
      </c>
      <c r="C42" t="inlineStr">
        <is>
          <t>Amazon Web Services</t>
        </is>
      </c>
      <c r="D42" t="inlineStr">
        <is>
          <t>indeed</t>
        </is>
      </c>
      <c r="E42" t="inlineStr"/>
      <c r="F42" t="inlineStr"/>
      <c r="G42" t="inlineStr">
        <is>
          <t>New York, NY, US</t>
        </is>
      </c>
      <c r="H42" s="1" t="n">
        <v>46047</v>
      </c>
      <c r="I42"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3">
      <c r="A43" t="inlineStr">
        <is>
          <t>in-a2c68d0e00395360</t>
        </is>
      </c>
      <c r="B43" t="inlineStr">
        <is>
          <t>Applied Scientist, Amazon Connect</t>
        </is>
      </c>
      <c r="C43" t="inlineStr">
        <is>
          <t>Amazon Web Services</t>
        </is>
      </c>
      <c r="D43" t="inlineStr">
        <is>
          <t>indeed</t>
        </is>
      </c>
      <c r="E43" t="inlineStr"/>
      <c r="F43" t="inlineStr"/>
      <c r="G43" t="inlineStr">
        <is>
          <t>Seattle, WA, US</t>
        </is>
      </c>
      <c r="H43" s="1" t="n">
        <v>46047</v>
      </c>
      <c r="I43"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4">
      <c r="A44" t="inlineStr">
        <is>
          <t>in-428c9fadbaaf60e9</t>
        </is>
      </c>
      <c r="B44" t="inlineStr">
        <is>
          <t>Applied Scientist II, Prime Video Personalization and Discovery Science</t>
        </is>
      </c>
      <c r="C44" t="inlineStr">
        <is>
          <t>Amazon.com</t>
        </is>
      </c>
      <c r="D44" t="inlineStr">
        <is>
          <t>indeed</t>
        </is>
      </c>
      <c r="E44" t="inlineStr"/>
      <c r="F44" t="inlineStr"/>
      <c r="G44" t="inlineStr">
        <is>
          <t>Seattle, WA, US</t>
        </is>
      </c>
      <c r="H44" s="1" t="n">
        <v>46047</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5">
      <c r="A45" t="inlineStr">
        <is>
          <t>in-f3467a0213ee34bd</t>
        </is>
      </c>
      <c r="B45" t="inlineStr">
        <is>
          <t>Applied Scientist II, Prime Video Personalization and Discovery Science</t>
        </is>
      </c>
      <c r="C45" t="inlineStr">
        <is>
          <t>Amazon.com</t>
        </is>
      </c>
      <c r="D45" t="inlineStr">
        <is>
          <t>indeed</t>
        </is>
      </c>
      <c r="E45" t="inlineStr"/>
      <c r="F45" t="inlineStr"/>
      <c r="G45" t="inlineStr">
        <is>
          <t>New York, NY, US</t>
        </is>
      </c>
      <c r="H45" s="1" t="n">
        <v>46038</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6">
      <c r="A46" t="inlineStr">
        <is>
          <t>in-7514c51617506c75</t>
        </is>
      </c>
      <c r="B46" t="inlineStr">
        <is>
          <t>Applied Scientist II, Prime Video Personalization and Discovery Science</t>
        </is>
      </c>
      <c r="C46" t="inlineStr">
        <is>
          <t>Amazon.com</t>
        </is>
      </c>
      <c r="D46" t="inlineStr">
        <is>
          <t>indeed</t>
        </is>
      </c>
      <c r="E46" t="inlineStr"/>
      <c r="F46" t="inlineStr"/>
      <c r="G46" t="inlineStr">
        <is>
          <t>Seattle, WA, US</t>
        </is>
      </c>
      <c r="H46" s="1" t="n">
        <v>46038</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7">
      <c r="A47" t="inlineStr">
        <is>
          <t>in-8b811db8a93c69f0</t>
        </is>
      </c>
      <c r="B47" t="inlineStr">
        <is>
          <t>Applied Scientist II, Prime Video Personalization and Discovery Science</t>
        </is>
      </c>
      <c r="C47" t="inlineStr">
        <is>
          <t>Amazon.com</t>
        </is>
      </c>
      <c r="D47" t="inlineStr">
        <is>
          <t>indeed</t>
        </is>
      </c>
      <c r="E47" t="inlineStr"/>
      <c r="F47" t="inlineStr"/>
      <c r="G47" t="inlineStr">
        <is>
          <t>Sunnyvale, CA, US</t>
        </is>
      </c>
      <c r="H47" s="1" t="n">
        <v>46038</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8">
      <c r="A48" t="inlineStr">
        <is>
          <t>in-ffe878b773af888b</t>
        </is>
      </c>
      <c r="B48" t="inlineStr">
        <is>
          <t>Applied Scientist, Safety ML</t>
        </is>
      </c>
      <c r="C48" t="inlineStr">
        <is>
          <t>Amazon.com</t>
        </is>
      </c>
      <c r="D48" t="inlineStr">
        <is>
          <t>indeed</t>
        </is>
      </c>
      <c r="E48" t="inlineStr"/>
      <c r="F48" t="inlineStr"/>
      <c r="G48" t="inlineStr">
        <is>
          <t>Seattle, WA, US</t>
        </is>
      </c>
      <c r="H48" s="1" t="n">
        <v>46037</v>
      </c>
      <c r="I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9">
      <c r="A49" t="inlineStr">
        <is>
          <t>in-42e2dcbc6106bd83</t>
        </is>
      </c>
      <c r="B49" t="inlineStr">
        <is>
          <t>Applied Scientist, Safety ML</t>
        </is>
      </c>
      <c r="C49" t="inlineStr">
        <is>
          <t>Amazon.com</t>
        </is>
      </c>
      <c r="D49" t="inlineStr">
        <is>
          <t>indeed</t>
        </is>
      </c>
      <c r="E49" t="inlineStr"/>
      <c r="F49" t="inlineStr"/>
      <c r="G49" t="inlineStr">
        <is>
          <t>San Francisco, CA, US</t>
        </is>
      </c>
      <c r="H49" s="1" t="n">
        <v>46037</v>
      </c>
      <c r="I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50">
      <c r="A50" t="inlineStr">
        <is>
          <t>in-2b8e21349aeee4c0</t>
        </is>
      </c>
      <c r="B50" t="inlineStr">
        <is>
          <t>Applied Scientist, LLM Code Agents, Kiro Science</t>
        </is>
      </c>
      <c r="C50" t="inlineStr">
        <is>
          <t>Amazon.com</t>
        </is>
      </c>
      <c r="D50" t="inlineStr">
        <is>
          <t>indeed</t>
        </is>
      </c>
      <c r="E50" t="inlineStr"/>
      <c r="F50" t="inlineStr"/>
      <c r="G50" t="inlineStr">
        <is>
          <t>Seattle, WA, US</t>
        </is>
      </c>
      <c r="H50" s="1" t="n">
        <v>46035</v>
      </c>
      <c r="I50"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1">
      <c r="A51" t="inlineStr">
        <is>
          <t>in-46350ab55f6448f0</t>
        </is>
      </c>
      <c r="B51" t="inlineStr">
        <is>
          <t>Applied Scientist, LLM Code Agents, Kiro Science</t>
        </is>
      </c>
      <c r="C51" t="inlineStr">
        <is>
          <t>Amazon.com</t>
        </is>
      </c>
      <c r="D51" t="inlineStr">
        <is>
          <t>indeed</t>
        </is>
      </c>
      <c r="E51" t="inlineStr"/>
      <c r="F51" t="inlineStr"/>
      <c r="G51" t="inlineStr">
        <is>
          <t>Santa Clara, CA, US</t>
        </is>
      </c>
      <c r="H51" s="1" t="n">
        <v>46035</v>
      </c>
      <c r="I51"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2">
      <c r="A52" t="inlineStr">
        <is>
          <t>in-d61a2de781c1cec6</t>
        </is>
      </c>
      <c r="B52" t="inlineStr">
        <is>
          <t>Applied Scientist II, Prime Video Personalization and Discovery Science</t>
        </is>
      </c>
      <c r="C52" t="inlineStr">
        <is>
          <t>Amazon.com</t>
        </is>
      </c>
      <c r="D52" t="inlineStr">
        <is>
          <t>indeed</t>
        </is>
      </c>
      <c r="E52" t="inlineStr"/>
      <c r="F52" t="inlineStr"/>
      <c r="G52" t="inlineStr">
        <is>
          <t>Sunnyvale, CA, US</t>
        </is>
      </c>
      <c r="H52" s="1" t="n">
        <v>46034</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3">
      <c r="A53" t="inlineStr">
        <is>
          <t>in-980b84f52cf2f0f0</t>
        </is>
      </c>
      <c r="B53" t="inlineStr">
        <is>
          <t>Applied Scientist II, Prime Video Personalization and Discovery Science</t>
        </is>
      </c>
      <c r="C53" t="inlineStr">
        <is>
          <t>Amazon.com</t>
        </is>
      </c>
      <c r="D53" t="inlineStr">
        <is>
          <t>indeed</t>
        </is>
      </c>
      <c r="E53" t="inlineStr"/>
      <c r="F53" t="inlineStr"/>
      <c r="G53" t="inlineStr">
        <is>
          <t>Seattle, WA, US</t>
        </is>
      </c>
      <c r="H53" s="1" t="n">
        <v>46034</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4">
      <c r="A54" t="inlineStr">
        <is>
          <t>in-7725f7b5631bdf1b</t>
        </is>
      </c>
      <c r="B54" t="inlineStr">
        <is>
          <t>Applied Scientist, Alexa Smart Home</t>
        </is>
      </c>
      <c r="C54" t="inlineStr">
        <is>
          <t>Amazon.com</t>
        </is>
      </c>
      <c r="D54" t="inlineStr">
        <is>
          <t>indeed</t>
        </is>
      </c>
      <c r="E54" t="inlineStr"/>
      <c r="F54" t="inlineStr"/>
      <c r="G54" t="inlineStr">
        <is>
          <t>Seattle, WA, US</t>
        </is>
      </c>
      <c r="H54" s="1" t="n">
        <v>46033</v>
      </c>
      <c r="I5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5">
      <c r="A55" t="inlineStr">
        <is>
          <t>in-7a7bef55935890a6</t>
        </is>
      </c>
      <c r="B55" t="inlineStr">
        <is>
          <t>Applied Scientist, Alexa Smart Home</t>
        </is>
      </c>
      <c r="C55" t="inlineStr">
        <is>
          <t>Amazon.com</t>
        </is>
      </c>
      <c r="D55" t="inlineStr">
        <is>
          <t>indeed</t>
        </is>
      </c>
      <c r="E55" t="inlineStr"/>
      <c r="F55" t="inlineStr"/>
      <c r="G55" t="inlineStr">
        <is>
          <t>Sunnyvale, CA, US</t>
        </is>
      </c>
      <c r="H55" s="1" t="n">
        <v>46033</v>
      </c>
      <c r="I55"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6">
      <c r="A56" t="inlineStr">
        <is>
          <t>in-0c59e89e55df861c</t>
        </is>
      </c>
      <c r="B56" t="inlineStr">
        <is>
          <t>Applied Scientist, AWS Applied AI Solutions</t>
        </is>
      </c>
      <c r="C56" t="inlineStr">
        <is>
          <t>Amazon Web Services</t>
        </is>
      </c>
      <c r="D56" t="inlineStr">
        <is>
          <t>indeed</t>
        </is>
      </c>
      <c r="E56" t="inlineStr"/>
      <c r="F56" t="inlineStr"/>
      <c r="G56" t="inlineStr">
        <is>
          <t>New York, NY, US</t>
        </is>
      </c>
      <c r="H56" s="1" t="n">
        <v>46030</v>
      </c>
      <c r="I56"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7">
      <c r="A57" t="inlineStr">
        <is>
          <t>in-6549be334d7baa97</t>
        </is>
      </c>
      <c r="B57" t="inlineStr">
        <is>
          <t>Applied Scientist, AWS Applied AI Solutions</t>
        </is>
      </c>
      <c r="C57" t="inlineStr">
        <is>
          <t>Amazon Web Services</t>
        </is>
      </c>
      <c r="D57" t="inlineStr">
        <is>
          <t>indeed</t>
        </is>
      </c>
      <c r="E57" t="inlineStr"/>
      <c r="F57" t="inlineStr"/>
      <c r="G57" t="inlineStr">
        <is>
          <t>Seattle, WA, US</t>
        </is>
      </c>
      <c r="H57" s="1" t="n">
        <v>46030</v>
      </c>
      <c r="I57"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8">
      <c r="A58" t="inlineStr">
        <is>
          <t>in-bb3ff079c205cfa6</t>
        </is>
      </c>
      <c r="B58" t="inlineStr">
        <is>
          <t>Senior Data Scientist, Amazon Global Logistics</t>
        </is>
      </c>
      <c r="C58" t="inlineStr">
        <is>
          <t>Amazon.com</t>
        </is>
      </c>
      <c r="D58" t="inlineStr">
        <is>
          <t>indeed</t>
        </is>
      </c>
      <c r="E58" t="inlineStr"/>
      <c r="F58" t="inlineStr"/>
      <c r="G58" t="inlineStr">
        <is>
          <t>Boston, MA, US</t>
        </is>
      </c>
      <c r="H58" s="1" t="n">
        <v>46029</v>
      </c>
      <c r="I58"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59">
      <c r="A59" t="inlineStr">
        <is>
          <t>in-1bfac90c3b1e8d2c</t>
        </is>
      </c>
      <c r="B59" t="inlineStr">
        <is>
          <t>Senior Data Scientist, Amazon Global Logistics</t>
        </is>
      </c>
      <c r="C59" t="inlineStr">
        <is>
          <t>Amazon.com</t>
        </is>
      </c>
      <c r="D59" t="inlineStr">
        <is>
          <t>indeed</t>
        </is>
      </c>
      <c r="E59" t="inlineStr"/>
      <c r="F59" t="inlineStr"/>
      <c r="G59" t="inlineStr">
        <is>
          <t>Bellevue, WA, US</t>
        </is>
      </c>
      <c r="H59" s="1" t="n">
        <v>46029</v>
      </c>
      <c r="I59"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60">
      <c r="A60" t="inlineStr">
        <is>
          <t>in-77363dcfc6d5f129</t>
        </is>
      </c>
      <c r="B60" t="inlineStr">
        <is>
          <t>Applied Scientist II, Prime Video Personalization and Discovery Science</t>
        </is>
      </c>
      <c r="C60" t="inlineStr">
        <is>
          <t>Amazon.com</t>
        </is>
      </c>
      <c r="D60" t="inlineStr">
        <is>
          <t>indeed</t>
        </is>
      </c>
      <c r="E60" t="inlineStr"/>
      <c r="F60" t="inlineStr"/>
      <c r="G60" t="inlineStr">
        <is>
          <t>New York, NY, US</t>
        </is>
      </c>
      <c r="H60" s="1" t="n">
        <v>46028</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1">
      <c r="A61" t="inlineStr">
        <is>
          <t>in-a23d3c0f8d9a8bb9</t>
        </is>
      </c>
      <c r="B61" t="inlineStr">
        <is>
          <t>Applied Scientist II, Prime Video Personalization and Discovery Science</t>
        </is>
      </c>
      <c r="C61" t="inlineStr">
        <is>
          <t>Amazon.com</t>
        </is>
      </c>
      <c r="D61" t="inlineStr">
        <is>
          <t>indeed</t>
        </is>
      </c>
      <c r="E61" t="inlineStr"/>
      <c r="F61" t="inlineStr"/>
      <c r="G61" t="inlineStr">
        <is>
          <t>Seattle, WA, US</t>
        </is>
      </c>
      <c r="H61" s="1" t="n">
        <v>46028</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2">
      <c r="A62" t="inlineStr">
        <is>
          <t>in-0541571f06290346</t>
        </is>
      </c>
      <c r="B62" t="inlineStr">
        <is>
          <t>Applied Scientist II, Prime Video Personalization and Discovery Science</t>
        </is>
      </c>
      <c r="C62" t="inlineStr">
        <is>
          <t>Amazon.com</t>
        </is>
      </c>
      <c r="D62" t="inlineStr">
        <is>
          <t>indeed</t>
        </is>
      </c>
      <c r="E62" t="inlineStr"/>
      <c r="F62" t="inlineStr"/>
      <c r="G62" t="inlineStr">
        <is>
          <t>Sunnyvale, CA, US</t>
        </is>
      </c>
      <c r="H62" s="1" t="n">
        <v>46028</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3">
      <c r="A63" t="inlineStr">
        <is>
          <t>in-a6628b052ad41b7f</t>
        </is>
      </c>
      <c r="B63" t="inlineStr">
        <is>
          <t>Applied Scientist, Last Mile Delivery Automation</t>
        </is>
      </c>
      <c r="C63" t="inlineStr">
        <is>
          <t>Amazon.com</t>
        </is>
      </c>
      <c r="D63" t="inlineStr">
        <is>
          <t>indeed</t>
        </is>
      </c>
      <c r="E63" t="inlineStr"/>
      <c r="F63" t="inlineStr"/>
      <c r="G63" t="inlineStr">
        <is>
          <t>Santa Clara, CA, US</t>
        </is>
      </c>
      <c r="H63" s="1" t="n">
        <v>46026</v>
      </c>
      <c r="I63"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in-4d51708947f50939</t>
        </is>
      </c>
      <c r="B64" t="inlineStr">
        <is>
          <t>Applied Scientist, Last Mile Delivery Automation</t>
        </is>
      </c>
      <c r="C64" t="inlineStr">
        <is>
          <t>Amazon.com</t>
        </is>
      </c>
      <c r="D64" t="inlineStr">
        <is>
          <t>indeed</t>
        </is>
      </c>
      <c r="E64" t="inlineStr"/>
      <c r="F64" t="inlineStr"/>
      <c r="G64" t="inlineStr">
        <is>
          <t>Bellevue, WA, US</t>
        </is>
      </c>
      <c r="H64" s="1" t="n">
        <v>46026</v>
      </c>
      <c r="I64"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in-14fa5dc675521b63</t>
        </is>
      </c>
      <c r="B65" t="inlineStr">
        <is>
          <t>Senior Applied Scientist, Sponsored Products and Brands, Off-Search</t>
        </is>
      </c>
      <c r="C65" t="inlineStr">
        <is>
          <t>Amazon.com</t>
        </is>
      </c>
      <c r="D65" t="inlineStr">
        <is>
          <t>indeed</t>
        </is>
      </c>
      <c r="E65" t="inlineStr"/>
      <c r="F65" t="inlineStr"/>
      <c r="G65" t="inlineStr">
        <is>
          <t>Palo Alto, CA, US</t>
        </is>
      </c>
      <c r="H65" s="1" t="n">
        <v>46017</v>
      </c>
      <c r="I65"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in-2f57a6a8b7be2748</t>
        </is>
      </c>
      <c r="B66" t="inlineStr">
        <is>
          <t>Senior Applied Scientist, Sponsored Products and Brands, Off-Search</t>
        </is>
      </c>
      <c r="C66" t="inlineStr">
        <is>
          <t>Amazon.com</t>
        </is>
      </c>
      <c r="D66" t="inlineStr">
        <is>
          <t>indeed</t>
        </is>
      </c>
      <c r="E66" t="inlineStr"/>
      <c r="F66" t="inlineStr"/>
      <c r="G66" t="inlineStr">
        <is>
          <t>New York, NY, US</t>
        </is>
      </c>
      <c r="H66" s="1" t="n">
        <v>46017</v>
      </c>
      <c r="I66"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in-675aa10561335556</t>
        </is>
      </c>
      <c r="B67" t="inlineStr">
        <is>
          <t>Senior Applied Scientist, Sponsored Products and Brands, Off-Search</t>
        </is>
      </c>
      <c r="C67" t="inlineStr">
        <is>
          <t>Amazon.com</t>
        </is>
      </c>
      <c r="D67" t="inlineStr">
        <is>
          <t>indeed</t>
        </is>
      </c>
      <c r="E67" t="inlineStr"/>
      <c r="F67" t="inlineStr"/>
      <c r="G67" t="inlineStr">
        <is>
          <t>Seattle, WA, US</t>
        </is>
      </c>
      <c r="H67" s="1" t="n">
        <v>46017</v>
      </c>
      <c r="I67"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in-6b1bec4e8b0e0177</t>
        </is>
      </c>
      <c r="B68" t="inlineStr">
        <is>
          <t>Applied Scientist II, Prime Video - Personalization and Discovery Science</t>
        </is>
      </c>
      <c r="C68" t="inlineStr">
        <is>
          <t>Amazon.com</t>
        </is>
      </c>
      <c r="D68" t="inlineStr">
        <is>
          <t>indeed</t>
        </is>
      </c>
      <c r="E68" t="inlineStr"/>
      <c r="F68" t="inlineStr"/>
      <c r="G68" t="inlineStr">
        <is>
          <t>Seattle, WA, US</t>
        </is>
      </c>
      <c r="H68" s="1" t="n">
        <v>46012</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9">
      <c r="A69" t="inlineStr">
        <is>
          <t>in-89b5911d80d92233</t>
        </is>
      </c>
      <c r="B69" t="inlineStr">
        <is>
          <t>Applied Scientist II, Prime Video - Personalization and Discovery Science</t>
        </is>
      </c>
      <c r="C69" t="inlineStr">
        <is>
          <t>Amazon.com</t>
        </is>
      </c>
      <c r="D69" t="inlineStr">
        <is>
          <t>indeed</t>
        </is>
      </c>
      <c r="E69" t="inlineStr"/>
      <c r="F69" t="inlineStr"/>
      <c r="G69" t="inlineStr">
        <is>
          <t>Sunnyvale, CA, US</t>
        </is>
      </c>
      <c r="H69" s="1" t="n">
        <v>46012</v>
      </c>
      <c r="I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70">
      <c r="A70" t="inlineStr">
        <is>
          <t>in-149b12c0de73ec46</t>
        </is>
      </c>
      <c r="B70" t="inlineStr">
        <is>
          <t>Applied Scientist, Delivery Foundation Model</t>
        </is>
      </c>
      <c r="C70" t="inlineStr">
        <is>
          <t>Amazon.com</t>
        </is>
      </c>
      <c r="D70" t="inlineStr">
        <is>
          <t>indeed</t>
        </is>
      </c>
      <c r="E70" t="inlineStr"/>
      <c r="F70" t="inlineStr"/>
      <c r="G70" t="inlineStr">
        <is>
          <t>Bellevue, WA, US</t>
        </is>
      </c>
      <c r="H70" s="1" t="n">
        <v>46009</v>
      </c>
      <c r="I7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71">
      <c r="A71" t="inlineStr">
        <is>
          <t>in-1f9e9dbf6126a0d6</t>
        </is>
      </c>
      <c r="B71" t="inlineStr">
        <is>
          <t>Applied Scientist, Delivery Foundation Model</t>
        </is>
      </c>
      <c r="C71" t="inlineStr">
        <is>
          <t>Amazon.com</t>
        </is>
      </c>
      <c r="D71" t="inlineStr">
        <is>
          <t>indeed</t>
        </is>
      </c>
      <c r="E71" t="inlineStr"/>
      <c r="F71" t="inlineStr"/>
      <c r="G71" t="inlineStr">
        <is>
          <t>Santa Clara, CA, US</t>
        </is>
      </c>
      <c r="H71" s="1" t="n">
        <v>46009</v>
      </c>
      <c r="I7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72">
      <c r="A72" t="inlineStr">
        <is>
          <t>in-a2b425d753a20a2e</t>
        </is>
      </c>
      <c r="B72" t="inlineStr">
        <is>
          <t>Principal Applied Scientist, Kiro Science</t>
        </is>
      </c>
      <c r="C72" t="inlineStr">
        <is>
          <t>Amazon Web Services</t>
        </is>
      </c>
      <c r="D72" t="inlineStr">
        <is>
          <t>indeed</t>
        </is>
      </c>
      <c r="E72" t="inlineStr"/>
      <c r="F72" t="inlineStr"/>
      <c r="G72" t="inlineStr">
        <is>
          <t>New York, NY, US</t>
        </is>
      </c>
      <c r="H72" s="1" t="n">
        <v>45999</v>
      </c>
      <c r="I72"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3">
      <c r="A73" t="inlineStr">
        <is>
          <t>in-b30832eda158ac61</t>
        </is>
      </c>
      <c r="B73" t="inlineStr">
        <is>
          <t>Principal Applied Scientist, Kiro Science</t>
        </is>
      </c>
      <c r="C73" t="inlineStr">
        <is>
          <t>Amazon Web Services</t>
        </is>
      </c>
      <c r="D73" t="inlineStr">
        <is>
          <t>indeed</t>
        </is>
      </c>
      <c r="E73" t="inlineStr"/>
      <c r="F73" t="inlineStr"/>
      <c r="G73" t="inlineStr">
        <is>
          <t>Santa Clara, CA, US</t>
        </is>
      </c>
      <c r="H73" s="1" t="n">
        <v>45999</v>
      </c>
      <c r="I73"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4">
      <c r="A74" t="inlineStr">
        <is>
          <t>in-54a8578b20d77a28</t>
        </is>
      </c>
      <c r="B74" t="inlineStr">
        <is>
          <t>Sr. Applied Scientist, SPB Advertiser Guidance</t>
        </is>
      </c>
      <c r="C74" t="inlineStr">
        <is>
          <t>Amazon.com</t>
        </is>
      </c>
      <c r="D74" t="inlineStr">
        <is>
          <t>indeed</t>
        </is>
      </c>
      <c r="E74" t="inlineStr"/>
      <c r="F74" t="inlineStr"/>
      <c r="G74" t="inlineStr">
        <is>
          <t>Seattle, WA, US</t>
        </is>
      </c>
      <c r="H74" s="1" t="n">
        <v>45981</v>
      </c>
      <c r="I7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75">
      <c r="A75" t="inlineStr">
        <is>
          <t>in-add1755237374682</t>
        </is>
      </c>
      <c r="B75" t="inlineStr">
        <is>
          <t>Sr. Applied Scientist, SPB Advertiser Guidance</t>
        </is>
      </c>
      <c r="C75" t="inlineStr">
        <is>
          <t>Amazon.com</t>
        </is>
      </c>
      <c r="D75" t="inlineStr">
        <is>
          <t>indeed</t>
        </is>
      </c>
      <c r="E75" t="inlineStr"/>
      <c r="F75" t="inlineStr"/>
      <c r="G75" t="inlineStr">
        <is>
          <t>New York, NY, US</t>
        </is>
      </c>
      <c r="H75" s="1" t="n">
        <v>45981</v>
      </c>
      <c r="I7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76">
      <c r="A76" t="inlineStr">
        <is>
          <t>in-498d07343097ec87</t>
        </is>
      </c>
      <c r="B76" t="inlineStr">
        <is>
          <t>Sr. Applied Scientist, SPB Advertiser Guidance</t>
        </is>
      </c>
      <c r="C76" t="inlineStr">
        <is>
          <t>Amazon.com</t>
        </is>
      </c>
      <c r="D76" t="inlineStr">
        <is>
          <t>indeed</t>
        </is>
      </c>
      <c r="E76" t="inlineStr"/>
      <c r="F76" t="inlineStr"/>
      <c r="G76" t="inlineStr">
        <is>
          <t>Palo Alto, CA, US</t>
        </is>
      </c>
      <c r="H76" s="1" t="n">
        <v>45981</v>
      </c>
      <c r="I7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77">
      <c r="A77" t="inlineStr">
        <is>
          <t>in-b8f9e283f1b548ca</t>
        </is>
      </c>
      <c r="B77" t="inlineStr">
        <is>
          <t>Principal Applied Scientist, Sponsored Products and Brands</t>
        </is>
      </c>
      <c r="C77" t="inlineStr">
        <is>
          <t>Amazon.com</t>
        </is>
      </c>
      <c r="D77" t="inlineStr">
        <is>
          <t>indeed</t>
        </is>
      </c>
      <c r="E77" t="inlineStr"/>
      <c r="F77" t="inlineStr"/>
      <c r="G77" t="inlineStr">
        <is>
          <t>Seattle, WA, US</t>
        </is>
      </c>
      <c r="H77" s="1" t="n">
        <v>45979</v>
      </c>
      <c r="I7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in-8c115153e31439e6</t>
        </is>
      </c>
      <c r="B78" t="inlineStr">
        <is>
          <t>Principal Applied Scientist, Sponsored Products and Brands</t>
        </is>
      </c>
      <c r="C78" t="inlineStr">
        <is>
          <t>Amazon.com</t>
        </is>
      </c>
      <c r="D78" t="inlineStr">
        <is>
          <t>indeed</t>
        </is>
      </c>
      <c r="E78" t="inlineStr"/>
      <c r="F78" t="inlineStr"/>
      <c r="G78" t="inlineStr">
        <is>
          <t>New York, NY, US</t>
        </is>
      </c>
      <c r="H78" s="1" t="n">
        <v>45979</v>
      </c>
      <c r="I7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in-7447cdb23c4b91b4</t>
        </is>
      </c>
      <c r="B79" t="inlineStr">
        <is>
          <t>Applied Scientist, Personalization, DTx Science</t>
        </is>
      </c>
      <c r="C79" t="inlineStr">
        <is>
          <t>Amazon.com</t>
        </is>
      </c>
      <c r="D79" t="inlineStr">
        <is>
          <t>indeed</t>
        </is>
      </c>
      <c r="E79" t="inlineStr"/>
      <c r="F79" t="inlineStr"/>
      <c r="G79" t="inlineStr">
        <is>
          <t>New York, NY, US</t>
        </is>
      </c>
      <c r="H79" s="1" t="n">
        <v>45979</v>
      </c>
      <c r="I7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0">
      <c r="A80" t="inlineStr">
        <is>
          <t>in-b4dc7f2382e3d2b1</t>
        </is>
      </c>
      <c r="B80" t="inlineStr">
        <is>
          <t>Applied Scientist, Personalization, DTx Science</t>
        </is>
      </c>
      <c r="C80" t="inlineStr">
        <is>
          <t>Amazon.com</t>
        </is>
      </c>
      <c r="D80" t="inlineStr">
        <is>
          <t>indeed</t>
        </is>
      </c>
      <c r="E80" t="inlineStr"/>
      <c r="F80" t="inlineStr"/>
      <c r="G80" t="inlineStr">
        <is>
          <t>Seattle, WA, US</t>
        </is>
      </c>
      <c r="H80" s="1" t="n">
        <v>45979</v>
      </c>
      <c r="I8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1">
      <c r="A81" t="inlineStr">
        <is>
          <t>in-eba2737026c5619d</t>
        </is>
      </c>
      <c r="B81" t="inlineStr">
        <is>
          <t>Senior Applied Scientist, Sponsored Products and Brands</t>
        </is>
      </c>
      <c r="C81" t="inlineStr">
        <is>
          <t>Amazon.com</t>
        </is>
      </c>
      <c r="D81" t="inlineStr">
        <is>
          <t>indeed</t>
        </is>
      </c>
      <c r="E81" t="inlineStr"/>
      <c r="F81" t="inlineStr"/>
      <c r="G81" t="inlineStr">
        <is>
          <t>New York, NY, US</t>
        </is>
      </c>
      <c r="H81" s="1" t="n">
        <v>45979</v>
      </c>
      <c r="I8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82">
      <c r="A82" t="inlineStr">
        <is>
          <t>in-dff435f82d7c4d8a</t>
        </is>
      </c>
      <c r="B82" t="inlineStr">
        <is>
          <t>Senior Applied Scientist, Sponsored Products and Brands</t>
        </is>
      </c>
      <c r="C82" t="inlineStr">
        <is>
          <t>Amazon.com</t>
        </is>
      </c>
      <c r="D82" t="inlineStr">
        <is>
          <t>indeed</t>
        </is>
      </c>
      <c r="E82" t="inlineStr"/>
      <c r="F82" t="inlineStr"/>
      <c r="G82" t="inlineStr">
        <is>
          <t>Seattle, WA, US</t>
        </is>
      </c>
      <c r="H82" s="1" t="n">
        <v>45979</v>
      </c>
      <c r="I8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83">
      <c r="A83" t="inlineStr">
        <is>
          <t>in-954282f73e84bf73</t>
        </is>
      </c>
      <c r="B83" t="inlineStr">
        <is>
          <t>Sr. Applied Scientist, Sponsored Products</t>
        </is>
      </c>
      <c r="C83" t="inlineStr">
        <is>
          <t>Amazon.com</t>
        </is>
      </c>
      <c r="D83" t="inlineStr">
        <is>
          <t>indeed</t>
        </is>
      </c>
      <c r="E83" t="inlineStr"/>
      <c r="F83" t="inlineStr"/>
      <c r="G83" t="inlineStr">
        <is>
          <t>New York, NY, US</t>
        </is>
      </c>
      <c r="H83" s="1" t="n">
        <v>45976</v>
      </c>
      <c r="I83"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4">
      <c r="A84" t="inlineStr">
        <is>
          <t>in-bc872d9e0db92e68</t>
        </is>
      </c>
      <c r="B84" t="inlineStr">
        <is>
          <t>Sr. Applied Scientist, Sponsored Products</t>
        </is>
      </c>
      <c r="C84" t="inlineStr">
        <is>
          <t>Amazon.com</t>
        </is>
      </c>
      <c r="D84" t="inlineStr">
        <is>
          <t>indeed</t>
        </is>
      </c>
      <c r="E84" t="inlineStr"/>
      <c r="F84" t="inlineStr"/>
      <c r="G84" t="inlineStr">
        <is>
          <t>Arlington, VA, US</t>
        </is>
      </c>
      <c r="H84" s="1" t="n">
        <v>45976</v>
      </c>
      <c r="I84"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5">
      <c r="A85" t="inlineStr">
        <is>
          <t>in-46b64bde2fa949b6</t>
        </is>
      </c>
      <c r="B85" t="inlineStr">
        <is>
          <t>Sr. Applied Scientist, Sponsored Products</t>
        </is>
      </c>
      <c r="C85" t="inlineStr">
        <is>
          <t>Amazon.com</t>
        </is>
      </c>
      <c r="D85" t="inlineStr">
        <is>
          <t>indeed</t>
        </is>
      </c>
      <c r="E85" t="inlineStr"/>
      <c r="F85" t="inlineStr"/>
      <c r="G85" t="inlineStr">
        <is>
          <t>Seattle, WA, US</t>
        </is>
      </c>
      <c r="H85" s="1" t="n">
        <v>45976</v>
      </c>
      <c r="I85"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6">
      <c r="A86" t="inlineStr">
        <is>
          <t>in-cac7985f00bd9675</t>
        </is>
      </c>
      <c r="B86" t="inlineStr">
        <is>
          <t>Zappos Data Scientist III, Zappos/Shopbop Catalog Engineering</t>
        </is>
      </c>
      <c r="C86" t="inlineStr">
        <is>
          <t>Amazon.com</t>
        </is>
      </c>
      <c r="D86" t="inlineStr">
        <is>
          <t>indeed</t>
        </is>
      </c>
      <c r="E86" t="inlineStr"/>
      <c r="F86" t="inlineStr"/>
      <c r="G86" t="inlineStr">
        <is>
          <t>New York, NY, US</t>
        </is>
      </c>
      <c r="H86" s="1" t="n">
        <v>45965</v>
      </c>
      <c r="I86" t="inlineStr">
        <is>
          <t>**DESCRIPTION**
---------------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\- 175,100\.00 \- 236,900\.00 USD annually  
USA, WI, Madison \- 159,200\.00 \- 215,300\.00 USD annually</t>
        </is>
      </c>
    </row>
    <row r="87">
      <c r="A87" t="inlineStr">
        <is>
          <t>in-3cdf0aebaa5316ee</t>
        </is>
      </c>
      <c r="B87" t="inlineStr">
        <is>
          <t>Zappos Data Scientist III, Zappos/Shopbop Catalog Engineering</t>
        </is>
      </c>
      <c r="C87" t="inlineStr">
        <is>
          <t>Amazon.com</t>
        </is>
      </c>
      <c r="D87" t="inlineStr">
        <is>
          <t>indeed</t>
        </is>
      </c>
      <c r="E87" t="inlineStr"/>
      <c r="F87" t="inlineStr"/>
      <c r="G87" t="inlineStr">
        <is>
          <t>Madison, WI, US</t>
        </is>
      </c>
      <c r="H87" s="1" t="n">
        <v>45965</v>
      </c>
      <c r="I87" t="inlineStr">
        <is>
          <t>**DESCRIPTION**
---------------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\- 175,100\.00 \- 236,900\.00 USD annually  
USA, WI, Madison \- 159,200\.00 \- 215,300\.00 USD annually</t>
        </is>
      </c>
    </row>
    <row r="88">
      <c r="A88" t="inlineStr">
        <is>
          <t>in-8e0475ce9891f6c2</t>
        </is>
      </c>
      <c r="B88" t="inlineStr">
        <is>
          <t>Applied Scientist, AWS Agentic AI</t>
        </is>
      </c>
      <c r="C88" t="inlineStr">
        <is>
          <t>Amazon Web Services</t>
        </is>
      </c>
      <c r="D88" t="inlineStr">
        <is>
          <t>indeed</t>
        </is>
      </c>
      <c r="E88" t="inlineStr"/>
      <c r="F88" t="inlineStr"/>
      <c r="G88" t="inlineStr">
        <is>
          <t>New York, NY, US</t>
        </is>
      </c>
      <c r="H88" s="1" t="n">
        <v>45962</v>
      </c>
      <c r="I8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in-7a3947a6a35a379b</t>
        </is>
      </c>
      <c r="B89" t="inlineStr">
        <is>
          <t>Applied Scientist, AWS Agentic AI</t>
        </is>
      </c>
      <c r="C89" t="inlineStr">
        <is>
          <t>Amazon Web Services</t>
        </is>
      </c>
      <c r="D89" t="inlineStr">
        <is>
          <t>indeed</t>
        </is>
      </c>
      <c r="E89" t="inlineStr"/>
      <c r="F89" t="inlineStr"/>
      <c r="G89" t="inlineStr">
        <is>
          <t>Santa Clara, CA, US</t>
        </is>
      </c>
      <c r="H89" s="1" t="n">
        <v>45962</v>
      </c>
      <c r="I8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in-8bf1035640deff72</t>
        </is>
      </c>
      <c r="B90" t="inlineStr">
        <is>
          <t>Applied Scientist, AWS Agentic AI</t>
        </is>
      </c>
      <c r="C90" t="inlineStr">
        <is>
          <t>Amazon Web Services</t>
        </is>
      </c>
      <c r="D90" t="inlineStr">
        <is>
          <t>indeed</t>
        </is>
      </c>
      <c r="E90" t="inlineStr"/>
      <c r="F90" t="inlineStr"/>
      <c r="G90" t="inlineStr">
        <is>
          <t>Seattle, WA, US</t>
        </is>
      </c>
      <c r="H90" s="1" t="n">
        <v>45962</v>
      </c>
      <c r="I9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in-6b9a9b6e998f7625</t>
        </is>
      </c>
      <c r="B91" t="inlineStr">
        <is>
          <t>Principal Applied Scientist, Advertiser Growth, Amazon Sponsored Products &amp; Brands</t>
        </is>
      </c>
      <c r="C91" t="inlineStr">
        <is>
          <t>Amazon.com</t>
        </is>
      </c>
      <c r="D91" t="inlineStr">
        <is>
          <t>indeed</t>
        </is>
      </c>
      <c r="E91" t="inlineStr"/>
      <c r="F91" t="inlineStr"/>
      <c r="G91" t="inlineStr">
        <is>
          <t>Palo Alto, CA, US</t>
        </is>
      </c>
      <c r="H91" s="1" t="n">
        <v>45942</v>
      </c>
      <c r="I9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in-246cf58b5b6eb402</t>
        </is>
      </c>
      <c r="B92" t="inlineStr">
        <is>
          <t>Principal Applied Scientist, Advertiser Growth, Amazon Sponsored Products &amp; Brands</t>
        </is>
      </c>
      <c r="C92" t="inlineStr">
        <is>
          <t>Amazon.com</t>
        </is>
      </c>
      <c r="D92" t="inlineStr">
        <is>
          <t>indeed</t>
        </is>
      </c>
      <c r="E92" t="inlineStr"/>
      <c r="F92" t="inlineStr"/>
      <c r="G92" t="inlineStr">
        <is>
          <t>Seattle, WA, US</t>
        </is>
      </c>
      <c r="H92" s="1" t="n">
        <v>45942</v>
      </c>
      <c r="I9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in-771650e3ba26b3ac</t>
        </is>
      </c>
      <c r="B93" t="inlineStr">
        <is>
          <t>Principal Applied Scientist, Advertiser Growth, Amazon Sponsored Products &amp; Brands</t>
        </is>
      </c>
      <c r="C93" t="inlineStr">
        <is>
          <t>Amazon.com</t>
        </is>
      </c>
      <c r="D93" t="inlineStr">
        <is>
          <t>indeed</t>
        </is>
      </c>
      <c r="E93" t="inlineStr"/>
      <c r="F93" t="inlineStr"/>
      <c r="G93" t="inlineStr">
        <is>
          <t>New York, NY, US</t>
        </is>
      </c>
      <c r="H93" s="1" t="n">
        <v>45942</v>
      </c>
      <c r="I9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in-4a73cd4e8881d75d</t>
        </is>
      </c>
      <c r="B94" t="inlineStr">
        <is>
          <t>Applied Scientist, Workplace Health &amp; Safety</t>
        </is>
      </c>
      <c r="C94" t="inlineStr">
        <is>
          <t>Amazon.com</t>
        </is>
      </c>
      <c r="D94" t="inlineStr">
        <is>
          <t>indeed</t>
        </is>
      </c>
      <c r="E94" t="inlineStr"/>
      <c r="F94" t="inlineStr"/>
      <c r="G94" t="inlineStr">
        <is>
          <t>Bellevue, WA, US</t>
        </is>
      </c>
      <c r="H94" s="1" t="n">
        <v>45917</v>
      </c>
      <c r="I94"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in-bfb454be22dfc1ec</t>
        </is>
      </c>
      <c r="B95" t="inlineStr">
        <is>
          <t>Applied Scientist, Workplace Health &amp; Safety</t>
        </is>
      </c>
      <c r="C95" t="inlineStr">
        <is>
          <t>Amazon.com</t>
        </is>
      </c>
      <c r="D95" t="inlineStr">
        <is>
          <t>indeed</t>
        </is>
      </c>
      <c r="E95" t="inlineStr"/>
      <c r="F95" t="inlineStr"/>
      <c r="G95" t="inlineStr">
        <is>
          <t>Nashville, TN, US</t>
        </is>
      </c>
      <c r="H95" s="1" t="n">
        <v>45917</v>
      </c>
      <c r="I9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in-90c8d16a0c742b5c</t>
        </is>
      </c>
      <c r="B96" t="inlineStr">
        <is>
          <t>Senior Applied Scientist, AWS Marketplace &amp; Partner Services</t>
        </is>
      </c>
      <c r="C96" t="inlineStr">
        <is>
          <t>Amazon Web Services</t>
        </is>
      </c>
      <c r="D96" t="inlineStr">
        <is>
          <t>indeed</t>
        </is>
      </c>
      <c r="E96" t="inlineStr"/>
      <c r="F96" t="inlineStr"/>
      <c r="G96" t="inlineStr">
        <is>
          <t>Austin, TX, US</t>
        </is>
      </c>
      <c r="H96" s="1" t="n">
        <v>45902</v>
      </c>
      <c r="I96" t="inlineStr">
        <is>
          <t>**DESCRIPTION**
---------------
The AWS Marketplace \&amp; Partner Services Science team seeks an experienced Applied Scientist to drive innovation across multiple AI domains, including Context Engineering in Agent\-based Systems, Agent Evaluation Frameworks, and Next\-generation Software Recommendations. This role will be instrumental in revolutionizing how customers discover software solutions for cloud migrations and modernization initiatives.  
The ideal candidate thrives in an environment of scientific rigor and practical application, demonstrating both technical excellence and business acumen. They should be passionate about mentoring others and contributing to a culture of continuous learning and innovation. This role directly influences how thousands of AWS customers discover and implement software solutions, making it crucial for AWS Marketplace's growth and customer success. The position offers the opportunity to shape the future of AI\-driven software recommendations while working with innovative technologies at AWS scale.  
Key job responsibilities  
* Design and optimize context engineering solutions for large language models and agent\-based systems
* Establish evaluation frameworks and metrics for measuring agent performance and effectiveness
* Collaborate with cross\-functional teams, such as Product and Engineering leaders, to translate scientific innovations into customer value
* Mentor Scientists and influence scientific approach across the organization
About the team  
The AWS Marketplace \&amp; Partner Services Science team is at the forefront of developing and deploying AI/ML systems that serve multiple critical stakeholders:  
* AWS Customers: Through the AWS Marketplace, we support Discovery tools that streamline cloud adoption and innovation.
* AWS Partners: Via Partner Central, we offer advanced tools and insights to enhance collaboration and drive mutual growth.
* Internal AWS Sellers: We equip our sales force with data\-driven recommendations to better serve our customers and partners.
Our primary objective is to accelerate cloud migrations and modernizations, fostering innovation for AWS customers while simultaneously supporting the growth and success of our extensive partner network.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building machine learning models or developing algorithms for business application experience
* Experience programming in Java, C\+\+, Python or related language
**PREFERRED QUALIFICATIONS**
----------------------------
\- \- Deep expertise in state\-of\-the\-art AI approaches, particularly in recommendation systems and agent\-based architectures  
\- \- Demonstrated experience in prompt engineering and context optimization for large language models  
\- \- Track record of delivering production\-scale AI solutions  
\- \- Excellent ability to evaluate technical feasibility and communicate complex concepts to business stakeholders  
\- \- Proven experience in mentoring technical teams and driving collaborative research initiatives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in-7f4356d0c6b88254</t>
        </is>
      </c>
      <c r="B97" t="inlineStr">
        <is>
          <t>Senior Applied Scientist, AWS Marketplace &amp; Partner Services</t>
        </is>
      </c>
      <c r="C97" t="inlineStr">
        <is>
          <t>Amazon Web Services</t>
        </is>
      </c>
      <c r="D97" t="inlineStr">
        <is>
          <t>indeed</t>
        </is>
      </c>
      <c r="E97" t="inlineStr"/>
      <c r="F97" t="inlineStr"/>
      <c r="G97" t="inlineStr">
        <is>
          <t>Seattle, WA, US</t>
        </is>
      </c>
      <c r="H97" s="1" t="n">
        <v>45902</v>
      </c>
      <c r="I97" t="inlineStr">
        <is>
          <t>**DESCRIPTION**
---------------
The AWS Marketplace \&amp; Partner Services Science team seeks an experienced Applied Scientist to drive innovation across multiple AI domains, including Context Engineering in Agent\-based Systems, Agent Evaluation Frameworks, and Next\-generation Software Recommendations. This role will be instrumental in revolutionizing how customers discover software solutions for cloud migrations and modernization initiatives.  
The ideal candidate thrives in an environment of scientific rigor and practical application, demonstrating both technical excellence and business acumen. They should be passionate about mentoring others and contributing to a culture of continuous learning and innovation. This role directly influences how thousands of AWS customers discover and implement software solutions, making it crucial for AWS Marketplace's growth and customer success. The position offers the opportunity to shape the future of AI\-driven software recommendations while working with innovative technologies at AWS scale.  
Key job responsibilities  
* Design and optimize context engineering solutions for large language models and agent\-based systems
* Establish evaluation frameworks and metrics for measuring agent performance and effectiveness
* Collaborate with cross\-functional teams, such as Product and Engineering leaders, to translate scientific innovations into customer value
* Mentor Scientists and influence scientific approach across the organization
About the team  
The AWS Marketplace \&amp; Partner Services Science team is at the forefront of developing and deploying AI/ML systems that serve multiple critical stakeholders:  
* AWS Customers: Through the AWS Marketplace, we support Discovery tools that streamline cloud adoption and innovation.
* AWS Partners: Via Partner Central, we offer advanced tools and insights to enhance collaboration and drive mutual growth.
* Internal AWS Sellers: We equip our sales force with data\-driven recommendations to better serve our customers and partners.
Our primary objective is to accelerate cloud migrations and modernizations, fostering innovation for AWS customers while simultaneously supporting the growth and success of our extensive partner network.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building machine learning models or developing algorithms for business application experience
* Experience programming in Java, C\+\+, Python or related language
**PREFERRED QUALIFICATIONS**
----------------------------
\- \- Deep expertise in state\-of\-the\-art AI approaches, particularly in recommendation systems and agent\-based architectures  
\- \- Demonstrated experience in prompt engineering and context optimization for large language models  
\- \- Track record of delivering production\-scale AI solutions  
\- \- Excellent ability to evaluate technical feasibility and communicate complex concepts to business stakeholders  
\- \- Proven experience in mentoring technical teams and driving collaborative research initiatives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in-d0347ce97abc4759</t>
        </is>
      </c>
      <c r="B98" t="inlineStr">
        <is>
          <t>Sr. Applied Scientist, Prime Video - Personalization and Discovery Science</t>
        </is>
      </c>
      <c r="C98" t="inlineStr">
        <is>
          <t>Amazon.com</t>
        </is>
      </c>
      <c r="D98" t="inlineStr">
        <is>
          <t>indeed</t>
        </is>
      </c>
      <c r="E98" t="inlineStr"/>
      <c r="F98" t="inlineStr"/>
      <c r="G98" t="inlineStr">
        <is>
          <t>Sunnyvale, CA, US</t>
        </is>
      </c>
      <c r="H98" s="1" t="n">
        <v>45896</v>
      </c>
      <c r="I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9">
      <c r="A99" t="inlineStr">
        <is>
          <t>in-f1a2c736400c7a68</t>
        </is>
      </c>
      <c r="B99" t="inlineStr">
        <is>
          <t>Sr. Applied Scientist, Prime Video - Personalization and Discovery Science</t>
        </is>
      </c>
      <c r="C99" t="inlineStr">
        <is>
          <t>Amazon.com</t>
        </is>
      </c>
      <c r="D99" t="inlineStr">
        <is>
          <t>indeed</t>
        </is>
      </c>
      <c r="E99" t="inlineStr"/>
      <c r="F99" t="inlineStr"/>
      <c r="G99" t="inlineStr">
        <is>
          <t>Seattle, WA, US</t>
        </is>
      </c>
      <c r="H99" s="1" t="n">
        <v>45896</v>
      </c>
      <c r="I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0">
      <c r="A100" t="inlineStr">
        <is>
          <t>in-e5cd123dbffa17ca</t>
        </is>
      </c>
      <c r="B100" t="inlineStr">
        <is>
          <t>Sr. Applied Scientist, Prime Video - Personalization and Discovery Science</t>
        </is>
      </c>
      <c r="C100" t="inlineStr">
        <is>
          <t>Amazon.com</t>
        </is>
      </c>
      <c r="D100" t="inlineStr">
        <is>
          <t>indeed</t>
        </is>
      </c>
      <c r="E100" t="inlineStr"/>
      <c r="F100" t="inlineStr"/>
      <c r="G100" t="inlineStr">
        <is>
          <t>New York, NY, US</t>
        </is>
      </c>
      <c r="H100" s="1" t="n">
        <v>45896</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1">
      <c r="A101" t="inlineStr">
        <is>
          <t>in-0e5523d27539061d</t>
        </is>
      </c>
      <c r="B101" t="inlineStr">
        <is>
          <t>Applied Scientist II, Prime Video , Personalization and Discovery Science</t>
        </is>
      </c>
      <c r="C101" t="inlineStr">
        <is>
          <t>Amazon.com</t>
        </is>
      </c>
      <c r="D101" t="inlineStr">
        <is>
          <t>indeed</t>
        </is>
      </c>
      <c r="E101" t="inlineStr"/>
      <c r="F101" t="inlineStr"/>
      <c r="G101" t="inlineStr">
        <is>
          <t>Sunnyvale, CA, US</t>
        </is>
      </c>
      <c r="H101" s="1" t="n">
        <v>45886</v>
      </c>
      <c r="I1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2">
      <c r="A102" t="inlineStr">
        <is>
          <t>in-762fbf48c35e8958</t>
        </is>
      </c>
      <c r="B102" t="inlineStr">
        <is>
          <t>Applied Scientist II, Prime Video , Personalization and Discovery Science</t>
        </is>
      </c>
      <c r="C102" t="inlineStr">
        <is>
          <t>Amazon.com</t>
        </is>
      </c>
      <c r="D102" t="inlineStr">
        <is>
          <t>indeed</t>
        </is>
      </c>
      <c r="E102" t="inlineStr"/>
      <c r="F102" t="inlineStr"/>
      <c r="G102" t="inlineStr">
        <is>
          <t>New York, NY, US</t>
        </is>
      </c>
      <c r="H102" s="1" t="n">
        <v>45886</v>
      </c>
      <c r="I1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3">
      <c r="A103" t="inlineStr">
        <is>
          <t>in-c6a847ea579f3d44</t>
        </is>
      </c>
      <c r="B103" t="inlineStr">
        <is>
          <t>Applied Scientist II, Prime Video , Personalization and Discovery Science</t>
        </is>
      </c>
      <c r="C103" t="inlineStr">
        <is>
          <t>Amazon.com</t>
        </is>
      </c>
      <c r="D103" t="inlineStr">
        <is>
          <t>indeed</t>
        </is>
      </c>
      <c r="E103" t="inlineStr"/>
      <c r="F103" t="inlineStr"/>
      <c r="G103" t="inlineStr">
        <is>
          <t>Seattle, WA, US</t>
        </is>
      </c>
      <c r="H103" s="1" t="n">
        <v>45886</v>
      </c>
      <c r="I1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4">
      <c r="A104" t="inlineStr">
        <is>
          <t>in-800da7c57e919f1d</t>
        </is>
      </c>
      <c r="B104" t="inlineStr">
        <is>
          <t>Sr. Applied Scientist, Prime Video - Personalization and Discovery Science</t>
        </is>
      </c>
      <c r="C104" t="inlineStr">
        <is>
          <t>Amazon.com</t>
        </is>
      </c>
      <c r="D104" t="inlineStr">
        <is>
          <t>indeed</t>
        </is>
      </c>
      <c r="E104" t="inlineStr"/>
      <c r="F104" t="inlineStr"/>
      <c r="G104" t="inlineStr">
        <is>
          <t>New York, NY, US</t>
        </is>
      </c>
      <c r="H104" s="1" t="n">
        <v>45886</v>
      </c>
      <c r="I1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in-9ddb41a445389738</t>
        </is>
      </c>
      <c r="B105" t="inlineStr">
        <is>
          <t>Sr. Applied Scientist, Prime Video - Personalization and Discovery Science</t>
        </is>
      </c>
      <c r="C105" t="inlineStr">
        <is>
          <t>Amazon.com</t>
        </is>
      </c>
      <c r="D105" t="inlineStr">
        <is>
          <t>indeed</t>
        </is>
      </c>
      <c r="E105" t="inlineStr"/>
      <c r="F105" t="inlineStr"/>
      <c r="G105" t="inlineStr">
        <is>
          <t>Sunnyvale, CA, US</t>
        </is>
      </c>
      <c r="H105" s="1" t="n">
        <v>45886</v>
      </c>
      <c r="I1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in-500fb3a256021ddd</t>
        </is>
      </c>
      <c r="B106" t="inlineStr">
        <is>
          <t>Sr. Applied Scientist, Prime Video - Personalization and Discovery Science</t>
        </is>
      </c>
      <c r="C106" t="inlineStr">
        <is>
          <t>Amazon.com</t>
        </is>
      </c>
      <c r="D106" t="inlineStr">
        <is>
          <t>indeed</t>
        </is>
      </c>
      <c r="E106" t="inlineStr"/>
      <c r="F106" t="inlineStr"/>
      <c r="G106" t="inlineStr">
        <is>
          <t>Seattle, WA, US</t>
        </is>
      </c>
      <c r="H106" s="1" t="n">
        <v>45886</v>
      </c>
      <c r="I1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in-7761397008714606</t>
        </is>
      </c>
      <c r="B107" t="inlineStr">
        <is>
          <t>Applied Scientist III, StoreGen</t>
        </is>
      </c>
      <c r="C107" t="inlineStr">
        <is>
          <t>Amazon.com</t>
        </is>
      </c>
      <c r="D107" t="inlineStr">
        <is>
          <t>indeed</t>
        </is>
      </c>
      <c r="E107" t="inlineStr"/>
      <c r="F107" t="inlineStr"/>
      <c r="G107" t="inlineStr">
        <is>
          <t>Sunnyvale, CA, US</t>
        </is>
      </c>
      <c r="H107" s="1" t="n">
        <v>45868</v>
      </c>
      <c r="I107"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in-009bc59ff6fb8d65</t>
        </is>
      </c>
      <c r="B108" t="inlineStr">
        <is>
          <t>Applied Scientist III, StoreGen</t>
        </is>
      </c>
      <c r="C108" t="inlineStr">
        <is>
          <t>Amazon.com</t>
        </is>
      </c>
      <c r="D108" t="inlineStr">
        <is>
          <t>indeed</t>
        </is>
      </c>
      <c r="E108" t="inlineStr"/>
      <c r="F108" t="inlineStr"/>
      <c r="G108" t="inlineStr">
        <is>
          <t>Seattle, WA, US</t>
        </is>
      </c>
      <c r="H108" s="1" t="n">
        <v>45868</v>
      </c>
      <c r="I108"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in-a2974df715cbeb0c</t>
        </is>
      </c>
      <c r="B109" t="inlineStr">
        <is>
          <t>Sr. Applied Scientist, Amazon Advertising</t>
        </is>
      </c>
      <c r="C109" t="inlineStr">
        <is>
          <t>Amazon.com</t>
        </is>
      </c>
      <c r="D109" t="inlineStr">
        <is>
          <t>indeed</t>
        </is>
      </c>
      <c r="E109" t="inlineStr"/>
      <c r="F109" t="inlineStr"/>
      <c r="G109" t="inlineStr">
        <is>
          <t>Simi Valley, CA, US</t>
        </is>
      </c>
      <c r="H109" s="1" t="n">
        <v>45851</v>
      </c>
      <c r="I1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in-6aa61f42fd43b083</t>
        </is>
      </c>
      <c r="B110" t="inlineStr">
        <is>
          <t>Sr. Applied Scientist, Amazon Advertising</t>
        </is>
      </c>
      <c r="C110" t="inlineStr">
        <is>
          <t>Amazon.com</t>
        </is>
      </c>
      <c r="D110" t="inlineStr">
        <is>
          <t>indeed</t>
        </is>
      </c>
      <c r="E110" t="inlineStr"/>
      <c r="F110" t="inlineStr"/>
      <c r="G110" t="inlineStr">
        <is>
          <t>Los Angeles, CA, US</t>
        </is>
      </c>
      <c r="H110" s="1" t="n">
        <v>45851</v>
      </c>
      <c r="I1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in-8eb23ec23f2cbb73</t>
        </is>
      </c>
      <c r="B111" t="inlineStr">
        <is>
          <t>Sr. Applied Scientist, Amazon Advertising</t>
        </is>
      </c>
      <c r="C111" t="inlineStr">
        <is>
          <t>Amazon.com</t>
        </is>
      </c>
      <c r="D111" t="inlineStr">
        <is>
          <t>indeed</t>
        </is>
      </c>
      <c r="E111" t="inlineStr"/>
      <c r="F111" t="inlineStr"/>
      <c r="G111" t="inlineStr">
        <is>
          <t>Palo Alto, CA, US</t>
        </is>
      </c>
      <c r="H111" s="1" t="n">
        <v>45851</v>
      </c>
      <c r="I1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in-bcd80a5de9ee8878</t>
        </is>
      </c>
      <c r="B112" t="inlineStr">
        <is>
          <t>Sr. Applied Scientist, Amazon Advertising</t>
        </is>
      </c>
      <c r="C112" t="inlineStr">
        <is>
          <t>Amazon.com</t>
        </is>
      </c>
      <c r="D112" t="inlineStr">
        <is>
          <t>indeed</t>
        </is>
      </c>
      <c r="E112" t="inlineStr"/>
      <c r="F112" t="inlineStr"/>
      <c r="G112" t="inlineStr">
        <is>
          <t>Seattle, WA, US</t>
        </is>
      </c>
      <c r="H112" s="1" t="n">
        <v>45851</v>
      </c>
      <c r="I1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in-c3a531d7fe90048d</t>
        </is>
      </c>
      <c r="B113" t="inlineStr">
        <is>
          <t>Sr. Applied Scientist, Amazon Advertising</t>
        </is>
      </c>
      <c r="C113" t="inlineStr">
        <is>
          <t>Amazon.com</t>
        </is>
      </c>
      <c r="D113" t="inlineStr">
        <is>
          <t>indeed</t>
        </is>
      </c>
      <c r="E113" t="inlineStr"/>
      <c r="F113" t="inlineStr"/>
      <c r="G113" t="inlineStr">
        <is>
          <t>Arlington, VA, US</t>
        </is>
      </c>
      <c r="H113" s="1" t="n">
        <v>45851</v>
      </c>
      <c r="I1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in-da34774b63190f47</t>
        </is>
      </c>
      <c r="B114" t="inlineStr">
        <is>
          <t>Sr. Applied Scientist, Amazon Advertising</t>
        </is>
      </c>
      <c r="C114" t="inlineStr">
        <is>
          <t>Amazon.com</t>
        </is>
      </c>
      <c r="D114" t="inlineStr">
        <is>
          <t>indeed</t>
        </is>
      </c>
      <c r="E114" t="inlineStr"/>
      <c r="F114" t="inlineStr"/>
      <c r="G114" t="inlineStr">
        <is>
          <t>New York, NY, US</t>
        </is>
      </c>
      <c r="H114" s="1" t="n">
        <v>45851</v>
      </c>
      <c r="I1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in-be8e606902890521</t>
        </is>
      </c>
      <c r="B115" t="inlineStr">
        <is>
          <t>Sr. Applied Scientist, Amazon Advertising</t>
        </is>
      </c>
      <c r="C115" t="inlineStr">
        <is>
          <t>Amazon.com</t>
        </is>
      </c>
      <c r="D115" t="inlineStr">
        <is>
          <t>indeed</t>
        </is>
      </c>
      <c r="E115" t="inlineStr"/>
      <c r="F115" t="inlineStr"/>
      <c r="G115" t="inlineStr">
        <is>
          <t>Austin, TX, US</t>
        </is>
      </c>
      <c r="H115" s="1" t="n">
        <v>45851</v>
      </c>
      <c r="I1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in-26d2cbc2e863f3b4</t>
        </is>
      </c>
      <c r="B116" t="inlineStr">
        <is>
          <t>Sr. Applied Scientist, Amazon Advertising</t>
        </is>
      </c>
      <c r="C116" t="inlineStr">
        <is>
          <t>Amazon.com</t>
        </is>
      </c>
      <c r="D116" t="inlineStr">
        <is>
          <t>indeed</t>
        </is>
      </c>
      <c r="E116" t="inlineStr"/>
      <c r="F116" t="inlineStr"/>
      <c r="G116" t="inlineStr">
        <is>
          <t>West Hollywood, CA, US</t>
        </is>
      </c>
      <c r="H116" s="1" t="n">
        <v>45851</v>
      </c>
      <c r="I1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in-159eaf75886c71c1</t>
        </is>
      </c>
      <c r="B117" t="inlineStr">
        <is>
          <t>Applied Scientist, Prime Video - Personalization and Discovery Science</t>
        </is>
      </c>
      <c r="C117" t="inlineStr">
        <is>
          <t>Amazon.com</t>
        </is>
      </c>
      <c r="D117" t="inlineStr">
        <is>
          <t>indeed</t>
        </is>
      </c>
      <c r="E117" t="inlineStr"/>
      <c r="F117" t="inlineStr"/>
      <c r="G117" t="inlineStr">
        <is>
          <t>New York, NY, US</t>
        </is>
      </c>
      <c r="H117" s="1" t="n">
        <v>45845</v>
      </c>
      <c r="I1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8">
      <c r="A118" t="inlineStr">
        <is>
          <t>in-e159dd7cb103ae09</t>
        </is>
      </c>
      <c r="B118" t="inlineStr">
        <is>
          <t>Applied Scientist, Prime Video - Personalization and Discovery Science</t>
        </is>
      </c>
      <c r="C118" t="inlineStr">
        <is>
          <t>Amazon.com</t>
        </is>
      </c>
      <c r="D118" t="inlineStr">
        <is>
          <t>indeed</t>
        </is>
      </c>
      <c r="E118" t="inlineStr"/>
      <c r="F118" t="inlineStr"/>
      <c r="G118" t="inlineStr">
        <is>
          <t>Seattle, WA, US</t>
        </is>
      </c>
      <c r="H118" s="1" t="n">
        <v>45845</v>
      </c>
      <c r="I1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9">
      <c r="A119" t="inlineStr">
        <is>
          <t>in-3b952018c19890d9</t>
        </is>
      </c>
      <c r="B119" t="inlineStr">
        <is>
          <t>Applied Scientist, Prime Video - Personalization and Discovery Science</t>
        </is>
      </c>
      <c r="C119" t="inlineStr">
        <is>
          <t>Amazon.com</t>
        </is>
      </c>
      <c r="D119" t="inlineStr">
        <is>
          <t>indeed</t>
        </is>
      </c>
      <c r="E119" t="inlineStr"/>
      <c r="F119" t="inlineStr"/>
      <c r="G119" t="inlineStr">
        <is>
          <t>Sunnyvale, CA, US</t>
        </is>
      </c>
      <c r="H119" s="1" t="n">
        <v>45845</v>
      </c>
      <c r="I1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20">
      <c r="A120" t="inlineStr">
        <is>
          <t>in-045208fe6e626508</t>
        </is>
      </c>
      <c r="B120" t="inlineStr">
        <is>
          <t>Sr. Applied Scientist, Sales AI</t>
        </is>
      </c>
      <c r="C120" t="inlineStr">
        <is>
          <t>Amazon.com</t>
        </is>
      </c>
      <c r="D120" t="inlineStr">
        <is>
          <t>indeed</t>
        </is>
      </c>
      <c r="E120" t="inlineStr"/>
      <c r="F120" t="inlineStr"/>
      <c r="G120" t="inlineStr">
        <is>
          <t>New York, NY, US</t>
        </is>
      </c>
      <c r="H120" s="1" t="n">
        <v>45830</v>
      </c>
      <c r="I12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in-0d411c74c17c4a8b</t>
        </is>
      </c>
      <c r="B121" t="inlineStr">
        <is>
          <t>Sr. Applied Scientist, Sales AI</t>
        </is>
      </c>
      <c r="C121" t="inlineStr">
        <is>
          <t>Amazon.com</t>
        </is>
      </c>
      <c r="D121" t="inlineStr">
        <is>
          <t>indeed</t>
        </is>
      </c>
      <c r="E121" t="inlineStr"/>
      <c r="F121" t="inlineStr"/>
      <c r="G121" t="inlineStr">
        <is>
          <t>Seattle, WA, US</t>
        </is>
      </c>
      <c r="H121" s="1" t="n">
        <v>45830</v>
      </c>
      <c r="I12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in-4a97678972c9bda5</t>
        </is>
      </c>
      <c r="B122" t="inlineStr">
        <is>
          <t>Sr. Applied Scientist, Sales AI</t>
        </is>
      </c>
      <c r="C122" t="inlineStr">
        <is>
          <t>Amazon.com</t>
        </is>
      </c>
      <c r="D122" t="inlineStr">
        <is>
          <t>indeed</t>
        </is>
      </c>
      <c r="E122" t="inlineStr"/>
      <c r="F122" t="inlineStr"/>
      <c r="G122" t="inlineStr">
        <is>
          <t>Sunnyvale, CA, US</t>
        </is>
      </c>
      <c r="H122" s="1" t="n">
        <v>45830</v>
      </c>
      <c r="I12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in-7c87261c748b6691</t>
        </is>
      </c>
      <c r="B123" t="inlineStr">
        <is>
          <t>Principal Applied Scientist, Delivery Foundation Model</t>
        </is>
      </c>
      <c r="C123" t="inlineStr">
        <is>
          <t>Amazon.com</t>
        </is>
      </c>
      <c r="D123" t="inlineStr">
        <is>
          <t>indeed</t>
        </is>
      </c>
      <c r="E123" t="inlineStr"/>
      <c r="F123" t="inlineStr"/>
      <c r="G123" t="inlineStr">
        <is>
          <t>Santa Clara, CA, US</t>
        </is>
      </c>
      <c r="H123" s="1" t="n">
        <v>45810</v>
      </c>
      <c r="I12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24">
      <c r="A124" t="inlineStr">
        <is>
          <t>in-210821cbef76074e</t>
        </is>
      </c>
      <c r="B124" t="inlineStr">
        <is>
          <t>Principal Applied Scientist, Delivery Foundation Model</t>
        </is>
      </c>
      <c r="C124" t="inlineStr">
        <is>
          <t>Amazon.com</t>
        </is>
      </c>
      <c r="D124" t="inlineStr">
        <is>
          <t>indeed</t>
        </is>
      </c>
      <c r="E124" t="inlineStr"/>
      <c r="F124" t="inlineStr"/>
      <c r="G124" t="inlineStr">
        <is>
          <t>Austin, TX, US</t>
        </is>
      </c>
      <c r="H124" s="1" t="n">
        <v>45810</v>
      </c>
      <c r="I12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25">
      <c r="A125" t="inlineStr">
        <is>
          <t>in-17eb3d25a6bcbc9b</t>
        </is>
      </c>
      <c r="B125" t="inlineStr">
        <is>
          <t>Principal Applied Scientist, Delivery Foundation Model</t>
        </is>
      </c>
      <c r="C125" t="inlineStr">
        <is>
          <t>Amazon.com</t>
        </is>
      </c>
      <c r="D125" t="inlineStr">
        <is>
          <t>indeed</t>
        </is>
      </c>
      <c r="E125" t="inlineStr"/>
      <c r="F125" t="inlineStr"/>
      <c r="G125" t="inlineStr">
        <is>
          <t>New York, NY, US</t>
        </is>
      </c>
      <c r="H125" s="1" t="n">
        <v>45810</v>
      </c>
      <c r="I12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26">
      <c r="A126" t="inlineStr">
        <is>
          <t>in-f23d85161004d11f</t>
        </is>
      </c>
      <c r="B126" t="inlineStr">
        <is>
          <t>Principal Applied Scientist, Delivery Foundation Model</t>
        </is>
      </c>
      <c r="C126" t="inlineStr">
        <is>
          <t>Amazon.com</t>
        </is>
      </c>
      <c r="D126" t="inlineStr">
        <is>
          <t>indeed</t>
        </is>
      </c>
      <c r="E126" t="inlineStr"/>
      <c r="F126" t="inlineStr"/>
      <c r="G126" t="inlineStr">
        <is>
          <t>Bellevue, WA, US</t>
        </is>
      </c>
      <c r="H126" s="1" t="n">
        <v>45810</v>
      </c>
      <c r="I12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27">
      <c r="A127" t="inlineStr">
        <is>
          <t>in-8d3de3802e503b33</t>
        </is>
      </c>
      <c r="B127" t="inlineStr">
        <is>
          <t>Senior Applied Scientist, Delivery Foundation Model</t>
        </is>
      </c>
      <c r="C127" t="inlineStr">
        <is>
          <t>Amazon.com</t>
        </is>
      </c>
      <c r="D127" t="inlineStr">
        <is>
          <t>indeed</t>
        </is>
      </c>
      <c r="E127" t="inlineStr"/>
      <c r="F127" t="inlineStr"/>
      <c r="G127" t="inlineStr">
        <is>
          <t>Santa Clara, CA, US</t>
        </is>
      </c>
      <c r="H127" s="1" t="n">
        <v>45806</v>
      </c>
      <c r="I12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in-0515455cf6a4465e</t>
        </is>
      </c>
      <c r="B128" t="inlineStr">
        <is>
          <t>Senior Applied Scientist, Delivery Foundation Model</t>
        </is>
      </c>
      <c r="C128" t="inlineStr">
        <is>
          <t>Amazon.com</t>
        </is>
      </c>
      <c r="D128" t="inlineStr">
        <is>
          <t>indeed</t>
        </is>
      </c>
      <c r="E128" t="inlineStr"/>
      <c r="F128" t="inlineStr"/>
      <c r="G128" t="inlineStr">
        <is>
          <t>New York, NY, US</t>
        </is>
      </c>
      <c r="H128" s="1" t="n">
        <v>45806</v>
      </c>
      <c r="I12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in-cf825ca9c3245241</t>
        </is>
      </c>
      <c r="B129" t="inlineStr">
        <is>
          <t>Senior Applied Scientist, Delivery Foundation Model</t>
        </is>
      </c>
      <c r="C129" t="inlineStr">
        <is>
          <t>Amazon.com</t>
        </is>
      </c>
      <c r="D129" t="inlineStr">
        <is>
          <t>indeed</t>
        </is>
      </c>
      <c r="E129" t="inlineStr"/>
      <c r="F129" t="inlineStr"/>
      <c r="G129" t="inlineStr">
        <is>
          <t>Bellevue, WA, US</t>
        </is>
      </c>
      <c r="H129" s="1" t="n">
        <v>45806</v>
      </c>
      <c r="I12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in-76e7aff12a854fd2</t>
        </is>
      </c>
      <c r="B130" t="inlineStr">
        <is>
          <t>Sr. Applied Scientist - Privacy, Privacy Engineering</t>
        </is>
      </c>
      <c r="C130" t="inlineStr">
        <is>
          <t>Amazon.com</t>
        </is>
      </c>
      <c r="D130" t="inlineStr">
        <is>
          <t>indeed</t>
        </is>
      </c>
      <c r="E130" t="inlineStr"/>
      <c r="F130" t="inlineStr"/>
      <c r="G130" t="inlineStr">
        <is>
          <t>San Francisco, CA, US</t>
        </is>
      </c>
      <c r="H130" s="1" t="n">
        <v>45787</v>
      </c>
      <c r="I130"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in-768b84e2bd343ba9</t>
        </is>
      </c>
      <c r="B131" t="inlineStr">
        <is>
          <t>Sr. Applied Scientist - Privacy, Privacy Engineering</t>
        </is>
      </c>
      <c r="C131" t="inlineStr">
        <is>
          <t>Amazon.com</t>
        </is>
      </c>
      <c r="D131" t="inlineStr">
        <is>
          <t>indeed</t>
        </is>
      </c>
      <c r="E131" t="inlineStr"/>
      <c r="F131" t="inlineStr"/>
      <c r="G131" t="inlineStr">
        <is>
          <t>Seattle, WA, US</t>
        </is>
      </c>
      <c r="H131" s="1" t="n">
        <v>45787</v>
      </c>
      <c r="I13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in-99d43192794a135e</t>
        </is>
      </c>
      <c r="B132" t="inlineStr">
        <is>
          <t>Sr. Applied Scientist - Privacy, Privacy Engineering</t>
        </is>
      </c>
      <c r="C132" t="inlineStr">
        <is>
          <t>Amazon.com</t>
        </is>
      </c>
      <c r="D132" t="inlineStr">
        <is>
          <t>indeed</t>
        </is>
      </c>
      <c r="E132" t="inlineStr"/>
      <c r="F132" t="inlineStr"/>
      <c r="G132" t="inlineStr">
        <is>
          <t>Santa Clara, CA, US</t>
        </is>
      </c>
      <c r="H132" s="1" t="n">
        <v>45787</v>
      </c>
      <c r="I13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in-60b6fad425057472</t>
        </is>
      </c>
      <c r="B133" t="inlineStr">
        <is>
          <t>Sr. Applied Scientist - Privacy, Privacy Engineering</t>
        </is>
      </c>
      <c r="C133" t="inlineStr">
        <is>
          <t>Amazon.com</t>
        </is>
      </c>
      <c r="D133" t="inlineStr">
        <is>
          <t>indeed</t>
        </is>
      </c>
      <c r="E133" t="inlineStr"/>
      <c r="F133" t="inlineStr"/>
      <c r="G133" t="inlineStr">
        <is>
          <t>Sunnyvale, CA, US</t>
        </is>
      </c>
      <c r="H133" s="1" t="n">
        <v>45787</v>
      </c>
      <c r="I13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in-5258dacb55978f62</t>
        </is>
      </c>
      <c r="B134" t="inlineStr">
        <is>
          <t>Principal Applied Scientist, Delivery Foundation Model</t>
        </is>
      </c>
      <c r="C134" t="inlineStr">
        <is>
          <t>Amazon.com</t>
        </is>
      </c>
      <c r="D134" t="inlineStr">
        <is>
          <t>indeed</t>
        </is>
      </c>
      <c r="E134" t="inlineStr"/>
      <c r="F134" t="inlineStr"/>
      <c r="G134" t="inlineStr">
        <is>
          <t>Santa Clara, CA, US</t>
        </is>
      </c>
      <c r="H134" s="1" t="n">
        <v>45757</v>
      </c>
      <c r="I13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35">
      <c r="A135" t="inlineStr">
        <is>
          <t>in-395227983ecec7e7</t>
        </is>
      </c>
      <c r="B135" t="inlineStr">
        <is>
          <t>Principal Applied Scientist, Delivery Foundation Model</t>
        </is>
      </c>
      <c r="C135" t="inlineStr">
        <is>
          <t>Amazon.com</t>
        </is>
      </c>
      <c r="D135" t="inlineStr">
        <is>
          <t>indeed</t>
        </is>
      </c>
      <c r="E135" t="inlineStr"/>
      <c r="F135" t="inlineStr"/>
      <c r="G135" t="inlineStr">
        <is>
          <t>Bellevue, WA, US</t>
        </is>
      </c>
      <c r="H135" s="1" t="n">
        <v>45757</v>
      </c>
      <c r="I13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36">
      <c r="A136" t="inlineStr">
        <is>
          <t>in-40a9c4bf86730229</t>
        </is>
      </c>
      <c r="B136" t="inlineStr">
        <is>
          <t>Principal Applied Scientist, Delivery Foundation Model</t>
        </is>
      </c>
      <c r="C136" t="inlineStr">
        <is>
          <t>Amazon.com</t>
        </is>
      </c>
      <c r="D136" t="inlineStr">
        <is>
          <t>indeed</t>
        </is>
      </c>
      <c r="E136" t="inlineStr"/>
      <c r="F136" t="inlineStr"/>
      <c r="G136" t="inlineStr">
        <is>
          <t>New York, NY, US</t>
        </is>
      </c>
      <c r="H136" s="1" t="n">
        <v>45757</v>
      </c>
      <c r="I13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37">
      <c r="A137" t="inlineStr">
        <is>
          <t>in-a4c5f2f4766a9526</t>
        </is>
      </c>
      <c r="B137" t="inlineStr">
        <is>
          <t>Data Scientist - Kaggle Grandmaster</t>
        </is>
      </c>
      <c r="C137" t="inlineStr">
        <is>
          <t>YO IT CONSULTING</t>
        </is>
      </c>
      <c r="D137" t="inlineStr">
        <is>
          <t>indeed</t>
        </is>
      </c>
      <c r="E137" t="inlineStr"/>
      <c r="F137" t="inlineStr"/>
      <c r="G137" t="inlineStr">
        <is>
          <t>Remote, US</t>
        </is>
      </c>
      <c r="H137" s="1" t="n">
        <v>46076</v>
      </c>
      <c r="I137" t="inlineStr">
        <is>
          <t>**Engagement Type:** Independent Contractor  
**Work Mode:** Fully Remote  
**Hours:** 30–40 hours/week or Full\-Time (Flexible)
### **About the Role**
We are partnering with a leading AI research lab to hire a highly skilled **Data Scientist with a Kaggle Grandmaster profile**.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38">
      <c r="A138" t="inlineStr">
        <is>
          <t>in-382ed68c6be421a9</t>
        </is>
      </c>
      <c r="B138" t="inlineStr">
        <is>
          <t>Data Scientist - Kaggle Grandmaster</t>
        </is>
      </c>
      <c r="C138" t="inlineStr">
        <is>
          <t>YO IT CONSULTING</t>
        </is>
      </c>
      <c r="D138" t="inlineStr">
        <is>
          <t>indeed</t>
        </is>
      </c>
      <c r="E138" t="inlineStr"/>
      <c r="F138" t="inlineStr"/>
      <c r="G138" t="inlineStr">
        <is>
          <t>Remote, US</t>
        </is>
      </c>
      <c r="H138" s="1" t="n">
        <v>46076</v>
      </c>
      <c r="I138" t="inlineStr">
        <is>
          <t>**Engagement Type:** Independent Contractor  
**Work Mode:** Fully Remote  
**Hours:** 30–40 hours/week or Full\-Time (Flexible)
### **About the Role**
We are partnering with a leading AI research lab to hire a highly skilled **Data Scientist with a Kaggle Grandmaster profile**.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39">
      <c r="A139" t="inlineStr">
        <is>
          <t>in-627cfc3847a07be3</t>
        </is>
      </c>
      <c r="B139" t="inlineStr">
        <is>
          <t>Data Scientist - Kaggle Grandmaster</t>
        </is>
      </c>
      <c r="C139" t="inlineStr">
        <is>
          <t>YO IT CONSULTING</t>
        </is>
      </c>
      <c r="D139" t="inlineStr">
        <is>
          <t>indeed</t>
        </is>
      </c>
      <c r="E139" t="inlineStr"/>
      <c r="F139" t="inlineStr"/>
      <c r="G139" t="inlineStr">
        <is>
          <t>Remote, US</t>
        </is>
      </c>
      <c r="H139" s="1" t="n">
        <v>46076</v>
      </c>
      <c r="I139" t="inlineStr">
        <is>
          <t>**Engagement Type:** Independent Contractor  
**Work Mode:** Fully Remote  
**Hours:** 30–40 hours/week or Full\-Time (Flexible)
### **About the Role**
We are partnering with a leading AI research lab to hire a highly skilled **Data Scientist with a Kaggle Grandmaster profile**.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40">
      <c r="A140" t="inlineStr">
        <is>
          <t>in-8c3e693503a2f491</t>
        </is>
      </c>
      <c r="B140" t="inlineStr">
        <is>
          <t>Data Scientist - Kaggle Grandmaster</t>
        </is>
      </c>
      <c r="C140" t="inlineStr">
        <is>
          <t>YO IT CONSULTING</t>
        </is>
      </c>
      <c r="D140" t="inlineStr">
        <is>
          <t>indeed</t>
        </is>
      </c>
      <c r="E140" t="inlineStr"/>
      <c r="F140" t="inlineStr"/>
      <c r="G140" t="inlineStr">
        <is>
          <t>Remote, US</t>
        </is>
      </c>
      <c r="H140" s="1" t="n">
        <v>46076</v>
      </c>
      <c r="I140" t="inlineStr">
        <is>
          <t>**Engagement Type:** Independent Contractor  
**Work Mode:** Fully Remote  
**Hours:** 30–40 hours/week or Full\-Time (Flexible)
### **About the Role**
We are partnering with a leading AI research lab to hire a highly skilled **Data Scientist with a Kaggle Grandmaster profile**.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41">
      <c r="A141" t="inlineStr">
        <is>
          <t>in-47fc26ace33f4e57</t>
        </is>
      </c>
      <c r="B141" t="inlineStr">
        <is>
          <t>Data Scientist - Kaggle Grandmaster</t>
        </is>
      </c>
      <c r="C141" t="inlineStr">
        <is>
          <t>YO IT CONSULTING</t>
        </is>
      </c>
      <c r="D141" t="inlineStr">
        <is>
          <t>indeed</t>
        </is>
      </c>
      <c r="E141" t="inlineStr"/>
      <c r="F141" t="inlineStr"/>
      <c r="G141" t="inlineStr">
        <is>
          <t>Remote, US</t>
        </is>
      </c>
      <c r="H141" s="1" t="n">
        <v>46076</v>
      </c>
      <c r="I141" t="inlineStr">
        <is>
          <t>**Engagement Type:** Independent Contractor  
**Work Mode:** Fully Remote  
**Hours:** 30–40 hours/week or Full\-Time (Flexible)
### **About the Role**
We are partnering with a leading AI research lab to hire a highly skilled **Data Scientist with a Kaggle Grandmaster profile**.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42">
      <c r="A142" t="inlineStr">
        <is>
          <t>in-98982339150895a6</t>
        </is>
      </c>
      <c r="B142" t="inlineStr">
        <is>
          <t>Data Scientist - Kaggle Grandmaster</t>
        </is>
      </c>
      <c r="C142" t="inlineStr">
        <is>
          <t>YO IT CONSULTING</t>
        </is>
      </c>
      <c r="D142" t="inlineStr">
        <is>
          <t>indeed</t>
        </is>
      </c>
      <c r="E142" t="inlineStr"/>
      <c r="F142" t="inlineStr"/>
      <c r="G142" t="inlineStr">
        <is>
          <t>Remote, US</t>
        </is>
      </c>
      <c r="H142" s="1" t="n">
        <v>46076</v>
      </c>
      <c r="I142" t="inlineStr">
        <is>
          <t>**Engagement Type:** Independent Contractor  
**Work Mode:** Fully Remote  
**Hours:** 30–40 hours/week or Full\-Time (Flexible)
### **About the Role**
We are partnering with a leading AI research lab to hire a highly skilled **Data Scientist with a Kaggle Grandmaster profile**.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43">
      <c r="A143" t="inlineStr">
        <is>
          <t>in-309f87cd1d128f5b</t>
        </is>
      </c>
      <c r="B143" t="inlineStr">
        <is>
          <t>Data Scientist - Kaggle Grandmaster</t>
        </is>
      </c>
      <c r="C143" t="inlineStr">
        <is>
          <t>YO IT CONSULTING</t>
        </is>
      </c>
      <c r="D143" t="inlineStr">
        <is>
          <t>indeed</t>
        </is>
      </c>
      <c r="E143" t="inlineStr"/>
      <c r="F143" t="inlineStr"/>
      <c r="G143" t="inlineStr">
        <is>
          <t>Remote, US</t>
        </is>
      </c>
      <c r="H143" s="1" t="n">
        <v>46076</v>
      </c>
      <c r="I143" t="inlineStr">
        <is>
          <t>**Engagement Type:** Independent Contractor  
**Work Mode:** Fully Remote  
**Hours:** 30–40 hours/week or Full\-Time (Flexible)
### **About the Role**
We are partnering with a leading AI research lab to hire a highly skilled **Data Scientist with a Kaggle Grandmaster profile**.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44">
      <c r="A144" t="inlineStr">
        <is>
          <t>in-325a8c51c30cf1d5</t>
        </is>
      </c>
      <c r="B144" t="inlineStr">
        <is>
          <t>Data Scientist - Kaggle Grandmaster</t>
        </is>
      </c>
      <c r="C144" t="inlineStr">
        <is>
          <t>YO IT CONSULTING</t>
        </is>
      </c>
      <c r="D144" t="inlineStr">
        <is>
          <t>indeed</t>
        </is>
      </c>
      <c r="E144" t="inlineStr"/>
      <c r="F144" t="inlineStr"/>
      <c r="G144" t="inlineStr">
        <is>
          <t>Remote, US</t>
        </is>
      </c>
      <c r="H144" s="1" t="n">
        <v>46076</v>
      </c>
      <c r="I144" t="inlineStr">
        <is>
          <t>**Engagement Type:** Independent Contractor  
**Work Mode:** Fully Remote  
**Hours:** 30–40 hours/week or Full\-Time (Flexible)
### **About the Role**
We are partnering with a leading AI research lab to hire a highly skilled **Data Scientist with a Kaggle Grandmaster profile**.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45">
      <c r="A145" t="inlineStr">
        <is>
          <t>in-d9d29b7e0b3cdd3d</t>
        </is>
      </c>
      <c r="B145" t="inlineStr">
        <is>
          <t>Data Scientist - Kaggle Grandmaster</t>
        </is>
      </c>
      <c r="C145" t="inlineStr">
        <is>
          <t>YO IT CONSULTING</t>
        </is>
      </c>
      <c r="D145" t="inlineStr">
        <is>
          <t>indeed</t>
        </is>
      </c>
      <c r="E145" t="inlineStr"/>
      <c r="F145" t="inlineStr"/>
      <c r="G145" t="inlineStr">
        <is>
          <t>Remote, US</t>
        </is>
      </c>
      <c r="H145" s="1" t="n">
        <v>46076</v>
      </c>
      <c r="I145" t="inlineStr">
        <is>
          <t>**Engagement Type:** Independent Contractor  
**Work Mode:** Fully Remote  
**Hours:** 30–40 hours/week or Full\-Time (Flexible)
### **About the Role**
We are partnering with a leading AI research lab to hire a highly skilled **Data Scientist with a Kaggle Grandmaster profile**.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46">
      <c r="A146" t="inlineStr">
        <is>
          <t>in-b35508015ceb239c</t>
        </is>
      </c>
      <c r="B146" t="inlineStr">
        <is>
          <t>Data Scientist - Kaggle Grandmaster</t>
        </is>
      </c>
      <c r="C146" t="inlineStr">
        <is>
          <t>YO IT CONSULTING</t>
        </is>
      </c>
      <c r="D146" t="inlineStr">
        <is>
          <t>indeed</t>
        </is>
      </c>
      <c r="E146" t="inlineStr"/>
      <c r="F146" t="inlineStr"/>
      <c r="G146" t="inlineStr">
        <is>
          <t>Remote, US</t>
        </is>
      </c>
      <c r="H146" s="1" t="n">
        <v>46076</v>
      </c>
      <c r="I146" t="inlineStr">
        <is>
          <t>**Engagement Type:** Independent Contractor  
**Work Mode:** Fully Remote  
**Hours:** 30–40 hours/week or Full\-Time (Flexible)
### **About the Role**
We are partnering with a leading AI research lab to hire a highly skilled **Data Scientist with a Kaggle Grandmaster profile**.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47">
      <c r="A147" t="inlineStr">
        <is>
          <t>in-331f99049a5d1dae</t>
        </is>
      </c>
      <c r="B147" t="inlineStr">
        <is>
          <t>Data Scientist - Kaggle Grandmaster</t>
        </is>
      </c>
      <c r="C147" t="inlineStr">
        <is>
          <t>YO IT CONSULTING</t>
        </is>
      </c>
      <c r="D147" t="inlineStr">
        <is>
          <t>indeed</t>
        </is>
      </c>
      <c r="E147" t="inlineStr"/>
      <c r="F147" t="inlineStr"/>
      <c r="G147" t="inlineStr">
        <is>
          <t>Remote, US</t>
        </is>
      </c>
      <c r="H147" s="1" t="n">
        <v>46076</v>
      </c>
      <c r="I147" t="inlineStr">
        <is>
          <t>**Engagement Type:** Independent Contractor  
**Work Mode:** Fully Remote  
**Hours:** 30–40 hours/week or Full\-Time (Flexible)
### **About the Role**
We are partnering with a leading AI research lab to hire a highly skilled **Data Scientist with a Kaggle Grandmaster profile**.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48">
      <c r="A148" t="inlineStr">
        <is>
          <t>in-59b1ffe4fc565874</t>
        </is>
      </c>
      <c r="B148" t="inlineStr">
        <is>
          <t>Data Scientist - Kaggle Grandmaster</t>
        </is>
      </c>
      <c r="C148" t="inlineStr">
        <is>
          <t>YO IT CONSULTING</t>
        </is>
      </c>
      <c r="D148" t="inlineStr">
        <is>
          <t>indeed</t>
        </is>
      </c>
      <c r="E148" t="inlineStr"/>
      <c r="F148" t="inlineStr"/>
      <c r="G148" t="inlineStr">
        <is>
          <t>Remote, US</t>
        </is>
      </c>
      <c r="H148" s="1" t="n">
        <v>46076</v>
      </c>
      <c r="I148" t="inlineStr">
        <is>
          <t>**Engagement Type:** Independent Contractor  
**Work Mode:** Fully Remote  
**Hours:** 30–40 hours/week or Full\-Time (Flexible)
### **About the Role**
We are partnering with a leading AI research lab to hire a highly skilled **Data Scientist with a Kaggle Grandmaster profile**.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49">
      <c r="A149" t="inlineStr">
        <is>
          <t>in-24051d8ef80e37dd</t>
        </is>
      </c>
      <c r="B149" t="inlineStr">
        <is>
          <t>Data Scientist - Kaggle Grandmaster</t>
        </is>
      </c>
      <c r="C149" t="inlineStr">
        <is>
          <t>YO IT CONSULTING</t>
        </is>
      </c>
      <c r="D149" t="inlineStr">
        <is>
          <t>indeed</t>
        </is>
      </c>
      <c r="E149" t="inlineStr"/>
      <c r="F149" t="inlineStr"/>
      <c r="G149" t="inlineStr">
        <is>
          <t>Remote, US</t>
        </is>
      </c>
      <c r="H149" s="1" t="n">
        <v>46076</v>
      </c>
      <c r="I149" t="inlineStr">
        <is>
          <t>**Engagement Type:** Independent Contractor  
**Work Mode:** Fully Remote  
**Hours:** 30–40 hours/week or Full\-Time (Flexible)
### **About the Role**
We are partnering with a leading AI research lab to hire a highly skilled **Data Scientist with a Kaggle Grandmaster profile**.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50">
      <c r="A150" t="inlineStr">
        <is>
          <t>in-975af84117bd48cb</t>
        </is>
      </c>
      <c r="B150" t="inlineStr">
        <is>
          <t>Data Scientist - Kaggle Grandmaster</t>
        </is>
      </c>
      <c r="C150" t="inlineStr">
        <is>
          <t>YO IT CONSULTING</t>
        </is>
      </c>
      <c r="D150" t="inlineStr">
        <is>
          <t>indeed</t>
        </is>
      </c>
      <c r="E150" t="inlineStr"/>
      <c r="F150" t="inlineStr"/>
      <c r="G150" t="inlineStr">
        <is>
          <t>Remote, US</t>
        </is>
      </c>
      <c r="H150" s="1" t="n">
        <v>46076</v>
      </c>
      <c r="I150" t="inlineStr">
        <is>
          <t>**Engagement Type:** Independent Contractor  
**Work Mode:** Fully Remote  
**Hours:** 30–40 hours/week or Full\-Time (Flexible)
### **About the Role**
We are partnering with a leading AI research lab to hire a highly skilled **Data Scientist with a Kaggle Grandmaster profile**.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51">
      <c r="A151" t="inlineStr">
        <is>
          <t>in-da9723a3cb997006</t>
        </is>
      </c>
      <c r="B151" t="inlineStr">
        <is>
          <t>Data Scientist - Kaggle Grandmaster</t>
        </is>
      </c>
      <c r="C151" t="inlineStr">
        <is>
          <t>YO IT CONSULTING</t>
        </is>
      </c>
      <c r="D151" t="inlineStr">
        <is>
          <t>indeed</t>
        </is>
      </c>
      <c r="E151" t="inlineStr"/>
      <c r="F151" t="inlineStr"/>
      <c r="G151" t="inlineStr">
        <is>
          <t>Remote, US</t>
        </is>
      </c>
      <c r="H151" s="1" t="n">
        <v>46076</v>
      </c>
      <c r="I151" t="inlineStr">
        <is>
          <t>**Engagement Type:** Independent Contractor  
**Work Mode:** Fully Remote  
**Hours:** 30–40 hours/week or Full\-Time (Flexible)
### **About the Role**
We are partnering with a leading AI research lab to hire a highly skilled **Data Scientist with a Kaggle Grandmaster profile**.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52">
      <c r="A152" t="inlineStr">
        <is>
          <t>in-2fbdd2a08360c65b</t>
        </is>
      </c>
      <c r="B152" t="inlineStr">
        <is>
          <t>Data Scientist - Kaggle Grandmaster</t>
        </is>
      </c>
      <c r="C152" t="inlineStr">
        <is>
          <t>YO IT CONSULTING</t>
        </is>
      </c>
      <c r="D152" t="inlineStr">
        <is>
          <t>indeed</t>
        </is>
      </c>
      <c r="E152" t="inlineStr"/>
      <c r="F152" t="inlineStr"/>
      <c r="G152" t="inlineStr">
        <is>
          <t>Remote, US</t>
        </is>
      </c>
      <c r="H152" s="1" t="n">
        <v>46076</v>
      </c>
      <c r="I152" t="inlineStr">
        <is>
          <t>**Engagement Type:** Independent Contractor  
**Work Mode:** Fully Remote  
**Hours:** 30–40 hours/week or Full\-Time (Flexible)
### **About the Role**
We are partnering with a leading AI research lab to hire a highly skilled **Data Scientist with a Kaggle Grandmaster profile**.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53">
      <c r="A153" t="inlineStr">
        <is>
          <t>in-8da24880aebfb290</t>
        </is>
      </c>
      <c r="B153" t="inlineStr">
        <is>
          <t>Data Scientist - Kaggle Grandmaster</t>
        </is>
      </c>
      <c r="C153" t="inlineStr">
        <is>
          <t>YO IT CONSULTING</t>
        </is>
      </c>
      <c r="D153" t="inlineStr">
        <is>
          <t>indeed</t>
        </is>
      </c>
      <c r="E153" t="inlineStr"/>
      <c r="F153" t="inlineStr"/>
      <c r="G153" t="inlineStr">
        <is>
          <t>Remote, US</t>
        </is>
      </c>
      <c r="H153" s="1" t="n">
        <v>46076</v>
      </c>
      <c r="I153" t="inlineStr">
        <is>
          <t>**Engagement Type:** Independent Contractor  
**Work Mode:** Fully Remote  
**Hours:** 30–40 hours/week or Full\-Time (Flexible)
### **About the Role**
We are partnering with a leading AI research lab to hire a highly skilled **Data Scientist with a Kaggle Grandmaster profile**.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54">
      <c r="A154" t="inlineStr">
        <is>
          <t>in-8500db98fb6bca16</t>
        </is>
      </c>
      <c r="B154" t="inlineStr">
        <is>
          <t>Data Scientist - Kaggle Grandmaster</t>
        </is>
      </c>
      <c r="C154" t="inlineStr">
        <is>
          <t>YO IT CONSULTING</t>
        </is>
      </c>
      <c r="D154" t="inlineStr">
        <is>
          <t>indeed</t>
        </is>
      </c>
      <c r="E154" t="inlineStr"/>
      <c r="F154" t="inlineStr"/>
      <c r="G154" t="inlineStr">
        <is>
          <t>Remote, US</t>
        </is>
      </c>
      <c r="H154" s="1" t="n">
        <v>46076</v>
      </c>
      <c r="I154" t="inlineStr">
        <is>
          <t>**Engagement Type:** Independent Contractor  
**Work Mode:** Fully Remote  
**Hours:** 30–40 hours/week or Full\-Time (Flexible)
### **About the Role**
We are partnering with a leading AI research lab to hire a highly skilled **Data Scientist with a Kaggle Grandmaster profile**.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55">
      <c r="A155" t="inlineStr">
        <is>
          <t>in-f1d3eb5b6b7312c3</t>
        </is>
      </c>
      <c r="B155" t="inlineStr">
        <is>
          <t>Data Scientist - Kaggle Grandmaster</t>
        </is>
      </c>
      <c r="C155" t="inlineStr">
        <is>
          <t>YO IT CONSULTING</t>
        </is>
      </c>
      <c r="D155" t="inlineStr">
        <is>
          <t>indeed</t>
        </is>
      </c>
      <c r="E155" t="inlineStr"/>
      <c r="F155" t="inlineStr"/>
      <c r="G155" t="inlineStr">
        <is>
          <t>Remote, US</t>
        </is>
      </c>
      <c r="H155" s="1" t="n">
        <v>46076</v>
      </c>
      <c r="I155" t="inlineStr">
        <is>
          <t>**Engagement Type:** Independent Contractor  
**Work Mode:** Fully Remote  
**Hours:** 30–40 hours/week or Full\-Time (Flexible)
### **About the Role**
We are partnering with a leading AI research lab to hire a highly skilled **Data Scientist with a Kaggle Grandmaster profile**.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56">
      <c r="A156" t="inlineStr">
        <is>
          <t>in-03a0717e81c9117f</t>
        </is>
      </c>
      <c r="B156" t="inlineStr">
        <is>
          <t>Data Scientist - Kaggle Grandmaster</t>
        </is>
      </c>
      <c r="C156" t="inlineStr">
        <is>
          <t>YO IT CONSULTING</t>
        </is>
      </c>
      <c r="D156" t="inlineStr">
        <is>
          <t>indeed</t>
        </is>
      </c>
      <c r="E156" t="inlineStr"/>
      <c r="F156" t="inlineStr"/>
      <c r="G156" t="inlineStr">
        <is>
          <t>Remote, US</t>
        </is>
      </c>
      <c r="H156" s="1" t="n">
        <v>46076</v>
      </c>
      <c r="I156" t="inlineStr">
        <is>
          <t>**Engagement Type:** Independent Contractor  
**Work Mode:** Fully Remote  
**Hours:** 30–40 hours/week or Full\-Time (Flexible)
### **About the Role**
We are partnering with a leading AI research lab to hire a highly skilled **Data Scientist with a Kaggle Grandmaster profile**.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157">
      <c r="A157" t="inlineStr">
        <is>
          <t>in-ba4a029b785b0048</t>
        </is>
      </c>
      <c r="B157" t="inlineStr">
        <is>
          <t>Chief Data Scientist - UnitedHealthcare</t>
        </is>
      </c>
      <c r="C157" t="inlineStr">
        <is>
          <t>UnitedHealthcare</t>
        </is>
      </c>
      <c r="D157" t="inlineStr">
        <is>
          <t>indeed</t>
        </is>
      </c>
      <c r="E157" t="inlineStr"/>
      <c r="F157" t="inlineStr"/>
      <c r="G157" t="inlineStr">
        <is>
          <t>Minnetonka, MN, US</t>
        </is>
      </c>
      <c r="H157" s="1" t="n">
        <v>46075</v>
      </c>
      <c r="I157" t="inlineStr">
        <is>
          <t>At UnitedHealthcare, we're simplifying the health care experience, creating healthier communities and removing barriers to quality care. The work you do here impacts the lives of millions of people for the better. Come build the health care system of tomorrow, making it more responsive, affordable and optimized. Ready to make a difference? Join us to start **Caring. Connecting. Growing together.**
The UnitedHealthcare Chief Data Scientist is a strategic leader responsible for establishing a new data science capability with the remit to transform data, advance analytics and AI into measurable enterprise value across the healthcare insurance ecosystem. This role ensures that advanced predictive analytics directly supports core business objectives, including affordability, quality of care, member experience, financial and actuarial planning and operational efficiencies. The Chief Data Scientist operates at a senior level and partners with senior UnitedHealthcare business leaders to identify high\-impact transformative opportunities and deliver solutions that drive impact. The senior leader will work cross functionally with the UnitedHealth Group and Optum teams to secure efficient, scalable and sustained solution design and deployment.
You'll enjoy the flexibility to work remotely \* from anywhere within the U.S. as you take on some tough challenges.
Hybrid in MN/DC: This position follows a hybrid schedule with four in\-office days per week.
 **Primary Responsibilities:**
**UnitedHealthcare Strategy \&amp; Business Alignment**
* Collaborate with executive leaders across Financial, Actuarial, Healthcare Economics, Operations, Provider and Member Experience organizations to translate strategy into a prioritized data science roadmap with enhanced predictive capabilities
* Identify and champion opportunities where AI and predictive analytics can improve care affordability, enhance population health management, optimize medical costs insights and signaling and streamline data and insights pipeline operations
* Communicate analytical and predictive insights in clear, actionable terms to support strategic decisions and planning \- not in technical terms
**Value Creation in Focus**
* Lead development of value frameworks that quantify outcomes such as medical cost savings, improved quality scores, risk accuracy, utilization management efficiencies, financial forecasting, reserving and provider network performance
* Ensure all predictive models and analytics directly improve key metrics and regulatory, legal and compliance performance
 **Applied AI Transformation Across the Insurance Lifecycle**
* Drive end\-to\-end AI/ML development across connected data domains of claims, member, provider and networks
* Enhanced Forecasting Capabilities: Predictive models for early detection, medical cost trends, member behavior insights and member population stratification
* Support Utilization Management \&amp; Care Management: Influence models to automate prior authorization, detect avoidable utilization and target members for care coordination
* Provider Network Optimization: Predictive insights to manage provider performance, leakage, cost variation and contracting opportunities
* Member Engagement \&amp; Experience: Personalization models that improve retention, adherence and satisfaction
* Payment Integrity \&amp; FWA: Advanced anomaly detection and claims pattern analytics and predictions
* Deliver high\-quality and contemporary data science models that are explainable, compliant and integrated into real\-world workflows
**Operationalization \&amp; Cross\-Functional Collaboration**
* Partner with Technology, Clinical Operations, Claims, Actuarial and Product teams to deploy and scale AI solutions across the enterprise
* Embed data science resources within key business areas to maximize adoption and impact
* Ensure seamless integration of models into products, workflows and decision\-support systems
**Leadership \&amp; Talent Development**
* Build and lead a high\-performing, multidisciplinary team of data scientists, data engineering experts, machine learning engineers and AI product partners
* Foster a culture of innovation, collaboration and influence grounded in healthcare ethics and member\-first principles
* Strengthen data literacy across UHC, empowering leaders to make informed decisions
**Success Measures**
* Recognized improvement in medical cost trend forecasting and improved affordability
* Increased automation and efficiency across data and insights operations
* Scaled adoption of AI\-enabled insights across business units
* Strong governance, compliance readiness and responsible AI maturity
* High engagement, retention and growth within the data science team
**Technical Expertise**
**Machine Learning \&amp; Advanced Analytics**
* Predictive modeling (classification, regression, survival analysis)
* Ensemble methods, gradient boosting, random forests and XGBoost/LightGBM
* Deep learning (NLP, sequence models, representation learning)
* Probabilistic modeling and Bayesian methods
* Time\-series forecasting (claims trend, utilization, membership, RAF forecasting)
* Causal inference and uplift modeling for interventions and care programs
**Productization of Data Science \&amp; AI**
* Building analytic products (risk engines, utilization predictors, network tools)
* Designing feedback loops for continuous improvement
* A/B testing and impact measurement in operational workflows
* Integrating AI into digital member, provider experiences and internal workflows
**Insurance Data Expertise**
* Claims data (medical, pharmacy, behavioral, dental)
* EHR/clinical data, lab results, clinical notes
* Risk adjustment models
* Quality measurement frameworks
* Social determinants of health data integration
* Provider data: NPI, cost/quality variation, contracting data
**Natural Language Processing (NLP)**
* Clinical document processing (progress notes, medical records, appeals)
* Claims and prior authorization text extraction/automation
* Named entity recognition for diagnoses, procedures, risk factors
* Large language models (LLMs) for summarization, routing, code capture, member communication
**AI/ML Engineering \&amp; Deployment**
* Model operationalization and MLOps
* Feature stores, model registries, and artifact tracking
* Model monitoring (drift, bias, performance, retraining)
* Building scalable AI services/APIs for production
* Real\-time inference and decision\-support integration
* Cloud ML platforms knowledge
**Data Engineering**
* Data warehousing and lakehouse platforms (Databricks, Snowflake knowledge)
* Data pipelines for high\-volume claims and clinical data
* Data modeling for healthcare operations (member, provider, claims)
**Preferred Programming \&amp; Tools knowledge**
* Python (pandas, scikit\-learn, PyTorch, TensorFlow)
* SAS (STAT, ETS and OR)
* R (useful for actuarial, risk, quality analytics)
* Spark/PySpark
* Visualization and BI platforms (Power BI)
You'll be rewarded and recognized for your performance in an environment that will challenge you and give you clear direction on what it takes to succeed in your role as well as provide development for other roles you may be interested in.
**Required Qualifications:**
* 15\+ years of proven executive leadership experience in advanced analytics, insurance operations, actuarial science or/and applied AI
* Deep understanding of the insurance ecosystem, including medical cost drivers, regulatory frameworks, claims workflows and quality performance metrics
* Proven track record of delivering data science and AI solutions that drive measurable financial and clinical impact
* Solid expertise in predictive modeling, machine learning, data and analytical solution design
* Expect level experience linking a business problem to applied data science techniques leading the hands\-on technical talent in model development
* Solid communication and partnership skills, with ability to align complex analytics to business and financial outcomes
* Ability to demonstrate value\-based leadership aligned to UnitedHealth Group culture and hire, grown and retain data science talent for future success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$225,000 to $375,000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58">
      <c r="A158" t="inlineStr">
        <is>
          <t>in-8f880ceef794a4a2</t>
        </is>
      </c>
      <c r="B158" t="inlineStr">
        <is>
          <t>Vice President, Data Scientist - UnitedHealthcare</t>
        </is>
      </c>
      <c r="C158" t="inlineStr">
        <is>
          <t>UnitedHealthcare</t>
        </is>
      </c>
      <c r="D158" t="inlineStr">
        <is>
          <t>indeed</t>
        </is>
      </c>
      <c r="E158" t="inlineStr"/>
      <c r="F158" t="inlineStr"/>
      <c r="G158" t="inlineStr">
        <is>
          <t>Minnetonka, MN, US</t>
        </is>
      </c>
      <c r="H158" s="1" t="n">
        <v>46075</v>
      </c>
      <c r="I158" t="inlineStr">
        <is>
          <t>At UnitedHealthcare, we're simplifying the health care experience, creating healthier communities and removing barriers to quality care. The work you do here impacts the lives of millions of people for the better. Come build the health care system of tomorrow, making it more responsive, affordable and optimized. Ready to make a difference? Join us to start **Caring. Connecting. Growing together.**
The Vice President Data Scientist will join the newly created UnitedHealthcare Data Science Capability reporting to the Chief Data Scientist. This role will lead and participate in the development of new predictive techniques to address the business aligned use cases identified. This leader will partner cross\-functionally with the broad UnitedHealth Group tech ecosystem. The Vice President will need excellent analytical thinking and problem solving skills to collaborate within the enterprise architecture while designing new data solutions and productized approach to data science. The leader will oversee a small, dedicated team of contemporary data scientists and work with the broader analytics teams within finance, actuarial and healthcare economics teams.
You'll enjoy the flexibility to work remotely \* from anywhere within the U.S. as you take on some tough challenges.
Hybrid in MN/DC: This position follows a hybrid schedule with four in\-office days per week.
 **Primary Responsibilities:**
* Collaborate with business leaders to problem solve the analytical approach to new and enhanced insights resting on advanced data science techniques
* Develop and implement predictive models, machine learning algorithms and statistical analyses to solve complex business problems
* Design experiments and evaluate model performance using appropriate validations techniques
* Lead the coding and peer review process of predictive techniques to secure explainable and ethical modeling design
* Detailed\-oriented approach to use machine learning methods designed to uncover new insights and maximize the value of data available across data domains
* Develop data pipelines and automate repetitive analytics processes for optimized business efficiencies
* Stay current on emerging techniques, technologies and best practices in data science and AI
* Spearhead and influence community of practice across the enterprise by positive interactions and knowledge sharing
* Build and lead a high\-performing, multidisciplinary team of data scientists and machine learning engineers and AI product partners
 **Preferred Technical Expertise**
**Machine Learning \&amp; Advanced Analytics**
* Predictive modeling (classification, regression, survival analysis)
* Ensemble methods, gradient boosting, random forests, XGBoost/LightGBM
* Deep learning (NLP, sequence models, representation learning)
* Probabilistic modeling and Bayesian methods
* Time\-series forecasting (claims trend, utilization, membership, RAF forecasting)
* Causal inference and uplift modeling for interventions and care programs
**Productization of Data Science \&amp; AI**
* Building analytic products (risk engines, utilization predictors, network tools)
* Designing feedback loops for continuous improvement
* A/B testing and impact measurement in operational workflows
* Integrating AI into digital member, provider experiences and internal workflows
**Insurance Data Expertise**
* Claims data (medical, pharmacy, behavioral, dental)
* EHR/clinical data, lab results, clinical notes
* Risk adjustment models
* Quality measurement frameworks
* Social determinants of health data integration
* Provider data: NPI, cost/quality variation, contracting data
**Natural Language Processing (NLP)**
* Clinical document processing (progress notes, medical records, appeals)
* Claims and prior authorization text extraction/automation
* Named entity recognition for diagnoses, procedures, risk factors
* Large language models (LLMs) for summarization, routing, code capture, member communication
**AI/ML Engineering \&amp; Deployment**
* Model operationalization and MLOps
* Feature stores, model registries and artifact tracking
* Model monitoring (drift, bias, performance, retraining)
* Building scalable AI services/APIs for production
* Real\-time inference and decision\-support integration
* Cloud ML platforms knowledge
**Data Engineering**
* Data warehousing and lakehouse platforms (Databricks, Snowflake knowledge)
* Data pipelines for high\-volume claims and clinical data
* Data modeling for healthcare operations (member, provider, claims)
**Preferred Programming \&amp; Tools knowledge**
* Python (pandas, scikit\-learn, PyTorch, TensorFlow)
* SAS (STAT, ETS and OR)
* R (useful for actuarial, risk, quality analytics)
* Spark/PySpark
* Visualization and BI platforms (Power BI)
You'll be rewarded and recognized for your performance in an environment that will challenge you and give you clear direction on what it takes to succeed in your role as well as provide development for other roles you may be interested in.
**Required Qualifications:**
* 10\+ years of proven "hands\-on" data science modeling experience in an applied field
* Experience in healthcare analytics, insurance operations, actuarial science or applied AI
* Understanding of the insurance ecosystem, including medical cost drivers, regulatory frameworks, claims workflows and quality performance metrics
* Proven track record of delivering data science and AI solutions that drive measurable impact and scale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$200,400 to $343,500 annually based on full\-time employment. We comply with all minimum wage laws as applicable.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59">
      <c r="A159" t="inlineStr">
        <is>
          <t>in-2a2df89c85f5975e</t>
        </is>
      </c>
      <c r="B159" t="inlineStr">
        <is>
          <t>Senior Data Scientist, Applied AI</t>
        </is>
      </c>
      <c r="C159" t="inlineStr">
        <is>
          <t>Google</t>
        </is>
      </c>
      <c r="D159" t="inlineStr">
        <is>
          <t>indeed</t>
        </is>
      </c>
      <c r="E159" t="inlineStr"/>
      <c r="F159" t="inlineStr"/>
      <c r="G159" t="inlineStr">
        <is>
          <t>Kirkland, WA, US</t>
        </is>
      </c>
      <c r="H159" s="1" t="n">
        <v>46075</v>
      </c>
      <c r="I159"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in Statistics, Mathematics, Data Science, Engineering, Physics, Economics, or a related quantitative field.
* 8 years of experience using analytics to solve product or business problems, performing statistical analysis, and coding (e.g., Python, R, SQL) or 5 years of experience with a Master's degree.
### **Preferred qualifications:**
* Master's degree in Statistics, Mathematics, Data Science, Engineering, Physics, Economics, or a related quantitative field.
**About the job**
-----------------
Google is and always will be an engineering company. We hire people with a broad set of technical skills who are ready to take on some of technology's greatest challenges and make an impact on users. At Google, data scientists not only revolutionize search, they routinely work on massive scalability and storage solutions, large\-scale applications, and entirely new platforms for developers around the world. From Google Ads to Chrome, Android to YouTube, social to local, Google engineers are changing the world one technological achievement after another.  
As a Senior Data Scientist, you will evaluate and improve Google's products. You will collaborate with a multidisciplinary team of engineers and analysts on a wide range of problems. You will bring scientific accuracy and statistical methods to the challenges of product creation, development, and improvement with an appreciation for the behaviors of the end user.  
The Applied AI team focuses on building and deploying AI agents for enterprise customers across a variety of industries. The organization has historically not had a data team and we are building one from scratch. This is a great opportunity for someone who grows in ambiguity, has a strong product mindset, and enjoys working in a 0\-1 startup environment.  
In this role, you will inform product strategy and launches and play a critical role in how we shape and scale the team. You will have a track record of working with AI. You will rapidly prototype ideas, and contribute to a team that's driven to exceed industry expectations.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Be the end\-to\-end data owner of a product area and closely collaborate with your respective engineering, product, and UX leads to build products that have product market fit and traction in the market.
* Be comfortable working with ambiguity and understand the broader business context and propose solutions that help propel the team forward and make effective data drive decisions.
* Be a proactive thought partner and strategic partner to your cross\-functional partners.
* Work on creating, improving, and assessing eval data sets to improve AI agent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0">
      <c r="A160" t="inlineStr">
        <is>
          <t>in-8dcf03b919570a88</t>
        </is>
      </c>
      <c r="B160" t="inlineStr">
        <is>
          <t>Data Scientist, Research, gTrade</t>
        </is>
      </c>
      <c r="C160" t="inlineStr">
        <is>
          <t>Google</t>
        </is>
      </c>
      <c r="D160" t="inlineStr">
        <is>
          <t>indeed</t>
        </is>
      </c>
      <c r="E160" t="inlineStr"/>
      <c r="F160" t="inlineStr"/>
      <c r="G160" t="inlineStr">
        <is>
          <t>Mountain View, CA, US</t>
        </is>
      </c>
      <c r="H160" s="1" t="n">
        <v>46075</v>
      </c>
      <c r="I160" t="inlineStr">
        <is>
          <t>### **Minimum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 1 year of experience managing investigative projects.
### **Preferred qualifications:**
* 5 years of work experience using analytics to solve product or business problems, coding (e.g., Python, R, SQL), querying databases or statistical analysis, or a PhD degree.
**About the job**
-----------------
Our team is responsible for real\-time bidding on behalf of Google Ads advertisers (i.e. GDA and AC). Our optimization modules oversee the transaction of \~20B ARR of ad inventory across web and app display publishers. We optimize bidding across web and app on several exchanges running different types of auctions.
As a Data Scientist, you will solve critical problems for the future of the display ads business. Our work involves data analysis, algorithms design/tuning, data pipelines design/implementation. You will have the opportunity to collaborate within the team as well as with other teams and build knowledge across the display ads ecosystem and the serving stack.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Collaborate with stakeholders in cross\-projects and team settings to identify and clarify business or product questions to answer. Provide feedback to translate and refine business questions into tractable analysis, evaluation metrics, or mathematical models.
* Use custom data infrastructure or existing data models as appropriate, using specialized knowledge. Design and evaluate models to mathematically express and solve defined problems with limited precedent.
* Own and contribute to the bidding models that govern how Google Ads network bids on real\-time auctions for display publisher inventory, across web and mobile properties.
* Improve the product by analyzing auction abuse patterns, duplicate queries, and designing solutions to counter them.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1">
      <c r="A161" t="inlineStr">
        <is>
          <t>in-9568bd1760d0d86f</t>
        </is>
      </c>
      <c r="B161" t="inlineStr">
        <is>
          <t>Senior Data Scientist, Applied AI</t>
        </is>
      </c>
      <c r="C161" t="inlineStr">
        <is>
          <t>Google</t>
        </is>
      </c>
      <c r="D161" t="inlineStr">
        <is>
          <t>indeed</t>
        </is>
      </c>
      <c r="E161" t="inlineStr"/>
      <c r="F161" t="inlineStr"/>
      <c r="G161" t="inlineStr">
        <is>
          <t>Sunnyvale, CA, US</t>
        </is>
      </c>
      <c r="H161" s="1" t="n">
        <v>46075</v>
      </c>
      <c r="I161"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in Statistics, Mathematics, Data Science, Engineering, Physics, Economics, or a related quantitative field.
* 8 years of experience using analytics to solve product or business problems, performing statistical analysis, and coding (e.g., Python, R, SQL) or 5 years of experience with a Master's degree.
### **Preferred qualifications:**
* Master's degree in Statistics, Mathematics, Data Science, Engineering, Physics, Economics, or a related quantitative field.
**About the job**
-----------------
Google is and always will be an engineering company. We hire people with a broad set of technical skills who are ready to take on some of technology's greatest challenges and make an impact on users. At Google, data scientists not only revolutionize search, they routinely work on massive scalability and storage solutions, large\-scale applications, and entirely new platforms for developers around the world. From Google Ads to Chrome, Android to YouTube, social to local, Google engineers are changing the world one technological achievement after another.  
As a Senior Data Scientist, you will evaluate and improve Google's products. You will collaborate with a multidisciplinary team of engineers and analysts on a wide range of problems. You will bring scientific accuracy and statistical methods to the challenges of product creation, development, and improvement with an appreciation for the behaviors of the end user.  
The Applied AI team focuses on building and deploying AI agents for enterprise customers across a variety of industries. The organization has historically not had a data team and we are building one from scratch. This is a great opportunity for someone who grows in ambiguity, has a strong product mindset, and enjoys working in a 0\-1 startup environment.  
In this role, you will inform product strategy and launches and play a critical role in how we shape and scale the team. You will have a track record of working with AI. You will rapidly prototype ideas, and contribute to a team that's driven to exceed industry expectations.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Be the end\-to\-end data owner of a product area and closely collaborate with your respective engineering, product, and UX leads to build products that have product market fit and traction in the market.
* Be comfortable working with ambiguity and understand the broader business context and propose solutions that help propel the team forward and make effective data drive decisions.
* Be a proactive thought partner and strategic partner to your cross\-functional partners.
* Work on creating, improving, and assessing eval data sets to improve AI agent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2">
      <c r="A162" t="inlineStr">
        <is>
          <t>in-916958a0f37fc7ab</t>
        </is>
      </c>
      <c r="B162" t="inlineStr">
        <is>
          <t>Associate Data Scientist</t>
        </is>
      </c>
      <c r="C162" t="inlineStr">
        <is>
          <t>MetLife</t>
        </is>
      </c>
      <c r="D162" t="inlineStr">
        <is>
          <t>indeed</t>
        </is>
      </c>
      <c r="E162" t="inlineStr"/>
      <c r="F162" t="inlineStr"/>
      <c r="G162" t="inlineStr">
        <is>
          <t>Cary, NC, US</t>
        </is>
      </c>
      <c r="H162" s="1" t="n">
        <v>46075</v>
      </c>
      <c r="I162" t="inlineStr">
        <is>
          <t>Location(s)
* Posting Location: Cary, North Carolina
City/Cities
Cary
Country
United States
Working Schedule
Full\-Time
Work Arrangement
Hybrid
Relocation Assistance Available
No
Posted Date
23\-Feb\-2026
Job ID
15748
### **Description and Requirements**
**Role Value Proposition:**
The GG‑8 Data Scientist is an entry‑level role designed for early‑career analytical talent. This position supports the full data and analytics lifecycle under close guidance from senior colleagues. The role contributes to production‑grade data science solutions while developing strong foundational skills in analytics, machine learning, data preparation, LLM‑based analysis, and business understanding. The role also provides exposure to modern AI‑augmented workflows, including foundation model adaptation and responsible AI practices. **Objectives of This Role:*** Build core analytical and machine learning fundamentals through hands‑on project work.
* Support the development, validation, and deployment of analytics and machine learning models.
* Learn to interpret analytical outputs and communicate clear business insights.
* Develop a foundational understanding of LLM concepts, prompt engineering, RAG workflows, and AI governance.
 **Key Responsibilities:*** With supervision, participate in basic analytical tasks and project assignments.
* Learn and contribute to the development of simple machine learning solutions.
* Perform exploratory data analysis and feature engineering activities.
* Support preparation of datasets, model development, evaluation, and deployment tasks.
* Under guidance, design, build, validate, and deploy production‑grade rule‑based and machine learning models using structured and unstructured data.
* Assist with adapting or fine‑tuning foundation models and large language models for internal use cases.
* Use AI copilots and AI‑augmented tooling to accelerate analysis and validate generated outputs for accuracy.
* Monitor and evaluate model performance and document findings.
* Ensure development follows quality, security, compliance, explainability, and responsible AI guidelines.
 **Essential Business Experience and Technical Skills:****Required:*** Bachelor’s degree in Mathematics, Statistics, Operations Research, Social Sciences, Computer Science, Engineering, or related quantitative field.
* 0–2 years of relevant experience in data science, analytics, or related quantitative domains (internships or academic projects acceptable).
* Technical skills in Python, statistics, hypothesis testing, feature engineering, and modeling.
* Exposure to machine learning frameworks such as scikit‑learn, TensorFlow, and/or PyTorch.
* Exposure to NLP tools such as spaCy, Transformers, and/or OCR technologies.
* Strong analytical, communication, and structured problem‑solving skills.
 **Preferred:*** Introductory experience with Generative AI concepts, including prompting, embeddings, vector stores, and RAG workflows.
* Ability to work with AI copilots and AI‑augmented development environments.
* Portfolio of academic, internship, or personal data science projects is a plus.
 **At MetLife, we’re leading the global transformation of an industry we’ve long defined. United in purpose, diverse in perspective, we’re dedicated to making a difference in the lives of our customers.**
Location Expectation: This is a hybrid role **requiring a minimum of 3 days per week** in office.
The expected salary range for this position is $65,050 to $83,600\.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$65,050 to $83,600</t>
        </is>
      </c>
    </row>
    <row r="163">
      <c r="A163" t="inlineStr">
        <is>
          <t>in-84b99efc2d74d07c</t>
        </is>
      </c>
      <c r="B163" t="inlineStr">
        <is>
          <t>Data Scientist Subcontractor</t>
        </is>
      </c>
      <c r="C163" t="inlineStr">
        <is>
          <t>The Hackett Group</t>
        </is>
      </c>
      <c r="D163" t="inlineStr">
        <is>
          <t>indeed</t>
        </is>
      </c>
      <c r="E163" t="inlineStr"/>
      <c r="F163" t="inlineStr"/>
      <c r="G163" t="inlineStr">
        <is>
          <t>FL, US</t>
        </is>
      </c>
      <c r="H163" s="1" t="n">
        <v>46075</v>
      </c>
      <c r="I163" t="inlineStr">
        <is>
          <t>**Data Scientist**
Position Summary:
We are seeking a highly skilled and motivated Data Scientist to join our dynamic team. The ideal candidate is proficient in Python, has extensive experience with cloud platforms (AWS, Azure, GCP), and possesses a strong background in both theoretical and practical aspects of machine learning techniques.  
**Key Responsibilities:**
* Python Proficiency:
* Utilize Python for data analysis, manipulation, and visualization.
Develop and implement machine learning models using Python\-based libraries and frameworks.  
* 
* Cloud Platform Knowledge:
* Work with data on various cloud platforms such as AWS, Azure, and GCP.
Deploy and manage data science solutions in cloud environments.  
* 
* Machine Learning Techniques:
* Apply classification and regression techniques, including ensemble models, XGBoost, SVM, and neural networks.
Implement statistical forecasting models such as ARIMA, S\-Arima, and Holt\-Winters.  
* 
* Clustering:
Utilize clustering algorithms to uncover patterns and insights from data.  
* 
* Deep Learning Frameworks:
* Demonstrate expertise in deep learning frameworks such as TensorFlow and PyTorch.
Apply knowledge in image, text, and sequence processing models.  
* 
* Neural Networks:
* Implement Convolutional Neural Networks (CNN) for image recognition tasks.
Develop Recurrent Networks (LSTM, GRU) for sequence\-based data analysis.  
* 
* Generative AI Frameworks:
* Work with generative AI frameworks like Langchain, Hugging Face, Llama Index, Lamini, etc.
Apply generative models for various applications, including text and image generation.  
* 
* Communication and Teamwork:
* Effectively communicate findings and insights to both technical and non\-technical stakeholders.
Collaborate with cross\-functional teams to deliver impactful data science solutions.  
* 
* Continuous Learning:
Demonstrate a proactive attitude towards learning and staying updated with the latest advancements in data science and AI.  
* 
**Qualifications:**
* Bachelor's degree in Computer Science, Information Technology, or a related field (Computer Science, Statistics, Data Science, etc.).
* Proven experience in applying machine learning and deep learning techniques to real\-world problems.
* Strong programming skills in Python and experience with relevant libraries and frameworks.
* Experience working with cloud platforms (AWS, Azure, GCP).
* Excellent communication and teamwork skills.
* A passion for continuous learning and staying current with industry trends.</t>
        </is>
      </c>
    </row>
    <row r="164">
      <c r="A164" t="inlineStr">
        <is>
          <t>in-811cee67327f42d8</t>
        </is>
      </c>
      <c r="B164" t="inlineStr">
        <is>
          <t>Associate Director Data Scientist</t>
        </is>
      </c>
      <c r="C164" t="inlineStr">
        <is>
          <t>Johnson &amp; Johnson</t>
        </is>
      </c>
      <c r="D164" t="inlineStr">
        <is>
          <t>indeed</t>
        </is>
      </c>
      <c r="E164" t="inlineStr"/>
      <c r="F164" t="inlineStr"/>
      <c r="G164" t="inlineStr">
        <is>
          <t>Spring House, PA, US</t>
        </is>
      </c>
      <c r="H164" s="1" t="n">
        <v>46075</v>
      </c>
      <c r="I164"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Data Analytics \&amp; Computational Sciences**Job Sub Function:**
Data Science Portfolio Management**Job Category:**
Professional**All Job Posting Locations:**
San Diego, California, United States of America, Spring House, Pennsylvania, United States of America**Job Description:**
Nonclinical Safety \&amp; Submissions (NCSS), Preclinical Sciences and Translational Safety (PSTS), is seeking a highly motivated Associate Director Data Scientist to lead the delivery of transformative data analytics and capabilities that will drive diagnostic efficiency, holistic data interpretations, and robust mechanistic insights to power the new discovery paradigm. NCSS is a team of toxicologists and nonclinical writers responsible for delivering end to end on the PSTS portfolio (efficacy\-to\-safety, Discovery through Post\-Marketing) across all J\&amp;J modalities and therapeutic areas.
The Associate Director Data Scientist will advance the digital transformation of NCSS by deploying data and nonclinical submissions solutions across NCSS functions to interrogate, analyze and interpret multimodal nonclinical safety data, enabling the integration and interpretation of study data, meta\-analyses, mechanistically founded hypothesis generation and predictive modeling. Success in this role requires strong matrix leadership skills, effective stakeholder management, and a breadth of biology and computational knowledge to translate key concerns and portfolio needs into meaningful data science solutions and investigating those using relevant data analytics and visualization techniques. The candidate is proactive, intellectually curious and will thrive in a dynamic, multidisciplinary and collaborative environment. This role is expected to provide support across all NCSS functions.
Principal Responsibilities:
* Partner with NCSS stakeholders, prioritize and implement NCSS data needs and use cases, including ensuring FAIR NCSS metadata.
* Successfully collaborate and deliver results in a matrixed environment across PSTS functions (including BDDS, TPPIT, SIS, and Pathobiology stakeholders) and DPDS (IT and Data Science) to assess data landscape and develop solutions in line with strategy, implementation roadmaps, and action plans.
* Independently develop solutions for NCSS data search, interpretation, reporting and communication to stakeholders; deploy relevant data transformations, visualizations, summaries and analytics; deploy quality control measures to ensure accuracy and completeness of analyses and solutions; develop and implement statistical and machine learning models applied to multimodal toxicology data.
* Serve as a subject matter expert in Nonclinical Safety \&amp; Submissions data science, capable of recommending the optimal solution and leading development and implementation. Provide expertise and mentorship on NCSS data science methodologies/exponents. Provide scientific leadership in data analytics, fostering a data\-driven culture, and applying innovative approaches.
* Interpret and communicate outcomes of analyses with independence in report writing and PowerPoint presentations. Collaborate, present, and communicate project\-related deliverables and findings in multidisciplinary PSTS meetings.
**Education:**
* A minimum of a Master’s degree in Biology or a Computational Science (Computer Science, Biostatistics, Engineering, or Data Science or related field) with experience in programming and data science is required
* A PhD in Biology or a Computational Science, (Computer Science, Biostatistics, Engineering, or Data Science or related field) with experience in programming and data science is highly preferred
**Required**
* A minimum of 8 years of Data Science experience in an industry or academic setting post\-degree in positions of increasing responsibility is required
* Good knowledge of SAS required
* Proficiency in programming (e.g. Python, R, SQL, Javascript) and experience with Cloud Platforms (e.g. GCP, Azure, AWS) is required
* Skill in data visualization and dashboarding tools (e.g. Spotfire, PowerBI, R\-Shiny) is required
* Proficiency in the use of statistical models and AI (e.g. multivariate linear regression, cluster algorithms, decision trees, logistic regression, Principal Component Analysis \[PCA], machine learning \[supervised and unsupervised], Bayesian Methods, Neural Networks) is required
* Knowledge of medical terminology and familiarity with biological research is required
**Preferred:**
* Experience in the disciplines of Biology, Biotechnology, and/or Toxicology
**Required Skills:**
**Preferred Skills:**
Advanced Analytics, Business Case Modeling, Consulting, Cross\-Functional Collaboration, Data Privacy Standards, Data Science, Data Structures, Digital Fluency, Digital Strategy, End to End Implementation, Global Market, Negotiation, Organizing, Predictive Modeling, Process Improvements, Product Portfolio Management, Technical Credibility**The anticipated base pay range for this position is :**
$137,000\.00 \- $235,750\.00
Additional Description for Pay Transparency:
Subject to the terms of their respective policies and date of hire, employees are eligible for the following time off benefits:  
Vacation –120 hours per calendar year  
Sick time \- 40 hours per calendar year; for employees who reside in the State of Colorado –48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Bereavement Leave – 240 hours for an immediate family member: 40 hours for an extended family member per calendar year  
Caregiver Leave – 80 hours in a 52\-week rolling period10 days  
Volunteer Leave – 32 hours per calendar year  
Military Spouse Time\-Off – 80 hours per calendar year  
Please use the following language:  
For additional general information on Company benefits, please go to: \- https://www.careers.jnj.com/employee\-benefits</t>
        </is>
      </c>
    </row>
    <row r="165">
      <c r="A165" t="inlineStr">
        <is>
          <t>in-031bbdc8805a8dc4</t>
        </is>
      </c>
      <c r="B165" t="inlineStr">
        <is>
          <t>Research Data Scientist</t>
        </is>
      </c>
      <c r="C165" t="inlineStr">
        <is>
          <t>University of Notre Dame</t>
        </is>
      </c>
      <c r="D165" t="inlineStr">
        <is>
          <t>indeed</t>
        </is>
      </c>
      <c r="E165" t="inlineStr"/>
      <c r="F165" t="inlineStr"/>
      <c r="G165" t="inlineStr">
        <is>
          <t>Notre Dame, IN, US</t>
        </is>
      </c>
      <c r="H165" s="1" t="n">
        <v>46075</v>
      </c>
      <c r="I165" t="inlineStr">
        <is>
          <t>**Research Data Scientist**  
Notre Dame, IN, United States  
Full\-time  
Dean of Mendoza College of Bus  
EIC2  
**Company Description**  
The *University of Notre Dame* is more than a workplace; it is a vibrant, mission\-driven community where every employee is valued and supported. Rooted in a tradition of excellence and inspired by our Catholic character, Notre Dame is committed to fostering an environment of care that nurtures the whole person\-mind, body, and spirit. Here, you will find a deep sense of belonging, a culture that prioritizes well\-being, and the opportunity to grow your career while being a force for good in the world. Whether contributing to world\-class research, shaping the student experience, or supporting the University's mission in other ways, you will be part of a dedicated team working to make a meaningful impact on campus and beyond. At Notre Dame, your work matters, and so do you!  
**Job Description**  
**Summary**  
The Mendoza College of Business seeks a **Research Data Scientist** to serve as the primary technical research support professional for the Mendoza Behavioral Lab (MBL) and will also support other faculty research initiatives. This role bridges IT infrastructure, behavioral experimentation, and research technology, enabling faculty and research teams to design, execute, and analyze high\-quality experimental studies efficiently, securely, and reproducibly.  
The Research Data Scientist partners closely with Mendoza faculty, Mendoza IT and Central IT to support experimental workflows, maintain lab technology, and develop robust data pipelines across a wide range of behavioral and business research projects.  
**Key Responsibilities**  
* Provide hands\-on technical and IT support for behavioral experiments, including real\-time troubleshooting to ensure smooth study execution and data integrity.
* Consult with faculty to design, develop, and maintain reproducible data workflows using R, Python, and SQL to build software for experiments and applied research projects.
* Integrate and manage data from multiple sources (e.g., surveys, biometric tools, experimental platforms, VR systems) into clean, analysis\-ready datasets.
* Develop and document data pipelines, scripts, and data dictionaries to support replication, long\-term data management, and research continuity.
* Collaborate with MBL program director and research teams to ensure the study design adheres to IRB requirements and campus security standards.
* Partner with Mendoza IT, Central IT, and the Center for Research Computing to ensure compliance with university policies and best practices.
* Stay current with emerging research technologies and data science tools through professional development, training, and conferences.
**Qualifications**  
**Required Qualifications**  
* Bachelor's degree in Data Science, Computer Science, Information Systems, or a related field.
* Experience developing lightweight web and application frameworks for research data collection
* At least 1\-2 years of experience in data science, research computing, or applied data workflows.
* Proficiency in R and/or Python and SQL for data manipulation, integration, and analysis.
* Experience with Amazon Web Services and Google Cloud Platforms
* Experience managing and integrating datasets from multiple research or enterprise sources.
* Strong analytical, problem\-solving, and workflow design skills.
* Excellent communication, consulting and documentation skills, with the ability to collaborate across technical and non\-technical teams.
* Commitment to data integrity, security, and compliance in human\-subject research environments.
**Preferred Qualifications**  
* Master's degree in Data Science, Computer Science, or a related field.
* Experience working in academic research labs or behavioral research settings.
* Familiarity with tools such as iMotions, Qualtrics (including JavaScript customization), and VR platforms.
* Experience integrating behavioral and biometric data with enterprise or large\-scale datasets.
* Knowledge of Windows systems administration and enterprise tools (e.g., Active Directory, SCCM, Intune, Group Policy).
* Demonstrated ability to support complex, multi\-study research environments.
**Additional Information**  
* **Application Deadline to Apply (subject to change):** Sunday, 3/1/26
* **Please note** this is a full\-time (40 hours per week) position that is fully onsite, based within the Mendoza College of Business, supporting the Mendoza Behavioral Lab.
* Salary commensurate with experience
* **Please include** a cover letter in your application for full consideration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  
**To apply, visit** **https://jobs.smartrecruiters.com/UniversityOfNotreDame/3743990011799696\-research\-data\-scientist**  
jeid\-03afdbf05f700444a62a2fc7752689f9</t>
        </is>
      </c>
    </row>
    <row r="166">
      <c r="A166" t="inlineStr">
        <is>
          <t>in-a21ec81d7d224fd0</t>
        </is>
      </c>
      <c r="B166" t="inlineStr">
        <is>
          <t>Data Scientist III</t>
        </is>
      </c>
      <c r="C166" t="inlineStr">
        <is>
          <t>Fanatics</t>
        </is>
      </c>
      <c r="D166" t="inlineStr">
        <is>
          <t>indeed</t>
        </is>
      </c>
      <c r="E166" t="inlineStr"/>
      <c r="F166" t="inlineStr"/>
      <c r="G166" t="inlineStr">
        <is>
          <t>US</t>
        </is>
      </c>
      <c r="H166" s="1" t="n">
        <v>46075</v>
      </c>
      <c r="I166" t="inlineStr">
        <is>
          <t>**About Fanatics Markets**
Fanatics Markets is the real\-money prediction and trading app where you can invest in moments you care about. Built on a secure platform, we let users predict real\-world outcomes and trade on events they actually follow \- from sports and entertainment to political elections and beyond. Our mission is to redefine how fans engage with the moments and markets that matter most. We're looking for the right people to help us build the future of prediction markets.
**Role Overview**
We are looking for a Data Scientist II to join the Fanatics Markets Data team. This is a high\-impact role where you will bridge the gap between complex behavioral data and actionable business strategy. Our culture is built on high ownership and accountability, and we value fast iteration balanced with strong statistical rigor, clear documentation, and reproducible research. You’ll thrive here if you are business\-impact\-driven and enjoy the challenge of connecting betting behavior to long\-term value signals in a collaborative, innovative environment.
**Responsibilities**
* Partner with Product and CRM teams to design, evaluate, and scale a rigorous experimentation roadmap (A/B testing, hypothesis testing) to improve promotional efficiency and bonus ROI.
* Build and maintain production\-grade models for churn, LTV, segmentation, and cross\-sell propensity, moving from initial feature engineering to automated monitoring.
* Analyze customer journeys and high\-frequency betting patterns to improve lifecycle marketing and reduce early\-lifecycle churn.
* Support live testing and deploy models into production environments using modern orchestration tools (Airflow, MLflow).
* Create dashboards and automated insight pipelines for key KPIs
* Present clear, data\-driven recommendations to stakeholders across London, Dublin, and U.S. offices.
* Contribute to internal standards for reproducible analysis, version control (Git), and model monitoring.
**Qualifications Required**
* 5 plus years of experience as a Data Scientist or Quantitative Analyst in tech, gaming, or finance.
* Strong experience with Python (specifically pandas, NumPy, scikit\-learn) and advanced SQL.
* Strong applied statistics and experimental design knowledge (A/B testing, hypothesis testing, causal reasoning).
* Hands\-on experience with modern data warehouses (Snowflake, BigQuery, or Redshift)
* Familiarity with dbt, uplift modeling, and causal ML techniques
* Working experience within AWS or GCP environments
* Ability to translate complex quantitative findings into clear insights for non\-technical audiences.
* Degree in a quantitative field (Statistics, Computer Science, Economics, Engineering, or similar).
*Preferred*
* Experience in sports betting, iGaming, or fintech, particularly working with CRM and lifecycle marketing datasets.
* Familiarity with A/B testing at scale, uplift modeling, and causal inference.
* Exposure to ML pipeline orchestration (Airflow, Databricks, MLflow).
**Salary Range:** $129,200– $212,500 USD per year
The base salary for this role is based on job\-related knowledge, skills, and experience and may vary depending on the successful candidate’s geographic location. Remote employees may also be eligible for a home office setup stipend. For information about our benefits, please visit https://benefitsatfanatics.com/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t>
        </is>
      </c>
    </row>
    <row r="167">
      <c r="A167" t="inlineStr">
        <is>
          <t>in-d01a20eb47055374</t>
        </is>
      </c>
      <c r="B167" t="inlineStr">
        <is>
          <t>FDT Enablement Engineer - Data Scientist</t>
        </is>
      </c>
      <c r="C167" t="inlineStr">
        <is>
          <t>Apple</t>
        </is>
      </c>
      <c r="D167" t="inlineStr">
        <is>
          <t>indeed</t>
        </is>
      </c>
      <c r="E167" t="inlineStr"/>
      <c r="F167" t="inlineStr"/>
      <c r="G167" t="inlineStr">
        <is>
          <t>Austin, TX, US</t>
        </is>
      </c>
      <c r="H167" s="1" t="n">
        <v>46075</v>
      </c>
      <c r="I167" t="inlineStr">
        <is>
          <t>Imagine what you could do here. At Apple, new ideas have a way of becoming great products, services, and customer experiences very quickly. Bring passion and curiosity to your job and there's no telling what you could accomplish.  
The FDT Enablement Engineer is a strategic advisor and hands\-on enabler within our Catalyst Program, focused on driving Finance workforce transformation. This role is pivotal in evolving Finance teams from manual data preparers to AI\-enabled decision partners by bridging the gap between business strategy and technology implementation.  
**Description**  
Your primary focus will be to guide Finance teams through their maturity journey\-from file\-based automation to intelligent AI and predictive models\-regardless of their current technical expertise. You will empower them to effectively leverage capabilities ranging from data automation and business intelligence to advanced analytics, machine learning, and AI agent creation within a governed, compliant framework.  
","responsibilities":"Partner \&amp; Strategize: Partner with Finance leaders to assess their team’s current delivery practices and technical maturity across the Finance AI \&amp; Data Capabilities maturity spectrum. Guide them in establishing actionable roadmaps for iterative improvement using tools, trainings, and best practices you help to provide.  
Guide \&amp; Enable: Develop and deliver tailored roadmaps that outline capability improvements, training needs, and solution pathways in areas including:  
Data fluency (SQL, data modeling, visualization)  
Automation and workflow design  
AI agent creation and management  
Applied machine learning for forecasting and controls  
Analytical storytelling and KPI communication  
Governance and SOX compliance mindset  
Educate \&amp; Up\-skill: Lead engaging workshops and consultations through programs like the Data Wizard Academy to up\-skill Finance teams on practical technical delivery concepts, including:  
Transitioning from manual or local processes into to governed, automated workflows in Dataiku  
SQL and Python fundamentals for Finance analysts  
No\-code/low\-code entry points with visual recipes  
Prompt engineering and agentic AI design for Finance use cases  
Model explainability and human\-in\-the\-loop validation  
Agile methodologies and responsible innovation  
Collaborate \&amp; Build: Work alongside engineering teams and Finance analysts to co\-design and prototype accessible solutions such as:  
Automated workflows connecting to certified data sources in Snowflake/EDW  
Interactive dashboards with narrative storytelling  
Finance\-specific AI agents for data retrieval, summarization, and task execution  
Predictive models for forecasting, anomaly detection, and operational efficiency  
SOX\-ready solutions with audit trails and version control  
Champion Governance: Promote and ensure adherence to governance frameworks that enable innovation while maintaining compliance:  
AI governance frameworks with access controls and audit trails  
Certified data sources and reusable components  
Version control and documentation standards  
“Freedom to fail safely” culture with proper guardrails  
Making SOX compliance and data security standards easy to understand and follow  
Foster Culture: Act as a learning enthusiast, championing Finance’s evolution from reactive reporting to proactive, predictive decision support. Build a “Finance Analytics Community” for peer support, knowledge sharing, and continuous improvement in data\-driven decision\-making.  
**Preferred Qualifications**  
Hands\-on familiarity with enterprise data platforms like Dataiku, Snowflake/EDW, and data visualization tools (Tableau, Power BI, or similar)  
Experience with no\-code/low\-code platforms and visual recipe builders that enable business user adoption  
Understanding of AI agent creation, prompt engineering, and LLM fine\-tuning for domain\-specific applications  
Demonstrated expertise managing code promotion and environment separation, applying clean code architecture principles, developing ETL pipelines, and leveraging Git and automated testing best practices  
Strong knowledge of data governance and PII protection practices, especially in the context of LLM usage and AI\-enabled workflows  
Experience building learning programs, academies, or communities of practice  
Experience working within agile or product\-based delivery environments  
Familiarity with Finance operations, forecasting, controls, or FP\&amp;A processes  
Track record of scaling technical capabilities across large analyst populations  
**Minimum Qualifications**  
5\+ years SQL and Python development experience, including data science and applied machine learning  
Proven background in business analysis, technical consulting, product management, or similar role where you’ve guided technology\-driven Finance or business initiatives through transformation  
A rare ability to act as a “translator,” making complex technical concepts (data warehousing, automation, ML, AI agents) accessible and relevant to Finance professionals with varying technical backgrounds  
Demonstrated experience in stakeholder management with Finance leaders, with the ability to influence and build trust at all organizational levels  
Experience in organizational transformation, change management, or digital capability\-building programs, particularly moving teams from manual/Excel\-based processes to automated, governed workflows  
Understanding of Finance controls, compliance requirements (e.g., SOX), and the need for audit trails in analytical environments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68">
      <c r="A168" t="inlineStr">
        <is>
          <t>in-fe84f14fbbd3c178</t>
        </is>
      </c>
      <c r="B168" t="inlineStr">
        <is>
          <t>FDT Enablement Engineer - Data Scientist</t>
        </is>
      </c>
      <c r="C168" t="inlineStr">
        <is>
          <t>Apple</t>
        </is>
      </c>
      <c r="D168" t="inlineStr">
        <is>
          <t>indeed</t>
        </is>
      </c>
      <c r="E168" t="inlineStr"/>
      <c r="F168" t="inlineStr"/>
      <c r="G168" t="inlineStr">
        <is>
          <t>Austin, TX, US</t>
        </is>
      </c>
      <c r="H168" s="1" t="n">
        <v>46075</v>
      </c>
      <c r="I168" t="inlineStr">
        <is>
          <t>Imagine what you could do here. At Apple, new ideas have a way of becoming great products, services, and customer experiences very quickly. Bring passion and curiosity to your job and there's no telling what you could accomplish.  
The FDT Enablement Engineer is a strategic advisor and hands\-on enabler within our Catalyst Program, focused on driving Finance workforce transformation. This role is pivotal in evolving Finance teams from manual data preparers to AI\-enabled decision partners by bridging the gap between business strategy and technology implementation.  
**Description**  
Your primary focus will be to guide Finance teams through their maturity journey\-from file\-based automation to intelligent AI and predictive models\-regardless of their current technical expertise. You will empower them to effectively leverage capabilities ranging from data automation and business intelligence to advanced analytics, machine learning, and AI agent creation within a governed, compliant framework.  
","responsibilities":"Partner \&amp; Strategize: Partner with Finance leaders to assess their team’s current delivery practices and technical maturity across the Finance AI \&amp; Data Capabilities maturity spectrum. Guide them in establishing actionable roadmaps for iterative improvement using tools, trainings, and best practices you help to provide.  
Guide \&amp; Enable: Develop and deliver tailored roadmaps that outline capability improvements, training needs, and solution pathways in areas including:  
Data fluency (SQL, data modeling, visualization)  
Automation and workflow design  
AI agent creation and management  
Applied machine learning for forecasting and controls  
Analytical storytelling and KPI communication  
Governance and SOX compliance mindset  
Educate \&amp; Up\-skill: Lead engaging workshops and consultations through programs like the Data Wizard Academy to up\-skill Finance teams on practical technical delivery concepts, including:  
Transitioning from manual or local processes into to governed, automated workflows in Dataiku  
SQL and Python fundamentals for Finance analysts  
No\-code/low\-code entry points with visual recipes  
Prompt engineering and agentic AI design for Finance use cases  
Model explainability and human\-in\-the\-loop validation  
Agile methodologies and responsible innovation  
Collaborate \&amp; Build: Work alongside engineering teams and Finance analysts to co\-design and prototype accessible solutions such as:  
Automated workflows connecting to certified data sources in Snowflake/EDW  
Interactive dashboards with narrative storytelling  
Finance\-specific AI agents for data retrieval, summarization, and task execution  
Predictive models for forecasting, anomaly detection, and operational efficiency  
SOX\-ready solutions with audit trails and version control  
Champion Governance: Promote and ensure adherence to governance frameworks that enable innovation while maintaining compliance:  
AI governance frameworks with access controls and audit trails  
Certified data sources and reusable components  
Version control and documentation standards  
“Freedom to fail safely” culture with proper guardrails  
Making SOX compliance and data security standards easy to understand and follow  
Foster Culture: Act as a learning enthusiast, championing Finance’s evolution from reactive reporting to proactive, predictive decision support. Build a “Finance Analytics Community” for peer support, knowledge sharing, and continuous improvement in data\-driven decision\-making.  
**Preferred Qualifications**  
Hands\-on familiarity with enterprise data platforms like Dataiku, Snowflake/EDW, and data visualization tools (Tableau, Power BI, or similar)  
Experience with no\-code/low\-code platforms and visual recipe builders that enable business user adoption  
Understanding of AI agent creation, prompt engineering, and LLM fine\-tuning for domain\-specific applications  
Demonstrated expertise managing code promotion and environment separation, applying clean code architecture principles, developing ETL pipelines, and leveraging Git and automated testing best practices  
Strong knowledge of data governance and PII protection practices, especially in the context of LLM usage and AI\-enabled workflows  
Experience building learning programs, academies, or communities of practice  
Experience working within agile or product\-based delivery environments  
Familiarity with Finance operations, forecasting, controls, or FP\&amp;A processes  
Track record of scaling technical capabilities across large analyst populations  
**Minimum Qualifications**  
5\+ years SQL and Python development experience, including data science and applied machine learning  
Proven background in business analysis, technical consulting, product management, or similar role where you’ve guided technology\-driven Finance or business initiatives through transformation  
A rare ability to act as a “translator,” making complex technical concepts (data warehousing, automation, ML, AI agents) accessible and relevant to Finance professionals with varying technical backgrounds  
Demonstrated experience in stakeholder management with Finance leaders, with the ability to influence and build trust at all organizational levels  
Experience in organizational transformation, change management, or digital capability\-building programs, particularly moving teams from manual/Excel\-based processes to automated, governed workflows  
Understanding of Finance controls, compliance requirements (e.g., SOX), and the need for audit trails in analytical environments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69">
      <c r="A169" t="inlineStr">
        <is>
          <t>in-cf578b1617ada34a</t>
        </is>
      </c>
      <c r="B169" t="inlineStr">
        <is>
          <t>Senior Data Scientist</t>
        </is>
      </c>
      <c r="C169" t="inlineStr">
        <is>
          <t>3M</t>
        </is>
      </c>
      <c r="D169" t="inlineStr">
        <is>
          <t>indeed</t>
        </is>
      </c>
      <c r="E169" t="inlineStr"/>
      <c r="F169" t="inlineStr"/>
      <c r="G169" t="inlineStr">
        <is>
          <t>Maplewood, MN, US</t>
        </is>
      </c>
      <c r="H169" s="1" t="n">
        <v>46075</v>
      </c>
      <c r="I169" t="inlineStr">
        <is>
          <t>Job Description:
Senior Data Scientist, 3M Company, Maplewood, Minnesota (hybrid): Invent and develop data science technologies that create new opportunities or support existing 3M industrial adhesive and tape products. Use a variety of programming languages to quickly develop and optimize proof of concept algorithms for commercialization. Lead and collaborate with research teams across the enterprise to build capabilities and applications that use scientific, mathematical, and computational skills.
Master’s in Data Science, Computer Science, or Information Science required.
Must have one year of work or internship experience or coursework or projects related to coursework in:* (i) Working with deep learning, machine learning (ML), natural language processing (NLP), data science, computer vision, and artificial intelligence (AI);
* (ii) Supporting full life cycle application development within an agile framework, including requirements gathering, technical design, implementation, testing, documentation, and maintenance;
* (iii) Working on preprocessing data, analyzing, model building, and deployment;
* and (iv) Python for data analysis and backend development.
Experience may be gained concurrently.
Position may be eligible for telecommuting one day per week from within commuting distance to Maplewood office.
Pay Range: $97,032 \- $120,838 per year.
View benefits offered and apply at: 3m.com/3M/en\_US/careers\-us/
All US\-based 3M full time employees will need to sign an employee agreement as a condition of employment with 3M. This agreement lays out key terms on using 3M Confidential Information and Trade Secrets. It also has provisions discussing conflicts of interest and how inventions are assigned. Employees that are Job Grade 7 or equivalent and above may also have obligations to not compete against 3M or solicit its employees or customers, both during their employment, and for a period after they leave 3M.
Learn more about 3M’s creative solutions to the world’s problems at www.3M.com or on Instagram, Facebook, and LinkedIn @3M.
Responsibilities of this position include that corporate policies, procedures and security standards are complied with while performing assigned duties.
Safety is a core value at 3M. All employees are expected to contribute to a strong Environmental Health and Safety (EHS) culture by following safety policies, identifying hazards, and engaging in continuous improvement.
Pay \&amp; Benefits Overview: https://www.3m.com/3M/en\_US/careers\-us/working\-at\-3m/benefits/
3M does not discriminate in hiring or employment on the basis of race, color, sex, national origin, religion, age, disability, veteran status, or any other characteristic protected by applicable law.
Please note: your application may not be considered if you do not provide your education and work history, either by: 1\) uploading a resume, or 2\) entering the information into the application fields directly.
3M Global Terms of Use and Privacy Statement  
Carefully read these Terms of Use before using this website. Your access to and use of this website and application for a job at 3M are conditioned on your acceptance and compliance with these terms.
Please click on the following links and select the country where you are applying for employment to review the applicable Terms of Use (link here) and Privacy Policy (link here). Before submitting your application, you will be asked to confirm your agreement with the terms.</t>
        </is>
      </c>
    </row>
    <row r="170">
      <c r="A170" t="inlineStr">
        <is>
          <t>in-f20e8439f329828d</t>
        </is>
      </c>
      <c r="B170" t="inlineStr">
        <is>
          <t>Data Scientist (5063)</t>
        </is>
      </c>
      <c r="C170" t="inlineStr">
        <is>
          <t>SMX</t>
        </is>
      </c>
      <c r="D170" t="inlineStr">
        <is>
          <t>indeed</t>
        </is>
      </c>
      <c r="E170" t="inlineStr"/>
      <c r="F170" t="inlineStr"/>
      <c r="G170" t="inlineStr">
        <is>
          <t>Naval Air Station Patuxent River, MD, US</t>
        </is>
      </c>
      <c r="H170" s="1" t="n">
        <v>46075</v>
      </c>
      <c r="I170" t="inlineStr">
        <is>
          <t>SMX is seeking a Data Scientist to provide support for the NAWCAD Readiness \&amp; Fleet Analytics (R\&amp;FA) Division's Advanced Analytics and Innovation (AA\&amp;I) Branch at Patuxent River Naval Air Station in Lexington Park, MD.
This candidate will primarily involve migrating code for data science projects from Cloudera Data Science Workbench (CDSW) to Databricks. The candidate will use business intelligence (BI) tools such as Tableau and Microsoft Power BI to transform PMA reliability, maintenance, and supply data into actionable insights. Additionally, you will work with cutting\-edge data engineering, web development, and data science platforms, including Databricks, GitLab, JIRA, Amazon Web Services (AWS), NUCLEUS, and JAVA, to deliver innovative and impactful solutions.
The AA\&amp;I Branch provides critical support to Program Management Air (PMA) offices, the Air Systems Group, Command, Fleet Readiness Centers, and other Department of Defense (DoD) services.
This role will allow for telework but will require occasional time onsite at Patuxent River NAS.
**Essential Duties \&amp; Responsibilities**
* Apply advanced analytical models, techniques, and methodologies to solve complex scientific and business operations challenges.
* Research, design, and develop user\-centric interactive reports, dashboards, and visualization solutions using Tableau, Qlik, or Power BI to deliver actionable business insights for PMA and AA\&amp;I branch decision makers.
* Demonstrate expertise in scientific tools including QLIK, Tableau, R, Python, and SQL, along with other programming and dashboarding utilities. Analyze aircraft platforms and develop algorithms to detect system failures and performance issues.
* Design, build, integrate, and manage data architecture and frameworks for various data science projects, ensuring seamless data flow between servers and applications.
* Gather, clean, preprocess, and analyze data from multiple sources to support modeling and decision\-making processes. Apply statistical analysis and data mining techniques to extract insights, validate model assumptions, and develop automated scripts for data transmission across different environments.
* Apply machine learning, natural language processing, and other advanced programming techniques to collect, process, analyze, and present statistical data in meaningful formats.
* Analyze historical data and trends to forecast future outcomes and continuously optimize model performance.
**Required Skills \&amp; Experience**
* Clearance Required: Secret
	+ US Citizenship is required for work on DoD contract
* Bachelor's degree in Data Science, Computer Science, Mathematics, Statistics (preferred), or Engineering/Operations Research (acceptable) with 5\+ years of related experience.
	+ Master's degree preferred and will receive preference.
* 7\+ years of professional or academic experience with Python, R, or SQL.
* 3\+ years of hands\-on experience with Tableau, Qlik, or Power BI.
* 5\+ years of experience with JIRA and GitLab.
**Desired Skills/Experience:**
* Background in aerospace and/or defense industries
* Familiarity with aviation industry data
* JAVA and front\-end development skills
* Advanced Tableau data visualization expertise
* Scrum Master certification and/or leadership experience
* Strong analytical and critical thinking capabilities
* Excellent oral and written communication skills, including the ability to present and defend technical recommendations
* Self\-directed team player with proven ability to deliver results efficiently and interact professionally across all management levels
* High\-level problem\-solving and interpersonal skills
* Adaptability to work effectively in dynamic environments
**Application Deadline:** 3/23/2026
\#cjpost \#LI\-HYBRID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an Equal Opportunity employer including disabilities and veterans.
Selected applicant may be subject to a background investigation and/or education verification.
SMX does not sponsor a new applicant for employment authorization or immigration related support for this position (i.e. H1B, F\-1 OPT, F\-1 STEM OPT, F\-1 CPT, J\-1, TN, E\-2, E\-3, L\-1 and O\-1, or any EADs or other forms of work authorization that require immigration support from an employer).</t>
        </is>
      </c>
    </row>
    <row r="171">
      <c r="A171" t="inlineStr">
        <is>
          <t>in-71e237257a607f94</t>
        </is>
      </c>
      <c r="B171" t="inlineStr">
        <is>
          <t>MCH Data Scientist Student Worker - Student Worker Para Professional Senior</t>
        </is>
      </c>
      <c r="C171" t="inlineStr">
        <is>
          <t>State of Minnesota Health Department</t>
        </is>
      </c>
      <c r="D171" t="inlineStr">
        <is>
          <t>indeed</t>
        </is>
      </c>
      <c r="E171" t="inlineStr"/>
      <c r="F171" t="inlineStr"/>
      <c r="G171" t="inlineStr">
        <is>
          <t>Saint Paul, MN, US</t>
        </is>
      </c>
      <c r="H171" s="1" t="n">
        <v>46072</v>
      </c>
      <c r="I171" t="inlineStr">
        <is>
          <t>**Job Details**
---------------
**Working Title: MCH Data Scientist Student Worker \- Student Worker Para Professional Senior**  
**Job Class: Student Worker Para Professional Senior**  
**Agency: Health Department**
* **Job ID**: 92284
* **Location**: St. Paul
* **Telework Eligible**: Yes / Hybrid
* **Full/Part Time**: Part\-Time
* **Regular/Temporary**: Limited \- Anticipated to end 12/01/2026
* **Who May Apply**: Open to all qualified job seekers
* **Date Posted**: 02/20/2026
* **Closing Date**: 02/26/2026
* **Hiring Agency**: Health Department
* **Division/Unit**: Child and Family Health Division / Directors Office
* **Work Shift/Work Hours**: Day Shift / 8 a.m. \- 4:30 p.m.
* **Days of Work**: Monday \- Friday
* **Travel Required**: No
* **Salary Range:** $19\.85 \- $23\.61 / hourly
* **Classified Status**: Unclassified
* **Bargaining Unit/Union**: 207 \- Technical/AFSCME
* **Work Area**: Directors Office
* **End Date**: 12/01/2026
* **FLSA Status**: Nonexempt
* Designated in Connect 700 Program for Applicants with Disabilities: No
### **The work you'll do is more than just a job.**
At the State of Minnesota, employees play a critical role in developing policies, providing essential services, and working to improve the well\-being and quality of life for all Minnesotans. The State of Minnesota is committed to equity and inclusion, and invests in employees by providing benefits, support resources, and training and development opportunities.
**Job Summary**
---------------
This student worker position exists to assist with short term projects in Child and Family Health (CFH) Division, working with the State Systems Development Initiative (SSDI) Project Director related to data activities for the Title V Maternal and Child Health Block Grant and SSDI Grant.
**Primary job duties include:**
* Providing research and data capacity support for Title V Maternal and Child Health (MCH) Block Grant efforts including the Title V MCH Needs Assessment and MCH Title V programs.
* Assisting in creating and maintaining data dashboards.
* Participating in development of structural and process measures linked to the National Performance Measures.
* Maintaining the SSDI minimum and core data sets for State Title V MCH and Children and Youth with Special Health Needs (CYSHN) programs.
*In accordance with* *HR/LR Policy \#1422 Telework**, this position is eligible for up to 50% telework for applicants who live in Minnesota or in a bordering state within 50 miles of the assigned work location. Candidates residing outside of Minnesota or in a bordering state within 50 miles of the assigned work location at the time of application must be able to relocate to Minnesota within 30 days of their start date. The telework policy may exempt employees who live more than 50 miles from their primary work location from the 50% in\-office requirement, depending on job requirements, helping the State of Minnesota access top talent across the state.*
**This position is part\-time and will work up to 20 hours per week. The specific hours and days of work are flexible Monday through Friday and will be dependent on the student worker’s schedule. This position is anticipated to last until December 1, 2026, or until the selected candidate completes their educational program, whichever occurs sooner.**
**Qualifications**
------------------
### **Minimum Qualifications**
**To facilitate proper crediting, please ensure your resume/application clearly describe your experience in the areas listed below and indicates the beginning and ending month and year for each job held. Only applicants whose resumes clearly demonstrate fulfillment of each of the minimum qualifications will be considered for this position.**
* Current registration in a masters or doctoral program such as nursing, public health, epidemiology, social work, early childhood, public affairs, or other health, and public health interest or research related fields.
Student Worker Eligibility: To be eligible for appointment as a Student Worker Paraprofessional Senior you must be enrolled in a post\-secondary or graduate program or plan to enroll within three months. Students may be "off" for the summer or for one semester/quarter and remain employed as a student worker, but such absences cannot exceed one semester/quarter in a year. If you are enrolled at a credit\-granting institution you must carry at least six semester/nine quarter credits. If enrolled at a non\-credit granting institution or one that only offers one credit per class, you must be taking two or more classes per semester/quarter. Any lesser credit (class) load will be treated as a semester/quarter off. Graduate students must be enrolled in at least two courses or making progress on a dissertation. You will be asked to complete an Educational Verification form prior to appointment.
**Minimum Qualifications to be assessed at interview:**
* Knowledge of the general nature and objectives of statewide public health programs and MDH functions.
* Knowledge of and experience with computer programs such as: Microsoft Word, Excel, graphics, PowerPoint and Access.
### **Preferred Qualifications**
* Graduate level student in Epidemiology, Biostatistics or similar field.
* Knowledge of and experience in data collection, management, and analysis using statistical computing software such as SAS, Tableau, and Power BI.
### **Additional Requirements**
This position requires successful completion of a background check and employment reference check.
**Application Details**
-----------------------
### **How to Apply**
Select “Apply for Job” at the top of this page. If you have questions about applying for jobs, contact the Careers Help Desk at 651\-259\-3637 or email careers@state.mn.us. For additional information about the application process, go to http://www.mn.gov/careers.
### **Contact**
If you have questions about this position, contact Katelyn Rigdon at katelyn.rigdon@state.mn.us or 651\-539\-3036\.
If you are an individual with a disability and need an accommodation for an interview, you may contact the Department of Health ADA Coordinator at health.hr.ada@state.mn.us.
### **About Health Department**
Come work for one of the best public health systems in the nation and you will contribute to our mission to protect, maintain and improve the health of all Minnesotans. We are working hard to achieve our vision for health equity in Minnesota, where all communities are thriving, and all people have what they need to be healthy. Our collaborative, mission\-driven work environment is a major factor in promoting a high level of employee health awareness, employee longevity and job satisfaction.
#### **Working together to improve the state we love.**
What do Minnesota's State employees have in common?
* A sense of purpose in their work
* Connection with their coworkers and communities
* Opportunities for personal and professional growth
#### **Benefits**
As an employee, you'll have access to one of the most affordable health insurance plans in Minnesota, along with other benefits to help you and your family be well.
#### **Your benefits may include:**
* Paid vacation and sick leave
* 12 paid holidays each year
* Low\-cost medical, dental, vision, and prescription drug plans
	+ Fertility care, including IVF
	+ Diabetes care
	+ Dental and orthodontic care for adults and children
* 6 weeks paid leave for parents of newborn or newly adopted children
* Pension plan that provides income when you retire (after working at least three years)
* Employer paid life insurance to provide support for your family in the event of death
* Short\-term and long\-term disability insurance that can provide income if you are unable to work due to illness or injury
* Tax\-free expense accounts for health, dental, and dependent care
* Resources that provide support and promote physical, emotional, social, and financial well\-being
#### **Support to help you reach your career goals:**
* Training, classes, and professional development
* Federal Public Service Loan Forgiveness Program (Some positions may qualify for the Public Service Loan Forgiveness Program. For more information, visit the Federal Student Aid website at studentaid.gov)
#### **Employee Assistance Program (EAP) for work/life support:**
* A voluntary confidential program that helps employees and their families with life challenges that may impact overall health, personal well\-being, or job performance
* Common sources of stress can be addressed through the EAP: mental health, relationship challenges (personal and work), grief and loss, finances, and legal issues
* Daily Living/Convenience Services: Chore services, home repair, trip planning, child/elder care
**Programs, resources and benefits eligibility varies** based on type of employment, agency, funding availability, union/collective bargaining agreement, location, and length of service with the State of Minnesota.
**EQUAL OPPORTUNITY EMPLOYERS**
Minnesota state agencies are equal opportunity, affirmative action, and veteran\-friendly employers. State agencies are committed to creating a workforce that reflects the diversity of the state and strongly encourages persons of color and Indigenous communities, members of the LGBTQIA2S\+ community, individuals with disabilities, women, and veterans to apply. The varied experiences and perspectives of employees strengthen the work we do together and our ability to best serve Minnesotans.
All qualified applicants will receive consideration for employment without regard to race, color, creed, religion, national origin, sex (including pregnancy, childbirth, and disabilities related to pregnancy or childbirth), gender identity, gender expression, marital status, familial status, age, sexual orientation, status regarding public assistance, disability, veteran status or activity in a local Human Rights Commission or any other characteristic protected by law.
**APPLICANTS WITH DISABILITIES**
Minnesota state agencies make reasonable accommodations to their employees and applicants with disabilities. If you have a disability and need assistance in searching or applying for jobs with the State of Minnesota, call the Careers Help Desk at 651\-259\-3637 or email careers@state.mn.us and let us know the support you need.</t>
        </is>
      </c>
    </row>
    <row r="172">
      <c r="A172" t="inlineStr">
        <is>
          <t>in-2d4d65e8e8785477</t>
        </is>
      </c>
      <c r="B172" t="inlineStr">
        <is>
          <t>Principal Data Scientist</t>
        </is>
      </c>
      <c r="C172" t="inlineStr">
        <is>
          <t>Themis Insight</t>
        </is>
      </c>
      <c r="D172" t="inlineStr">
        <is>
          <t>indeed</t>
        </is>
      </c>
      <c r="E172" t="inlineStr"/>
      <c r="F172" t="inlineStr"/>
      <c r="G172" t="inlineStr">
        <is>
          <t>Fort Meade, MD, US</t>
        </is>
      </c>
      <c r="H172" s="1" t="n">
        <v>46053</v>
      </c>
      <c r="I172" t="inlineStr">
        <is>
          <t>Themis Insight solves difficult business, IT, and analytic problems by addressing the whole problem – not just the symptoms – using interdisciplinary approaches that are both practical and innovative. We provide fresh alternatives to ordinary, mainstream consulting firms through small, highly skilled, and hand\-picked teams that can meet clients' needs in any industry. Our broad interdisciplinary understanding allows us to provide the right solution, even if it is from outside the industry or traditionally defined problem space. We bring Public and Private, Civilian and Military expertise to every case.  
We are hiring a **Principal Data Scientist** to work in the Fort Meade, MD vicinity. Position location is subject to change based on central MD client's needs.
**Required:** TS/SCI with a Polygraph
Employ some combination (2 or more) of the following skill areas:
* Foundations: Mathematical, Computational, Statistical
* Data Processing: Data management and curation, data description and visualization, workflow and reproducibility
* Modeling, Inference, and Prediction: Data modeling and assessment, domain\-specific considerations
Devise strategies for extracting meaning and value from large datasets. Make and communicate principled conclusions from data using elements of mathematics, statistics, computer science, and application specific knowledge.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NSA/CSS data holdings.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Make informed recommendations regarding competing technical solutions by maintaining awareness of the constantly\-shifting NSA/CSS collection, processing, storage and analytic capabilities and limitations.
**Individual Capabilities/Experience Required:**
* A Bachelor's degree and 15 years of relevant experience. An Associate's degree plus 17 years of relevant experience may be considered for individuals with in\-depth experience that is clearly related to the position.
* Degree must be in Mathematics, Applied Mathematics, Statistics, Applied Statistics, Machine Learning, Data Science, Operations Research, or Computer Science. A degree in a related field (e.g., Computer Information Systems, Engineering), a degree in the physical/hard sciences (e.g. physics, chemistry, biology, social, and life) may be considered if it includes a concentration of coursework (typically 5 or more courses) in advanced mathematics (typically 300 level or higher; such as linear algebra, probability and statistics, machine learning) and/or computer science (e.g., algorithms, programming, data structures, data mining, artificial intelligence). College\-level Algebra or other math courses designated as elementary or basic do not count.
* Note: A broader range of degrees will be considered if accompanied by a Certificate in Data Science from an accredited college/university.
* Relevant experience must be in designing/implementing machine learning, data science, advanced analytical algorithms, programming (skill in at least one high\-level language (e.g. Python) and skill in at least one mid\-level language (e.g. C)), data mining, advanced statistical analysis (e.g. statistical foundations of machine learning, statistical approaches to missing data, time series), advanced mathematical foundations (e.g. numerical methods, graph theory), artificial intelligence, workflow and reproducibility, data management and curation, data modeling and assessment (e.g. model selection, evaluation, and sensitivity analysis), experience as a data scientist working to support a single or multiple domain areas, ability to quickly acquire needed expertise on a new domain area, and/or software engineering. Experience in more than five areas is strongly preferred.
**Themis Insight has all the PERKS!**
You are our most valuable resource — your ambition, your knowledge, your creativity. We offer an industry\-leading set of benefits to supplement your normal salary compensation. Themis Insight has you covered with flexible ways to balance work and home life, full health benefit premium coverage, and generous contributions toward your retirement.
* Competitive health, dental, and vision plans with 100% paid premiums.
* 401k: We contribute 6% even if you don't!
* Time Off: 11 standard holidays, and 25 days of PTO
* Career Development: Get career counseling and individualized career development plans, including education and training.
* Employee referral bonuses for successful hires
Themis Insight is an Equal Opportunity/Affirmative Action employer.
*Themis Insight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73">
      <c r="A173" t="inlineStr">
        <is>
          <t>in-62a449ec34f9069e</t>
        </is>
      </c>
      <c r="B173" t="inlineStr">
        <is>
          <t>Senior Data Scientist, Data Analytics &amp; Reporting (N92)</t>
        </is>
      </c>
      <c r="C173" t="inlineStr">
        <is>
          <t>Heluna Health</t>
        </is>
      </c>
      <c r="D173" t="inlineStr">
        <is>
          <t>indeed</t>
        </is>
      </c>
      <c r="E173">
        <f>HYPERLINK("https://www.indeed.com/viewjob?jk=62a449ec34f9069e", "https://www.indeed.com/viewjob?jk=62a449ec34f9069e")</f>
        <v/>
      </c>
      <c r="F173">
        <f>HYPERLINK("https://recruiting2.ultipro.com/PUB1001PUBH/JobBoard/6705aa07-0bcb-4660-ad1b-2fda952becc7/OpportunityDetail?opportunityId=42517278-0ccd-46cf-bb3d-9899e0822339&amp;postingId=21c454a7-9ffd-49dc-9b6b-1eaaccf21d31", "https://recruiting2.ultipro.com/PUB1001PUBH/JobBoard/6705aa07-0bcb-4660-ad1b-2fda952becc7/OpportunityDetail?opportunityId=42517278-0ccd-46cf-bb3d-9899e0822339&amp;postingId=21c454a7-9ffd-49dc-9b6b-1eaaccf21d31")</f>
        <v/>
      </c>
      <c r="G173" t="inlineStr">
        <is>
          <t>Los Angeles, CA, US</t>
        </is>
      </c>
      <c r="H173" s="2" t="n">
        <v>46076</v>
      </c>
      <c r="I173" t="inlineStr">
        <is>
          <t>**Salary Range: $9,333\.00 \- $12,576\.46 per month**
**SUMMARY**
The Los Angeles County Department of Homeless Services and Housing (HSH)consolidates our countywide response to homelessness. The driving force behind HSH is increasing accountability and transparency, improving care for people experiencing or at risk of homelessness, and streamlining collaboration with partners including services providers, the County’s 88 cities, and unincorporated areas to deliver high\-quality, life\-saving care. Staff schedules are based on business need and may include the option of a hybrid work schedule where employees work remotely and from the office.
The Program Analytics team carries out mission\-critical data science and analytics projects in support of programs that provide housing and social services to the most vulnerable people in Los Angeles County. This role offers an opportunity for impact across program areas spanning the Los Angeles County homelessness system, including but not limited to outreach and response to unsheltered people, interim housing and temporary shelters, permanent supportive housing and case management services that sustain people in housing, and benefits entitlement programs.
This position supports the Associate Director of Program Analytics in building data science products that help those program teams make better decisions, including by building dashboards, predictive models, and supporting internal program evaluation. The role also includes helping to build out metrics for systemwide performance improvement, including building and maintaining indicators that track the performance of the homelessness system and of individual service providers within that system, to ensure taxpayer dollars are having the maximum possible impact on housing and supporting people experiencing homelessness.
The Senior Data Scientist works closely with a team of data analysts and data scientists, providing supervision as needed. Those analysts are tasked with providing critical analytical and reporting support to HSH programs, ensuring data\-driven insights inform decision\-making and enhance program effectiveness. Key responsibilities include supervising the development and automation of reports and dashboards, improving the quality and accessibility of program data, and ensuring analytics and reporting efforts are aligned with strategic priorities. The role ensures that analytics and reporting efforts align with strategic priorities, enhances the quality and accessibility of program data, and fosters cross\-team collaboration to meet organizational goals.
**ESSENTIAL FUNCTIONS**
* Oversees recurring reporting workflows and leads the automation of these processes, including revisions to improve data quality and accuracy and increase analytic value.
* Supports the Associate Director of Program Analytics in delivering mission\-critical data science projects across the Los Angeles County homelessness system.
* Collaborates with division, departmental, and countywide stakeholders to solicit, define, and manage highly complex data science projects from conception through implementation; ensures that projects result in actionable insights and recommendations that can be used to support business decisions and allocate resources; and provides ongoing consultation during program implementation of recommendations as necessary to ensure program fidelity.
* Provides technical oversight to small teams of Data Scientists and Data Analysts as necessary to ensure project success.
* Leads the discovery process with departmental stakeholders to document business requirements and frame business problems so that appropriate corresponding data science techniques and products can be identified and deployed.
* Collaborates with other department subject matter experts to understand, identify, and select available and relevant sources of data for use cases, including internal, external, structured, and unstructured data sources; and provides guidance to other department data experts in the selection and transformation of such sources.
* Supports collection, integration, and retention requirements for large sets of structured and unstructured data from disparate sources; acts as a resource for senior data engineers and architects in the selection and design of systems for use by the data science team.
* Reviews proposals by Data Scientists and analysts regarding selection and improvement of data science tools and ensures that the team’s tools and systems are well documented.
* Conducts and coordinates statistical inference of data and conveys findings and conclusions orally, in writing, visually, in presentations, and by developing interactive tools as appropriate to communicate effectively with a wide range of audiences, including technical and nontechnical staff, stakeholders, and members of the public.
* Works with program staff to understand the implications of analyses and to ensure that findings are actionable and support data\-driven program, policy, and operational decision\-making.
* Assists in implementing recommended business process changes in ways retain fidelity to best practices identified through the analysis and recognize the operational realities underlying existing business processes; provides ongoing consultation as recommended changes and new programs grow and evolve, including recommending modifications to adopted goals and metrics.
* Coordinates with various functional teams to develop and implement products, services, tools, or business process changes resulting from the analysis.
* Creates and validates advanced analytic products (e.g., Recommender Engines, Auto Classification algorithms, Predictive Scoring, geo\-spatial clustering, NLP classifier, etc.) and places them in production; works with nontechnical program managers and staff to understand analytic products and to integrate them into departmental programs.
* Recommends ongoing improvements to methods and algorithms that lead to findings, including new information.
* Creates and monitors performance of automated\-detection systems and provides business metrics for overall project to show improvements initially and over multiple iterations. Provides ongoing tracking and monitoring of performance of decision systems and statistical models and troubleshoots and implements enhancements and fixes to systems as needed.
* Develops and maintains a high level of expertise in statistical programming languages and packages and other software tools; provides training and support to Data Scientists and Data Analysts as necessary; and ensures the quality of code and programming logic generated by the data science team.
**JOB QUALIFICATIONS**
Option I:Two (2\) years of experience carrying out complex data science projects that included independently developing and applying methods to identify, collect, process, structure, and analyze data using statistical prediction, inference, and optimization to support data\-driven program design and management, at a level equivalent of Data Scientist.
Option II: A Bachelor’s degree from an accredited college or university in a field of applied research such as Data Science, Machine Learning, Mathematics, Statistics, Business Analytics, Psychology, or Public Health that included 12 semester or 18 quarter units of coursework in data science, predictive analytics, quantitative research methods, or statistical analysis \-AND\- Six (6\) years of experience, including two (2\) years in a lead capacity, applying and overseeing the application of machine learning, predictive analytics, data management, and hypothesis\-driven data analysis to make actionable recommendations to support program, policy, and operational decision\-making. A Master’s or Doctoral degree from an accredited college or university in a field of applied research such Data Science, Machine Learning, Mathematics, Statistics, Business Analytics, Psychology, or Public Health may substitute for up to two (2\) years of experience.
**Certificates/Licenses/Clearances**
* A valid California Class C Driver License or the ability to utilize an alternative method of transportation when needed to carry out job\-related essential functions.
* Successful clearance of the Live Scan process with the County of Los Angeles.
**Other Skills, Knowledge, and Abilities**
* Required:
	+ Advanced experience with using code for analytics and statistical programming (R or Python preferred)
	+ Advanced experience using statistical models and / or machine learning methods for prediction and causal inference, including model validation, sensitivity checks, robustness checks, and so on
	+ Thorough understanding of data governance and privacy protection when working with sensitive data
	+ Ability to translate business requirements into technical data science projects and to communicate results in plain language to technical and nontechnical audiences
	+ Proven ability to own and manage projects, including development of timelines and ability to unblock when things get stuck
	+ Proficiency with modern data visualization methods (e.g., R and Python plot libraries and cloud\-based dashboarding tools (e.g., Power BI, Tableau, etc.)
	+ Familiarity with modern DataOps / DevOps practices such as version control, code review, CI/CD patterns, and job orchestration
	+ Designing data models, metrics, and other analytic logic used for performance monitoring and operational reporting
* Preferred:
	+ Experience validating, deploying, and monitoring statistical or machine learning models in applied settings
	+ Understanding of quasi\-experimental and experimental causal inference methods
	+ Deep statistical knowledge (e.g., nonparametric hypothesis testing, Bayesian modeling)
	+ Understanding of Health Insurance Potability and Accountability Act
	+ Proficiency with dashboarding and automating reporting pipelines
	+ Comfort working within agile project management frameworks, including iterative development, sprint planning, and backlog management
	+ Experience working in distributed computing frameworks such as Spark
	+ Understanding of ETL/ELT pipelines, data models, and feature engineering workflows in cloud\-based environments
	+ Deep understanding of DataOps / DevOps practices listed above
**PHYSICAL DEMANDS**
**Stand:** Frequently
**Walk:** Frequently
**Sit:** Frequently
**Reach Outward:** Occasionally
**Reach Above Shoulder:** Occasionally
**Climb, Crawl, Kneel, Bend:** Occasionally
**Lift / Carry:** Occasionally \- Up to 15 lbs
**Push/Pull:** Occasionally \- Up to 15 lbs
**See:** Constantly
**Taste/ Smell:** Not Applicable
**Not Applicable \=** Not required for essential functions
**Occasionally \=** (0 \- 2 hrs/day)
**Frequently \=** (2 \- 5 hrs/day)
**Constantly \=** (5\+ hrs/day)
**WORK ENVIRONMENT**
General Office Setting, Indoors Temperature Controlled
Heluna Health is an Affirmative Action, Equal Opportunity Employer that encourages minorities, women, veterans, and disabled to apply.
**EEOC STATEMENT**
It is the policy of Heluna Health to provide equal employment opportunities to all employees and applicants, without regard to age (40 and over), national origin or ancestry, race, color, religion, sex, gender, sexual orientation, pregnancy or perceived pregnancy, reproductive health decision making, physical or mental disability, medical condition (including cancer or a record or history of cancer), AIDS or HIV, genetic information or characteristics, veteran status or military service.</t>
        </is>
      </c>
    </row>
    <row r="174">
      <c r="A174" t="inlineStr">
        <is>
          <t>in-e8d4b14cb7202fae</t>
        </is>
      </c>
      <c r="B174" t="inlineStr">
        <is>
          <t>Data Scientist, AWS Infrastructure Services Science</t>
        </is>
      </c>
      <c r="C174" t="inlineStr">
        <is>
          <t>Amazon.com</t>
        </is>
      </c>
      <c r="D174" t="inlineStr">
        <is>
          <t>indeed</t>
        </is>
      </c>
      <c r="E174">
        <f>HYPERLINK("https://www.indeed.com/viewjob?jk=e8d4b14cb7202fae", "https://www.indeed.com/viewjob?jk=e8d4b14cb7202fae")</f>
        <v/>
      </c>
      <c r="F174">
        <f>HYPERLINK("https://www.amazon.jobs/jobs/3181348/data-scientist-aws-infrastructure-services-science?cmpid=DA_INAD200785B", "https://www.amazon.jobs/jobs/3181348/data-scientist-aws-infrastructure-services-science?cmpid=DA_INAD200785B")</f>
        <v/>
      </c>
      <c r="G174" t="inlineStr">
        <is>
          <t>Seattle, WA, US</t>
        </is>
      </c>
      <c r="H174" s="2" t="n">
        <v>46065</v>
      </c>
      <c r="I17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75">
      <c r="A175" t="inlineStr">
        <is>
          <t>in-4e46a0016776b183</t>
        </is>
      </c>
      <c r="B175" t="inlineStr">
        <is>
          <t>Data Scientist, AWS Infrastructure Services Science</t>
        </is>
      </c>
      <c r="C175" t="inlineStr">
        <is>
          <t>Amazon.com</t>
        </is>
      </c>
      <c r="D175" t="inlineStr">
        <is>
          <t>indeed</t>
        </is>
      </c>
      <c r="E175">
        <f>HYPERLINK("https://www.indeed.com/viewjob?jk=4e46a0016776b183", "https://www.indeed.com/viewjob?jk=4e46a0016776b183")</f>
        <v/>
      </c>
      <c r="F175">
        <f>HYPERLINK("https://www.amazon.jobs/jobs/3181348/data-scientist-aws-infrastructure-services-science?cmpid=DA_INAD200785B", "https://www.amazon.jobs/jobs/3181348/data-scientist-aws-infrastructure-services-science?cmpid=DA_INAD200785B")</f>
        <v/>
      </c>
      <c r="G175" t="inlineStr">
        <is>
          <t>Herndon, VA, US</t>
        </is>
      </c>
      <c r="H175" s="2" t="n">
        <v>46065</v>
      </c>
      <c r="I17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76">
      <c r="A176" t="inlineStr">
        <is>
          <t>in-50da1a7d4cd0e76a</t>
        </is>
      </c>
      <c r="B176" t="inlineStr">
        <is>
          <t>Data Scientist, Marketing Innovation</t>
        </is>
      </c>
      <c r="C176" t="inlineStr">
        <is>
          <t>OpenAI</t>
        </is>
      </c>
      <c r="D176" t="inlineStr">
        <is>
          <t>indeed</t>
        </is>
      </c>
      <c r="E176">
        <f>HYPERLINK("https://www.indeed.com/viewjob?jk=50da1a7d4cd0e76a", "https://www.indeed.com/viewjob?jk=50da1a7d4cd0e76a")</f>
        <v/>
      </c>
      <c r="F176">
        <f>HYPERLINK("https://openai.com/careers/data-scientist-marketing-innovation-san-francisco/", "https://openai.com/careers/data-scientist-marketing-innovation-san-francisco/")</f>
        <v/>
      </c>
      <c r="G176" t="inlineStr">
        <is>
          <t>San Francisco, CA, US</t>
        </is>
      </c>
      <c r="H176" s="2" t="n">
        <v>46076</v>
      </c>
      <c r="I176" t="inlineStr">
        <is>
          <t>Careers
Data Scientist, Marketing Innovation
Data Science \- San Francisco
About the Role
We’re hiring a Data Scientist to support our Marketing Innovation pod, a cross\-functional team building the internal tools and agentic systems that fundamentally change how we do marketing and serve customers.
**We build product\-like systems that:**  
Deliver high\-touch, consultative experiences to millions of SMB customers through agentic lifecycle and sales experiences
Adapt messaging, creative, and outreach using real\-time behavioral signals
Power intelligent routing, targeting, and engagement decisions at scale, with minimal human\-in\-the\-loop
In this role, you’ll be embedded with Product and Engineering to ensure these systems drive measurable business outcomes.
What You’ll Do
Define success metrics for agentic marketing systems (e.g., incremental pipeline generated, conversion lift, rep hours saved), including leading indicators that enable weekly iteration.
Design measurement and experimentation frameworks for always\-on systems across lifecycle automation, creative generation, targeting, and routing — using holdouts, staged rollouts, and quasi\-experimental methods when needed.
Partner with PMs and engineers to instrument, evaluate, and monitor launches so every meaningful release has observability and a credible read on incremental value.
**Translate behavioral and model\-driven signals into decisions:** what to scale, where to intervene, and how to allocate human and compute attention across segments.
Build repeatable decision loops (pre\-launch criteria → post\-launch read → next action) that convert analysis into shipped changes.
What We’re Looking For
10\+ years in a quantitative role (e.g., Data Science, Decision Science), ideally at a product\-led company supporting B2B growth, with exposure to SMB or scaled self\-serve motions.
Deep grounding in experimentation, causal inference, and applied statistics, with experience designing and interpreting tests in real\-world, always\-on environments.
Strong technical fluency in SQL and Python, including working directly with messy, incomplete behavioral data to quantify impact.
Proven track record of translating results into shipped decisions (product, lifecycle, targeting, routing).
**Strong business judgment and a bias toward action:** able to scope ambiguous problems, define success, and move quickly from insight to strategy.
Excellent communicator and partner to PMs/Engineers; comfortable influencing stakeholders and presenting recommendations to senior leadership.
Nice to Have
Familiarity with large language models and AI\-assisted operations platforms
Experience working on operational automation and decision systems (routing, prioritization, optimization)
Experience operating in early\-stage or rapidly evolving environments, including building measurement and experimentation frameworks from scratch.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$293K – $325K \+ Offers Equity</t>
        </is>
      </c>
    </row>
    <row r="177">
      <c r="A177" t="inlineStr">
        <is>
          <t>in-0447d34a5a96e2c3</t>
        </is>
      </c>
      <c r="B177" t="inlineStr">
        <is>
          <t>Data Scientist</t>
        </is>
      </c>
      <c r="C177" t="inlineStr">
        <is>
          <t>Pacific Community Ventures</t>
        </is>
      </c>
      <c r="D177" t="inlineStr">
        <is>
          <t>indeed</t>
        </is>
      </c>
      <c r="E177">
        <f>HYPERLINK("https://www.indeed.com/viewjob?jk=0447d34a5a96e2c3", "https://www.indeed.com/viewjob?jk=0447d34a5a96e2c3")</f>
        <v/>
      </c>
      <c r="F177">
        <f>HYPERLINK("http://www.indeed.com/job/data-scientist-0447d34a5a96e2c3", "http://www.indeed.com/job/data-scientist-0447d34a5a96e2c3")</f>
        <v/>
      </c>
      <c r="G177" t="inlineStr">
        <is>
          <t>Oakland, CA, US</t>
        </is>
      </c>
      <c r="H177" s="2" t="n">
        <v>46076</v>
      </c>
      <c r="I177" t="inlineStr">
        <is>
          <t>**About Us**  
PCV is a nonprofit community development investor that supports small business entrepreneurs and their communities to build economic mobility through the power of inclusive entrepreneurship and a good quality job. We work side\-by\-side with small business leaders through our unique integrated model: combining impact\-first Restorative Capital and Pro Bono Business Advising with our Good Jobs Innovation Lab that propels thriving communities with equitable jobs, climate outcomes, uplifts and amplifies their voices and needs through research and policy advocacy.
**The Role**  
Are you an experienced data scientist who is passionate about applying your data and technology development skills towards building a more equitable society? If so, please consider joining Pacific Community Ventures as a Data Scientist. As a mission\-driven lender, we invest in diverse small businesses across the state of California to help them grow and strengthen their practices. You’ll work to take our renowned data practices to the next level, setting new standards in the community development financial institution (CDFI) ecosystem for machine learning and artificial intelligence innovations to expand access to capital, advising, and good jobs in underestimated communities.
**Why You’re Needed**  
We’re a dynamic nonprofit organization with a growing Loan Fund that supports more and more small businesses with loans and pro bono mentoring, creating good jobs in low\-and\-moderate income communities. With our expansion, we are adding systems, processes, and software to reach entrepreneurs more effectively, and manage the outcomes and impact of our work more efficiently. You will be a member of our Data Hub team, able to expand PCV’s reputation for data excellence. You bring a strong track record of success in data and analytics, machine learning, artificial intelligence, and insights generation, with strong analytical, technical, writing, and interpersonal skills. You are self\-directed, able to create clarity out of ambiguity, attentive to detail and data integrity, think critically, and are passionate about investing in underserved communities and creating good jobs.
**Position Overview**  
This position will report to the Principal Researcher/Chief Data Officer. This is a wonderful opportunity to drive transformative advancements in data infrastructure and innovation by supporting PCV’s Data Hub initiative and building tools that amplify PCV’s impact across underserved communities.
The Data Scientist will advance PCV’s research and innovation capability and build best practices around an ethical and collaborative data culture. This role will sit within the Data Hub and will serve to strengthen PCV’s reputation as a data leader in the CDFI space.
**Key Responsibilities**  
**Research with the Good Jobs Innovation Lab**  
● Collaborate closely with the Lab to create and facilitate a unique and bold Research Agenda, based on PCV’s data capabilities, internal knowledge of gaps in the CDFI ecosystem, stakeholder input, and staff capacity.  
● Mentor Lab staff by holding data science office hours to assist in ongoing Lab research projects with the aim of increasing staff confidence and knowledge of statistical and machine learning methods.  
● Design and carry out innovative research projects in collaboration with the Lab, from data collection through to delivery of results, in alignment with PCVs Research Agenda.  
● Publicly publish and internally peer review research and data stories that advance the use and understanding of data in the CDFI and economic mobility space.
**Data Culture, Education, and Governance**  
● Working with other data staff, conduct a review of data culture at PCV, assessing staff willingness to use, collect and store available data and current practices around data hygiene and governance.  
● Build PCV’s data governance best practices, taking into account data workers’ daily flow, available industry standards, and PCV’s data infrastructure capabilities.  
● Create a plan to implement these best practices, including education and regular internal audits around data usage capabilities, and its governance, with the aim of furthering an open and inclusive attitude towards data at PCV.  
● Regularly touch base with senior management to ensure data governance and data culture continues to be a priority.  
Data Science Collaboration  
● Own Data Science projects from various stakeholders that require heavy machine learning, AI, or statistical capabilities, such as metric creation, building a chat\-bot, or a market segmentation model.  
● Take a Data Science project through from beginning to end, working closely with stakeholders to understand the problem, design, build and deliver a solution, and monitor results.  
● Employ and experiment with EDA, Feature Engineering, model evaluation, and other ML techniques to drive iterative scoping of the project, based on stakeholder feedback at various touchpoints.  
● Write production\-quality code in Python, including testing, logging, and CI/CD, working with data and ML engineers to deploy solutions in a production environment.  
● Miscellaneous duties and responsibilities can be added at any time.
**Qualifications, Skills \&amp; Experience:**  
We strive hard to be a diverse and inclusive place to work. We value new perspectives, original ideas, and different ways of working. You will bring a background of working with dynamic teams and projects, as well as excellent analytical and communications skills that you are eager to apply to complex social problems. You should demonstrate a deep commitment to creating social and environmental benefit, under\-invested people, and places.
**Education and Experience**  
● Bachelor’s and Master’s degrees in Data Science, Statistics, and/or Computer Science, with a focus on Data Science and Cybersecurity.  
● 5\+ years of experience as a Data Scientist, in a research\-oriented role requiring statistical and ML experience.
**Technical Expertise**  
● Ability to formulate and carry out a research project from hypothesis and data collection through to testing and delivery of results.  
● In\-depth understanding of statistical frameworks such as probability distributions and Bayesian theory, including their limitations.  
● Hands\-on experience implementing ML techniques in Python, such as sampling, dimension reduction, regression, tree algorithms, and clustering algorithms.  
● Strong writing skills, experience in writing research briefs and delivering insights and results to stakeholders.  
● Proficiency in Python and machine learning frameworks (e.g., scikit\-learn, TensorFlow, PyTorch, Pandas).  
● Familiarity with data policy and governance best practices.  
Core Competencies  
● Strong problem\-solving skills with the ability to scope and target key pain points.  
● Enthusiasm for collaboration and mentorship in order to foster a communal data culture.  
● Excellent communication skills to deliver complex data in a simple, actionable way.  
● Commitment to leveraging technology for social good and advancing economic equity.
**Other Qualifications**  
● Strongly preferred: experience working in the CDFI ecosystem as demonstrated in comfort with financial services practices and terminology.  
● Strongly preferred: Knowledge of Tableau (and other data visualization software).  
● Strongly preferred: Hands\-on experience deploying models in production using cloud platforms like AWS, GCP, or Azure.  
● Strongly preferred: Familiarity with CI/CD pipelines, SQL/NoSQL databases, and version control systems like Git.  
● Strongly preferred: Experience creating and implementing data governance best practices.
**Location/Travel**  
This position can be remote, but will require at least six hours per day (Monday through Friday) of overlap with colleagues in the US Pacific time zone for virtual collaboration.
**Computer Software:**  
Microsoft Office to include Word, PowerPoint, Outlook, and Excel  
Tableau and Salesforce a plus
**Physical and Mental Requirements:**
* Ability to stand for extended periods of time, walk, talk, hear, use hands to finger, grasp, handle or feel, push, pull, reach, crouch, kneel, crawl or bend, and perform repetitive motions of the hands and/or wrists.
* High mental and visual attention required for planning difficult work methods and sequences to obtain size, shape, or physical qualities of product. AND/OR Extremely close visual attention such as making delicate adjustments to control high speed operations to exercise very precise muscular control.
**To Apply**  
Interested candidates must be legally authorized to work in the United States.
Pay: $85,000\.00 \- $95,000\.00 per year
Benefits:
* Dental insurance
* Health insurance
* Health savings account
* Life insurance
* Paid time off
* Professional development assistance
* Retirement plan
* Vision insurance
Work Location: Hybrid remote in Oakland, CA 94612</t>
        </is>
      </c>
    </row>
    <row r="178">
      <c r="A178" t="inlineStr">
        <is>
          <t>in-4cced669063036d6</t>
        </is>
      </c>
      <c r="B178" t="inlineStr">
        <is>
          <t>Data Scientist</t>
        </is>
      </c>
      <c r="C178" t="inlineStr">
        <is>
          <t>Newmont Mining</t>
        </is>
      </c>
      <c r="D178" t="inlineStr">
        <is>
          <t>indeed</t>
        </is>
      </c>
      <c r="E178">
        <f>HYPERLINK("https://www.indeed.com/viewjob?jk=4cced669063036d6", "https://www.indeed.com/viewjob?jk=4cced669063036d6")</f>
        <v/>
      </c>
      <c r="F178">
        <f>HYPERLINK("https://jobs.newmont.com/us/en/job/NMCNMCUS41623EXTERNALENUS/Data-Scientist?utm_source=indeed&amp;utm_medium=phenom-feeds", "https://jobs.newmont.com/us/en/job/NMCNMCUS41623EXTERNALENUS/Data-Scientist?utm_source=indeed&amp;utm_medium=phenom-feeds")</f>
        <v/>
      </c>
      <c r="G178" t="inlineStr">
        <is>
          <t>Denver, CO, US</t>
        </is>
      </c>
      <c r="H178" s="2" t="n">
        <v>46075</v>
      </c>
      <c r="I178" t="inlineStr">
        <is>
          <t>**Workplace Type:** **Hybrid**
**Posting End Date:**
Newmont is the world’s leading gold company and a producer of copper, silver, zinc and lead. The Company’s world\-class portfolio of assets, prospects and talent is anchored in favorable mining jurisdictions in Africa, Australia, Latin America \&amp; Caribbean, North America, and Papua New Guinea. Newmont is the only gold producer listed in the S\&amp;P 500 Index and is widely recognized for its principled environmental, social and governance practices. The Company is an industry leader in value creation, supported by robust safety standards, superior execution and technical proficiency. Newmont was founded in 1921 and has been publicly traded since 1925\.
At Newmont, people create the value in the metals we mine and are ambassadors in the communities where they live and work. As a team, we foster an environment in support of our people vision, where everyone belongs, thrives and is valued. We have built a diverse and inclusive workplace where our people can bring their differences to support delivering results together.
Newmont’s Corporate Headquarters are located in Denver, Colorado with roles in Engineering, IT, Finance, Accounting, Human Resources and much more.
Join us and unearth your potential in a global company that is at the forefront of shaping the future of the mining industry.
##### **Your Impact**
This role plays a key role in safeguarding the integrity and accessibility of Newmont’s data. In this role, you’ll help ensure our data meets the highest quality standards by following strong data‑management practices and keeping an eye on emerging technology trends. You’ll work closely with our AI/ML and Digital Enablement teams to turn data into meaningful insights—building predictive models, solving complex challenges, and uncovering patterns within large datasets. Your work will directly support strategic initiatives, strengthen operational efficiency, and help Newmont maintain a competitive edge in the mining industry##### **As Part of Our Team, You Will**
* Conducting Data Analysis and Interpretation examining extensive datasets to recognize trends, patterns, and valuable insights that can guide business decisions and support strategic endeavors effectively.
* Develop, evaluate, and enhance predictive models and machine learning algorithms to tackle unique business obstacles and enhance operational effectiveness in a professional manner.
* Work closely with various business units to comprehend their specific data requirements and provide customized solutions through collaboration with stakeholders.
* Gathering and Preparing Data: The process involves gathering, cleansing, and preparing data from diverse sources to guarantee its quality and dependability for subsequent analysis and model creation.
* Develop visualizations and reports to efficiently convey insights and discoveries to stakeholders, aiding data\-informed decision\-making processes in a professional manner.
##### **Prerequisites for Your Success in This Role**
* Bachelor’s degree in Data Science, Information Technology, Business, Industrial Engineering, or related fields
* Experience in similar roles within digital enablement, analytics, or operational improvement
* Strong ability to translate complex data into clear, actionable insights that support decision‑making
* Ability to create dashboards and digital tools that provide leaders with real‑time visibility
* Skilled at simplifying technical data into practical recommendations for non‑technical stakeholders
* Strong data storytelling skills to communicate findings in a compelling and actionable way
* Ability to align data‑driven initiatives with business goals to ensure value creation
* Commitment to continuously improving processes based on insights and performance metrics
* Experience collaborating closely with operational teams to develop solutions tailored to their needs
##### **Your Work Environment**
* You will work within Newmont’s global Digital organization, partnering with project managers, IT teams, Finance, and business stakeholders.
* The role operates in a dynamic, global environment supporting multiple initiatives at varying stages of delivery.
* Work is Hybrid with collaboration across regions and time zones.
##### **Why Join Newmont**
* Be part of a global mining leader committed to safety, innovation, and sustainability.
* Gain exposure to enterprise\-scale digital initiatives and strategic transformation programs.
* Develop your skills in portfolio management, governance, analytics, and stakeholder engagement.
* Work in a collaborative environment that values continuous improvement and learning.
* Contribute to digital solutions that enable safe, efficient, and data\-driven operations across the business.
* The candidate can be located in any country where Newmont has a legal entity
We understand no candidate will meet every single desired qualification. If your experience looks a little different from what we’ve identified and you think you can bring value to the role, we’d love to learn more about you!
The salary range offered for this role is USD $86,500\- 115,300\. The salary range is tied to the Colorado market for jobs performed in Colorado. The salary offer to the successful candidate will be based on job\-related education, training, and/or experience. The salary offer will not be based on a candidate’s salary history at other jobs, and by law, Newmont will not seek information about salary history, and candidates should not share such information with Newmont.
This role will be eligible for participation in a discretionary annual bonus program, pursuant to which an employee may be awarded a percentage of their salary based on the company’s performance and their own individual performance.
Newmont offers a competitive and inclusive benefits package to support physical, mental, financial and emotional wellbeing. This role will be eligible for the following benefits: Medical, prescription drug, dental, and vision insurance; flexible spending accounts; health savings accounts; life and accidental death and dismemberment insurance; short and long\-term disability; defined benefit pension; 401(k) program with company match; financial planning; employee assistance program (EAP); wellbeing reimbursement program; adoption assistance; tuition reimbursement; paid holidays and paid time off; paid family leave; matching gifts; and discounts on home, auto and pet insurance. All bonuses and benefits are subject to the applicable eligibility and program/plan terms and may be modified or terminated at Newmont’s sole discretion.
When submitting your resume or CV or any other application materials (including school transcripts, proof of graduation, etc.) to Newmont, it's important to focus on your relevant skills, experience, and qualifications to show how well you fit the role. Pursuant to Colorado law, you may choose to remove or redact any age\-identifying information (for example, age, date of birth, dates of school attendance, dates of school graduation, etc.). You will not be penalized for redacting or removing this information. Newmont is an equal employment opportunity employer, and does not make hiring decisions based on age or any other protected characteristics (e.g., gender, sexual orientation, disability, race, national origin, religion).
Please note that if you are offered a position, the company may need to verify your date of birth for preemployment screening purposes including background check and prohibited party screening. But age\-related information is not required for the application process.</t>
        </is>
      </c>
    </row>
    <row r="179">
      <c r="A179" t="inlineStr">
        <is>
          <t>in-43b8beaf05012101</t>
        </is>
      </c>
      <c r="B179" t="inlineStr">
        <is>
          <t>Senior Data Scientist - TELCOM</t>
        </is>
      </c>
      <c r="C179" t="inlineStr">
        <is>
          <t>Peraton</t>
        </is>
      </c>
      <c r="D179" t="inlineStr">
        <is>
          <t>indeed</t>
        </is>
      </c>
      <c r="E179">
        <f>HYPERLINK("https://www.indeed.com/viewjob?jk=43b8beaf05012101", "https://www.indeed.com/viewjob?jk=43b8beaf05012101")</f>
        <v/>
      </c>
      <c r="F179">
        <f>HYPERLINK("https://www.careers.peraton.com/jobs/senior-data-scientist-telcom-chantilly-virginia-163928-jobs--cms-scientific-research-analysis--", "https://www.careers.peraton.com/jobs/senior-data-scientist-telcom-chantilly-virginia-163928-jobs--cms-scientific-research-analysis--")</f>
        <v/>
      </c>
      <c r="G179" t="inlineStr">
        <is>
          <t>Chantilly, VA, US</t>
        </is>
      </c>
      <c r="H179" s="2" t="n">
        <v>46075</v>
      </c>
      <c r="I179"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**Shape the Future of America's Skies with Peraton**  
Join Peraton in advancing the safety, efficiency, and modernization of the National Airspace System (NAS) through the FAA's Brand New Air Traffic Control System (BNATCS) contract. As a trusted partner to the Federal Aviation Administration, we deliver the mission\-critical systems and services that keep our nation's skies safe, secure, and seamlessly connected.  
This is more than a job \- it's an opportunity to help transform one of the world's most vital transportation infrastructures. You'll collaborate with industry leaders in aviation, engineering, data science, and systems integration to modernize air traffic management at a national scale.  
At Peraton, you don't just support the mission \- you drive it.  
**Senior Data Scientist**  
**Location:** Chantilly, VA  
**Team:** TELECOM  
We are seeking a **Senior Data Scientist** who thrives in complex, mission\-critical environments and is passionate about turning data into strategic advantage.  
In this high\-impact role, you will:  
* Lead advanced analytics initiatives across large\-scale telecom and operational datasets
* Design and deploy predictive models that enhance system performance and reliability
* Build scalable automation pipelines and intelligent decision\-support tools
* Translate complex data into actionable insights for senior leadership
* Influence data\-driven strategies that strengthen mission execution and operational resilience
You'll work at the intersection of telecommunications, advanced analytics, and national infrastructure \- solving problems that directly impact the safety and efficiency of U.S. airspace operations.  
If you're ready to apply cutting\-edge data science to a mission that truly matters, we invite you to bring your expertise to Peraton and help redefine what's possible in air traffic management.  
**Qualifications****Required Qualifications:**  
* 8\+ years of experience in data science or advanced analytics
* A bachelor's degree in a relevant technical field OR an additional 4 years of experience is required
* Strong programming skills in Python and/or R
* Hands\-on experience with cloud\-based analytics platforms (AWS or Azure)
* Proven expertise in machine learning and AI applications
**Preferred:**  
* AWS or Azure data certifications, DASCA, or equivalent credentials
* Advanced Excel skills for analysis, reporting, and visualization
* Demonstrated ability to translate complex data into clear, actionable insights
* Experience designing streamlined, efficient workflows
* Strong background in process optimization, compliance, and performance improvement
**Clearance Requirement:** Ability to obtain and maintain a Public Trust  
**SCA / Union / Intern Rate or Range**  
**Details**  
Target Salary Range: $135,000 \- $216,000\.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80">
      <c r="A180" t="inlineStr">
        <is>
          <t>in-698b25234e67218b</t>
        </is>
      </c>
      <c r="B180" t="inlineStr">
        <is>
          <t>Data Scientist</t>
        </is>
      </c>
      <c r="C180" t="inlineStr">
        <is>
          <t>ERP International</t>
        </is>
      </c>
      <c r="D180" t="inlineStr">
        <is>
          <t>indeed</t>
        </is>
      </c>
      <c r="E180">
        <f>HYPERLINK("https://www.indeed.com/viewjob?jk=698b25234e67218b", "https://www.indeed.com/viewjob?jk=698b25234e67218b")</f>
        <v/>
      </c>
      <c r="F180">
        <f>HYPERLINK("https://careers-erpinternational.icims.com/jobs/5118/job?utm_source=indeed_integration&amp;iis=Job%20Board&amp;iisn=Indeed&amp;indeed-apply-token=73a2d2b2a8d6d5c0a62696875eaebd669103652d3f0c2cd5445d3e66b1592b0f", "https://careers-erpinternational.icims.com/jobs/5118/job?utm_source=indeed_integration&amp;iis=Job%20Board&amp;iisn=Indeed&amp;indeed-apply-token=73a2d2b2a8d6d5c0a62696875eaebd669103652d3f0c2cd5445d3e66b1592b0f")</f>
        <v/>
      </c>
      <c r="G180" t="inlineStr">
        <is>
          <t>Falls Church, VA, US</t>
        </is>
      </c>
      <c r="H180" s="2" t="n">
        <v>46075</v>
      </c>
      <c r="I180" t="inlineStr">
        <is>
          <t>Overview:
ERP International is seeking an experienced **Data Scientist** to design, develop, and deploy AI based solutions using Palantir Foundry and other similar platforms. **ERP Offers Employees:*** **Competitive Salaries \&amp; Benefits!**
* **Health Advocate \&amp; Concierge Services!**
* **Unlimited Job\- Related Training \&amp; Development!**
* **Employee Recognition \&amp; Incentive Programs!**
* **Employee Appreciation \&amp; Company Sponsored Events!**
* **Opportunity to work with leading edge technology!**
* **Community Outreach \&amp; Charity Work!**
ERP International is an EEO and Affirmative Action Employer of Veterans/Individuals with Disabilities.  
ERP International is committed to providing veteran employment opportunities to our service men and women. **Salary Range $120K \-140K**  
The salary range for this position is determined based on a variety of factors, including but not limited to, experience, qualifications, skill level, and location. The final salary offer will fall within this range and will be commensurate with the candidate’s background and the specific demands of the role. **About ERP International, LLC:** ERP is a nationally respected provider of health, science, and technology solutions supporting clients in the government and commercial sectors. We provide comprehensive enterprise information technology, strategic sourcing, and management solutions to DoD and federal civilian agencies in 40 states. Founded in 2006, ERP is headquartered in Laurel, MD and maintains satellite offices in Montgomery, AL and San Antonio, TX \- plus project locations nationwide. ERP is an Equal Opportunity Employer \- Disability and Veteran.  
Responsibilities:
This role focuses on applying advanced data science, machine learning, and autonomous/agent\-based reasoning techniques to solve complex, mission‑critical problems. The Data Scientist will work closely with stakeholders, engineers, and product teams to translate operational needs into scalable, production‑ready AI capabilities within an ontology‑driven ecosystem. **The duties include, but are not limited to the following:*** Independently apply knowledge and expertise to various project and program initiatives; investigate, analyze, plan, design, implement, or evaluate solutions for the project efforts.
* Provide expert\-level issue resolution and recommendation support to achieve mission goals.
* Conduct in\-depth data analysis to extract actionable insights.
* Possess strong problem\-solving skills with great attention to detail.
* Develop and maintain data pipelines, transforming raw data into usable formats.
* Clean and preprocess data to ensure data quality and consistency.
* Design, develop, and operationalize agentic AI workflows (e.g., autonomous agents, multi‑step reasoning pipelines, human‑in‑the‑loop decision systems)
* Build and maintain data pipelines, transformations, and analytical models using Foundry tools, Python, and SQL to convert raw data into actionable insights
* Develop, train, evaluate, and deploy machine learning and AI models, including supervised, unsupervised, and reinforcement learning approaches, as appropriate to mission needs \[
* Leverage Foundry’s Ontology, Actions, and operational workflows to embed AI and agentic logic directly into business and mission processes
* Stay up\-to\-date with the latest data science/artificial intelligence (AI) trends and technologies.
* 
Qualifications:
**Qualifications and Education Requirements:**
* Demonstrate an ability to quickly gain domain expertise.
* Ability to work collaboratively in a team and independently when needed.
* Ability to thrive in a hybrid work environment with ability to support onsite work (up to 40%) and travel out of state as needed.
 **Required Skills and Qualifications:*** + Master’s degree in a STEM field (e.g., Computer Science, Mathematics, Statistics, Economics, Data Science, Life Sciences, Engineering) and two (2\) years of experience related to Data Science.
	+ Bachelor’s degree in Computer Science, Statistics, Mathematics, Data Science, Engineering, or a related quantitative field can be substituted for Master’s degree with additional three (3\) ears of experience in data science or a related role.
	+ Proficient utilizing tools, techniques, and scientific computing libraries (e.g., SQL, MS Access, Python, ) to build predictive models and perform statistical analysis.
	+ Experience working with data integration technologies leveraging Application Program Interfaces (APIs) (e.g., RESTful, etc.) to access external data sources.
	+ Palantir Foundry Bootcamp or similar certifcations.
**Preferred Skills and Qualifications:*** Experience working with Palantir Foundry, including pipelines, transformations, ontology‑based applications, or Workshop‑style operational solutions
* Experience with LLM evaluation methods (automated scoring, human review pipelines, hallucination mitigation, safety testing).
* Experience with MLOps tooling and patterns (model registries, feature stores, drift detection, experiment tracking).
**Work Authorization Requirements:**
* Must be eligible to work in the US and be able to obtain a Confidential (tier 1\) clearance
**Standard Interview \&amp; Selection Process:**
* Recruiter Pre\-Screen
* Interview with Hiring Manager and/or Technical Lead</t>
        </is>
      </c>
    </row>
    <row r="181">
      <c r="A181" t="inlineStr">
        <is>
          <t>in-cf72e18e6aa4b6df</t>
        </is>
      </c>
      <c r="B181" t="inlineStr">
        <is>
          <t>Data Scientist</t>
        </is>
      </c>
      <c r="C181" t="inlineStr">
        <is>
          <t>Transportation Management Services</t>
        </is>
      </c>
      <c r="D181" t="inlineStr">
        <is>
          <t>indeed</t>
        </is>
      </c>
      <c r="E181">
        <f>HYPERLINK("https://www.indeed.com/viewjob?jk=cf72e18e6aa4b6df", "https://www.indeed.com/viewjob?jk=cf72e18e6aa4b6df")</f>
        <v/>
      </c>
      <c r="F181">
        <f>HYPERLINK("https://workforcenow.adp.com/mascsr/default/mdf/recruitment/recruitment.html?cid=227380c2-b7ef-4c34-8220-db444305af06&amp;ccId=19000101_000001&amp;jobId=947363&amp;source=IN&amp;lang=en_US", "https://workforcenow.adp.com/mascsr/default/mdf/recruitment/recruitment.html?cid=227380c2-b7ef-4c34-8220-db444305af06&amp;ccId=19000101_000001&amp;jobId=947363&amp;source=IN&amp;lang=en_US")</f>
        <v/>
      </c>
      <c r="G181" t="inlineStr">
        <is>
          <t>Frederick, MD, US</t>
        </is>
      </c>
      <c r="H181" s="2" t="n">
        <v>46075</v>
      </c>
      <c r="I181" t="inlineStr">
        <is>
          <t>Transportation Management Services (TMS) provides industry leading transportation and parking solutions for public and private meetings, conventions, and special events as well as emergency transportation services for government agencies. Supported by our service\-first mindset and data\-driven approach, our mission is to move people safely and reliably while delivering a personal and positive experience that aligns with our client’s goals. TMS is the global leader in ground transportation management, logistics, mobility and venue solutions, renowned for delivering top\-tier services for the world's most complex events with unwavering confidence and integrity. With over 30 years of industry experience, we proudly reflect on managing transportation for more than 1,450 events and contracts, safely transporting over 120 million passengers. Our prestigious portfolio includes supporting events such as the FIFA World Cup, Olympic and Paralympic Games, Formula One, NBA, Kentucky Derby, Coachella, and major corporations like Microsoft and Google. We also support citywide events and trade shows such as NAHB, SEMA, NACS, and ICSC. Our aim is to be distinguished by the quality of our work, fostering a legacy of trust and superior performance.
**Position Title: Data Scientist**
**Reporting Manager: CIO**
**Position Summary:**
TMS has an immediate opening for a Data Scientist located at our headquarters in Frederick, MD. This role will support operational, financial, and client\-facing teams by transforming data into actionable insights. The ideal candidate is hands\-on, analytical, and comfortable working across the full data lifecycle—from ingestion and modeling to visualization and decision support.
**Responsibilities:**
* Design, build, and maintain data models and analytical datasets using enterprise data warehouse tools (e.g., Snowflake)
* Develop, maintain, and optimize data pipelines and workflows within the AWS environment
* Analyze operational, event, and transportation datasets to identify trends, risks, and optimization opportunities
* Create dashboards, reports, and visualizations using tools such as Tableau and Power BI
* Partner with Operations, Finance, IT, and Client Services to define data requirements and reporting needs
* Ensure data quality, consistency, and reliability across systems, document data sources, models, and assumptions
* Support ad\-hoc analysis requests related to event operations and forecasting, perform other job\-related duties as needed
 **Qualifications and Requirements**:
* BA/BS degree from an accredited college/university or equivalent experience,
. 2–5 years of experience in a data analytics or data science role
* Experience with Snowflake and AWS
* Strong SQL skills: Python preferred
* Experience with Tableau and/or Power BI
* Strong communication and problem\-solving skills
The employees’ responsibilities reflect current needs and requirements of the Company as of the date of issuing this position description. However, the services that the employee is required to provide for the Company may change over time as circumstances dictate.
**Compensation \&amp; Benefit Package:**
A competitive compensation package commensurate with experience. Additionally, enjoy comprehensive Health, Vision \&amp; Dental insurance, ample Paid Time Off, and a 401K plan.
*TMS is proud to be an Equal Opportunity Employer (EOE). We celebrate diversity and are committed to creating an inclusive environment for all employees. We do not discriminate based on race, religion, color, national origin, gender, sexual orientation, age, marital status, veteran status, disability status, or any other characteristic protected by law.*</t>
        </is>
      </c>
    </row>
    <row r="182">
      <c r="A182" t="inlineStr">
        <is>
          <t>in-639cb2f2eabddeec</t>
        </is>
      </c>
      <c r="B182" t="inlineStr">
        <is>
          <t>Principal Data Scientist</t>
        </is>
      </c>
      <c r="C182" t="inlineStr">
        <is>
          <t>Oracle</t>
        </is>
      </c>
      <c r="D182" t="inlineStr">
        <is>
          <t>indeed</t>
        </is>
      </c>
      <c r="E182">
        <f>HYPERLINK("https://www.indeed.com/viewjob?jk=639cb2f2eabddeec", "https://www.indeed.com/viewjob?jk=639cb2f2eabddeec")</f>
        <v/>
      </c>
      <c r="F182">
        <f>HYPERLINK("https://eeho.fa.us2.oraclecloud.com/hcmUI/CandidateExperience/en/sites/CX_1/job/327333", "https://eeho.fa.us2.oraclecloud.com/hcmUI/CandidateExperience/en/sites/CX_1/job/327333")</f>
        <v/>
      </c>
      <c r="G182" t="inlineStr">
        <is>
          <t>US</t>
        </is>
      </c>
      <c r="H182" s="2" t="n">
        <v>46075</v>
      </c>
      <c r="I182" t="inlineStr">
        <is>
          <t>**Do you want to be a part of changing healthcare?**  
Oracle is excited to be using our resources, knowledge, and expertise—as well as our successes in other industries—and applying them to healthcare to make a meaningful impact. As people, we all participate in healthcare, it’s deeply personal, and we put the human at the center of each of our decisions. Improving healthcare for all requires bringing unique perspectives and expertise together to holistically tackle the biggest problems in global health including physician burnout, patient access to data, and barriers to quality care.
Oracle Health Applications \&amp; Infrastructure (OHAI) is developing patient\- and provider\-centric solutions rapidly and securely. We leverage the power of Oracle Cloud Infrastructure (OCI) to deliver robust, scalable solutions across patient, provider, payer, public health, and life sciences sectors. At OHAI, you’ll work with experts across industries and have access to cutting\-edge technologies. We apply artificial intelligence, machine learning, large language models, learning networks, and data intelligence in an applied, scalable, and embedded way. Join us in creating people\-centric healthcare experiences.
**About the Team**
As part of the Oracle Health Foundations Organization, you’ll join a high\-impact Operational Intelligence team focused on transforming operational data into proactive, AI\-driven decision systems. We work across incidents, change records, support tickets, telemetry, and performance signals to improve the reliability, resilience, and stability of Oracle Health’s products.
Our team is advancing anomaly detection, statistical signal modeling, and GenAI\-powered intelligence to move beyond reactive alerting toward contextual insight generation and semi\-autonomous operational workflows. We are building scalable capabilities on the Oracle AI Data Platform that detect performance abnormalities early, surface root\-cause insights, reduce operational toil, and enable proactive intervention at scale.
As a Senior Data Scientist, you will play a leading role in shaping the evolution of our operational AI systems. You will design and productionize advanced anomaly detection models, develop intelligent data products, and collaborate closely with engineering, platform, and operations teams. This is a high\-ownership, high\-visibility role where applied statistical rigor meets real\-world production impact — helping define the future of agentic operational intelligence within Oracle Health.
**Qualifications**  
* Master's or PhD in Data Science, Computer Science, Statistics, Applied Mathematics, Engineering, or related quantitative field (Bachelor’s with equivalent experience considered).
* 8\+ years of experience developing and deploying machine learning models in production environments.
* Strong expertise in statistical modeling, anomaly detection, and time\-series analysis, with experience applying these techniques to large\-scale operational data.
* Proficiency in Python and modern ML frameworks, with experience building reproducible modeling pipelines and implementing sound evaluation and experimentation practices.
* Working knowledge of large language models (LLMs), retrieval\-augmented generation (RAG) pipelines, and modern agent frameworks, including their evaluation and integration into production systems.
* Experience contributing to intelligent automation or agent\-driven systems where ML or LLM components inform or trigger workflow decisions under defined guardrails.
* Strong communication skills and demonstrated ability to partner with engineering teams to productionize, monitor, and continuously improve models.
Responsibilities
* Design, develop, and lead advanced anomaly detection and statistical modeling initiatives across operational data sources (incidents, change records, support tickets, telemetry, and performance signals).
* Build and productionize machine learning models that proactively identify performance abnormalities, detect emerging risk patterns, and improve operational resilience.
* Develop GenAI\-powered intelligence capabilities, including contextual insight generation, automated summarization, signal correlation, and decision\-support workflows.
* Drive the evolution from deterministic alerting to statistically robust, scalable detection and semi\-autonomous operational workflows under defined guardrails.
* Own the end\-to\-end data science lifecycle, including data exploration, feature engineering, model development, validation, experimentation, deployment, monitoring, and continuous improvement.
* Partner closely with engineering, SRE, product, and operations teams to translate complex operational challenges into scalable, production\-ready AI solutions.
* Influence architectural decisions related to data pipelines, model serving, observability integration, and AI platform utilization.
* Mentor and provide technical leadership to junior data scientists and engineers, promoting modeling rigor, experimentation discipline, and production best practices.
* Stay current with advancements in anomaly detection, time\-series modeling, applied GenAI, and agentic AI systems—leading evaluation and adoption where appropriate.
IC4 Career Level</t>
        </is>
      </c>
    </row>
    <row r="183">
      <c r="A183" t="inlineStr">
        <is>
          <t>in-bf0786d2dcdf32b3</t>
        </is>
      </c>
      <c r="B183" t="inlineStr">
        <is>
          <t>Marketing Data Scientist</t>
        </is>
      </c>
      <c r="C183" t="inlineStr">
        <is>
          <t>webuyanycar.com</t>
        </is>
      </c>
      <c r="D183" t="inlineStr">
        <is>
          <t>indeed</t>
        </is>
      </c>
      <c r="E183">
        <f>HYPERLINK("https://www.indeed.com/viewjob?jk=bf0786d2dcdf32b3", "https://www.indeed.com/viewjob?jk=bf0786d2dcdf32b3")</f>
        <v/>
      </c>
      <c r="F183">
        <f>HYPERLINK("https://workforcenow.adp.com/mascsr/default/mdf/recruitment/recruitment.html?cid=e36517ae-94ec-477a-a346-2ced54d3af30&amp;ccId=19000101_000001&amp;jobId=574154&amp;source=IN&amp;lang=en_US", "https://workforcenow.adp.com/mascsr/default/mdf/recruitment/recruitment.html?cid=e36517ae-94ec-477a-a346-2ced54d3af30&amp;ccId=19000101_000001&amp;jobId=574154&amp;source=IN&amp;lang=en_US")</f>
        <v/>
      </c>
      <c r="G183" t="inlineStr">
        <is>
          <t>Springfield, PA, US</t>
        </is>
      </c>
      <c r="H183" s="2" t="n">
        <v>46075</v>
      </c>
      <c r="I183" t="inlineStr">
        <is>
          <t>**Why Join Us**
* Direct impact on company growth and customer acquisition strategy.
* Opportunity to shape the evolution of data\-driven decision\-making across marketing.
* Competitive salary and comprehensive benefits package including medical, dental, vision, 401(k) with company match, paid time off, parental leave, and employee vehicle programs.
* Collaborative and inclusive culture that values innovation and diverse perspectives.
 **Get to know us!**
CarGroup Holdings LLC, operating as webuyanycar.com® USA, is a leading car buying service focused on delivering a fast, safe, and transparent selling experience. Currently, we are investing in advanced analytics to optimize marketing performance and drive profitable growth.
**The Role**
The Marketing Data Scientist will own the analytical and modeling strategy that powers customer acquisition and marketing investment decisions. This role is responsible for transforming large\-scale marketing and customer data into predictive models, experimentation frameworks, and decision systems that directly impact revenue, customer lifetime value, and return on marketing spend.
This position plays a critical role in optimizing multi\-channel acquisition strategy and influencing company\-wide growth initiatives.
**We are unable to offer sponsorship for this position.**
\-
**What You Will Do**
* Design and deploy predictive models that optimize customer acquisition, lifetime value (LTV), and marketing spend allocation across channels.
* Develop scalable machine learning solutions that improve targeting, segmentation, and personalization.
* Build and refine experimentation frameworks, including A/B testing and causal inference methodologies, to measure and validate marketing impact.
* Partner with Marketing, Finance, and Executive Leadership to align data insights with profitability and growth objectives.
* Identify opportunities to drive measurable incremental revenue through advanced analytics and modeling.
* Create clear, executive\-ready insights that translate complex analysis into actionable strategy.
* Establish best practices for marketing analytics, model monitoring, and continuous optimization.
* Collaborate cross\-functionally with Data Engineering and IT to ensure data integrity, accessibility, and scalability.
\-
**What We’re Looking For**
* 3\+ years of experience in data science, marketing analytics, or a related quantitative role within a commercial business, preferably consumer\-facing.
* Strong proficiency in Python or R and SQL and experience with statistical analysis tools (e.g., SAS, SPSS, or similar).
* Experience building and deploying machine learning models in production environments.
* Extensive practical expertise in predictive modeling, regression analysis, clustering, decision trees, neural networks, and classification methods, along with proficiency in frameworks such as TensorFlow and scikit\-learn.
* Skilled in using data visualization tools like Tableau and Power BI, as well as database query languages such as SQL.
* Proficiency in big data technologies like Hadoop and Spark, as well as cloud platforms such as AWS, Azure, and Google Cloud.
* Experience designing and analyzing A/B tests and applying statistical methods for causal inference.
* Deep understanding of marketing performance metrics such as CAC, LTV, ROI, and attribution.
* Strong business acumen with a demonstrated ability to translate analytics into revenue impact.
* Excellent communication skills with the ability to interpret and communicate complex data analysis results in order to influence non\-technical stakeholders.
Advanced degree (Master’s or PhD) in Data Science, Statistics, Mathematics, Engineering, or related quantitative field preferred.
\-
**Physical Requirements:**
* Prolonged periods of sitting at a desk and working on a computer.
* Must be able to lift to 15 pounds at times.</t>
        </is>
      </c>
    </row>
    <row r="184">
      <c r="A184" t="inlineStr">
        <is>
          <t>in-a4618b0513c597b6</t>
        </is>
      </c>
      <c r="B184" t="inlineStr">
        <is>
          <t>Data Scientist (Multiple Levels)</t>
        </is>
      </c>
      <c r="C184" t="inlineStr">
        <is>
          <t>Noblis</t>
        </is>
      </c>
      <c r="D184" t="inlineStr">
        <is>
          <t>indeed</t>
        </is>
      </c>
      <c r="E184">
        <f>HYPERLINK("https://www.indeed.com/viewjob?jk=a4618b0513c597b6", "https://www.indeed.com/viewjob?jk=a4618b0513c597b6")</f>
        <v/>
      </c>
      <c r="F184">
        <f>HYPERLINK("https://careers.noblis.org/jobs/26582/job?utm_source=indeed_integration&amp;iis=Job%20Board&amp;iisn=Indeed&amp;indeed-apply-token=73a2d2b2a8d6d5c0a62696875eaebd669103652d3f0c2cd5445d3e66b1592b0f", "https://careers.noblis.org/jobs/26582/job?utm_source=indeed_integration&amp;iis=Job%20Board&amp;iisn=Indeed&amp;indeed-apply-token=73a2d2b2a8d6d5c0a62696875eaebd669103652d3f0c2cd5445d3e66b1592b0f")</f>
        <v/>
      </c>
      <c r="G184" t="inlineStr">
        <is>
          <t>Washington, DC, US</t>
        </is>
      </c>
      <c r="H184" s="2" t="n">
        <v>46075</v>
      </c>
      <c r="I184" t="inlineStr">
        <is>
          <t>Responsibilities:
We are seeking highly qualified Subject Matter Experts (SMEs) across multiple levels (I–V) to support data science, aviation, engineering, psychological, analytical, and technical programs within the Federal Aviation Administration (FAA) or related federal initiatives. SMEs will apply advanced knowledge in their respective technical or analytical disciplines—particularly data science, machine learning, and data\-driven analysis—to solve complex problems, integrate requirements, and contribute to system design, program execution, and organizational effectiveness.  
SMEs will participate in multidisciplinary teams, utilizing advanced analytical tools, simulation environments, laboratories, data analysis platforms, and test facilities. They will provide guidance in technical planning, data strategy, process improvement, and performance evaluation, ensuring that data\-driven insights inform program and mission outcomes.  
Key Responsibilities (All Levels)* Apply advanced knowledge in data science, engineering, psychology, or related technical disciplines to solve complex technical or organizational problems within the FAA or similar environments.
* Extract insights and value from large and complex datasets to inform decision\-making, enhance system performance, and drive innovation across programs.
* Develop and implement data\-driven solutions and predictive models using advanced statistical, machine learning, and data analysis techniques.
* Collect, clean, and integrate data from multiple sources to support analytical, technical, and operational objectives.
* Perform exploratory data analysis (EDA) to identify trends, patterns, and relationships in data relevant to aviation safety, engineering performance, human factors, or organizational outcomes.
* Utilize scientific, engineering, and analytical tools (e.g., Python, R, SQL, MATLAB, data visualization platforms) to design, test, and validate analytical models and simulations.
* Collaborate with cross\-functional teams—including software engineers, data analysts, behavioral scientists, and domain experts—to integrate data science solutions into operational systems and decision\-support workflows.
* Develop and review technical documentation, reports, and data\-driven recommendations to support program planning, compliance, and strategic decisions.
* Communicate analytical findings and technical insights to stakeholders in a clear, actionable manner, enabling evidence\-based decision\-making.
* Contribute to technical planning, data infrastructure design, and process optimization, ensuring alignment with program goals and federal data standards.
* Mentor junior staff and provide expertise in data science methodologies, enhancing team capabilities and promoting a culture of analytical excellence.
Required Qualifications:  
Qualifications for all Levels:* U.S. citizen or green card permanent resident (3\+ years U.S. residency)
* Ability to obtain and maintain FAA Sutiability/Public Trust.
* Experience with FAA and the environment.
Level I
Required Qualifications* Bachelor’s degree in engineering, science, or related field and 4\+ years of relevant experience; *or* equivalent aviation\-related experience with 6\+ years.
D.C. Salary Range: $71,800\.00 \- $112,150  
Level II
Required Qualifications:* Bachelor’s degree in engineering, science, or related field and 8\+ years of relevant experience; *or* equivalent aviation\-related experience with 12\+ years.
D.C. Salary Range: $78,900 \- $123,300  
Level III
Required Qualifications:* Master’s degree in engineering, science, or related field and 10\+ years of experience; *or* Bachelor’s degree with 12\+ years of experience.
D.C. Salary Range: $105,100 \- $164,125  
Level IV
Required Qualifications:* Master’s degree in engineering, science, or related field and 13\+ years of experience; *or* Bachelor’s degree with 17\+ years of experience.
D.C. Salary Range: $127,100 \- $198,575  
Level V
Required Qualifications:* Doctorate degree in psychology, industrial/organizational psychology, engineering, science, or related technical/analytical field and 10\+ years of experience; *or* Master’s degree with 12\+ years, or Bachelor’s degree with 17\+ years of experience.
 D.C. Salary Range: $153,800 \- $240,350
Desired Qualifications:
Desired Expertise* Demonstrated experience in data science, machine learning, statistics, or quantitative analysis, preferably in aviation, engineering, or related technical domains.
* Proficiency with data science tools and programming languages (e.g., Python, R, SQL, TensorFlow, PyTorch, scikit\-learn, Tableau, Power BI).
* Strong understanding of data pipelines, data governance, and analytical model deployment in operational environments.
* Ability to translate complex technical and analytical concepts into actionable insights for diverse stakeholders.
Level I* Experience with technical problem\-solving, system integration, or engineering team support in aviation\-related programs.
Level II* Demonstrated experience leading small technical teams, performing process improvement, and applying engineering/scientific tools to complex problems.
Level III* Experience in advanced technical planning, integration of complex systems, and use of data analysis and test facilities for problem resolution.
Level IV* Proven record of technical leadership, mentorship of junior SMEs, and contributions to program or organizational strategy.
* Experience with large\-scale program integration, advanced modeling, simulation, or laboratory testing.
Level V* Expertise in psychological, organizational, technical, or analytical domains applied to aviation, engineering, or large\-scale program environments.
* Demonstrated leadership in multidisciplinary teams, system\-of\-systems problem solving, and organizational planning.
* Experience applying human factors, industrial/organizational psychology, or advanced analytics to improve performance, safety, and process outcomes.
**\*\*THIS POSITION IS CONTINGENT ON AWARD AND POSITION AVAILABILITY\*\***  
Overview:
Noblis and our wholly owned subsidiaries, Noblis ESI,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*Remote/hybrid status is subject to change based on Noblis and/or government requirements*
Commitment to Non\-Discrimination:
All qualified applicants will receive consideration for employment without regard to race, color, ethnicity, sex, age, national origin, religion, physical or mental disability, pregnancy/childbirth and related medical conditions, veteran or military status, or any other characteristics protected by applicable federal, state, or local law.  
If reasonable accommodation is needed to participate in the job application or interview process, to perform essential job functions, and/or to receive other benefits and privileges of employment, please contact us.
EEO is the Law \| E\-Verify \| Right to Work  
Total Rewards: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Compensation at Noblis is determined by various factors, including but not limited to, the combination of education, certifications, knowledge, skills, competencies, and experience, internal and external equity, location, clearance level, as well as contract\-specific affordability, organizational requirements and applicable employment laws. The projected compensation range for this position is based on full time status. For part time or on\-call staff, compensation is proportionately adjusted based on hours worked. While monetary compensation is important, it's just one component of Noblis’ total compensation package.  
Posted Salary Range: USD $71,800\.00 \- USD $240,350\.00 /Yr.</t>
        </is>
      </c>
    </row>
    <row r="185">
      <c r="A185" t="inlineStr">
        <is>
          <t>in-226a23b735a5daeb</t>
        </is>
      </c>
      <c r="B185" t="inlineStr">
        <is>
          <t>Data Scientist</t>
        </is>
      </c>
      <c r="C185" t="inlineStr">
        <is>
          <t>University of Pittsburgh</t>
        </is>
      </c>
      <c r="D185" t="inlineStr">
        <is>
          <t>indeed</t>
        </is>
      </c>
      <c r="E185">
        <f>HYPERLINK("https://www.indeed.com/viewjob?jk=226a23b735a5daeb", "https://www.indeed.com/viewjob?jk=226a23b735a5daeb")</f>
        <v/>
      </c>
      <c r="F185">
        <f>HYPERLINK("https://cfopitt.taleo.net/careersection/pitt_staff_external/jobdetail.ftl?job=26001049&amp;tz=GMT-06%3A00&amp;tzname=America%2FChicago", "https://cfopitt.taleo.net/careersection/pitt_staff_external/jobdetail.ftl?job=26001049&amp;tz=GMT-06%3A00&amp;tzname=America%2FChicago")</f>
        <v/>
      </c>
      <c r="G185" t="inlineStr">
        <is>
          <t>Pittsburgh, PA, US</t>
        </is>
      </c>
      <c r="H185" s="2" t="n">
        <v>46075</v>
      </c>
      <c r="I185" t="inlineStr">
        <is>
          <t>**Data Scientist**
Med\-Radiology \- Pennsylvania\-Pittsburgh \- (26001049\)  
The University of Pittsburgh Department of Radiology is seeking a full\-time data science professional to support multidisciplinary medical imaging research studies.
**Job Summary**
Organizes and facilitates data collection and conducts statistical analysis of datasets while working across multiple, simultaneous projects. Applies scientific methodology and statistical analyses to implement appropriate methodologies for complex data management and statistical analyses. Facilitates algorithm development, software development, and result interpretation. Assists with grant preparations and staff training. Manipulates datasets and clean data and facilitates quality control procedures to ensure data accuracy.
**Essential Functions**  
The applicant should have a Master’s degree in data science, bioengineering, statistics, computational biology, mathematical biology, information science, neuroscience, or a related discipline with experience and/or a strong interest in developing a biomedical research career. Prior experience working with magnetic resonance (MR) and/or positron emission tomography (PET) neuroimaging data is highly desirable. The applicant is expected to have strong computer and analytical skills and be comfortable using a variety of hardware platforms and specialized software tools.  
Duties include:  
Perform data processing and analyses of multimodal medical image datasets (e.g. structural MRI, fMRI, PET) using established pipelines;
Conduct statistical analyses of medical image outcomes and associated clinical and demographic information;
Perform data management tasks that include: organization, reduction, validation/verification, and quality control;
Support methodology development activities related to novel algorithm development and implementation;
Transmit data and outcomes to internal and external databases using established data portals;  
Communicate results to investigators in a timely fashion;
Assist senior staff and faculty with data interpretation and reporting tasks;
Support grant and manuscript preparation efforts.
Candidate must be comfortable working on multiple projects in parallel, requiring excellent time management and organizational skills. The position requires coordination, execution, and completion of complex tasks that are critical to research outcomes. The position will be a member of an existing data analysis group specializing in multimodality imaging studies involving positron emission tomography (PET) and magnetic resonance imaging (MRI) studies that focus on the human brain in disease.
 **Physical Effort**
Must be able to sit for prolonged periods of time.
 *The University of Pittsburgh is an equal opportunity employer / disability / veteran.*
**Assignment Category** Full\-time regular**Job Classification** Staff.Medical Data Scientist II**Job Family** Research**Job Sub\-Family** Data Science**Campus** Pittsburgh**Minimum Education Level Required** Master's Degree**Minimum Years of Experience Required** 3**Will this position accept substitution in lieu of education or experience?** Combination of education and relevant experience will be considered in lieu of education and/ or experience requirement.**Work Schedule** Monday \- Friday, 8:30 am \- 5:00 pm**Work Arrangement** Remote: Teams working from different locations (off\-campus).**Hiring Range** TBD Based Upon Qualifications**Relocation Offered** Yes**Visa Sponsorship Provided** No**Background Check** For position finalists, employment with the University will require successful completion of a background check**Child Protection Clearances** Not Applicable**Required Documents** Resume**Optional Documents** Not Applicable</t>
        </is>
      </c>
    </row>
    <row r="186">
      <c r="A186" t="inlineStr">
        <is>
          <t>in-40dc0a5a5fb3a925</t>
        </is>
      </c>
      <c r="B186" t="inlineStr">
        <is>
          <t>Senior Marketing Data Scientist – Gaming Analytics</t>
        </is>
      </c>
      <c r="C186" t="inlineStr">
        <is>
          <t>Blueprint Technologies</t>
        </is>
      </c>
      <c r="D186" t="inlineStr">
        <is>
          <t>indeed</t>
        </is>
      </c>
      <c r="E186">
        <f>HYPERLINK("https://www.indeed.com/viewjob?jk=40dc0a5a5fb3a925", "https://www.indeed.com/viewjob?jk=40dc0a5a5fb3a925")</f>
        <v/>
      </c>
      <c r="F186">
        <f>HYPERLINK("https://grnh.se/s2o573951us", "https://grnh.se/s2o573951us")</f>
        <v/>
      </c>
      <c r="G186" t="inlineStr">
        <is>
          <t>Redmond, WA, US</t>
        </is>
      </c>
      <c r="H186" s="2" t="n">
        <v>46075</v>
      </c>
      <c r="I186"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**Data Scientist – Player Lifecycle Marketing (Hybrid – Redmond, WA)**
**In This Role**
In this role, you will drive actionable insights that inform Player Lifecycle Marketing strategy for a large AAA gaming studio. You will partner closely with marketing, product, and engineering teams to ensure a strong data pipeline from database to reporting. You will analyze marketing A/B test results, evaluate evergreen campaign performance, and develop data\-driven recommendations to optimize player engagement, retention, and post\-sale monetization.
You will transform complex analyses into clear, executive\-ready narratives that connect campaign activity to measurable business outcomes — answering: What happened? Why? So what? What should we do next?
This is a highly visible role within a well\-known gaming franchise, offering the opportunity to influence major business decisions.
**Responsibilities**
* Perform data exploration, profiling, and proof\-of\-concept table creation to support engineering partners in improving the production data environment
* Maintain and enhance Power BI dashboards to help stakeholders understand campaign\-level and lifecycle performance impact
* Build and maintain causal inference frameworks and pipelines
* Analyze marketing A/B test results and evergreen campaigns to identify statistically significant impact
* Provide data\-driven recommendations to optimize player engagement, retention, and monetization
* Develop prioritized action plans with clear expected business impact
* Synthesize insights into compelling narratives that connect player behavior changes to business outcomes
* Create executive\-ready readouts including presentation decks, annotated dashboards, and written summaries
* Build and socialize lifecycle funnel frameworks to create shared understanding across stakeholders
* Clearly communicate assumptions, limitations, and confidence levels in analysis
* Collaborate with marketing, product managers, and engineering to define success metrics and measurement plans
* Provide concise and consistent cross\-functional communication
* Recommend future experiments and testing roadmap additions
**Qualifications (Required)**
* 7\+ years of overall experience in data science, analytics, or related field
* 5\+ years of hands\-on SQL experience
* 5\+ years of Python experience
* 5\+ years presenting data insights to stakeholders (technical and non\-technical audiences)
* 3\+ years building dashboards (Power BI preferred)
* 5\+ years in data analytics including data profiling and table creation
* Strong experience analyzing marketing campaigns and experimentation results
* Experience identifying statistically significant campaign impact
* Strong data visualization skills with ability to create decision\-ready outputs
* Ability to translate complex analyses into business insights and clear recommendations
* Excellent written and verbal communication skills
* Ability to work in fast\-paced, cross\-functional environments
**Preferred Qualifications**
* Experience in gaming industry
* Experience with lifecycle or performance marketing analytics
* Experience building causal inference frameworks
* Familiarity with SparkSQL, Databricks, or Azure Data Explorer
* Experience with marketing platforms such as Braze, Salesforce, or CleverTap
* Familiarity with PySpark
* Experience working with large\-scale production data environments
* Strong storytelling ability connecting data insight action
* Interest in gaming and player behavior analytics
**Salary Range**
At Blueprint, we strive to offer competitive pay that reflects the value of our team members. Compensation for this role is influenced by a variety of factors, including skills, education, responsibilities, experience, and geographic market. For candidates based in Washington State, the anticipated salary range is **$140,000 to $150,000 per annum**. Please note that we typically do not hire new employees at the top of the posted range. Actual starting pay will be determined based on experience, skills, and internal equity. The final salary and job title may vary depending on the selected candidate's qualifications and could fall outside the stated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 Medical, dental, and vision coverage
* Flexible Spending Account
* 401k program
* Competitive PTO offerings
* Parental Leave
* Opportunities for professional growth and development
**Location:** Hybrid, Redmond, WA</t>
        </is>
      </c>
    </row>
    <row r="187">
      <c r="A187" t="inlineStr">
        <is>
          <t>in-ab7a89414dbc28a7</t>
        </is>
      </c>
      <c r="B187" t="inlineStr">
        <is>
          <t>Staff Data Scientist, Ad Measurement Products</t>
        </is>
      </c>
      <c r="C187" t="inlineStr">
        <is>
          <t>Pinterest</t>
        </is>
      </c>
      <c r="D187" t="inlineStr">
        <is>
          <t>indeed</t>
        </is>
      </c>
      <c r="E187">
        <f>HYPERLINK("https://www.indeed.com/viewjob?jk=ab7a89414dbc28a7", "https://www.indeed.com/viewjob?jk=ab7a89414dbc28a7")</f>
        <v/>
      </c>
      <c r="F187">
        <f>HYPERLINK("https://grnh.se/c65258a41us", "https://grnh.se/c65258a41us")</f>
        <v/>
      </c>
      <c r="G187" t="inlineStr">
        <is>
          <t>San Francisco, CA, US</t>
        </is>
      </c>
      <c r="H187" s="2" t="n">
        <v>46075</v>
      </c>
      <c r="I187"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We're looking for a Staff Data Scientist to lead the science behind how advertisers understand the impact of their investment on Pinterest through first and third party measurement products. You'll push the boundaries of ads measurement, advancing our approaches to causal inference and incrementality and partner closely with Product and Engineering, as well as represent Pinterest science externally with customers and partners.
**What you'll do:**
* Own the development of measurement methodologies that help advertisers understand and optimize the value of their Pinterest campaigns across the full ads delivery funnel.
* Design, implement, and validate advanced causal inference methods for incrementality and lift measurement.
* Ensure scientific rigor in our measurement products by anticipating and mitigating risks such as bias, imbalance, and under\-power.
* Influence Ads Product \&amp; Engineering to define the measurement roadmap and integrate science solutions into products and platforms.
* Collaborate with internal and external measurement partners (e.g., clean rooms, conversion APIs, MMM partners, MTA vendors) to design and evaluate joint solutions.
* Define and own key success metrics for 1P measurement products; build tools and frameworks that enable teams and advertisers to make better decisions.
* Provide technical leadership and mentorship to other data scientists and analysts, elevating measurement rigor and impact across the org.
* Clearly communicate complex concepts and tradeoffs to executives, cross\-functional stakeholders, and external customers.
**What we're looking for:**
* 8\+ years of combined post\-graduate academic and industry experience applying scientific methods to solve real\-world problems on web\-scale data.
* 5\+ years in ads measurement with a strong focus on ad effectiveness and incrementality (e.g., conversion lift, brand lift, budget\-split testing, matched\-market tests, MMM, MTA).
* Proficiency in SQL and expertise in at least one scripting language (ideally Python or R).
* Strong business and product sense, with a track record of turning ambiguous questions into well\-defined analyses or success metrics and driving decisions that balance scientific rigor and business value.
* Demonstrated leadership of key technical projects and meaningful influence on the work of other data scientists, particularly junior and senior peers.
* Excellent communication skills and experience leading initiatives across multiple product areas and partnering with leadership and cross\-functional teams.
* Bachelor's/Master's degree in a relevant field such as Computer Science, or equivalent experience.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 times per week and therefore needs to be in a commutable distance from one of the following offices San Francisco, Palo Alto, or Seattle.
**Relocation Statement:**
* This position is not eligible for relocation assistance. Visit our PinFlex page to learn more about our working model.
\#LI\-NM4
\#LI\-REMOTE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88">
      <c r="A188" t="inlineStr">
        <is>
          <t>in-40b30fc35291d092</t>
        </is>
      </c>
      <c r="B188" t="inlineStr">
        <is>
          <t>Senior Data Scientist</t>
        </is>
      </c>
      <c r="C188" t="inlineStr">
        <is>
          <t>Merz Aesthetics</t>
        </is>
      </c>
      <c r="D188" t="inlineStr">
        <is>
          <t>indeed</t>
        </is>
      </c>
      <c r="E188">
        <f>HYPERLINK("https://www.indeed.com/viewjob?jk=40b30fc35291d092", "https://www.indeed.com/viewjob?jk=40b30fc35291d092")</f>
        <v/>
      </c>
      <c r="F188">
        <f>HYPERLINK("https://careers.merzaesthetics.com/us/en/job/SENIO004540/Senior-Data-Scientist", "https://careers.merzaesthetics.com/us/en/job/SENIO004540/Senior-Data-Scientist")</f>
        <v/>
      </c>
      <c r="G188" t="inlineStr">
        <is>
          <t>Racine, WI, US</t>
        </is>
      </c>
      <c r="H188" s="2" t="n">
        <v>46075</v>
      </c>
      <c r="I188" t="inlineStr">
        <is>
          <t>Senior Data Scientist
Location
Racine, WI, USA
Category
Other
Job Id
SENIO004540
Job Type
Full Time
Posted Date
 02/23/2026
About Us
Founded in 1908, Merz is a successful, family\-owned specialty healthcare company with a rich history. As a leading global aesthetics business, our award\-winning portfolio of injectables, devices, and skincare products empowers healthcare professionals to enhance confidence through aesthetic medicine. Our purpose is to fuel confidence by helping people look better, feel better, and live better. We believe you do not have to choose between living life and making a living. Live your best life with Merz Aesthetics.
A Brief Overview
This role serves as the organization's first dedicated data scientist for manufacturing analytics and the Unified Namespace (UNS). The role is responsible for establishing a scalable analytics foundation, harmonizing data across operational and enterprise systems, developing robust data models, delivering high value KPIs and dashboards, and continuously enhancing data quality, speed, and compliance within a regulated environment.
What You Will Do
* UNS Management Own and advance the UNS to deliver a centralized, structured, real\-time and historical view of operational data,define and maintain canonical data models, naming conventions, and data standards across OT and enterprise systems, andensure consistency in data lineage, metadata, and contextualization across HMI/PLC, SCADA, MES, QMS, ERP, and complaints systems.
* Data Modeling and Analytics Develop and maintain semantic and analytical data models, build production\-quality KPI dashboards for common operational concepts such as OEE, yield, scrap, cycle time, etc.,anddevelop and maintain dashboards presenting real\-time visualization of on\-going manufacturing operations.
* Data Quality \&amp; Governance Implement data quality checks, data contracts, and ongoing monitoring frameworks, andcollaborate with Quality and Regulatory teams to ensure adherence to GxP data integrity principles (ALCOA\+), audit trails, CSV/GAMP 5, 21 CFR Part 11/820, and ISO 13485 requirements.
* Cross\-Functional Analytics Enablement Translate business, operations, and quality challenges or requirements into actionable analytics solutions,develop self\-service semantic layers to empower business users with trusted, curated data, and identify and recommend new data sources, sensors, and integration patterns to close information gaps.
* Tooling, Standards, \&amp; Acceleration Build and maintain a practical analytics toolkit, including versioned notebooks, templates, and a governed metrics layer andpartner with data engineering to contribute to CI/CD practices.
Minimum Requirements
* Bachelor's Degree Data Science
* Bachelor's Degree Computer Science
* 5\+ years Analytics, data science, or advanced analytics engineering, including at least 2 years in manufacturing, OT/IIoT, or regulated environments.
* 3\-5 years Practical expertise with: UNS/IIoT frameworks (AMQP, OPC UA), including contextualization of HMI/PLC/SCADA/MES data. Data modeling techniques (Kimball/Dimensional), SQL, Python, and BI platforms (Power BI/Tableau). Data quality, governance, lineage, cataloging, and metric definitions.
* 3\-5 years Knowledge of GxP/CSV, ALCOA\+, and regulated analytics delivery requirements.
Preferred Qualifications
* Working with PLC, MES, QMS, and ERP data sources.
* Working with Ignition, Litmus, and Fuuz.
* Developing, fine tuning, or prompt engineering large language models (e.g., Claude, Copilot) for domain specific tasks.
* Hands on experience with model evaluation frameworks (e.g., prompt testing, hallucination detection, benchmark scoring, adversarial testing).
Technical \&amp; Functional Skills
* SQL and Python for analytics, data preparation, and automation
* Dimensional modeling (Kimball), star/snowflake schemas
* Semantic model development for BI and self service analytics
* Contextualization of HMI/PLC/SCADA/MES data
* Time series analysis and historian integration
* Statistical analysis, SPC, MSA
* Predictive modeling and forecasting
* Data contracts, lineage, cataloging, and metadata management
* Automated data quality rules and monitoring
* In\-depth knowledge of the above mentioned skills \&amp; capability to apply best practices and integrate business knowledge with the own area
* Strategic thinking \&amp; ability to solve complex problems by applying new perspective
* Ability to explain difficult and/or sensitive information in a clear and structured way \&amp; adapt communication style to different audiences
* Good MS Office package skills \&amp; familiarity with the most common AV technology
Benefits:
* Comprehensive Medical, Dental, and Vision plans
* 20 days of Paid Time Off
* 15 paid holidays
* Paid Sick Leave
* Paid Parental Leave
* 401(k)
* Employee bonuses
* And more!
 Your benefits and PTO start the date you're hired with no waiting period!
This position is not eligible for employer\-sponsored work authorization. Applicants must be legally authorized to work in the United States without the need for current or future employer\-sponsored work authorization.</t>
        </is>
      </c>
    </row>
    <row r="189">
      <c r="A189" t="inlineStr">
        <is>
          <t>in-b3dd767ef178f41a</t>
        </is>
      </c>
      <c r="B189" t="inlineStr">
        <is>
          <t>Principal Data Scientist</t>
        </is>
      </c>
      <c r="C189" t="inlineStr">
        <is>
          <t>Devoted Health</t>
        </is>
      </c>
      <c r="D189" t="inlineStr">
        <is>
          <t>indeed</t>
        </is>
      </c>
      <c r="E189">
        <f>HYPERLINK("https://www.indeed.com/viewjob?jk=b3dd767ef178f41a", "https://www.indeed.com/viewjob?jk=b3dd767ef178f41a")</f>
        <v/>
      </c>
      <c r="F189">
        <f>HYPERLINK("https://devoted.wd1.myworkdayjobs.com/en-US/Devoted/job/Remote-USA/Principal-Data-Scientist_R2915", "https://devoted.wd1.myworkdayjobs.com/en-US/Devoted/job/Remote-USA/Principal-Data-Scientist_R2915")</f>
        <v/>
      </c>
      <c r="G189" t="inlineStr">
        <is>
          <t>Remote, US</t>
        </is>
      </c>
      <c r="H189" s="2" t="n">
        <v>46075</v>
      </c>
      <c r="I189" t="inlineStr">
        <is>
          <t>Job Description*A bit about this role:*
As a Principal Data Scientist, you will serve as a senior analytical partner embedded within one of the most complex operational systems at Devoted: how we make and measure claim decisions at scale.
You will work across Claims, Product, Engineering, and Operations to define ambiguous problems, determine what “good” looks like, and design the data systems that help us get there. This includes shaping how we measure decision quality, operational performance, payment accuracy, and provider experience across the full lifecycle of a claim.
You will combine deep technical skill, structured problem solving, and cross\-functional partnership to turn messy operational challenges into clear, measurable, scalable solutions.
We are eager to find problem\-solvers who iterate quickly, embrace ambiguity, and are deeply committed to our mission. You care about building strong technical foundations that enable real impact for our members and colleagues. You’re excited by the evolving AI landscape, but grounded in fundamentals, treating AI and LLMs as powerful tools to accelerate problem\-solving, not a replacement for clear thinking or strong data models.
In this role, you will:* Frame ambiguous problems, define what success looks like, and translate business challenges into measurable analytical strategies.
* Own and evolve scalable data models, pipelines, and core metrics that serve as the long\-term foundations for claim decision quality and operational performance.
* Build and iterate on analytical and modeling solutions, shipping quickly, learning from real\-world feedback, and refining systems to drive measurable impact.
* Leverage emerging ML/AI tools thoughtfully, integrating them into production workflows where they add leverage, grounded in strong data fundamentals and clear business outcomes.
What makes someone successful here:* You have deep experience partnering with stakeholders across an organization to solve complex problems
* You are comfortable defining both the question and the measurement approach
* You can move fluidly between SQL, modeling, experimentation, and strategic conversations
* You enjoy building durable systems, not just running one\-off analyses
* You are coachable, collaborative, and excited by hard problems
Required skills and experience:* Ability to thrive in a fast\-paced, high\-growth environment that values quick iteration
* 7\+ years of individual technical contributor experience
* Strong SQL and experience working in modern data ecosystems (Snowflake, dbt, Python, Looker or similar)
* Skilled at collaborating with cross\-functional teams and influencing decisions with data\-driven insights
* Comfort building scalable, maintainable data pipelines and performing deep statistical analysis, predictive modeling, or experimental design to drive business strategy.
*Desired skills and experience:** Experience in healthcare, insurance, fintech, or other complex operational domains
* Familiarity with claims data or regulated environments
* Comfort performing live analysis or collaborative debugging with stakeholders
* Experience incorporating ML or AI tools into operational workflows  
*Salary range:* $128,057\- $187, 083 annually plus eligibility for discretionary performance based bonus paid out annually. Target bonus is 10% however the actual payout is based on the terms of the bonus plan. The total compensation for this role is: $140,862\-$205,791 (base plus bonus)  
\#LI\-remote
The pay range listed for this position is the range the organization reasonably and in good faith expects to pay for this position at the time of the posting. Once the interview process begins, your talent partner will provide additional information on the compensation for the role, along with additional information on our total rewards package. The actual base salary offered will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Our Total Rewards package includes:* Employer sponsored health, dental and vision plan with low or no premium
* Generous paid time off
* $100 monthly mobile or internet stipend
* Stock options for all employees
* Bonus eligibility for all roles excluding Director and above; Commission eligibility for Sales roles
* Parental leave program
* 401K program
* And more....
* *Our total rewards package is for full time employees only. Intern and Contract positions are not eligible.*
Healthcare equality is at the center of Devoted’s mission to treat our members like family. We are committed to a diverse and vibrant workforce.
At Devoted Health, we’re on a mission to dramatically improve the health and well\-being of older Americans by caring for every person like family. That’s why we’re gathering smart, diverse, and big\-hearted people to create a new kind of all\-in\-one healthcare company — one that combines compassion, health insurance, clinical care, service, and technology \- to deliver a complete and integrated healthcare solution that delivers high quality care that everyone would want for someone they love. Founded in 2017, we've grown fast and now serve members across the United States. And we've just started. So join us on this mission!
Devoted is an equal opportunity employer. We are committed to a safe and supportive work environment in which all employees have the opportunity to participate and contribute to the success of the business. We value diversity and collaboration. Individuals are respected for their skills, experience, and unique perspectives. This commitment is embodied in Devoted’s Code of Conduct, our company values and the way we do business.
As an Equal Opportunity Employer, the Company does not discriminate on the basis of race, color, religion, sex, pregnancy status, marital status, national origin, disability, age, sexual orientation, veteran status, genetic information, gender identity, gender expression, or any other factor prohibited by law. Our management team is dedicated to this policy with respect to recruitment, hiring, placement, promotion, transfer, training, compensation, benefits, employee activities and general treatment during employment.
We have been made aware of instances of fraudulent job postings and/or fraudulent recruiting activity by individuals purporting to represent Devoted Health. These fraudulent schemes often seek monetary contributions or payments from job seekers (such as for “start up costs” or “equipment”), or seek to collect sensitive personal information. These job postings and offers are NOT authorized by Devoted Health and Devoted is not responsible for fraudulent offers, personal information that you may have disclosed, or payments made to third parties purporting to represent Devoted. We have reported this matter and are cooperating with law enforcement agencies. Devoted Health will never ask for financial commitment or contribution from a candidate at any stage of the recruitment process.</t>
        </is>
      </c>
    </row>
    <row r="190">
      <c r="A190" t="inlineStr">
        <is>
          <t>in-3864a6184f75f831</t>
        </is>
      </c>
      <c r="B190" t="inlineStr">
        <is>
          <t>Data Visualization Specialist /ERP Data Scientist</t>
        </is>
      </c>
      <c r="C190" t="inlineStr">
        <is>
          <t>CGI</t>
        </is>
      </c>
      <c r="D190" t="inlineStr">
        <is>
          <t>indeed</t>
        </is>
      </c>
      <c r="E190">
        <f>HYPERLINK("https://www.indeed.com/viewjob?jk=3864a6184f75f831", "https://www.indeed.com/viewjob?jk=3864a6184f75f831")</f>
        <v/>
      </c>
      <c r="F190">
        <f>HYPERLINK("https://click.appcast.io/t/oByEgCisfCvK2BqvYYvvVlGuWVqky8bWbHoxDCgZ5j4=", "https://click.appcast.io/t/oByEgCisfCvK2BqvYYvvVlGuWVqky8bWbHoxDCgZ5j4=")</f>
        <v/>
      </c>
      <c r="G190" t="inlineStr">
        <is>
          <t>Arlington, VA, US</t>
        </is>
      </c>
      <c r="H190" s="2" t="n">
        <v>46075</v>
      </c>
      <c r="I190" t="inlineStr">
        <is>
          <t>**Position Description:**
-------------------------
We are seeking a Data Visualization Specialist who is passionate about solving challenging client problems with emerging technology solutions. As a CGI Data Visualization Specialist, you will be joining the International Affairs (IAF) group to support the mission of U.S. security, economic well\-being, and worldwide relations. Working with various clients in the US federal space, IAF supports missions that foster national security, foreign relations and resilient democratic societies. Since 1976, CGI has partnered with the U.S. federal government to support a wide variety of organizations and unique missions building solutions that support clients around the world.  
This position is located in Arlington, VA.
**Your future duties and responsibilities:**
--------------------------------------------
. Apply problem\-solving skills to modernize overall Business Intelligence technology solutions that will directly impact client missions.  
. Provide a level of expertise in Visualizations with PowerBI.  
. Be able to create dashboards and present data in a way that makes it visually appealing to the customer to promote customer adoption
**Required qualifications to be successful in this role:**
----------------------------------------------------------
An interim Secret clearance is required to begin working onsite with our client, and a Secret clearance must be maintained throughout the project duration. Due to the nature of the government contract requirements and/or clearance requirements, US citizenship is required.  
. Bachelor's degree or Master's degree in Business, Computer Science, Mathematics or STEM related discipline.  
. 3\-4 years' experience in Data Technology experience to include BI tools, methodologies, and/or responsibilities  
. Experience in design or development experience with visual analytics tools including PowerBI  
. Experience in visualization design experience to include dashboards, executive briefings, or front\-end visualizations  
. Excellent communication and interpersonal skills  
. Proven ability to work creatively and analytically in a problem\-solving environment as a part of an agile/client facing team  
. Experience creating data models and using statistical tools  
Desired qualifications/non\-essential skills required:  
. Functional Experience in Acquisitions (Procurement) Data  
. Experience with Momentum ERP Tables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$79,600\.00 \- $194,000\.00\.  
CGI Federal's benefits are offered to eligible professionals on their first day of employment to include:
.Competitive compensation  
.Comprehensive insurance options  
.Matching contributions through the 401(k) plan and the share purchase plan  
.Paid time off for vacation, holidays, and sick time  
.Paid parental leave  
.Learning opportunities and tuition assistance  
.Wellness and Well\-being programs  
\#CGIFederalJob  
\#LI\-KK4  
**Skills:**
-----------
* Business Process Consulting
* Business Strategy
* IT Strategy
**What you can expect from us:**
--------------------------------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191">
      <c r="A191" t="inlineStr">
        <is>
          <t>in-2ae3389e17a7f4d6</t>
        </is>
      </c>
      <c r="B191" t="inlineStr">
        <is>
          <t>Data Scientist</t>
        </is>
      </c>
      <c r="C191" t="inlineStr">
        <is>
          <t>Indeed</t>
        </is>
      </c>
      <c r="D191" t="inlineStr">
        <is>
          <t>indeed</t>
        </is>
      </c>
      <c r="E191">
        <f>HYPERLINK("https://www.indeed.com/viewjob?jk=2ae3389e17a7f4d6", "https://www.indeed.com/viewjob?jk=2ae3389e17a7f4d6")</f>
        <v/>
      </c>
      <c r="F191">
        <f>HYPERLINK("https://careers-indeed.icims.com/jobs/46632/job", "https://careers-indeed.icims.com/jobs/46632/job")</f>
        <v/>
      </c>
      <c r="G191" t="inlineStr">
        <is>
          <t>Austin, TX, US</t>
        </is>
      </c>
      <c r="H191" s="2" t="n">
        <v>46075</v>
      </c>
      <c r="I191" t="inlineStr">
        <is>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Drive a deep and complete understanding of our users through the application of a mix of machine learning, statistics, and analytics skills. Use data to track, understand, and improve user performance and translate that into strategic insights and recommendations. Assist the Community and Identity Foundation team with data analysis and aid in making data\-informed prioritization decisions. Work on Glassbowl dashboard creation and maintenance: Building and maintaining a dashboard to track key metrics and provide insights on user engagement and retention for the Glassbowl product. Content Coverage between Fishbowl and Glassdoor: Conducting an analysis to compare the content coverage between Fishbowl and Glassdoor and providing recommendations on user cohort to target. Maintain Key metric report for Sr Execs for weekly: Creating and maintaining a report for senior executives that tracks key metrics such as user engagement and revenue, and providing analysis and insights on a weekly basis. Improve user engagement and retention through data\-driven decision making. Increase the efficiency and effectiveness of the Community and Identity Foundation team. Identify new opportunities for user acquisition through data analysis.  
Telecommute permitted from anywhere in the United States.  
Responsibilities  
Minimum Job Requirements:  
Master’s Degree or foreign degree equivalent in Data Science, Statistics, Applied Mathematics, Computer Science, Business Analytics, Business Intelligence or related field.  
One (1\) year of experience in the job offered or in a Data Scientist\-related occupation.  
Position requires one (1\) year of experience in the following skills:  
1\. Statistical Analysis Methods such as Experimentation, A/B Testing, Designing, conducting, interpreting A/B tests for product analytics, Statistical Analysis Techniques, Statistical tests or distributions;  
2\. Programming Languages such as: Python or R for data manipulation or analysis;  
3\. Machine Learning Algorithms such as k\-NN, Naive Bayes, SVM, or Decision Forests;  
4\. Tools for data preprocessing and cleaning;  
5\. SQL for complex database queries or data extraction;  
6\. Hadoop, Spark, or similar technologies for handling large datasets;  
7\. Tools like Tableau or Power BI; and  
8\. Libraries like Matplotlib or Seaborn.  
Multiple positions available.  
Salary Range Transparency  
Salary Range: $102,400\-$153,600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Benefits \- Health, Work/Life Harmony, \&amp; Wellbeing  
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12 paid holidays a year and up to 26 weeks of paid parental leave. For more information, select your country and learn more about our employee benefits, program, \&amp; perks at https://www.indeed.com/careers/benefits!  
Equal Opportunities and Accommodations Statement  
Indeed is deeply committed to building a workplace and global community where inclusion is not only valued, but prioritized. We’re proud to be an Equal Employment and Affirmative Action employer seeking to create a welcoming and inclusive environment. All qualified applicants will receive consideration for employment without regard to disability, status as a protected veteran, or any other non\-merit based or legally protected grounds.  
Indeed is dedicated to providing reasonable accommodations to qualified individuals with known disabilities to participate in the employment application process. To learn more about requesting an accommodation, please visit https://www.indeed.com/careers/accommodations. In the request for an accommodation, please inform us of the nature of your request and your contact information. If you are requesting accommodation for an interview, please reach out at least one week in advance of your interview.  
For more information about our commitment to equal opportunity/affirmative action, please visit our ESG home page (https://www.indeed.com/esg?co\=US).  
Inclusion \&amp; Belonging  
Inclusion and belonging are fundamental to our hiring practices and company culture, forming an integral part of our vision for a better world of work. At Indeed, we’re committed to the wellbeing of our employees and on a mission to make this the best place to work and thrive. We believe that fostering an inclusive environment where every employee feels respected and accepted benefits everyone, fueling innovation and creativity.  
We value diverse experiences, including those who have had prior contact with the criminal legal system. We are committed to providing individuals with criminal records, including formerly incarcerated individuals, a fair chance at employment.  
Indeed’s Employee Recruiting Privacy Policy  
Like other employers Indeed uses our own technologies to help us find and attract top talent from around the world. In addition to our site’s user and privacy policy found at https://www.indeed.com/legal, we also want to make you aware of our recruitment specific privacy policy found at https://www.indeed.com/legal/indeed\-jobs.  
Agency Disclaimer  
Indeed does not pay placement fees for unsolicited resumes or referrals from non\-candidates, including search firms, staffing agencies, professional recruiters, fee\-based referral services, and recruiting agencies (each individually, an "Agency"), subject to local laws. An Agency seeking a placement fee must obtain advance written approval from Indeed's internal Talent Acquisition team and execute a fee agreement with Indeed for each job opening before making a referral or submitting a resume for that opening.  
Reference ID: 46632  
The deadline to apply to this position is March 31st, 2026\.  
\#IND123  
Reference ID: 46632  
Work Location: Remote</t>
        </is>
      </c>
    </row>
    <row r="192">
      <c r="A192" t="inlineStr">
        <is>
          <t>in-5e3deece6d4fe9e7</t>
        </is>
      </c>
      <c r="B192" t="inlineStr">
        <is>
          <t>Senior Principal Scientist, R&amp;D – Analytical Data Scientist</t>
        </is>
      </c>
      <c r="C192" t="inlineStr">
        <is>
          <t>Kraft Heinz</t>
        </is>
      </c>
      <c r="D192" t="inlineStr">
        <is>
          <t>indeed</t>
        </is>
      </c>
      <c r="E192">
        <f>HYPERLINK("https://www.indeed.com/viewjob?jk=5e3deece6d4fe9e7", "https://www.indeed.com/viewjob?jk=5e3deece6d4fe9e7")</f>
        <v/>
      </c>
      <c r="F192">
        <f>HYPERLINK("https://jobs.kraftheinz.com/careers/job/1970324837284134", "https://jobs.kraftheinz.com/careers/job/1970324837284134")</f>
        <v/>
      </c>
      <c r="G192" t="inlineStr">
        <is>
          <t>Glenview, IL, US</t>
        </is>
      </c>
      <c r="H192" s="2" t="n">
        <v>46075</v>
      </c>
      <c r="I192" t="inlineStr">
        <is>
          <t>**Job Description**
-------------------
**Senior Principal Scientist, R\&amp;D – Analytical Sciences**
**ABOUT**
This Senior Principal Scientist position in Analytical Sciences is located at our Glenview, IL Kraft Heinz Innovation Center. This is an ideal opportunity for a scientist passionate about leading the design of experiments, root cause analysis studies, and kinetics studies encompassing, but not limited to, product quality, packaging and shelf\-life testing. This position will also serve as the SME for analytical (example: linking chemistry and sensory) data processing, analysis and modelling to elucidate key business insights by leveraging advanced data application software, AI technology and statistical principles for R\&amp;D and field\-to\-shelf business decisions. The position emphasizes cross\-functional holistic problem solving with R\&amp;D, Product Development, Quality, Operations and Factory personnel to identify needs and develop competitive\-edge capabilities advancing KH agenda for a wide range of leading food products.
**RELATIONSHIPS (EXTERNAL AND INTERNAL):**
* Will collaborate with internal clients including R\&amp;D, Product Development, Quality, Operations and Factory personnel.
* Will collaborate and represent KHC well when working with external professionals from accredited consortiums and universities
* Will interact with instrument and software vendors, ingredient suppliers, co\-manufacturing facilities and external lab partners.
**QUALIFICATION REQUIREMENTS:**
* Highly skilled in design of experiment for complex food systems using techniques like Full Factorial, Fractional Factorial and Response Surface Methodologies.
* Apply statistical models with examples like Minitab, SAS, R, Python and MATLAB to food kinetic data to predict changes in quality and optimize processes
* Deep knowledge around the fundamentals of kinetics such as substance structure\-function, food matrix mechanisms and rates of reactions in the areas of enzymatic browning, lipid oxidation, discoloration, fermentation, packaging interactions and others.
* Process and interpret data for R\&amp;D and cross\-functional projects effectively using approaches such as PCA, PLS and regression tree
* Translate complex data or large data set into effective data visualization and presentation using Tableau or other data visualization tools to deliver business insights to peers, senior leaders and stakeholders.
* Track record of leading modelling and simulation in other food companies and/or beyond food like the medical field.
* Set up strategy on predictive modelling and simulation; leading complex, cross\-functional R\&amp;D projects that will build product categories fundamental know how in an agile way; improving product package superiority within core brands
* Assume full leadership in the space of Modelling and Simulation. This role will interact with R\&amp;D scientists, legal, finance, plant, KHC leadership team as well as external research institutions.
* Demonstrate advanced analytical skills and hands\-on experience using cutting\-edge instrumentations such GC\-MS and LC\-MS. This involves expertise in the entire workflow, from sample preparation and data acquisition to processing, statistical analysis, and compound characterization in complex food systems.
* Apply analytical science knowledge and experience in both hypothesis validation (targeted) and discovery\-driven analysis (untargeted).
**· Preferred qualifications include**
1\) the experience to integrate multidisciplinary data such as microbiology, chemistry, physics, sensory, o\-mics (metabolomics, glycomics, proteomics, and lipidomics) to draw big picture conclusions critical to elevate R\&amp;D
2\) working knowledge of food manufacturing and packaging
* Demonstrate critical thinking skills
* Communicate effectively and openly while working in a cross\-functional team
* Must be a self\-starter and resourceful
* Must be organized, process orientated
* Independently and collaboratively executing innovation, cost saving, process and product improvements throughout KH portfolio.
* Identifying opportunities for competitive market advantage, which could include AI technologies, new cost saving solutions or process enhancements.
* Provide consultation and technical oversight to ensure that an appropriate level of technical knowledge and discipline are being applied and utilized.
* The successful candidate will directly or indirectly supervise technical professionals in assigned areas, while maintaining responsibility for own projects.
* The candidate will have significant impact on direction and quality of work done by other senior technical people.
Education and Experience:
* M.S in Food Science, Chemistry, Biology, Engineering, or related fields with minimum of 10 years of relevant experience or PhD in the above fields with minimum 8 years of relevant experience
* Preferred: License or Certificate or Additional Degree in the area of Statistics, Data Modelling and Analytical Science. Track record of leading modelling and simulation in other food companies and/or beyond food like the medical field.
* Excellent organizational, interpersonal \&amp; project management skills.
* Excellent written and verbal communication skills.
* TRAVEL: 0\-20%
Our Total Rewards philosophy is to provide a meaningful and flexible spectrum of programs that equitably support our diverse workforce and their families and complement Kraft Heinz’ strategy and values.
**New Hire Base Salary Range:**
$118,400\.00 \- $148,000\.00
**Bonus:** This position is eligible for a performance\-based bonus as provided by the plan terms and governing documents.
*The compensation offered will take into account internal equity and may vary depending on the candidate's geographic region, job\-related knowledge, skills, and experience among other factors*
**Benefits:** Coverage for employees (and their eligible dependents) through affordable access to healthcare, protection, and saving for the future, we offer plans tailored to meet you and your family’s needs. Coverage for benefits will be in accordance with the terms and conditions of the applicable plans and associated governing plan documents.
**Wellbeing:** We offer events, resources, and learning opportunities that inspire a physical, social, emotional, and financial well\-being lifestyle for our employees and their families.
You’ll be able to participate in a variety of benefits and wellbeing programs that may vary by role, country, region, union status, and other employment status factors, for example:
* Physical \- Medical, Prescription Drug, Dental, Vision, Screenings/Assessments
* Social \- Paid Time Off, Company Holidays, Leave of Absence, Flexible Work Arrangements, Recognition, Training
* Emotional – Employee Assistance Program , Wellbeing Programs, Family Support Programs
* Financial – 401k, Life, Accidental Death \&amp; Dismemberment, Disability
**Location(s)**
Glenview R\&amp;D Center  
**Kraft Heinz is an Equal Opportunity Employer – Underrepresented Ethnic Minority** **Groups/Women/Veterans/Individuals** **with Disabilities/Sexual Orientation/Gender Identity and other protected classes.** **In order to ensure reasonable accommodation for protected individuals, applicants that require accommodation in the job application process may contact** NAZTAOps@kraftheinz.com **for assistance.**</t>
        </is>
      </c>
    </row>
    <row r="193">
      <c r="A193" t="inlineStr">
        <is>
          <t>in-0d85ec88c21eba2c</t>
        </is>
      </c>
      <c r="B193" t="inlineStr">
        <is>
          <t>Data Scientist/AI Trainer</t>
        </is>
      </c>
      <c r="C193" t="inlineStr">
        <is>
          <t>Five9</t>
        </is>
      </c>
      <c r="D193" t="inlineStr">
        <is>
          <t>indeed</t>
        </is>
      </c>
      <c r="E193">
        <f>HYPERLINK("https://www.indeed.com/viewjob?jk=0d85ec88c21eba2c", "https://www.indeed.com/viewjob?jk=0d85ec88c21eba2c")</f>
        <v/>
      </c>
      <c r="F193">
        <f>HYPERLINK("https://grnh.se/25evr8bt4us", "https://grnh.se/25evr8bt4us")</f>
        <v/>
      </c>
      <c r="G193" t="inlineStr">
        <is>
          <t>Remote, US</t>
        </is>
      </c>
      <c r="H193" s="2" t="n">
        <v>46075</v>
      </c>
      <c r="I193" t="inlineStr">
        <is>
          <t>Join us in bringing joy to customer experience. Five9 is a leading provider of cloud contact center software, bringing the power of cloud innovation to customers worldwide.
Living our values everyday results in our team\-first culture and enables us to innovate, grow, and thrive while enjoying the journey together. We celebrate diversity and foster an inclusive environment, empowering our employees to be their authentic selves.
We are seeking a customer\-facing Data Scientist/AI Trainer to join our Professional Services team, focusing on advanced Conversational AI implementations. The ideal candidate will possess a strong background in Natural Language Processing, Python development, and a deep understanding of modern AI technologies. In this role, you will be responsible for designing, building, and optimizing Five9's AI\-based solutions. You will work closely with Developers and Conversation Designers, leveraging your expertise in Speech\-to\-Text (STT), Text\-to\-Speech (TTS), and Large Language Model (LLM) prompting and evaluations to ensure the highest levels of accuracy and performance in our intelligent virtual agents and agent\-guided solutions.
**Responsibilities:**
* Develop and maintain Python code for data analysis, model evaluation, and the automation of AI workflows.
* Design, implement, and evaluate sophisticated prompts for Large Language Models (LLMs) to optimize performance across various conversational tasks.
* Integrate and fine\-tune Speech\-to\-Text (STT) and Text\-to\-Speech (TTS) models to ensure high\-quality, natural\-sounding voice interactions.
* Implement and improve robust methods to quantitatively and qualitatively compare and evaluate LLM outputs.
* Collaborate with Data Scientists and Engineers to identify technical requirements, prioritize tasks, and architect scalable AI solutions.
* Create and curate multilingual speech and text datasets to train and benchmark models.
* Evaluate, recommend, and implement machine learning models for tasks such as topic modeling, summarization, and intent classification.
* Develop data visualization tools and dashboards to monitor model performance and provide insights to stakeholders.
**Minimum Qualifications:**
* Master's degree in Human\-Computer Interaction, Computer Science, Cognitive Science, Linguistics, or a similar technical field.
* Proven experience in Python programming for data science, machine learning, or software development.
* Solid understanding of Conversational AI concepts and the underlying technologies.
* Strong attention to detail and a commitment to maintaining high\-quality standards in code and model performance.
* Demonstrated ability to work independently and as part of a collaborative, customer\-facing team.
* Excellent technical communication skills.
* Fluent in English, both written and spoken.
**Preferred Qualifications**
* Graduate degree or higher in Computer Science, Computational Linguistics, or a related field.
* Fluency in Spanish and/or Portuguese.
* Deep hands\-on experience with LLMs, including prompt engineering, fine\-tuning, and evaluation techniques.
* Expertise in Speech\-to\-Text (STT) and Text\-to\-Speech (TTS) technologies and their practical application in conversational AI systems.
* Proficiency with ML libraries and platforms such as Scikit\-learn, TensorFlow, PyTorch, R, Jupyter, and SQL.
* Experience in a customer\-facing role, including technical requirement gathering and presentations.
* Experience with bot frameworks such as IBM Watson, Amazon Lex, Rasa, or Google Dialogflow.
Five9 embraces diversity and is committed to building a team that represents a variety of backgrounds, perspectives, and skills. The more inclusive we are, the better we are. Five9 is an equal opportunity employer.
View our privacy policy, including our privacy notice to California residents here: https://www.five9\.com/pt\-pt/legal.  
Note: Five9 will never request that an applicant send money as a prerequisite for commencing employment with Five9\.</t>
        </is>
      </c>
    </row>
    <row r="194">
      <c r="A194" t="inlineStr">
        <is>
          <t>in-c57b3ca5a08e600b</t>
        </is>
      </c>
      <c r="B194" t="inlineStr">
        <is>
          <t>Data Scientist</t>
        </is>
      </c>
      <c r="C194" t="inlineStr">
        <is>
          <t>AR Validation Services</t>
        </is>
      </c>
      <c r="D194" t="inlineStr">
        <is>
          <t>indeed</t>
        </is>
      </c>
      <c r="E194">
        <f>HYPERLINK("https://www.indeed.com/viewjob?jk=c57b3ca5a08e600b", "https://www.indeed.com/viewjob?jk=c57b3ca5a08e600b")</f>
        <v/>
      </c>
      <c r="F194">
        <f>HYPERLINK("https://candidateportalnew.ceipal.com/job-details/ofmWbLBvPHZtQ7yV4jBipJ7FtiYsU9GHNyMdozgA6Yw#.job_boards.Indeed", "https://candidateportalnew.ceipal.com/job-details/ofmWbLBvPHZtQ7yV4jBipJ7FtiYsU9GHNyMdozgA6Yw#.job_boards.Indeed")</f>
        <v/>
      </c>
      <c r="G194" t="inlineStr">
        <is>
          <t>Urbandale, IA, US</t>
        </is>
      </c>
      <c r="H194" s="2" t="n">
        <v>46075</v>
      </c>
      <c r="I194" t="inlineStr">
        <is>
          <t>**Job Description**
**Job Title: Data Scientist I Data Science \&amp; Machine Learning**
**Role Overview**
We are seeking a Data Scientist I to lead and support analytics and machine learning initiatives within the Intelligent Solutions Group. This role focuses on transforming complex datasets into actionable business insights through statistical modeling, machine learning, and advanced analytics.
**Key Responsibilities**
* Lead and/or support data science and analytics projects
* Gather and translate business requirements into analytical objectives
* Clean, preprocess, explore, and analyze structured/unstructured data
* Design and manage ETL workflows and analytic data pipelines
* Develop statistical models and machine learning algorithms
* Engineer features from diverse data sources
* Collaborate with cross\-functional stakeholders
* Maintain Agile backlog and participate in peer reviews
* Present findings via reports and presentations
* Stay current with data science \&amp; AI advancements
* Participate in innovation activities (e.g., hackathons)
**Education Requirement**
* Bachelor's Degree in:  
Data Science / Computer Science / Statistics / Mathematics / Engineering / Related Field
**Required Skills \&amp; Experience**
* Proficiency in **Python** and **SQL**
* Strong data manipulation \&amp; analysis skills
* Experience working with **DataFrames**
* Hands\-on experience with data preprocessing \&amp; ETL pipelines
* Exposure to statistical analysis \&amp; ML algorithms
* Experience analyzing **text and/or numerical data**
* Excellent communication \&amp; teamwork abilities
* Strong analytical thinking \&amp; attention to detail
* Ability to work **independently**
* Passion for problem\-solving \&amp; continuous learning
* Ability to adapt mindset based on business scenarios
* Capability to guide/train others on data trends \&amp; reporting
**Desired / Nice\-to\-Have Skills**
* Master's or PhD in a relevant field
* Knowledge of **PySpark, Git, GitHub, Bash, Databricks**
* Databricks / AWS Certifications
* Expertise in relational databases \&amp; schema design
* Experience with **BoMs, agronomic, telematics datasets**
* Strong software engineering fundamentals
* Exposure to **Data Engineering / MLOps**
* Knowledge of **Transformers, LLMs, AI**</t>
        </is>
      </c>
    </row>
    <row r="195">
      <c r="A195" t="inlineStr">
        <is>
          <t>in-6b0437f5bbb054dc</t>
        </is>
      </c>
      <c r="B195" t="inlineStr">
        <is>
          <t>Data Scientist</t>
        </is>
      </c>
      <c r="C195" t="inlineStr">
        <is>
          <t>Corewell Health</t>
        </is>
      </c>
      <c r="D195" t="inlineStr">
        <is>
          <t>indeed</t>
        </is>
      </c>
      <c r="E195">
        <f>HYPERLINK("https://www.indeed.com/viewjob?jk=6b0437f5bbb054dc", "https://www.indeed.com/viewjob?jk=6b0437f5bbb054dc")</f>
        <v/>
      </c>
      <c r="F195">
        <f>HYPERLINK("https://careers.corewellhealth.org/us/en/job/R205334/Data-Scientist?utm_source=appcast_indeedo", "https://careers.corewellhealth.org/us/en/job/R205334/Data-Scientist?utm_source=appcast_indeedo")</f>
        <v/>
      </c>
      <c r="G195" t="inlineStr">
        <is>
          <t>Grand Rapids, MI, US</t>
        </is>
      </c>
      <c r="H195" s="2" t="n">
        <v>46075</v>
      </c>
      <c r="I195" t="inlineStr">
        <is>
          <t>Job Summary
The Intermediate Data Scientist is responsible for designing, implementing, and evaluating data science solutions to solve clinical and business problems. The Intermediate Data Scientist will work collaboratively with cross\-functional teams, mentor Associate Data Scientists, and work on projects from ideation to  
completion. The Intermediate Data Scientist is expected to contribute to the improvement of existing processes and methodologies. Individual job responsibilities include identifying opportunities for data\-driven solutions, conducting advanced data analysis and generating insights, designing, implementing, and evaluating machine learning models and algorithms, collaborating with cross\-functional teams to integrate data science solutions. Leadership responsibilities include mentoring and supporting Associate Data Scientists.
Essential Functions* Seeks appropriate data sources and ensures data quality for projects
* Develops new descriptive, inferential, and predictive models, and enhances and fine tunes existing models
* Analyzes and interprets data sets across various domains, including exploratory data analysis (EDA), advanced statistical analyses, and predictive analytics
* Independently creates data visualizations and uses storytelling methods to communicate model results and findings to stakeholders effectively
* Actively pursues opportunities to grow their business acumen and skills from more experienced team members. Provide support and recommendations to less experienced team members to enhance their technical skills
* Adheres to the team’s application of best practices and organizational standards of the Software Development Lifecycle and machine learning operations (MLOps) to ensure reproducibility of findings and effective model deployment
Qualifications
Required
* Bachelor's Degree or equivalent Training in a quantitative discipline – mathematics, computer science, statistics, physics, econometrics, or a related discipline. Similar certified online education or work experience will be considered on a case\-by\-case basis
* 2 years of relevant experience 2 \- 5 years of relevant training in a quantitative discipline health care, data science, statistics, or a related field equivalent. Demonstrated proficiency may also be considered. Proven track record of applying data science techniques to real\-world problems and delivering results. Similar certified online education or work experience will be considered on a case\-by\-case basis
Preferred
* Master's Degree or equivalent Data Science, Analytics, Computer Science, Statistics, or related field
About Corewell Health
As a team member at Corewell Health, you will play an essential role in delivering personalized health care to our patients, members and our communities. We are committed to cultivating and investing in YOU. Our top\-notch teams are comprised of collaborators, leaders and innovators that continue to build on one shared mission statement \- to improve health, instill humanity and inspire hope. Join a nationally recognized health system with an ambitious vision of continued advancement and excellence.
How Corewell Health cares for you* Comprehensive benefits package to meet your financial, health, and work/life balance goals. .
* On\-demand pay program powered by Payactiv
* Discounts directory with deals on the things that matter to you, like restaurants, phone plans, spas, and more!
* Optional identity theft protection, home and auto insurance, pet insurance
* Traditional and Roth retirement options with service contribution and match savings
* Eligibility for benefits is determined by employment type and status
**Primary Location**
SITE \- Secchia Center \- 15 Michigan St NE \- Grand Rapids**Department Name**
Sponsored Programs Bioinformatics \- Grand Rapids Hosp**Employment Type**
Full time**Shift**
Day (United States of America)**Weekly Scheduled Hours**
40**Hours of Work**
8:00 a.m. \- 5:00 p.m.**Days Worked**
Monday \- Friday**Weekend Frequency**
Variable weekends**CURRENT COREWELL HEALTH TEAM MEMBERS – Please apply through Find Jobs from your Workday team member account. This career site is for Non\-Corewell Health team members only.**
*Corewell Health is committed to providing a safe environment for our team members, patients, visitors, and community. We require a drug\-free workplace and require team members to comply with the MMR, Varicella, Tdap, and Influenza vaccine requirement if in an on\-site or hybrid workplace category. We are committed to supporting prospective team members who require reasonable accommodations to participate in the job application process, to perform the essential functions of a job, or to enjoy equal benefits and privileges of employment due to a disability, pregnancy, or sincerely held religious belief.*
*Corewell Health grants equal employment opportunity to all qualified persons without regard to race, color, national origin, sex, disability, age, religion, genetic information, marital status, height, weight, gender, pregnancy, sexual orientation, gender identity or expression, veteran status, or any other legally protected category.*
*An interconnected, collaborative culture where all are encouraged to bring their whole selves to work, is vital to the health of our organization. As a health system, we advocate for equity as we care for our patients, our communities, and each other. From workshops that develop cultural intelligence, to our inclusion resource groups for people to find community and empowerment at work, we are dedicated to ongoing resources that advance our values of diversity, equity, and inclusion in all that we do. We invite those that share in our commitment to join our team.*
*You may request assistance in completing the application process by calling 616\.486\.7447\.*</t>
        </is>
      </c>
    </row>
    <row r="196">
      <c r="A196" t="inlineStr">
        <is>
          <t>in-7b2acc4634dfe573</t>
        </is>
      </c>
      <c r="B196" t="inlineStr">
        <is>
          <t>Data Scientist</t>
        </is>
      </c>
      <c r="C196" t="inlineStr">
        <is>
          <t>Ipsos</t>
        </is>
      </c>
      <c r="D196" t="inlineStr">
        <is>
          <t>indeed</t>
        </is>
      </c>
      <c r="E196">
        <f>HYPERLINK("https://www.indeed.com/viewjob?jk=7b2acc4634dfe573", "https://www.indeed.com/viewjob?jk=7b2acc4634dfe573")</f>
        <v/>
      </c>
      <c r="F196">
        <f>HYPERLINK("https://ecqf.fa.em2.oraclecloud.com/hcmUI/CandidateExperience/en/sites/CX_2001/requisitions/preview/7865", "https://ecqf.fa.em2.oraclecloud.com/hcmUI/CandidateExperience/en/sites/CX_2001/requisitions/preview/7865")</f>
        <v/>
      </c>
      <c r="G196" t="inlineStr">
        <is>
          <t>Culver City, CA, US</t>
        </is>
      </c>
      <c r="H196" s="2" t="n">
        <v>46075</v>
      </c>
      <c r="I196" t="inlineStr">
        <is>
          <t>We’re looking for someone with a deep interest in data and analytics and the dedication to apply that passion. We need someone that possesses the technical ability to write production\-level code and implement data science methods for a diverse set of applications, as well as uncover insights from the models and communicate them concisely and clearly to stakeholders at varying levels of technical sophistication. The role also requires an observant attention to detail, the ability to work well on a small team, and a self\-starter approach to problem\-solving and debugging.
**As a Data Scientist, you will:**
* Work closely with team members on design and execution of large\-scale modeling efforts, contributing to analytics libraries and integrating statistical theory
* Collaborate on engineering new data science products by translating needs identified with stakeholders into analytic frameworks that can be built into polished user\-facing tools
* Build, maintain, and enhance existing codebases
* Synthesize academic research, tech innovations, and cloud scalability, to elevate business value for clients, both current and prospective
* Validate analytics innovations from marketing science and data science teams globally
* Provide consulting for internal teams and clients on data engineering and hygiene, areas for improving process efficiency, and data science algorithms and results
**Requirements:**
* High proficiency writing R and/or Python, including the ability to produce and maintain reusable and modular codebases
* Bachelor’s degree
* Desire to work in a highly collaborative, fun, consensus\-oriented environment.
* Experience in analytics, extracting and surfacing value from quantitative data
* Attentive learner with excellent time\-management skills
* Ability to lucidly communicate data science concepts verbally and in written form
**Pluses:**
* Professional or academic experience with modern techniques and algorithms in machine learning and statistical computing such as neural networks, genetic algorithms, Bayesian modeling, data fusion, drivers analysis, clustering, predictive analytics, network analysis, Monte Carlo, and agent\-based models.
* Experience developing data science models in cloud platforms (e.g. GCP, AWS)
* Working knowledge of SQL and experience with database design and administration.
* Experience with Linux server and system administration.
* Experience with collaboration tools (e.g. Atlassian suite) and version control systems (e.g. Git).
* Experience integrating R and/or Python with each other and C\\C\&amp;\#43;\&amp;\#43;.
* Large dataset manipulation. Experience in distributed storage and computing.
* Experience with ReactJS, TypeScript/JavaScript, visualization libraries (e.g. d3\.js).
* Experience creating and deploying web apps (e.g. Electron, web2py).
* Advanced degree (M.S., Ph.D.), but not required.
* Experience in the field of Market Research.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$80,000 to $85,000\.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\#LI\-FM \#LI Hybrid Onsite</t>
        </is>
      </c>
    </row>
    <row r="197">
      <c r="A197" t="inlineStr">
        <is>
          <t>in-158c8656e657f306</t>
        </is>
      </c>
      <c r="B197" t="inlineStr">
        <is>
          <t>Applied Scientist, Safety ML</t>
        </is>
      </c>
      <c r="C197" t="inlineStr">
        <is>
          <t>Amazon.com</t>
        </is>
      </c>
      <c r="D197" t="inlineStr">
        <is>
          <t>indeed</t>
        </is>
      </c>
      <c r="E197">
        <f>HYPERLINK("https://www.indeed.com/viewjob?jk=158c8656e657f306", "https://www.indeed.com/viewjob?jk=158c8656e657f306")</f>
        <v/>
      </c>
      <c r="F197">
        <f>HYPERLINK("https://www.amazon.jobs/jobs/3161224/applied-scientist-safety-ml?cmpid=DA_INAD200785B", "https://www.amazon.jobs/jobs/3161224/applied-scientist-safety-ml?cmpid=DA_INAD200785B")</f>
        <v/>
      </c>
      <c r="G197" t="inlineStr">
        <is>
          <t>Seattle, WA, US</t>
        </is>
      </c>
      <c r="H197" s="2" t="n">
        <v>46037</v>
      </c>
      <c r="I1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98">
      <c r="A198" t="inlineStr">
        <is>
          <t>in-da6932feabd5c262</t>
        </is>
      </c>
      <c r="B198" t="inlineStr">
        <is>
          <t>Applied Scientist, Safety ML</t>
        </is>
      </c>
      <c r="C198" t="inlineStr">
        <is>
          <t>Amazon.com</t>
        </is>
      </c>
      <c r="D198" t="inlineStr">
        <is>
          <t>indeed</t>
        </is>
      </c>
      <c r="E198">
        <f>HYPERLINK("https://www.indeed.com/viewjob?jk=da6932feabd5c262", "https://www.indeed.com/viewjob?jk=da6932feabd5c262")</f>
        <v/>
      </c>
      <c r="F198">
        <f>HYPERLINK("https://www.amazon.jobs/jobs/3161224/applied-scientist-safety-ml?cmpid=DA_INAD200785B", "https://www.amazon.jobs/jobs/3161224/applied-scientist-safety-ml?cmpid=DA_INAD200785B")</f>
        <v/>
      </c>
      <c r="G198" t="inlineStr">
        <is>
          <t>San Francisco, CA, US</t>
        </is>
      </c>
      <c r="H198" s="2" t="n">
        <v>46037</v>
      </c>
      <c r="I1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99">
      <c r="A199" t="inlineStr">
        <is>
          <t>in-0c48de14b915583a</t>
        </is>
      </c>
      <c r="B199" t="inlineStr">
        <is>
          <t>Applied Scientist, LLM Code Agents, Kiro Science</t>
        </is>
      </c>
      <c r="C199" t="inlineStr">
        <is>
          <t>Amazon.com</t>
        </is>
      </c>
      <c r="D199" t="inlineStr">
        <is>
          <t>indeed</t>
        </is>
      </c>
      <c r="E199">
        <f>HYPERLINK("https://www.indeed.com/viewjob?jk=0c48de14b915583a", "https://www.indeed.com/viewjob?jk=0c48de14b915583a")</f>
        <v/>
      </c>
      <c r="F199">
        <f>HYPERLINK("https://www.amazon.jobs/jobs/3161363/applied-scientist-llm-code-agents-kiro-science?cmpid=DA_INAD200785B", "https://www.amazon.jobs/jobs/3161363/applied-scientist-llm-code-agents-kiro-science?cmpid=DA_INAD200785B")</f>
        <v/>
      </c>
      <c r="G199" t="inlineStr">
        <is>
          <t>Santa Clara, CA, US</t>
        </is>
      </c>
      <c r="H199" s="2" t="n">
        <v>46035</v>
      </c>
      <c r="I19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00">
      <c r="A200" t="inlineStr">
        <is>
          <t>in-54f4882e4c071e4c</t>
        </is>
      </c>
      <c r="B200" t="inlineStr">
        <is>
          <t>Applied Scientist, LLM Code Agents, Kiro Science</t>
        </is>
      </c>
      <c r="C200" t="inlineStr">
        <is>
          <t>Amazon.com</t>
        </is>
      </c>
      <c r="D200" t="inlineStr">
        <is>
          <t>indeed</t>
        </is>
      </c>
      <c r="E200">
        <f>HYPERLINK("https://www.indeed.com/viewjob?jk=54f4882e4c071e4c", "https://www.indeed.com/viewjob?jk=54f4882e4c071e4c")</f>
        <v/>
      </c>
      <c r="F200">
        <f>HYPERLINK("https://www.amazon.jobs/jobs/3161363/applied-scientist-llm-code-agents-kiro-science?cmpid=DA_INAD200785B", "https://www.amazon.jobs/jobs/3161363/applied-scientist-llm-code-agents-kiro-science?cmpid=DA_INAD200785B")</f>
        <v/>
      </c>
      <c r="G200" t="inlineStr">
        <is>
          <t>Seattle, WA, US</t>
        </is>
      </c>
      <c r="H200" s="2" t="n">
        <v>46035</v>
      </c>
      <c r="I200"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01">
      <c r="A201" t="inlineStr">
        <is>
          <t>in-6ffcea1c5705e1ac</t>
        </is>
      </c>
      <c r="B201" t="inlineStr">
        <is>
          <t>Applied Scientist II, Prime Video Personalization and Discovery Science</t>
        </is>
      </c>
      <c r="C201" t="inlineStr">
        <is>
          <t>Amazon.com</t>
        </is>
      </c>
      <c r="D201" t="inlineStr">
        <is>
          <t>indeed</t>
        </is>
      </c>
      <c r="E201">
        <f>HYPERLINK("https://www.indeed.com/viewjob?jk=6ffcea1c5705e1ac", "https://www.indeed.com/viewjob?jk=6ffcea1c5705e1ac")</f>
        <v/>
      </c>
      <c r="F201">
        <f>HYPERLINK("https://www.amazon.jobs/jobs/3165157/applied-scientist-ii-prime-video-personalization-and-discovery-science?cmpid=DA_INAD200785B", "https://www.amazon.jobs/jobs/3165157/applied-scientist-ii-prime-video-personalization-and-discovery-science?cmpid=DA_INAD200785B")</f>
        <v/>
      </c>
      <c r="G201" t="inlineStr">
        <is>
          <t>Seattle, WA, US</t>
        </is>
      </c>
      <c r="H201" s="2" t="n">
        <v>46034</v>
      </c>
      <c r="I2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02">
      <c r="A202" t="inlineStr">
        <is>
          <t>in-4daf07e290bf646d</t>
        </is>
      </c>
      <c r="B202" t="inlineStr">
        <is>
          <t>Applied Scientist II, Prime Video Personalization and Discovery Science</t>
        </is>
      </c>
      <c r="C202" t="inlineStr">
        <is>
          <t>Amazon.com</t>
        </is>
      </c>
      <c r="D202" t="inlineStr">
        <is>
          <t>indeed</t>
        </is>
      </c>
      <c r="E202">
        <f>HYPERLINK("https://www.indeed.com/viewjob?jk=4daf07e290bf646d", "https://www.indeed.com/viewjob?jk=4daf07e290bf646d")</f>
        <v/>
      </c>
      <c r="F202">
        <f>HYPERLINK("https://www.amazon.jobs/jobs/3165157/applied-scientist-ii-prime-video-personalization-and-discovery-science?cmpid=DA_INAD200785B", "https://www.amazon.jobs/jobs/3165157/applied-scientist-ii-prime-video-personalization-and-discovery-science?cmpid=DA_INAD200785B")</f>
        <v/>
      </c>
      <c r="G202" t="inlineStr">
        <is>
          <t>Sunnyvale, CA, US</t>
        </is>
      </c>
      <c r="H202" s="2" t="n">
        <v>46034</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03">
      <c r="A203" t="inlineStr">
        <is>
          <t>in-fb53f739cb370756</t>
        </is>
      </c>
      <c r="B203" t="inlineStr">
        <is>
          <t>Applied Scientist, Last Mile Delivery Automation</t>
        </is>
      </c>
      <c r="C203" t="inlineStr">
        <is>
          <t>Amazon.com</t>
        </is>
      </c>
      <c r="D203" t="inlineStr">
        <is>
          <t>indeed</t>
        </is>
      </c>
      <c r="E203">
        <f>HYPERLINK("https://www.indeed.com/viewjob?jk=fb53f739cb370756", "https://www.indeed.com/viewjob?jk=fb53f739cb370756")</f>
        <v/>
      </c>
      <c r="F203">
        <f>HYPERLINK("https://www.amazon.jobs/jobs/3155354/applied-scientist-last-mile-delivery-automation?cmpid=DA_INAD200785B", "https://www.amazon.jobs/jobs/3155354/applied-scientist-last-mile-delivery-automation?cmpid=DA_INAD200785B")</f>
        <v/>
      </c>
      <c r="G203" t="inlineStr">
        <is>
          <t>Bellevue, WA, US</t>
        </is>
      </c>
      <c r="H203" s="2" t="n">
        <v>46026</v>
      </c>
      <c r="I203"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in-156d0625df550fbf</t>
        </is>
      </c>
      <c r="B204" t="inlineStr">
        <is>
          <t>Applied Scientist, Last Mile Delivery Automation</t>
        </is>
      </c>
      <c r="C204" t="inlineStr">
        <is>
          <t>Amazon.com</t>
        </is>
      </c>
      <c r="D204" t="inlineStr">
        <is>
          <t>indeed</t>
        </is>
      </c>
      <c r="E204">
        <f>HYPERLINK("https://www.indeed.com/viewjob?jk=156d0625df550fbf", "https://www.indeed.com/viewjob?jk=156d0625df550fbf")</f>
        <v/>
      </c>
      <c r="F204">
        <f>HYPERLINK("https://www.amazon.jobs/jobs/3155354/applied-scientist-last-mile-delivery-automation?cmpid=DA_INAD200785B", "https://www.amazon.jobs/jobs/3155354/applied-scientist-last-mile-delivery-automation?cmpid=DA_INAD200785B")</f>
        <v/>
      </c>
      <c r="G204" t="inlineStr">
        <is>
          <t>Santa Clara, CA, US</t>
        </is>
      </c>
      <c r="H204" s="2" t="n">
        <v>46026</v>
      </c>
      <c r="I204"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in-9e1d14c583f1d8b0</t>
        </is>
      </c>
      <c r="B205" t="inlineStr">
        <is>
          <t>Principal Applied Scientist, Kiro Science</t>
        </is>
      </c>
      <c r="C205" t="inlineStr">
        <is>
          <t>Amazon Web Services</t>
        </is>
      </c>
      <c r="D205" t="inlineStr">
        <is>
          <t>indeed</t>
        </is>
      </c>
      <c r="E205">
        <f>HYPERLINK("https://www.indeed.com/viewjob?jk=9e1d14c583f1d8b0", "https://www.indeed.com/viewjob?jk=9e1d14c583f1d8b0")</f>
        <v/>
      </c>
      <c r="F205">
        <f>HYPERLINK("https://www.amazon.jobs/jobs/3161064/principal-applied-scientist-kiro-science?cmpid=DA_INAD200785B", "https://www.amazon.jobs/jobs/3161064/principal-applied-scientist-kiro-science?cmpid=DA_INAD200785B")</f>
        <v/>
      </c>
      <c r="G205" t="inlineStr">
        <is>
          <t>New York, NY, US</t>
        </is>
      </c>
      <c r="H205" s="2" t="n">
        <v>45999</v>
      </c>
      <c r="I205"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06">
      <c r="A206" t="inlineStr">
        <is>
          <t>in-32a5098a2ff08347</t>
        </is>
      </c>
      <c r="B206" t="inlineStr">
        <is>
          <t>Principal Applied Scientist, Kiro Science</t>
        </is>
      </c>
      <c r="C206" t="inlineStr">
        <is>
          <t>Amazon Web Services</t>
        </is>
      </c>
      <c r="D206" t="inlineStr">
        <is>
          <t>indeed</t>
        </is>
      </c>
      <c r="E206">
        <f>HYPERLINK("https://www.indeed.com/viewjob?jk=32a5098a2ff08347", "https://www.indeed.com/viewjob?jk=32a5098a2ff08347")</f>
        <v/>
      </c>
      <c r="F206">
        <f>HYPERLINK("https://www.amazon.jobs/jobs/3161064/principal-applied-scientist-kiro-science?cmpid=DA_INAD200785B", "https://www.amazon.jobs/jobs/3161064/principal-applied-scientist-kiro-science?cmpid=DA_INAD200785B")</f>
        <v/>
      </c>
      <c r="G206" t="inlineStr">
        <is>
          <t>Santa Clara, CA, US</t>
        </is>
      </c>
      <c r="H206" s="2" t="n">
        <v>45999</v>
      </c>
      <c r="I206"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07">
      <c r="A207" t="inlineStr">
        <is>
          <t>in-ae1f239892d9ba24</t>
        </is>
      </c>
      <c r="B207" t="inlineStr">
        <is>
          <t>Sr. Applied Scientist, Amazon Ads</t>
        </is>
      </c>
      <c r="C207" t="inlineStr">
        <is>
          <t>Amazon.com</t>
        </is>
      </c>
      <c r="D207" t="inlineStr">
        <is>
          <t>indeed</t>
        </is>
      </c>
      <c r="E207">
        <f>HYPERLINK("https://www.indeed.com/viewjob?jk=ae1f239892d9ba24", "https://www.indeed.com/viewjob?jk=ae1f239892d9ba24")</f>
        <v/>
      </c>
      <c r="F207">
        <f>HYPERLINK("https://www.amazon.jobs/jobs/3139328/sr-applied-scientist-amazon-ads?cmpid=DA_INAD200785B", "https://www.amazon.jobs/jobs/3139328/sr-applied-scientist-amazon-ads?cmpid=DA_INAD200785B")</f>
        <v/>
      </c>
      <c r="G207" t="inlineStr">
        <is>
          <t>Corvallis, OR, US</t>
        </is>
      </c>
      <c r="H207" s="2" t="n">
        <v>45998</v>
      </c>
      <c r="I20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8">
      <c r="A208" t="inlineStr">
        <is>
          <t>in-01b7c6e95098693e</t>
        </is>
      </c>
      <c r="B208" t="inlineStr">
        <is>
          <t>Sr. Applied Scientist, Amazon Ads</t>
        </is>
      </c>
      <c r="C208" t="inlineStr">
        <is>
          <t>Amazon.com</t>
        </is>
      </c>
      <c r="D208" t="inlineStr">
        <is>
          <t>indeed</t>
        </is>
      </c>
      <c r="E208">
        <f>HYPERLINK("https://www.indeed.com/viewjob?jk=01b7c6e95098693e", "https://www.indeed.com/viewjob?jk=01b7c6e95098693e")</f>
        <v/>
      </c>
      <c r="F208">
        <f>HYPERLINK("https://www.amazon.jobs/jobs/3139328/sr-applied-scientist-amazon-ads?cmpid=DA_INAD200785B", "https://www.amazon.jobs/jobs/3139328/sr-applied-scientist-amazon-ads?cmpid=DA_INAD200785B")</f>
        <v/>
      </c>
      <c r="G208" t="inlineStr">
        <is>
          <t>Santa Monica, CA, US</t>
        </is>
      </c>
      <c r="H208" s="2" t="n">
        <v>45998</v>
      </c>
      <c r="I20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9">
      <c r="A209" t="inlineStr">
        <is>
          <t>in-578c50765ac55136</t>
        </is>
      </c>
      <c r="B209" t="inlineStr">
        <is>
          <t>Sr. Applied Scientist, Amazon Ads</t>
        </is>
      </c>
      <c r="C209" t="inlineStr">
        <is>
          <t>Amazon.com</t>
        </is>
      </c>
      <c r="D209" t="inlineStr">
        <is>
          <t>indeed</t>
        </is>
      </c>
      <c r="E209">
        <f>HYPERLINK("https://www.indeed.com/viewjob?jk=578c50765ac55136", "https://www.indeed.com/viewjob?jk=578c50765ac55136")</f>
        <v/>
      </c>
      <c r="F209">
        <f>HYPERLINK("https://www.amazon.jobs/jobs/3139328/sr-applied-scientist-amazon-ads?cmpid=DA_INAD200785B", "https://www.amazon.jobs/jobs/3139328/sr-applied-scientist-amazon-ads?cmpid=DA_INAD200785B")</f>
        <v/>
      </c>
      <c r="G209" t="inlineStr">
        <is>
          <t>Boston, MA, US</t>
        </is>
      </c>
      <c r="H209" s="2" t="n">
        <v>45998</v>
      </c>
      <c r="I20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0">
      <c r="A210" t="inlineStr">
        <is>
          <t>in-2fa8223271deb114</t>
        </is>
      </c>
      <c r="B210" t="inlineStr">
        <is>
          <t>Sr. Applied Scientist, Amazon Ads</t>
        </is>
      </c>
      <c r="C210" t="inlineStr">
        <is>
          <t>Amazon.com</t>
        </is>
      </c>
      <c r="D210" t="inlineStr">
        <is>
          <t>indeed</t>
        </is>
      </c>
      <c r="E210">
        <f>HYPERLINK("https://www.indeed.com/viewjob?jk=2fa8223271deb114", "https://www.indeed.com/viewjob?jk=2fa8223271deb114")</f>
        <v/>
      </c>
      <c r="F210">
        <f>HYPERLINK("https://www.amazon.jobs/jobs/3139328/sr-applied-scientist-amazon-ads?cmpid=DA_INAD200785B", "https://www.amazon.jobs/jobs/3139328/sr-applied-scientist-amazon-ads?cmpid=DA_INAD200785B")</f>
        <v/>
      </c>
      <c r="G210" t="inlineStr">
        <is>
          <t>Sunnyvale, CA, US</t>
        </is>
      </c>
      <c r="H210" s="2" t="n">
        <v>45998</v>
      </c>
      <c r="I2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1">
      <c r="A211" t="inlineStr">
        <is>
          <t>in-1931a738e2494f32</t>
        </is>
      </c>
      <c r="B211" t="inlineStr">
        <is>
          <t>Sr. Applied Scientist, Amazon Ads</t>
        </is>
      </c>
      <c r="C211" t="inlineStr">
        <is>
          <t>Amazon.com</t>
        </is>
      </c>
      <c r="D211" t="inlineStr">
        <is>
          <t>indeed</t>
        </is>
      </c>
      <c r="E211">
        <f>HYPERLINK("https://www.indeed.com/viewjob?jk=1931a738e2494f32", "https://www.indeed.com/viewjob?jk=1931a738e2494f32")</f>
        <v/>
      </c>
      <c r="F211">
        <f>HYPERLINK("https://www.amazon.jobs/jobs/3139328/sr-applied-scientist-amazon-ads?cmpid=DA_INAD200785B", "https://www.amazon.jobs/jobs/3139328/sr-applied-scientist-amazon-ads?cmpid=DA_INAD200785B")</f>
        <v/>
      </c>
      <c r="G211" t="inlineStr">
        <is>
          <t>New York, NY, US</t>
        </is>
      </c>
      <c r="H211" s="2" t="n">
        <v>45998</v>
      </c>
      <c r="I2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2">
      <c r="A212" t="inlineStr">
        <is>
          <t>in-df77c0aaded96522</t>
        </is>
      </c>
      <c r="B212" t="inlineStr">
        <is>
          <t>Sr. Applied Scientist, Amazon Ads</t>
        </is>
      </c>
      <c r="C212" t="inlineStr">
        <is>
          <t>Amazon.com</t>
        </is>
      </c>
      <c r="D212" t="inlineStr">
        <is>
          <t>indeed</t>
        </is>
      </c>
      <c r="E212">
        <f>HYPERLINK("https://www.indeed.com/viewjob?jk=df77c0aaded96522", "https://www.indeed.com/viewjob?jk=df77c0aaded96522")</f>
        <v/>
      </c>
      <c r="F212">
        <f>HYPERLINK("https://www.amazon.jobs/jobs/3139328/sr-applied-scientist-amazon-ads?cmpid=DA_INAD200785B", "https://www.amazon.jobs/jobs/3139328/sr-applied-scientist-amazon-ads?cmpid=DA_INAD200785B")</f>
        <v/>
      </c>
      <c r="G212" t="inlineStr">
        <is>
          <t>Seattle, WA, US</t>
        </is>
      </c>
      <c r="H212" s="2" t="n">
        <v>45998</v>
      </c>
      <c r="I21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3">
      <c r="A213" t="inlineStr">
        <is>
          <t>in-c3d354f0dfeccd16</t>
        </is>
      </c>
      <c r="B213" t="inlineStr">
        <is>
          <t>Sr. Applied Scientist, Amazon Ads</t>
        </is>
      </c>
      <c r="C213" t="inlineStr">
        <is>
          <t>Amazon.com</t>
        </is>
      </c>
      <c r="D213" t="inlineStr">
        <is>
          <t>indeed</t>
        </is>
      </c>
      <c r="E213">
        <f>HYPERLINK("https://www.indeed.com/viewjob?jk=c3d354f0dfeccd16", "https://www.indeed.com/viewjob?jk=c3d354f0dfeccd16")</f>
        <v/>
      </c>
      <c r="F213">
        <f>HYPERLINK("https://www.amazon.jobs/jobs/3139328/sr-applied-scientist-amazon-ads?cmpid=DA_INAD200785B", "https://www.amazon.jobs/jobs/3139328/sr-applied-scientist-amazon-ads?cmpid=DA_INAD200785B")</f>
        <v/>
      </c>
      <c r="G213" t="inlineStr">
        <is>
          <t>Brooklyn, NY, US</t>
        </is>
      </c>
      <c r="H213" s="2" t="n">
        <v>45998</v>
      </c>
      <c r="I21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4">
      <c r="A214" t="inlineStr">
        <is>
          <t>in-1a8d6afc8ef3a112</t>
        </is>
      </c>
      <c r="B214" t="inlineStr">
        <is>
          <t>Sr. Applied Scientist, Amazon Ads</t>
        </is>
      </c>
      <c r="C214" t="inlineStr">
        <is>
          <t>Amazon.com</t>
        </is>
      </c>
      <c r="D214" t="inlineStr">
        <is>
          <t>indeed</t>
        </is>
      </c>
      <c r="E214">
        <f>HYPERLINK("https://www.indeed.com/viewjob?jk=1a8d6afc8ef3a112", "https://www.indeed.com/viewjob?jk=1a8d6afc8ef3a112")</f>
        <v/>
      </c>
      <c r="F214">
        <f>HYPERLINK("https://www.amazon.jobs/jobs/3139328/sr-applied-scientist-amazon-ads?cmpid=DA_INAD200785B", "https://www.amazon.jobs/jobs/3139328/sr-applied-scientist-amazon-ads?cmpid=DA_INAD200785B")</f>
        <v/>
      </c>
      <c r="G214" t="inlineStr">
        <is>
          <t>Palo Alto, CA, US</t>
        </is>
      </c>
      <c r="H214" s="2" t="n">
        <v>45998</v>
      </c>
      <c r="I21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5">
      <c r="A215" t="inlineStr">
        <is>
          <t>in-5c5e6e761a4e87e6</t>
        </is>
      </c>
      <c r="B215" t="inlineStr">
        <is>
          <t>Sr. Applied Scientist, Amazon Ads</t>
        </is>
      </c>
      <c r="C215" t="inlineStr">
        <is>
          <t>Amazon.com</t>
        </is>
      </c>
      <c r="D215" t="inlineStr">
        <is>
          <t>indeed</t>
        </is>
      </c>
      <c r="E215">
        <f>HYPERLINK("https://www.indeed.com/viewjob?jk=5c5e6e761a4e87e6", "https://www.indeed.com/viewjob?jk=5c5e6e761a4e87e6")</f>
        <v/>
      </c>
      <c r="F215">
        <f>HYPERLINK("https://www.amazon.jobs/jobs/3139328/sr-applied-scientist-amazon-ads?cmpid=DA_INAD200785B", "https://www.amazon.jobs/jobs/3139328/sr-applied-scientist-amazon-ads?cmpid=DA_INAD200785B")</f>
        <v/>
      </c>
      <c r="G215" t="inlineStr">
        <is>
          <t>Tukwila, WA, US</t>
        </is>
      </c>
      <c r="H215" s="2" t="n">
        <v>45998</v>
      </c>
      <c r="I21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6">
      <c r="A216" t="inlineStr">
        <is>
          <t>in-9d1b266d8bb99d30</t>
        </is>
      </c>
      <c r="B216" t="inlineStr">
        <is>
          <t>Sr. Applied Scientist, Amazon Ads</t>
        </is>
      </c>
      <c r="C216" t="inlineStr">
        <is>
          <t>Amazon.com</t>
        </is>
      </c>
      <c r="D216" t="inlineStr">
        <is>
          <t>indeed</t>
        </is>
      </c>
      <c r="E216">
        <f>HYPERLINK("https://www.indeed.com/viewjob?jk=9d1b266d8bb99d30", "https://www.indeed.com/viewjob?jk=9d1b266d8bb99d30")</f>
        <v/>
      </c>
      <c r="F216">
        <f>HYPERLINK("https://www.amazon.jobs/jobs/3139328/sr-applied-scientist-amazon-ads?cmpid=DA_INAD200785B", "https://www.amazon.jobs/jobs/3139328/sr-applied-scientist-amazon-ads?cmpid=DA_INAD200785B")</f>
        <v/>
      </c>
      <c r="G216" t="inlineStr">
        <is>
          <t>Boulder, CO, US</t>
        </is>
      </c>
      <c r="H216" s="2" t="n">
        <v>45998</v>
      </c>
      <c r="I21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7">
      <c r="A217" t="inlineStr">
        <is>
          <t>in-37b4bf38d1a615d9</t>
        </is>
      </c>
      <c r="B217" t="inlineStr">
        <is>
          <t>Principal Applied Scientist, Sponsored Products and Brands</t>
        </is>
      </c>
      <c r="C217" t="inlineStr">
        <is>
          <t>Amazon.com</t>
        </is>
      </c>
      <c r="D217" t="inlineStr">
        <is>
          <t>indeed</t>
        </is>
      </c>
      <c r="E217">
        <f>HYPERLINK("https://www.indeed.com/viewjob?jk=37b4bf38d1a615d9", "https://www.indeed.com/viewjob?jk=37b4bf38d1a615d9")</f>
        <v/>
      </c>
      <c r="F217">
        <f>HYPERLINK("https://www.amazon.jobs/jobs/3130855/principal-applied-scientist-sponsored-products-and-brands?cmpid=DA_INAD200785B", "https://www.amazon.jobs/jobs/3130855/principal-applied-scientist-sponsored-products-and-brands?cmpid=DA_INAD200785B")</f>
        <v/>
      </c>
      <c r="G217" t="inlineStr">
        <is>
          <t>New York, NY, US</t>
        </is>
      </c>
      <c r="H217" s="2" t="n">
        <v>45979</v>
      </c>
      <c r="I21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in-492ef1364b9c4efb</t>
        </is>
      </c>
      <c r="B218" t="inlineStr">
        <is>
          <t>Principal Applied Scientist, Sponsored Products and Brands</t>
        </is>
      </c>
      <c r="C218" t="inlineStr">
        <is>
          <t>Amazon.com</t>
        </is>
      </c>
      <c r="D218" t="inlineStr">
        <is>
          <t>indeed</t>
        </is>
      </c>
      <c r="E218">
        <f>HYPERLINK("https://www.indeed.com/viewjob?jk=492ef1364b9c4efb", "https://www.indeed.com/viewjob?jk=492ef1364b9c4efb")</f>
        <v/>
      </c>
      <c r="F218">
        <f>HYPERLINK("https://www.amazon.jobs/jobs/3130855/principal-applied-scientist-sponsored-products-and-brands?cmpid=DA_INAD200785B", "https://www.amazon.jobs/jobs/3130855/principal-applied-scientist-sponsored-products-and-brands?cmpid=DA_INAD200785B")</f>
        <v/>
      </c>
      <c r="G218" t="inlineStr">
        <is>
          <t>Seattle, WA, US</t>
        </is>
      </c>
      <c r="H218" s="2" t="n">
        <v>45979</v>
      </c>
      <c r="I21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in-ac37a1b997381ce9</t>
        </is>
      </c>
      <c r="B219" t="inlineStr">
        <is>
          <t>Applied Scientist, Personalization, DTx Science</t>
        </is>
      </c>
      <c r="C219" t="inlineStr">
        <is>
          <t>Amazon.com</t>
        </is>
      </c>
      <c r="D219" t="inlineStr">
        <is>
          <t>indeed</t>
        </is>
      </c>
      <c r="E219">
        <f>HYPERLINK("https://www.indeed.com/viewjob?jk=ac37a1b997381ce9", "https://www.indeed.com/viewjob?jk=ac37a1b997381ce9")</f>
        <v/>
      </c>
      <c r="F219">
        <f>HYPERLINK("https://www.amazon.jobs/jobs/3136853/applied-scientist-personalization-dtx-science?cmpid=DA_INAD200785B", "https://www.amazon.jobs/jobs/3136853/applied-scientist-personalization-dtx-science?cmpid=DA_INAD200785B")</f>
        <v/>
      </c>
      <c r="G219" t="inlineStr">
        <is>
          <t>New York, NY, US</t>
        </is>
      </c>
      <c r="H219" s="2" t="n">
        <v>45979</v>
      </c>
      <c r="I21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20">
      <c r="A220" t="inlineStr">
        <is>
          <t>in-efb809df54e0d8ae</t>
        </is>
      </c>
      <c r="B220" t="inlineStr">
        <is>
          <t>Applied Scientist, Personalization, DTx Science</t>
        </is>
      </c>
      <c r="C220" t="inlineStr">
        <is>
          <t>Amazon.com</t>
        </is>
      </c>
      <c r="D220" t="inlineStr">
        <is>
          <t>indeed</t>
        </is>
      </c>
      <c r="E220">
        <f>HYPERLINK("https://www.indeed.com/viewjob?jk=efb809df54e0d8ae", "https://www.indeed.com/viewjob?jk=efb809df54e0d8ae")</f>
        <v/>
      </c>
      <c r="F220">
        <f>HYPERLINK("https://www.amazon.jobs/jobs/3136853/applied-scientist-personalization-dtx-science?cmpid=DA_INAD200785B", "https://www.amazon.jobs/jobs/3136853/applied-scientist-personalization-dtx-science?cmpid=DA_INAD200785B")</f>
        <v/>
      </c>
      <c r="G220" t="inlineStr">
        <is>
          <t>Seattle, WA, US</t>
        </is>
      </c>
      <c r="H220" s="2" t="n">
        <v>45979</v>
      </c>
      <c r="I22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21">
      <c r="A221" t="inlineStr">
        <is>
          <t>in-92ef8257b1e9602c</t>
        </is>
      </c>
      <c r="B221" t="inlineStr">
        <is>
          <t>Senior Applied Scientist, Sponsored Products and Brands</t>
        </is>
      </c>
      <c r="C221" t="inlineStr">
        <is>
          <t>Amazon.com</t>
        </is>
      </c>
      <c r="D221" t="inlineStr">
        <is>
          <t>indeed</t>
        </is>
      </c>
      <c r="E221">
        <f>HYPERLINK("https://www.indeed.com/viewjob?jk=92ef8257b1e9602c", "https://www.indeed.com/viewjob?jk=92ef8257b1e9602c")</f>
        <v/>
      </c>
      <c r="F221">
        <f>HYPERLINK("https://www.amazon.jobs/jobs/3130062/senior-applied-scientist-sponsored-products-and-brands?cmpid=DA_INAD200785B", "https://www.amazon.jobs/jobs/3130062/senior-applied-scientist-sponsored-products-and-brands?cmpid=DA_INAD200785B")</f>
        <v/>
      </c>
      <c r="G221" t="inlineStr">
        <is>
          <t>Seattle, WA, US</t>
        </is>
      </c>
      <c r="H221" s="2" t="n">
        <v>45979</v>
      </c>
      <c r="I22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22">
      <c r="A222" t="inlineStr">
        <is>
          <t>in-7c13ff0755965c58</t>
        </is>
      </c>
      <c r="B222" t="inlineStr">
        <is>
          <t>Senior Applied Scientist, Sponsored Products and Brands</t>
        </is>
      </c>
      <c r="C222" t="inlineStr">
        <is>
          <t>Amazon.com</t>
        </is>
      </c>
      <c r="D222" t="inlineStr">
        <is>
          <t>indeed</t>
        </is>
      </c>
      <c r="E222">
        <f>HYPERLINK("https://www.indeed.com/viewjob?jk=7c13ff0755965c58", "https://www.indeed.com/viewjob?jk=7c13ff0755965c58")</f>
        <v/>
      </c>
      <c r="F222">
        <f>HYPERLINK("https://www.amazon.jobs/jobs/3130062/senior-applied-scientist-sponsored-products-and-brands?cmpid=DA_INAD200785B", "https://www.amazon.jobs/jobs/3130062/senior-applied-scientist-sponsored-products-and-brands?cmpid=DA_INAD200785B")</f>
        <v/>
      </c>
      <c r="G222" t="inlineStr">
        <is>
          <t>New York, NY, US</t>
        </is>
      </c>
      <c r="H222" s="2" t="n">
        <v>45979</v>
      </c>
      <c r="I22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23">
      <c r="A223" t="inlineStr">
        <is>
          <t>in-18222df796b728b4</t>
        </is>
      </c>
      <c r="B223" t="inlineStr">
        <is>
          <t>Sr. Applied Scientist, Sponsored Products</t>
        </is>
      </c>
      <c r="C223" t="inlineStr">
        <is>
          <t>Amazon.com</t>
        </is>
      </c>
      <c r="D223" t="inlineStr">
        <is>
          <t>indeed</t>
        </is>
      </c>
      <c r="E223">
        <f>HYPERLINK("https://www.indeed.com/viewjob?jk=18222df796b728b4", "https://www.indeed.com/viewjob?jk=18222df796b728b4")</f>
        <v/>
      </c>
      <c r="F223">
        <f>HYPERLINK("https://www.amazon.jobs/jobs/3136156/sr-applied-scientist-sponsored-products?cmpid=DA_INAD200785B", "https://www.amazon.jobs/jobs/3136156/sr-applied-scientist-sponsored-products?cmpid=DA_INAD200785B")</f>
        <v/>
      </c>
      <c r="G223" t="inlineStr">
        <is>
          <t>Arlington, VA, US</t>
        </is>
      </c>
      <c r="H223" s="2" t="n">
        <v>45976</v>
      </c>
      <c r="I223"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24">
      <c r="A224" t="inlineStr">
        <is>
          <t>in-a39dc97aace641e2</t>
        </is>
      </c>
      <c r="B224" t="inlineStr">
        <is>
          <t>Sr. Applied Scientist, Sponsored Products</t>
        </is>
      </c>
      <c r="C224" t="inlineStr">
        <is>
          <t>Amazon.com</t>
        </is>
      </c>
      <c r="D224" t="inlineStr">
        <is>
          <t>indeed</t>
        </is>
      </c>
      <c r="E224">
        <f>HYPERLINK("https://www.indeed.com/viewjob?jk=a39dc97aace641e2", "https://www.indeed.com/viewjob?jk=a39dc97aace641e2")</f>
        <v/>
      </c>
      <c r="F224">
        <f>HYPERLINK("https://www.amazon.jobs/jobs/3136156/sr-applied-scientist-sponsored-products?cmpid=DA_INAD200785B", "https://www.amazon.jobs/jobs/3136156/sr-applied-scientist-sponsored-products?cmpid=DA_INAD200785B")</f>
        <v/>
      </c>
      <c r="G224" t="inlineStr">
        <is>
          <t>New York, NY, US</t>
        </is>
      </c>
      <c r="H224" s="2" t="n">
        <v>45976</v>
      </c>
      <c r="I224"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25">
      <c r="A225" t="inlineStr">
        <is>
          <t>in-1a756079736d25ea</t>
        </is>
      </c>
      <c r="B225" t="inlineStr">
        <is>
          <t>Sr. Applied Scientist, Sponsored Products</t>
        </is>
      </c>
      <c r="C225" t="inlineStr">
        <is>
          <t>Amazon.com</t>
        </is>
      </c>
      <c r="D225" t="inlineStr">
        <is>
          <t>indeed</t>
        </is>
      </c>
      <c r="E225">
        <f>HYPERLINK("https://www.indeed.com/viewjob?jk=1a756079736d25ea", "https://www.indeed.com/viewjob?jk=1a756079736d25ea")</f>
        <v/>
      </c>
      <c r="F225">
        <f>HYPERLINK("https://www.amazon.jobs/jobs/3136156/sr-applied-scientist-sponsored-products?cmpid=DA_INAD200785B", "https://www.amazon.jobs/jobs/3136156/sr-applied-scientist-sponsored-products?cmpid=DA_INAD200785B")</f>
        <v/>
      </c>
      <c r="G225" t="inlineStr">
        <is>
          <t>Seattle, WA, US</t>
        </is>
      </c>
      <c r="H225" s="2" t="n">
        <v>45976</v>
      </c>
      <c r="I225"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26">
      <c r="A226" t="inlineStr">
        <is>
          <t>in-341c04662ebc194a</t>
        </is>
      </c>
      <c r="B226" t="inlineStr">
        <is>
          <t>Applied Scientist, AWS Agentic AI</t>
        </is>
      </c>
      <c r="C226" t="inlineStr">
        <is>
          <t>Amazon Web Services</t>
        </is>
      </c>
      <c r="D226" t="inlineStr">
        <is>
          <t>indeed</t>
        </is>
      </c>
      <c r="E226">
        <f>HYPERLINK("https://www.indeed.com/viewjob?jk=341c04662ebc194a", "https://www.indeed.com/viewjob?jk=341c04662ebc194a")</f>
        <v/>
      </c>
      <c r="F226">
        <f>HYPERLINK("https://www.amazon.jobs/jobs/3141517/applied-scientist-aws-agentic-ai-?cmpid=DA_INAD200785B", "https://www.amazon.jobs/jobs/3141517/applied-scientist-aws-agentic-ai-?cmpid=DA_INAD200785B")</f>
        <v/>
      </c>
      <c r="G226" t="inlineStr">
        <is>
          <t>Santa Clara, CA, US</t>
        </is>
      </c>
      <c r="H226" s="2" t="n">
        <v>45962</v>
      </c>
      <c r="I22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in-1a49b68f3e34b431</t>
        </is>
      </c>
      <c r="B227" t="inlineStr">
        <is>
          <t>Applied Scientist, AWS Agentic AI</t>
        </is>
      </c>
      <c r="C227" t="inlineStr">
        <is>
          <t>Amazon Web Services</t>
        </is>
      </c>
      <c r="D227" t="inlineStr">
        <is>
          <t>indeed</t>
        </is>
      </c>
      <c r="E227">
        <f>HYPERLINK("https://www.indeed.com/viewjob?jk=1a49b68f3e34b431", "https://www.indeed.com/viewjob?jk=1a49b68f3e34b431")</f>
        <v/>
      </c>
      <c r="F227">
        <f>HYPERLINK("https://www.amazon.jobs/jobs/3141517/applied-scientist-aws-agentic-ai-?cmpid=DA_INAD200785B", "https://www.amazon.jobs/jobs/3141517/applied-scientist-aws-agentic-ai-?cmpid=DA_INAD200785B")</f>
        <v/>
      </c>
      <c r="G227" t="inlineStr">
        <is>
          <t>New York, NY, US</t>
        </is>
      </c>
      <c r="H227" s="2" t="n">
        <v>45962</v>
      </c>
      <c r="I22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in-0c157311150ddeb3</t>
        </is>
      </c>
      <c r="B228" t="inlineStr">
        <is>
          <t>Applied Scientist, AWS Agentic AI</t>
        </is>
      </c>
      <c r="C228" t="inlineStr">
        <is>
          <t>Amazon Web Services</t>
        </is>
      </c>
      <c r="D228" t="inlineStr">
        <is>
          <t>indeed</t>
        </is>
      </c>
      <c r="E228">
        <f>HYPERLINK("https://www.indeed.com/viewjob?jk=0c157311150ddeb3", "https://www.indeed.com/viewjob?jk=0c157311150ddeb3")</f>
        <v/>
      </c>
      <c r="F228">
        <f>HYPERLINK("https://www.amazon.jobs/jobs/3141517/applied-scientist-aws-agentic-ai-?cmpid=DA_INAD200785B", "https://www.amazon.jobs/jobs/3141517/applied-scientist-aws-agentic-ai-?cmpid=DA_INAD200785B")</f>
        <v/>
      </c>
      <c r="G228" t="inlineStr">
        <is>
          <t>Seattle, WA, US</t>
        </is>
      </c>
      <c r="H228" s="2" t="n">
        <v>45962</v>
      </c>
      <c r="I22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in-cf5d8cd9282418bc</t>
        </is>
      </c>
      <c r="B229" t="inlineStr">
        <is>
          <t>Principal Applied Scientist, Advertiser Growth, Amazon Sponsored Products &amp; Brands</t>
        </is>
      </c>
      <c r="C229" t="inlineStr">
        <is>
          <t>Amazon.com</t>
        </is>
      </c>
      <c r="D229" t="inlineStr">
        <is>
          <t>indeed</t>
        </is>
      </c>
      <c r="E229">
        <f>HYPERLINK("https://www.indeed.com/viewjob?jk=cf5d8cd9282418bc", "https://www.indeed.com/viewjob?jk=cf5d8cd9282418bc")</f>
        <v/>
      </c>
      <c r="F229">
        <f>HYPERLINK("https://www.amazon.jobs/jobs/3115279/principal-applied-scientist-advertiser-growth-amazon-sponsored-products--brands?cmpid=DA_INAD200785B", "https://www.amazon.jobs/jobs/3115279/principal-applied-scientist-advertiser-growth-amazon-sponsored-products--brands?cmpid=DA_INAD200785B")</f>
        <v/>
      </c>
      <c r="G229" t="inlineStr">
        <is>
          <t>New York, NY, US</t>
        </is>
      </c>
      <c r="H229" s="2" t="n">
        <v>45942</v>
      </c>
      <c r="I22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in-931f65dc4512fb34</t>
        </is>
      </c>
      <c r="B230" t="inlineStr">
        <is>
          <t>Principal Applied Scientist, Advertiser Growth, Amazon Sponsored Products &amp; Brands</t>
        </is>
      </c>
      <c r="C230" t="inlineStr">
        <is>
          <t>Amazon.com</t>
        </is>
      </c>
      <c r="D230" t="inlineStr">
        <is>
          <t>indeed</t>
        </is>
      </c>
      <c r="E230">
        <f>HYPERLINK("https://www.indeed.com/viewjob?jk=931f65dc4512fb34", "https://www.indeed.com/viewjob?jk=931f65dc4512fb34")</f>
        <v/>
      </c>
      <c r="F230">
        <f>HYPERLINK("https://www.amazon.jobs/jobs/3115279/principal-applied-scientist-advertiser-growth-amazon-sponsored-products--brands?cmpid=DA_INAD200785B", "https://www.amazon.jobs/jobs/3115279/principal-applied-scientist-advertiser-growth-amazon-sponsored-products--brands?cmpid=DA_INAD200785B")</f>
        <v/>
      </c>
      <c r="G230" t="inlineStr">
        <is>
          <t>Palo Alto, CA, US</t>
        </is>
      </c>
      <c r="H230" s="2" t="n">
        <v>45942</v>
      </c>
      <c r="I23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in-2832c70765b81c07</t>
        </is>
      </c>
      <c r="B231" t="inlineStr">
        <is>
          <t>Principal Applied Scientist, Advertiser Growth, Amazon Sponsored Products &amp; Brands</t>
        </is>
      </c>
      <c r="C231" t="inlineStr">
        <is>
          <t>Amazon.com</t>
        </is>
      </c>
      <c r="D231" t="inlineStr">
        <is>
          <t>indeed</t>
        </is>
      </c>
      <c r="E231">
        <f>HYPERLINK("https://www.indeed.com/viewjob?jk=2832c70765b81c07", "https://www.indeed.com/viewjob?jk=2832c70765b81c07")</f>
        <v/>
      </c>
      <c r="F231">
        <f>HYPERLINK("https://www.amazon.jobs/jobs/3115279/principal-applied-scientist-advertiser-growth-amazon-sponsored-products--brands?cmpid=DA_INAD200785B", "https://www.amazon.jobs/jobs/3115279/principal-applied-scientist-advertiser-growth-amazon-sponsored-products--brands?cmpid=DA_INAD200785B")</f>
        <v/>
      </c>
      <c r="G231" t="inlineStr">
        <is>
          <t>Seattle, WA, US</t>
        </is>
      </c>
      <c r="H231" s="2" t="n">
        <v>45942</v>
      </c>
      <c r="I23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in-203df93e8a4bdfaa</t>
        </is>
      </c>
      <c r="B232" t="inlineStr">
        <is>
          <t>Applied Scientist II, Prime Video - Personalization and Discovery Science, Personalization and Discovery Science</t>
        </is>
      </c>
      <c r="C232" t="inlineStr">
        <is>
          <t>Amazon.com</t>
        </is>
      </c>
      <c r="D232" t="inlineStr">
        <is>
          <t>indeed</t>
        </is>
      </c>
      <c r="E232">
        <f>HYPERLINK("https://www.indeed.com/viewjob?jk=203df93e8a4bdfaa", "https://www.indeed.com/viewjob?jk=203df93e8a4bdfaa")</f>
        <v/>
      </c>
      <c r="F23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32" t="inlineStr">
        <is>
          <t>New York, NY, US</t>
        </is>
      </c>
      <c r="H232" s="2" t="n">
        <v>45930</v>
      </c>
      <c r="I2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in-192203b78748f886</t>
        </is>
      </c>
      <c r="B233" t="inlineStr">
        <is>
          <t>Applied Scientist II, Prime Video - Personalization and Discovery Science, Personalization and Discovery Science</t>
        </is>
      </c>
      <c r="C233" t="inlineStr">
        <is>
          <t>Amazon.com</t>
        </is>
      </c>
      <c r="D233" t="inlineStr">
        <is>
          <t>indeed</t>
        </is>
      </c>
      <c r="E233">
        <f>HYPERLINK("https://www.indeed.com/viewjob?jk=192203b78748f886", "https://www.indeed.com/viewjob?jk=192203b78748f886")</f>
        <v/>
      </c>
      <c r="F23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33" t="inlineStr">
        <is>
          <t>Sunnyvale, CA, US</t>
        </is>
      </c>
      <c r="H233" s="2" t="n">
        <v>45930</v>
      </c>
      <c r="I2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in-2e18c5f2d15e99ab</t>
        </is>
      </c>
      <c r="B234" t="inlineStr">
        <is>
          <t>Applied Scientist II, Prime Video - Personalization and Discovery Science, Personalization and Discovery Science</t>
        </is>
      </c>
      <c r="C234" t="inlineStr">
        <is>
          <t>Amazon.com</t>
        </is>
      </c>
      <c r="D234" t="inlineStr">
        <is>
          <t>indeed</t>
        </is>
      </c>
      <c r="E234">
        <f>HYPERLINK("https://www.indeed.com/viewjob?jk=2e18c5f2d15e99ab", "https://www.indeed.com/viewjob?jk=2e18c5f2d15e99ab")</f>
        <v/>
      </c>
      <c r="F23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34" t="inlineStr">
        <is>
          <t>Seattle, WA, US</t>
        </is>
      </c>
      <c r="H234" s="2" t="n">
        <v>45930</v>
      </c>
      <c r="I2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in-5225dd93950e1eeb</t>
        </is>
      </c>
      <c r="B235" t="inlineStr">
        <is>
          <t>Applied Scientist, Workplace Health &amp; Safety</t>
        </is>
      </c>
      <c r="C235" t="inlineStr">
        <is>
          <t>Amazon.com</t>
        </is>
      </c>
      <c r="D235" t="inlineStr">
        <is>
          <t>indeed</t>
        </is>
      </c>
      <c r="E235">
        <f>HYPERLINK("https://www.indeed.com/viewjob?jk=5225dd93950e1eeb", "https://www.indeed.com/viewjob?jk=5225dd93950e1eeb")</f>
        <v/>
      </c>
      <c r="F235">
        <f>HYPERLINK("https://www.amazon.jobs/jobs/3144886/applied-scientist-workplace-health--safety-?cmpid=DA_INAD200785B", "https://www.amazon.jobs/jobs/3144886/applied-scientist-workplace-health--safety-?cmpid=DA_INAD200785B")</f>
        <v/>
      </c>
      <c r="G235" t="inlineStr">
        <is>
          <t>Nashville, TN, US</t>
        </is>
      </c>
      <c r="H235" s="2" t="n">
        <v>45917</v>
      </c>
      <c r="I23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in-94d6477df32943fe</t>
        </is>
      </c>
      <c r="B236" t="inlineStr">
        <is>
          <t>Applied Scientist, Workplace Health &amp; Safety</t>
        </is>
      </c>
      <c r="C236" t="inlineStr">
        <is>
          <t>Amazon.com</t>
        </is>
      </c>
      <c r="D236" t="inlineStr">
        <is>
          <t>indeed</t>
        </is>
      </c>
      <c r="E236">
        <f>HYPERLINK("https://www.indeed.com/viewjob?jk=94d6477df32943fe", "https://www.indeed.com/viewjob?jk=94d6477df32943fe")</f>
        <v/>
      </c>
      <c r="F236">
        <f>HYPERLINK("https://www.amazon.jobs/jobs/3144886/applied-scientist-workplace-health--safety-?cmpid=DA_INAD200785B", "https://www.amazon.jobs/jobs/3144886/applied-scientist-workplace-health--safety-?cmpid=DA_INAD200785B")</f>
        <v/>
      </c>
      <c r="G236" t="inlineStr">
        <is>
          <t>Bellevue, WA, US</t>
        </is>
      </c>
      <c r="H236" s="2" t="n">
        <v>45917</v>
      </c>
      <c r="I23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in-192b60d23199974a</t>
        </is>
      </c>
      <c r="B237" t="inlineStr">
        <is>
          <t>Sr. Applied Scientist, Prime Video - Personalization and Discovery Science</t>
        </is>
      </c>
      <c r="C237" t="inlineStr">
        <is>
          <t>Amazon.com</t>
        </is>
      </c>
      <c r="D237" t="inlineStr">
        <is>
          <t>indeed</t>
        </is>
      </c>
      <c r="E237">
        <f>HYPERLINK("https://www.indeed.com/viewjob?jk=192b60d23199974a", "https://www.indeed.com/viewjob?jk=192b60d23199974a")</f>
        <v/>
      </c>
      <c r="F237">
        <f>HYPERLINK("https://www.amazon.jobs/jobs/3084479/sr-applied-scientist-prime-video--personalization-and-discovery-science?cmpid=DA_INAD200785B", "https://www.amazon.jobs/jobs/3084479/sr-applied-scientist-prime-video--personalization-and-discovery-science?cmpid=DA_INAD200785B")</f>
        <v/>
      </c>
      <c r="G237" t="inlineStr">
        <is>
          <t>New York, NY, US</t>
        </is>
      </c>
      <c r="H237" s="2" t="n">
        <v>45896</v>
      </c>
      <c r="I2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38">
      <c r="A238" t="inlineStr">
        <is>
          <t>in-a629d2ebd555d6d8</t>
        </is>
      </c>
      <c r="B238" t="inlineStr">
        <is>
          <t>Sr. Applied Scientist, Prime Video - Personalization and Discovery Science</t>
        </is>
      </c>
      <c r="C238" t="inlineStr">
        <is>
          <t>Amazon.com</t>
        </is>
      </c>
      <c r="D238" t="inlineStr">
        <is>
          <t>indeed</t>
        </is>
      </c>
      <c r="E238">
        <f>HYPERLINK("https://www.indeed.com/viewjob?jk=a629d2ebd555d6d8", "https://www.indeed.com/viewjob?jk=a629d2ebd555d6d8")</f>
        <v/>
      </c>
      <c r="F238">
        <f>HYPERLINK("https://www.amazon.jobs/jobs/3084479/sr-applied-scientist-prime-video--personalization-and-discovery-science?cmpid=DA_INAD200785B", "https://www.amazon.jobs/jobs/3084479/sr-applied-scientist-prime-video--personalization-and-discovery-science?cmpid=DA_INAD200785B")</f>
        <v/>
      </c>
      <c r="G238" t="inlineStr">
        <is>
          <t>Seattle, WA, US</t>
        </is>
      </c>
      <c r="H238" s="2" t="n">
        <v>45896</v>
      </c>
      <c r="I2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39">
      <c r="A239" t="inlineStr">
        <is>
          <t>in-f9396b2efa371618</t>
        </is>
      </c>
      <c r="B239" t="inlineStr">
        <is>
          <t>Sr. Applied Scientist, Prime Video - Personalization and Discovery Science</t>
        </is>
      </c>
      <c r="C239" t="inlineStr">
        <is>
          <t>Amazon.com</t>
        </is>
      </c>
      <c r="D239" t="inlineStr">
        <is>
          <t>indeed</t>
        </is>
      </c>
      <c r="E239">
        <f>HYPERLINK("https://www.indeed.com/viewjob?jk=f9396b2efa371618", "https://www.indeed.com/viewjob?jk=f9396b2efa371618")</f>
        <v/>
      </c>
      <c r="F239">
        <f>HYPERLINK("https://www.amazon.jobs/jobs/3084479/sr-applied-scientist-prime-video--personalization-and-discovery-science?cmpid=DA_INAD200785B", "https://www.amazon.jobs/jobs/3084479/sr-applied-scientist-prime-video--personalization-and-discovery-science?cmpid=DA_INAD200785B")</f>
        <v/>
      </c>
      <c r="G239" t="inlineStr">
        <is>
          <t>Sunnyvale, CA, US</t>
        </is>
      </c>
      <c r="H239" s="2" t="n">
        <v>45896</v>
      </c>
      <c r="I2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40">
      <c r="A240" t="inlineStr">
        <is>
          <t>in-ac9f8e1a007858f9</t>
        </is>
      </c>
      <c r="B240" t="inlineStr">
        <is>
          <t>Applied Scientist II, Prime Video - Personalization and Discovery Science</t>
        </is>
      </c>
      <c r="C240" t="inlineStr">
        <is>
          <t>Amazon.com</t>
        </is>
      </c>
      <c r="D240" t="inlineStr">
        <is>
          <t>indeed</t>
        </is>
      </c>
      <c r="E240">
        <f>HYPERLINK("https://www.indeed.com/viewjob?jk=ac9f8e1a007858f9", "https://www.indeed.com/viewjob?jk=ac9f8e1a007858f9")</f>
        <v/>
      </c>
      <c r="F240">
        <f>HYPERLINK("https://www.amazon.jobs/jobs/3059253/applied-scientist-ii-prime-video--personalization-and-discovery-science?cmpid=DA_INAD200785B", "https://www.amazon.jobs/jobs/3059253/applied-scientist-ii-prime-video--personalization-and-discovery-science?cmpid=DA_INAD200785B")</f>
        <v/>
      </c>
      <c r="G240" t="inlineStr">
        <is>
          <t>Sunnyvale, CA, US</t>
        </is>
      </c>
      <c r="H240" s="2" t="n">
        <v>45881</v>
      </c>
      <c r="I2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in-07fa1c17b3d6fd0c</t>
        </is>
      </c>
      <c r="B241" t="inlineStr">
        <is>
          <t>Sr. Applied Scientist, Prime Video - Personalization and Discovery Science</t>
        </is>
      </c>
      <c r="C241" t="inlineStr">
        <is>
          <t>Amazon.com</t>
        </is>
      </c>
      <c r="D241" t="inlineStr">
        <is>
          <t>indeed</t>
        </is>
      </c>
      <c r="E241">
        <f>HYPERLINK("https://www.indeed.com/viewjob?jk=07fa1c17b3d6fd0c", "https://www.indeed.com/viewjob?jk=07fa1c17b3d6fd0c")</f>
        <v/>
      </c>
      <c r="F241">
        <f>HYPERLINK("https://www.amazon.jobs/jobs/3059256/sr-applied-scientist-prime-video--personalization-and-discovery-science?cmpid=DA_INAD200785B", "https://www.amazon.jobs/jobs/3059256/sr-applied-scientist-prime-video--personalization-and-discovery-science?cmpid=DA_INAD200785B")</f>
        <v/>
      </c>
      <c r="G241" t="inlineStr">
        <is>
          <t>Seattle, WA, US</t>
        </is>
      </c>
      <c r="H241" s="2" t="n">
        <v>45881</v>
      </c>
      <c r="I2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in-119e091e470663bd</t>
        </is>
      </c>
      <c r="B242" t="inlineStr">
        <is>
          <t>Applied Scientist II, Prime Video - Personalization and Discovery Science</t>
        </is>
      </c>
      <c r="C242" t="inlineStr">
        <is>
          <t>Amazon.com</t>
        </is>
      </c>
      <c r="D242" t="inlineStr">
        <is>
          <t>indeed</t>
        </is>
      </c>
      <c r="E242">
        <f>HYPERLINK("https://www.indeed.com/viewjob?jk=119e091e470663bd", "https://www.indeed.com/viewjob?jk=119e091e470663bd")</f>
        <v/>
      </c>
      <c r="F242">
        <f>HYPERLINK("https://www.amazon.jobs/jobs/3059253/applied-scientist-ii-prime-video--personalization-and-discovery-science?cmpid=DA_INAD200785B", "https://www.amazon.jobs/jobs/3059253/applied-scientist-ii-prime-video--personalization-and-discovery-science?cmpid=DA_INAD200785B")</f>
        <v/>
      </c>
      <c r="G242" t="inlineStr">
        <is>
          <t>New York, NY, US</t>
        </is>
      </c>
      <c r="H242" s="2" t="n">
        <v>45881</v>
      </c>
      <c r="I2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in-22af938a456e9106</t>
        </is>
      </c>
      <c r="B243" t="inlineStr">
        <is>
          <t>Sr. Applied Scientist, Prime Video - Personalization and Discovery Science</t>
        </is>
      </c>
      <c r="C243" t="inlineStr">
        <is>
          <t>Amazon.com</t>
        </is>
      </c>
      <c r="D243" t="inlineStr">
        <is>
          <t>indeed</t>
        </is>
      </c>
      <c r="E243">
        <f>HYPERLINK("https://www.indeed.com/viewjob?jk=22af938a456e9106", "https://www.indeed.com/viewjob?jk=22af938a456e9106")</f>
        <v/>
      </c>
      <c r="F243">
        <f>HYPERLINK("https://www.amazon.jobs/jobs/3059256/sr-applied-scientist-prime-video--personalization-and-discovery-science?cmpid=DA_INAD200785B", "https://www.amazon.jobs/jobs/3059256/sr-applied-scientist-prime-video--personalization-and-discovery-science?cmpid=DA_INAD200785B")</f>
        <v/>
      </c>
      <c r="G243" t="inlineStr">
        <is>
          <t>Sunnyvale, CA, US</t>
        </is>
      </c>
      <c r="H243" s="2" t="n">
        <v>45881</v>
      </c>
      <c r="I2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in-7ee32fd3e67d05ab</t>
        </is>
      </c>
      <c r="B244" t="inlineStr">
        <is>
          <t>Sr. Applied Scientist, Prime Video - Personalization and Discovery Science</t>
        </is>
      </c>
      <c r="C244" t="inlineStr">
        <is>
          <t>Amazon.com</t>
        </is>
      </c>
      <c r="D244" t="inlineStr">
        <is>
          <t>indeed</t>
        </is>
      </c>
      <c r="E244">
        <f>HYPERLINK("https://www.indeed.com/viewjob?jk=7ee32fd3e67d05ab", "https://www.indeed.com/viewjob?jk=7ee32fd3e67d05ab")</f>
        <v/>
      </c>
      <c r="F244">
        <f>HYPERLINK("https://www.amazon.jobs/jobs/3059256/sr-applied-scientist-prime-video--personalization-and-discovery-science?cmpid=DA_INAD200785B", "https://www.amazon.jobs/jobs/3059256/sr-applied-scientist-prime-video--personalization-and-discovery-science?cmpid=DA_INAD200785B")</f>
        <v/>
      </c>
      <c r="G244" t="inlineStr">
        <is>
          <t>New York, NY, US</t>
        </is>
      </c>
      <c r="H244" s="2" t="n">
        <v>45881</v>
      </c>
      <c r="I2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in-cc58d279ec3dc835</t>
        </is>
      </c>
      <c r="B245" t="inlineStr">
        <is>
          <t>Applied Scientist II, Prime Video - Personalization and Discovery Science</t>
        </is>
      </c>
      <c r="C245" t="inlineStr">
        <is>
          <t>Amazon.com</t>
        </is>
      </c>
      <c r="D245" t="inlineStr">
        <is>
          <t>indeed</t>
        </is>
      </c>
      <c r="E245">
        <f>HYPERLINK("https://www.indeed.com/viewjob?jk=cc58d279ec3dc835", "https://www.indeed.com/viewjob?jk=cc58d279ec3dc835")</f>
        <v/>
      </c>
      <c r="F245">
        <f>HYPERLINK("https://www.amazon.jobs/jobs/3059253/applied-scientist-ii-prime-video--personalization-and-discovery-science?cmpid=DA_INAD200785B", "https://www.amazon.jobs/jobs/3059253/applied-scientist-ii-prime-video--personalization-and-discovery-science?cmpid=DA_INAD200785B")</f>
        <v/>
      </c>
      <c r="G245" t="inlineStr">
        <is>
          <t>Seattle, WA, US</t>
        </is>
      </c>
      <c r="H245" s="2" t="n">
        <v>45881</v>
      </c>
      <c r="I2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in-ca9194bd0fe07a97</t>
        </is>
      </c>
      <c r="B246" t="inlineStr">
        <is>
          <t>Applied Scientist III, StoreGen</t>
        </is>
      </c>
      <c r="C246" t="inlineStr">
        <is>
          <t>Amazon.com</t>
        </is>
      </c>
      <c r="D246" t="inlineStr">
        <is>
          <t>indeed</t>
        </is>
      </c>
      <c r="E246">
        <f>HYPERLINK("https://www.indeed.com/viewjob?jk=ca9194bd0fe07a97", "https://www.indeed.com/viewjob?jk=ca9194bd0fe07a97")</f>
        <v/>
      </c>
      <c r="F246">
        <f>HYPERLINK("https://www.amazon.jobs/jobs/3065534/applied-scientist-iii-storegen?cmpid=DA_INAD200785B", "https://www.amazon.jobs/jobs/3065534/applied-scientist-iii-storegen?cmpid=DA_INAD200785B")</f>
        <v/>
      </c>
      <c r="G246" t="inlineStr">
        <is>
          <t>Sunnyvale, CA, US</t>
        </is>
      </c>
      <c r="H246" s="2" t="n">
        <v>45868</v>
      </c>
      <c r="I246"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in-2acd0788d7d4f42c</t>
        </is>
      </c>
      <c r="B247" t="inlineStr">
        <is>
          <t>Applied Scientist III, StoreGen</t>
        </is>
      </c>
      <c r="C247" t="inlineStr">
        <is>
          <t>Amazon.com</t>
        </is>
      </c>
      <c r="D247" t="inlineStr">
        <is>
          <t>indeed</t>
        </is>
      </c>
      <c r="E247">
        <f>HYPERLINK("https://www.indeed.com/viewjob?jk=2acd0788d7d4f42c", "https://www.indeed.com/viewjob?jk=2acd0788d7d4f42c")</f>
        <v/>
      </c>
      <c r="F247">
        <f>HYPERLINK("https://www.amazon.jobs/jobs/3065534/applied-scientist-iii-storegen?cmpid=DA_INAD200785B", "https://www.amazon.jobs/jobs/3065534/applied-scientist-iii-storegen?cmpid=DA_INAD200785B")</f>
        <v/>
      </c>
      <c r="G247" t="inlineStr">
        <is>
          <t>Seattle, WA, US</t>
        </is>
      </c>
      <c r="H247" s="2" t="n">
        <v>45868</v>
      </c>
      <c r="I247"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in-bc48ee9e4e17eba0</t>
        </is>
      </c>
      <c r="B248" t="inlineStr">
        <is>
          <t>Sr. Applied Scientist, Amazon Advertising</t>
        </is>
      </c>
      <c r="C248" t="inlineStr">
        <is>
          <t>Amazon.com</t>
        </is>
      </c>
      <c r="D248" t="inlineStr">
        <is>
          <t>indeed</t>
        </is>
      </c>
      <c r="E248">
        <f>HYPERLINK("https://www.indeed.com/viewjob?jk=bc48ee9e4e17eba0", "https://www.indeed.com/viewjob?jk=bc48ee9e4e17eba0")</f>
        <v/>
      </c>
      <c r="F248">
        <f>HYPERLINK("https://www.amazon.jobs/jobs/3035686/sr-applied-scientist-amazon-advertising?cmpid=DA_INAD200785B", "https://www.amazon.jobs/jobs/3035686/sr-applied-scientist-amazon-advertising?cmpid=DA_INAD200785B")</f>
        <v/>
      </c>
      <c r="G248" t="inlineStr">
        <is>
          <t>Los Angeles, CA, US</t>
        </is>
      </c>
      <c r="H248" s="2" t="n">
        <v>45851</v>
      </c>
      <c r="I24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in-3768ba7c187fa3a3</t>
        </is>
      </c>
      <c r="B249" t="inlineStr">
        <is>
          <t>Sr. Applied Scientist, Amazon Advertising</t>
        </is>
      </c>
      <c r="C249" t="inlineStr">
        <is>
          <t>Amazon.com</t>
        </is>
      </c>
      <c r="D249" t="inlineStr">
        <is>
          <t>indeed</t>
        </is>
      </c>
      <c r="E249">
        <f>HYPERLINK("https://www.indeed.com/viewjob?jk=3768ba7c187fa3a3", "https://www.indeed.com/viewjob?jk=3768ba7c187fa3a3")</f>
        <v/>
      </c>
      <c r="F249">
        <f>HYPERLINK("https://www.amazon.jobs/jobs/3035686/sr-applied-scientist-amazon-advertising?cmpid=DA_INAD200785B", "https://www.amazon.jobs/jobs/3035686/sr-applied-scientist-amazon-advertising?cmpid=DA_INAD200785B")</f>
        <v/>
      </c>
      <c r="G249" t="inlineStr">
        <is>
          <t>Palo Alto, CA, US</t>
        </is>
      </c>
      <c r="H249" s="2" t="n">
        <v>45851</v>
      </c>
      <c r="I24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in-831e3ebc88e46e25</t>
        </is>
      </c>
      <c r="B250" t="inlineStr">
        <is>
          <t>Sr. Applied Scientist, Amazon Advertising</t>
        </is>
      </c>
      <c r="C250" t="inlineStr">
        <is>
          <t>Amazon.com</t>
        </is>
      </c>
      <c r="D250" t="inlineStr">
        <is>
          <t>indeed</t>
        </is>
      </c>
      <c r="E250">
        <f>HYPERLINK("https://www.indeed.com/viewjob?jk=831e3ebc88e46e25", "https://www.indeed.com/viewjob?jk=831e3ebc88e46e25")</f>
        <v/>
      </c>
      <c r="F250">
        <f>HYPERLINK("https://www.amazon.jobs/jobs/3035686/sr-applied-scientist-amazon-advertising?cmpid=DA_INAD200785B", "https://www.amazon.jobs/jobs/3035686/sr-applied-scientist-amazon-advertising?cmpid=DA_INAD200785B")</f>
        <v/>
      </c>
      <c r="G250" t="inlineStr">
        <is>
          <t>New York, NY, US</t>
        </is>
      </c>
      <c r="H250" s="2" t="n">
        <v>45851</v>
      </c>
      <c r="I25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in-33b37dcff05615df</t>
        </is>
      </c>
      <c r="B251" t="inlineStr">
        <is>
          <t>Sr. Applied Scientist, Amazon Advertising</t>
        </is>
      </c>
      <c r="C251" t="inlineStr">
        <is>
          <t>Amazon.com</t>
        </is>
      </c>
      <c r="D251" t="inlineStr">
        <is>
          <t>indeed</t>
        </is>
      </c>
      <c r="E251">
        <f>HYPERLINK("https://www.indeed.com/viewjob?jk=33b37dcff05615df", "https://www.indeed.com/viewjob?jk=33b37dcff05615df")</f>
        <v/>
      </c>
      <c r="F251">
        <f>HYPERLINK("https://www.amazon.jobs/jobs/3035686/sr-applied-scientist-amazon-advertising?cmpid=DA_INAD200785B", "https://www.amazon.jobs/jobs/3035686/sr-applied-scientist-amazon-advertising?cmpid=DA_INAD200785B")</f>
        <v/>
      </c>
      <c r="G251" t="inlineStr">
        <is>
          <t>Simi Valley, CA, US</t>
        </is>
      </c>
      <c r="H251" s="2" t="n">
        <v>45851</v>
      </c>
      <c r="I25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in-ce73ade9233d5bad</t>
        </is>
      </c>
      <c r="B252" t="inlineStr">
        <is>
          <t>Sr. Applied Scientist, Amazon Advertising</t>
        </is>
      </c>
      <c r="C252" t="inlineStr">
        <is>
          <t>Amazon.com</t>
        </is>
      </c>
      <c r="D252" t="inlineStr">
        <is>
          <t>indeed</t>
        </is>
      </c>
      <c r="E252">
        <f>HYPERLINK("https://www.indeed.com/viewjob?jk=ce73ade9233d5bad", "https://www.indeed.com/viewjob?jk=ce73ade9233d5bad")</f>
        <v/>
      </c>
      <c r="F252">
        <f>HYPERLINK("https://www.amazon.jobs/jobs/3035686/sr-applied-scientist-amazon-advertising?cmpid=DA_INAD200785B", "https://www.amazon.jobs/jobs/3035686/sr-applied-scientist-amazon-advertising?cmpid=DA_INAD200785B")</f>
        <v/>
      </c>
      <c r="G252" t="inlineStr">
        <is>
          <t>West Hollywood, CA, US</t>
        </is>
      </c>
      <c r="H252" s="2" t="n">
        <v>45851</v>
      </c>
      <c r="I25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in-d4158b5d3bce3492</t>
        </is>
      </c>
      <c r="B253" t="inlineStr">
        <is>
          <t>Sr. Applied Scientist, Amazon Advertising</t>
        </is>
      </c>
      <c r="C253" t="inlineStr">
        <is>
          <t>Amazon.com</t>
        </is>
      </c>
      <c r="D253" t="inlineStr">
        <is>
          <t>indeed</t>
        </is>
      </c>
      <c r="E253">
        <f>HYPERLINK("https://www.indeed.com/viewjob?jk=d4158b5d3bce3492", "https://www.indeed.com/viewjob?jk=d4158b5d3bce3492")</f>
        <v/>
      </c>
      <c r="F253">
        <f>HYPERLINK("https://www.amazon.jobs/jobs/3035686/sr-applied-scientist-amazon-advertising?cmpid=DA_INAD200785B", "https://www.amazon.jobs/jobs/3035686/sr-applied-scientist-amazon-advertising?cmpid=DA_INAD200785B")</f>
        <v/>
      </c>
      <c r="G253" t="inlineStr">
        <is>
          <t>Arlington, VA, US</t>
        </is>
      </c>
      <c r="H253" s="2" t="n">
        <v>45851</v>
      </c>
      <c r="I25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in-d18319fc5a5bcde2</t>
        </is>
      </c>
      <c r="B254" t="inlineStr">
        <is>
          <t>Sr. Applied Scientist, Amazon Advertising</t>
        </is>
      </c>
      <c r="C254" t="inlineStr">
        <is>
          <t>Amazon.com</t>
        </is>
      </c>
      <c r="D254" t="inlineStr">
        <is>
          <t>indeed</t>
        </is>
      </c>
      <c r="E254">
        <f>HYPERLINK("https://www.indeed.com/viewjob?jk=d18319fc5a5bcde2", "https://www.indeed.com/viewjob?jk=d18319fc5a5bcde2")</f>
        <v/>
      </c>
      <c r="F254">
        <f>HYPERLINK("https://www.amazon.jobs/jobs/3035686/sr-applied-scientist-amazon-advertising?cmpid=DA_INAD200785B", "https://www.amazon.jobs/jobs/3035686/sr-applied-scientist-amazon-advertising?cmpid=DA_INAD200785B")</f>
        <v/>
      </c>
      <c r="G254" t="inlineStr">
        <is>
          <t>Seattle, WA, US</t>
        </is>
      </c>
      <c r="H254" s="2" t="n">
        <v>45851</v>
      </c>
      <c r="I25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in-31c3bdd341416131</t>
        </is>
      </c>
      <c r="B255" t="inlineStr">
        <is>
          <t>Sr. Applied Scientist, Amazon Advertising</t>
        </is>
      </c>
      <c r="C255" t="inlineStr">
        <is>
          <t>Amazon.com</t>
        </is>
      </c>
      <c r="D255" t="inlineStr">
        <is>
          <t>indeed</t>
        </is>
      </c>
      <c r="E255">
        <f>HYPERLINK("https://www.indeed.com/viewjob?jk=31c3bdd341416131", "https://www.indeed.com/viewjob?jk=31c3bdd341416131")</f>
        <v/>
      </c>
      <c r="F255">
        <f>HYPERLINK("https://www.amazon.jobs/jobs/3035686/sr-applied-scientist-amazon-advertising?cmpid=DA_INAD200785B", "https://www.amazon.jobs/jobs/3035686/sr-applied-scientist-amazon-advertising?cmpid=DA_INAD200785B")</f>
        <v/>
      </c>
      <c r="G255" t="inlineStr">
        <is>
          <t>Austin, TX, US</t>
        </is>
      </c>
      <c r="H255" s="2" t="n">
        <v>45851</v>
      </c>
      <c r="I25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in-3f09d2ed7f5dff98</t>
        </is>
      </c>
      <c r="B256" t="inlineStr">
        <is>
          <t>Sr. Applied Scientist, Sales AI</t>
        </is>
      </c>
      <c r="C256" t="inlineStr">
        <is>
          <t>Amazon.com</t>
        </is>
      </c>
      <c r="D256" t="inlineStr">
        <is>
          <t>indeed</t>
        </is>
      </c>
      <c r="E256">
        <f>HYPERLINK("https://www.indeed.com/viewjob?jk=3f09d2ed7f5dff98", "https://www.indeed.com/viewjob?jk=3f09d2ed7f5dff98")</f>
        <v/>
      </c>
      <c r="F256">
        <f>HYPERLINK("https://www.amazon.jobs/jobs/3020528/sr-applied-scientist-sales-ai?cmpid=DA_INAD200785B", "https://www.amazon.jobs/jobs/3020528/sr-applied-scientist-sales-ai?cmpid=DA_INAD200785B")</f>
        <v/>
      </c>
      <c r="G256" t="inlineStr">
        <is>
          <t>Seattle, WA, US</t>
        </is>
      </c>
      <c r="H256" s="2" t="n">
        <v>45830</v>
      </c>
      <c r="I25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in-5e4ee975f510d7ae</t>
        </is>
      </c>
      <c r="B257" t="inlineStr">
        <is>
          <t>Sr. Applied Scientist, Sales AI</t>
        </is>
      </c>
      <c r="C257" t="inlineStr">
        <is>
          <t>Amazon.com</t>
        </is>
      </c>
      <c r="D257" t="inlineStr">
        <is>
          <t>indeed</t>
        </is>
      </c>
      <c r="E257">
        <f>HYPERLINK("https://www.indeed.com/viewjob?jk=5e4ee975f510d7ae", "https://www.indeed.com/viewjob?jk=5e4ee975f510d7ae")</f>
        <v/>
      </c>
      <c r="F257">
        <f>HYPERLINK("https://www.amazon.jobs/jobs/3020528/sr-applied-scientist-sales-ai?cmpid=DA_INAD200785B", "https://www.amazon.jobs/jobs/3020528/sr-applied-scientist-sales-ai?cmpid=DA_INAD200785B")</f>
        <v/>
      </c>
      <c r="G257" t="inlineStr">
        <is>
          <t>New York, NY, US</t>
        </is>
      </c>
      <c r="H257" s="2" t="n">
        <v>45830</v>
      </c>
      <c r="I25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in-58e53d6cf7edae8e</t>
        </is>
      </c>
      <c r="B258" t="inlineStr">
        <is>
          <t>Sr. Applied Scientist, Sales AI</t>
        </is>
      </c>
      <c r="C258" t="inlineStr">
        <is>
          <t>Amazon.com</t>
        </is>
      </c>
      <c r="D258" t="inlineStr">
        <is>
          <t>indeed</t>
        </is>
      </c>
      <c r="E258">
        <f>HYPERLINK("https://www.indeed.com/viewjob?jk=58e53d6cf7edae8e", "https://www.indeed.com/viewjob?jk=58e53d6cf7edae8e")</f>
        <v/>
      </c>
      <c r="F258">
        <f>HYPERLINK("https://www.amazon.jobs/jobs/3020528/sr-applied-scientist-sales-ai?cmpid=DA_INAD200785B", "https://www.amazon.jobs/jobs/3020528/sr-applied-scientist-sales-ai?cmpid=DA_INAD200785B")</f>
        <v/>
      </c>
      <c r="G258" t="inlineStr">
        <is>
          <t>Sunnyvale, CA, US</t>
        </is>
      </c>
      <c r="H258" s="2" t="n">
        <v>45830</v>
      </c>
      <c r="I25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in-893f9f67814fd609</t>
        </is>
      </c>
      <c r="B259" t="inlineStr">
        <is>
          <t>Senior Applied Scientist, Delivery Foundation Model</t>
        </is>
      </c>
      <c r="C259" t="inlineStr">
        <is>
          <t>Amazon.com</t>
        </is>
      </c>
      <c r="D259" t="inlineStr">
        <is>
          <t>indeed</t>
        </is>
      </c>
      <c r="E259">
        <f>HYPERLINK("https://www.indeed.com/viewjob?jk=893f9f67814fd609", "https://www.indeed.com/viewjob?jk=893f9f67814fd609")</f>
        <v/>
      </c>
      <c r="F259">
        <f>HYPERLINK("https://www.amazon.jobs/jobs/2998435/senior-applied-scientist-delivery-foundation-model-?cmpid=DA_INAD200785B", "https://www.amazon.jobs/jobs/2998435/senior-applied-scientist-delivery-foundation-model-?cmpid=DA_INAD200785B")</f>
        <v/>
      </c>
      <c r="G259" t="inlineStr">
        <is>
          <t>New York, NY, US</t>
        </is>
      </c>
      <c r="H259" s="2" t="n">
        <v>45806</v>
      </c>
      <c r="I25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in-be10d76baf7be8d2</t>
        </is>
      </c>
      <c r="B260" t="inlineStr">
        <is>
          <t>Senior Applied Scientist, Delivery Foundation Model</t>
        </is>
      </c>
      <c r="C260" t="inlineStr">
        <is>
          <t>Amazon.com</t>
        </is>
      </c>
      <c r="D260" t="inlineStr">
        <is>
          <t>indeed</t>
        </is>
      </c>
      <c r="E260">
        <f>HYPERLINK("https://www.indeed.com/viewjob?jk=be10d76baf7be8d2", "https://www.indeed.com/viewjob?jk=be10d76baf7be8d2")</f>
        <v/>
      </c>
      <c r="F260">
        <f>HYPERLINK("https://www.amazon.jobs/jobs/2998435/senior-applied-scientist-delivery-foundation-model-?cmpid=DA_INAD200785B", "https://www.amazon.jobs/jobs/2998435/senior-applied-scientist-delivery-foundation-model-?cmpid=DA_INAD200785B")</f>
        <v/>
      </c>
      <c r="G260" t="inlineStr">
        <is>
          <t>Santa Clara, CA, US</t>
        </is>
      </c>
      <c r="H260" s="2" t="n">
        <v>45806</v>
      </c>
      <c r="I26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in-1e18b148e32a9c19</t>
        </is>
      </c>
      <c r="B261" t="inlineStr">
        <is>
          <t>Senior Applied Scientist, Delivery Foundation Model</t>
        </is>
      </c>
      <c r="C261" t="inlineStr">
        <is>
          <t>Amazon.com</t>
        </is>
      </c>
      <c r="D261" t="inlineStr">
        <is>
          <t>indeed</t>
        </is>
      </c>
      <c r="E261">
        <f>HYPERLINK("https://www.indeed.com/viewjob?jk=1e18b148e32a9c19", "https://www.indeed.com/viewjob?jk=1e18b148e32a9c19")</f>
        <v/>
      </c>
      <c r="F261">
        <f>HYPERLINK("https://www.amazon.jobs/jobs/2998435/senior-applied-scientist-delivery-foundation-model-?cmpid=DA_INAD200785B", "https://www.amazon.jobs/jobs/2998435/senior-applied-scientist-delivery-foundation-model-?cmpid=DA_INAD200785B")</f>
        <v/>
      </c>
      <c r="G261" t="inlineStr">
        <is>
          <t>Bellevue, WA, US</t>
        </is>
      </c>
      <c r="H261" s="2" t="n">
        <v>45806</v>
      </c>
      <c r="I26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in-29ea7899532858a1</t>
        </is>
      </c>
      <c r="B262" t="inlineStr">
        <is>
          <t>Sr. Applied Scientist - Privacy, Privacy Engineering</t>
        </is>
      </c>
      <c r="C262" t="inlineStr">
        <is>
          <t>Amazon.com</t>
        </is>
      </c>
      <c r="D262" t="inlineStr">
        <is>
          <t>indeed</t>
        </is>
      </c>
      <c r="E262">
        <f>HYPERLINK("https://www.indeed.com/viewjob?jk=29ea7899532858a1", "https://www.indeed.com/viewjob?jk=29ea7899532858a1")</f>
        <v/>
      </c>
      <c r="F262">
        <f>HYPERLINK("https://www.amazon.jobs/jobs/2997657/sr-applied-scientist--privacy-privacy-engineering?cmpid=DA_INAD200785B", "https://www.amazon.jobs/jobs/2997657/sr-applied-scientist--privacy-privacy-engineering?cmpid=DA_INAD200785B")</f>
        <v/>
      </c>
      <c r="G262" t="inlineStr">
        <is>
          <t>Sunnyvale, CA, US</t>
        </is>
      </c>
      <c r="H262" s="2" t="n">
        <v>45787</v>
      </c>
      <c r="I26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in-5b6ffff77d10ec26</t>
        </is>
      </c>
      <c r="B263" t="inlineStr">
        <is>
          <t>Sr. Applied Scientist - Privacy, Privacy Engineering</t>
        </is>
      </c>
      <c r="C263" t="inlineStr">
        <is>
          <t>Amazon.com</t>
        </is>
      </c>
      <c r="D263" t="inlineStr">
        <is>
          <t>indeed</t>
        </is>
      </c>
      <c r="E263">
        <f>HYPERLINK("https://www.indeed.com/viewjob?jk=5b6ffff77d10ec26", "https://www.indeed.com/viewjob?jk=5b6ffff77d10ec26")</f>
        <v/>
      </c>
      <c r="F263">
        <f>HYPERLINK("https://www.amazon.jobs/jobs/2997657/sr-applied-scientist--privacy-privacy-engineering?cmpid=DA_INAD200785B", "https://www.amazon.jobs/jobs/2997657/sr-applied-scientist--privacy-privacy-engineering?cmpid=DA_INAD200785B")</f>
        <v/>
      </c>
      <c r="G263" t="inlineStr">
        <is>
          <t>Santa Clara, CA, US</t>
        </is>
      </c>
      <c r="H263" s="2" t="n">
        <v>45787</v>
      </c>
      <c r="I26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in-8d9b8673a56a02fc</t>
        </is>
      </c>
      <c r="B264" t="inlineStr">
        <is>
          <t>Sr. Applied Scientist - Privacy, Privacy Engineering</t>
        </is>
      </c>
      <c r="C264" t="inlineStr">
        <is>
          <t>Amazon.com</t>
        </is>
      </c>
      <c r="D264" t="inlineStr">
        <is>
          <t>indeed</t>
        </is>
      </c>
      <c r="E264">
        <f>HYPERLINK("https://www.indeed.com/viewjob?jk=8d9b8673a56a02fc", "https://www.indeed.com/viewjob?jk=8d9b8673a56a02fc")</f>
        <v/>
      </c>
      <c r="F264">
        <f>HYPERLINK("https://www.amazon.jobs/jobs/2997657/sr-applied-scientist--privacy-privacy-engineering?cmpid=DA_INAD200785B", "https://www.amazon.jobs/jobs/2997657/sr-applied-scientist--privacy-privacy-engineering?cmpid=DA_INAD200785B")</f>
        <v/>
      </c>
      <c r="G264" t="inlineStr">
        <is>
          <t>Seattle, WA, US</t>
        </is>
      </c>
      <c r="H264" s="2" t="n">
        <v>45787</v>
      </c>
      <c r="I26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in-21af1d3d6fccf2b5</t>
        </is>
      </c>
      <c r="B265" t="inlineStr">
        <is>
          <t>Sr. Applied Scientist - Privacy, Privacy Engineering</t>
        </is>
      </c>
      <c r="C265" t="inlineStr">
        <is>
          <t>Amazon.com</t>
        </is>
      </c>
      <c r="D265" t="inlineStr">
        <is>
          <t>indeed</t>
        </is>
      </c>
      <c r="E265">
        <f>HYPERLINK("https://www.indeed.com/viewjob?jk=21af1d3d6fccf2b5", "https://www.indeed.com/viewjob?jk=21af1d3d6fccf2b5")</f>
        <v/>
      </c>
      <c r="F265">
        <f>HYPERLINK("https://www.amazon.jobs/jobs/2997657/sr-applied-scientist--privacy-privacy-engineering?cmpid=DA_INAD200785B", "https://www.amazon.jobs/jobs/2997657/sr-applied-scientist--privacy-privacy-engineering?cmpid=DA_INAD200785B")</f>
        <v/>
      </c>
      <c r="G265" t="inlineStr">
        <is>
          <t>San Francisco, CA, US</t>
        </is>
      </c>
      <c r="H265" s="2" t="n">
        <v>45787</v>
      </c>
      <c r="I26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in-69d36b1b25e3027c</t>
        </is>
      </c>
      <c r="B266" t="inlineStr">
        <is>
          <t>Applied Scientist, Alexa Smart Home</t>
        </is>
      </c>
      <c r="C266" t="inlineStr">
        <is>
          <t>Amazon.com</t>
        </is>
      </c>
      <c r="D266" t="inlineStr">
        <is>
          <t>indeed</t>
        </is>
      </c>
      <c r="E266">
        <f>HYPERLINK("https://www.indeed.com/viewjob?jk=69d36b1b25e3027c", "https://www.indeed.com/viewjob?jk=69d36b1b25e3027c")</f>
        <v/>
      </c>
      <c r="F266">
        <f>HYPERLINK("https://www.amazon.jobs/jobs/3169205/applied-scientist-alexa-smart-home?cmpid=DA_INAD200785B", "https://www.amazon.jobs/jobs/3169205/applied-scientist-alexa-smart-home?cmpid=DA_INAD200785B")</f>
        <v/>
      </c>
      <c r="G266" t="inlineStr">
        <is>
          <t>Sunnyvale, CA, US</t>
        </is>
      </c>
      <c r="H266" s="2" t="n">
        <v>46033</v>
      </c>
      <c r="I266"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67">
      <c r="A267" t="inlineStr">
        <is>
          <t>in-13c0790d0de86131</t>
        </is>
      </c>
      <c r="B267" t="inlineStr">
        <is>
          <t>Applied Scientist, Alexa Smart Home</t>
        </is>
      </c>
      <c r="C267" t="inlineStr">
        <is>
          <t>Amazon.com</t>
        </is>
      </c>
      <c r="D267" t="inlineStr">
        <is>
          <t>indeed</t>
        </is>
      </c>
      <c r="E267">
        <f>HYPERLINK("https://www.indeed.com/viewjob?jk=13c0790d0de86131", "https://www.indeed.com/viewjob?jk=13c0790d0de86131")</f>
        <v/>
      </c>
      <c r="F267">
        <f>HYPERLINK("https://www.amazon.jobs/jobs/3169205/applied-scientist-alexa-smart-home?cmpid=DA_INAD200785B", "https://www.amazon.jobs/jobs/3169205/applied-scientist-alexa-smart-home?cmpid=DA_INAD200785B")</f>
        <v/>
      </c>
      <c r="G267" t="inlineStr">
        <is>
          <t>Seattle, WA, US</t>
        </is>
      </c>
      <c r="H267" s="2" t="n">
        <v>46033</v>
      </c>
      <c r="I267"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li-4357492872</t>
        </is>
      </c>
      <c r="B2" t="inlineStr">
        <is>
          <t>Data Engineer / Data Scientist / Data Architect - Full time</t>
        </is>
      </c>
      <c r="C2" t="inlineStr">
        <is>
          <t>Ztek Consulting</t>
        </is>
      </c>
      <c r="D2" t="inlineStr">
        <is>
          <t>linkedin</t>
        </is>
      </c>
      <c r="E2" t="inlineStr"/>
      <c r="F2" t="inlineStr"/>
      <c r="G2" t="inlineStr">
        <is>
          <t>Vienna, VA</t>
        </is>
      </c>
      <c r="H2" t="inlineStr"/>
      <c r="I2" t="inlineStr">
        <is>
          <t>Below are the 3 roles open:
 1\) Data Engineer
 2\) Data Scientist
 3\) Data Architect
**Job Descriptions:** 
**Data Engineer Job Description :** 
* Design, build, and optimize batch and real\-time data pipelines using Python, SQL, Airflow, Kafka, and AWS Glue
* Lead scalable ETL and data lake architectures across distributed cloud environments
* Ensure data quality, governance, security, and compliance while supporting analytics and data science needs
* Mentor junior engineers and collaborate with stakeholders to deliver reliable, well\-documented data solutions
**Data Scientist Job Description :** 
* 3\+ years of experience in statistical modeling and applied data analysis, including regression, classification, clustering, and time\-series analysis
* Proficient in Python or R, with hands\-on experience in data wrangling, visualization, and model development
* Strong experience with SQL/Spark SQL, basic data modeling, and cloud platforms (AWS, Azure, or GCP)
* Excellent ability to communicate complex insights and manage multiple priorities effectively
**Data Architect Job Description :** 
* Lead and mentor data engineering teams while architecting and building enterprise\-scale data platforms from design through production
* Develop and optimize production\-grade ETL/ELT pipelines, data models, and data warehouses using Python, SQL, PySpark, and cloud platforms (AWS/GCP)
* Implement CI/CD, data governance, quality frameworks, and secure, compliant data solutions aligned with federal/VA standards
* Collaborate with cross\-functional stakeholders to translate business requirements into scalable, high\-quality data solutions</t>
        </is>
      </c>
    </row>
    <row r="3">
      <c r="A3" t="inlineStr">
        <is>
          <t>li-4374501248</t>
        </is>
      </c>
      <c r="B3" t="inlineStr">
        <is>
          <t>Research Data Scientist</t>
        </is>
      </c>
      <c r="C3" t="inlineStr">
        <is>
          <t>University of Notre Dame</t>
        </is>
      </c>
      <c r="D3" t="inlineStr">
        <is>
          <t>linkedin</t>
        </is>
      </c>
      <c r="E3" t="inlineStr"/>
      <c r="F3" t="inlineStr"/>
      <c r="G3" t="inlineStr">
        <is>
          <t>Notre Dame, IN</t>
        </is>
      </c>
      <c r="H3" t="inlineStr"/>
      <c r="I3" t="inlineStr">
        <is>
          <t>The
 *University of Notre Dame* 
 is more than a workplace; it is a vibrant, mission\-driven community where every employee is valued and supported. Rooted in a tradition of excellence and inspired by our Catholic character, Notre Dame is committed to fostering an environment of care that nurtures the whole person—mind, body, and spirit. Here, you will find a deep sense of belonging, a culture that prioritizes well\-being, and the opportunity to grow your career while being a force for good in the world. Whether contributing to world\-class research, shaping the student experience, or supporting the University’s mission in other ways, you will be part of a dedicated team working to make a meaningful impact on campus and beyond. At Notre Dame, your work matters, and so do you!
**Summary**
**Job Description**
 The Mendoza College of Business seeks a
 **Research Data Scientist** 
 to serve as the primary technical research support professional for the Mendoza Behavioral Lab (MBL) and will also support other faculty research initiatives. This role bridges IT infrastructure, behavioral experimentation, and research technology, enabling faculty and research teams to design, execute, and analyze high\-quality experimental studies efficiently, securely, and reproducibly.
 The Research Data Scientist partners closely with Mendoza faculty, Mendoza IT and Central IT to support experimental workflows, maintain lab technology, and develop robust data pipelines across a wide range of behavioral and business research projects.
**Key Responsibilities**
* Provide hands\-on technical and IT support for behavioral experiments, including real\-time troubleshooting to ensure smooth study execution and data integrity.
* Consult with faculty to design, develop, and maintain reproducible data workflows using R, Python, and SQL to build software for experiments and applied research projects.
* Integrate and manage data from multiple sources (e.g., surveys, biometric tools, experimental platforms, VR systems) into clean, analysis\-ready datasets.
* Develop and document data pipelines, scripts, and data dictionaries to support replication, long\-term data management, and research continuity.
* Collaborate with MBL program director and research teams to ensure the study design adheres to IRB requirements and campus security standards.
* Partner with Mendoza IT, Central IT, and the Center for Research Computing to ensure compliance with university policies and best practices.
* Stay current with emerging research technologies and data science tools through professional development, training, and conferences.
**Qualifications**
**Required Qualifications**
* Bachelor’s degree in Data Science, Computer Science, Information Systems, or a related field.
* Experience developing lightweight web and application frameworks for research data collection
* At least 1–2 years of experience in data science, research computing, or applied data workflows.
* Proficiency in R and/or Python and SQL for data manipulation, integration, and analysis.
* Experience with Amazon Web Services and Google Cloud Platforms
* Experience managing and integrating datasets from multiple research or enterprise sources.
* Strong analytical, problem\-solving, and workflow design skills.
* Excellent communication, consulting and documentation skills, with the ability to collaborate across technical and non\-technical teams.
* Commitment to data integrity, security, and compliance in human\-subject research environments.
**Preferred Qualifications**
* Master’s degree in Data Science, Computer Science, or a related field.
* Experience working in academic research labs or behavioral research settings.
* Familiarity with tools such as iMotions, Qualtrics (including JavaScript customization), and VR platforms.
* Experience integrating behavioral and biometric data with enterprise or large\-scale datasets.
* Knowledge of Windows systems administration and enterprise tools (e.g., Active Directory, SCCM, Intune, Group Policy).
* Demonstrated ability to support complex, multi\-study research environments.
**Additional Information**
* Application Deadline to Apply (subject to change): Sunday, 3/1/26
* Please note this is a full\-time (40 hours per week) position that is fully onsite, based within the Mendoza College of Business, supporting the Mendoza Behavioral Lab.
* Salary commensurate with experience
* Please include a cover letter in your application for full consideration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is>
      </c>
    </row>
    <row r="4">
      <c r="A4" t="inlineStr">
        <is>
          <t>li-4313808393</t>
        </is>
      </c>
      <c r="B4" t="inlineStr">
        <is>
          <t>Data Scientist</t>
        </is>
      </c>
      <c r="C4" t="inlineStr">
        <is>
          <t>OpenAI</t>
        </is>
      </c>
      <c r="D4" t="inlineStr">
        <is>
          <t>linkedin</t>
        </is>
      </c>
      <c r="E4" t="inlineStr"/>
      <c r="F4" t="inlineStr"/>
      <c r="G4" t="inlineStr">
        <is>
          <t>San Francisco, CA</t>
        </is>
      </c>
      <c r="H4" t="inlineStr"/>
      <c r="I4" t="inlineStr">
        <is>
          <t>**About The Team**
 The Strategic Finance team is responsible for some of the largest investment categories at OpenAI. We play a critical role in maximizing OpenAI’s long\-term value by partnering across the business to allocate and deploy resources for the highest\-impact outcomes. We work cross\-functionally with Finance, Product, Engineering, and Go\-To\-Market teams to deliver actionable insights and support strategic decision\-making.
**About The Role**
 As one of the founding Data Scientists on the Strategic Finance Data Science team, you will design, implement, and own critical models, reporting, and analysis. You will work closely with Finance leadership, as well as teams across Research, Applied and Go\-To\-Market.
 This role requires deep expertise in predictive modeling, causal inference, and the ability to surface insights to support high\-stakes decision\-making.
 This role is based in our San Francisco HQ. We use a hybrid work model of three days in the office per week and offer relocation assistance to new employees.
**In This Role, You Will**
* Become an expert in OpenAI’s data and systems. Partnering with Data Engineering, Finance, and other teams, you’ll self\-serve data to derive critical insights.
* Scale causal inference models to measure the impact of different actions on user growth and financial outcomes.
* Architect customer segmentation frameworks to unlock tailored growth strategies and expand lifetime value.
* Automate standardized reporting and analysis by building data products or agentic solutions.
* Support product pricing and other business decisions with ad hoc analysis.
* Design and deliver dashboards for leadership to track key performance indicators and enable optimal decision\-making.
* Manage and lead cross\-functional data science projects end\-to\-end.
**You Might Thrive In This Role If You Have**
* MS or PhD in a quantitative field, with 7\+ years of experience in a highly quantitative role, ideally as an early data scientist at a hyper\-growth company or research organization.
* Proficiency in Python, SQL, Tableau, and other analytical tools.
* Strong analytical skills and experience working with large, complex data sets.
* Proven ability to distill complex data into actionable insights for leadership.
* Ability to independently initiate and complete projects, owning them end\-to\-end.
* Excellent communication and storytelling skills when presenting data insights.
* Exceptional attention to detail and a commitment to accuracy.
**You Could Be An Especially Great Fit If**
* You’re an enthusiastic self\-starter who thrives in fast\-paced, dynamic environments.
* You’re a phenomenal teammate and communicator, able to explain complex topics with clarity and keep stakeholders proactively informed.
* You’re passionate about technology and artificial intelligence.
* You use first\-principles thinking to design solutions from the ground up based on user needs and operational realities.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5">
      <c r="A5" t="inlineStr">
        <is>
          <t>li-4376578636</t>
        </is>
      </c>
      <c r="B5" t="inlineStr">
        <is>
          <t>Junior Data Scientist</t>
        </is>
      </c>
      <c r="C5" t="inlineStr">
        <is>
          <t>Wpromote</t>
        </is>
      </c>
      <c r="D5" t="inlineStr">
        <is>
          <t>linkedin</t>
        </is>
      </c>
      <c r="E5" t="inlineStr"/>
      <c r="F5" t="inlineStr"/>
      <c r="G5" t="inlineStr">
        <is>
          <t>Florida, United States</t>
        </is>
      </c>
      <c r="H5" t="inlineStr"/>
      <c r="I5" t="inlineStr">
        <is>
          <t>Wpromote is hiring a Junior Data Scientist who loves solving problems with data and has strong math, logic, and communication skills. In this role, you’ll support data processing, model updates, and analytics reporting while learning advanced techniques that will grow your impact over time. You’ll collaborate with teams across Engineering, Reporting, Product, Paid Media, and Data Science, working with exciting clients in e\-commerce, retail, and entertainment. If you’re detail\-oriented, eager to learn, and ready to turn data into meaningful insights, we want to hear from you! At Wpromote, we believe that great work is only possible with great people. Our goal is to build a better, more inclusive work environment and support our people at every stage of their careers by prioritizing a strong work\-life balance through our policies and benefits listed below. As a Best Place to Work according to both Ad Age and Glassdoor and Adweek’s Fastest Growing Digital Agency, we are moving fast to expand our teams and bring new experts into the fold to keep pushing the boundaries of what’s possible in marketing.
 We offer:
* Half\-day Fridays year round
* Unlimited PTO
* Extended Holiday break (Winter)
* Flexible schedules
* Work from anywhere options
* 100% paid parental leave
* 401(k) matching
* Medical, Dental, Vision, Life, Pet Insurance
* Sponsored life insurance
* Short Term Disability insurance and additional voluntary insurance
* Annual Class Pass Credits and more!
**Pay range and compensation package** 
 The anticipated annual salary for this role will range from $88,000 \- $100,000, based on a variety of factors unique to each candidate, including skill set, years and depth of experience, education and certifications, competitive benchmarks, scope of responsibility, market dynamics, geographic location, and the respective state’s salary threshold for exempt employees. At Wpromote, pay ranges are subject to change and are based on specific market medians for similar jobs according to third\-party salary benchmark surveys. Individual pay within that range can vary due to skills, experience, and available budget. The total compensation package for this role will include benefits (listed above).
**Responsibilities** 
* Learning to transform, improve, and integrate data according to business requirements
* Planning and scoping end\-to\-end data analysis projects by identifying the business problem and selecting appropriate investigative tests and solutions
* Using SQL and BigQuery to combine and prepare datasets from multiple sources
* Delivering data in a clear, useful, and visually appealing way to both technical and non\-technical audiences
* Maintaining existing media\-mix models through directed retrains and reporting on performance changes
* Organizing and collecting results from media\-mix models, incrementality tests, clean rooms, and related analyses to support Wpromote’s culture of learning
* Conducting guided marketing analyses to support client and internal needs
* Supporting presentations through data pulls, ad\-hoc analyses, and slide creation
* Learning to automate data gathering, blending, and transformation processes
* Collaborating across Engineering, Reporting, Product, Paid Media, and Data Science teams to understand and support client needs
**Qualifications** 
* Associate’s degree, bootcamp certification, or practical work experience in a quantitative field (Statistics, Mathematics, Computer Science, Information Technology, Economics, Engineering, etc.)
**Required Skills** 
* Intermediate programming skills in R or Python for data cleaning, data modeling, pipeline development, API calls, and related tasks
* Experience with statistical modeling, machine learning techniques, and LLMs
* Intermediate SQL skills, including window functions, stored procedures, views, triggers, unions, CTEs, subqueries, and debugging
* Advanced proficiency in Excel and/or Google Sheets
* Experience with at least one BI platform (Looker, Tableau, Power BI, etc.) with the ability to learn others; Looker preferred
* Experience or familiarity with version control tools such as Git or Bitbucket
* Strong organizational skills with the ability to balance competing client requests and work with complex datasets while maintaining accuracy and meeting deadlines
* Intermediate to advanced competency in statistics, probability, and linear algebra
* Strong communication skills, including experience creating and delivering presentations and executive summaries
* Demonstrated critical thinking skills—the ability to analyze numbers, trends, and data to form meaningful insights
* Interest or passion for marketing analytics and/or a personal project portfolio
**Preferred Skills** 
* Bachelor’s degree or higher in a quantitative field
* Exposure to marketing analyses such as media\-mix models (MMM), incrementality testing, CAC, and lead scoring
* Experience with analytics software, such as Google Analytics and Adobe Analytics
* Familiarity with clean room environments (FBAA, AMC, Google ADH)
* Experience with cloud computing (AWS, GCP, Azure, etc.)
**Equal Opportunity Statement** 
 Wpromote is committed to bringing together individuals from different backgrounds and perspectives, providing employees with a safe and welcoming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Wpromote.
 This employer participates in E\-Verify and will provide the federal government with your Form I\-9 information to confirm that you</t>
        </is>
      </c>
    </row>
    <row r="6">
      <c r="A6" t="inlineStr">
        <is>
          <t>li-4375719437</t>
        </is>
      </c>
      <c r="B6" t="inlineStr">
        <is>
          <t>Marketing Data Scientist - GenAI</t>
        </is>
      </c>
      <c r="C6" t="inlineStr">
        <is>
          <t>CDW</t>
        </is>
      </c>
      <c r="D6" t="inlineStr">
        <is>
          <t>linkedin</t>
        </is>
      </c>
      <c r="E6" t="inlineStr"/>
      <c r="F6" t="inlineStr"/>
      <c r="G6" t="inlineStr"/>
      <c r="H6" t="inlineStr"/>
      <c r="I6" t="inlineStr">
        <is>
          <t>As a Marketing Data Scientist (Gen AI), you will advance CDW’s data\-driven marketing strategy by developing AI\-powered solutions that uncover insights, automate analytics, and enhance decision\-making across the marketing teams. Partnering with marketing, digital, and data engineering teams, you will design scalable data and AI models, integrate Generative AI into campaign intelligence, and operationalize insights through automation and visualization. Leveraging tools such as Python, SQL, LangChain, VertexAI, and OpenAI APIs, you will optimize attribution, customer engagement, and marketing performance. This role requires a strong mix of technical depth, analytical storytelling, and innovation mindset to scale Generative AI across CDW’s marketing analytics framework and drive measurable business impact.
**What you will do:** 
* Advanced SQL \&amp; Data Wrangling: Build complex SQL queries to extract, transform, and analyze marketing and performance data from multiple sources.
* Python Automation \&amp; APIs: Develop Python\-based automation and scalable FastAPI endpoints to detect anomalies, trends, and performance shifts in key metrics.
* Marketing Analytics: Build Marketing Attribution Models, leveraging AI\-driven methods to measure and optimize ROI.
* Generative AI Development: Build GenAI solutions for summarization, search, and data synthesis using LangChain, VertexAI, Hugging Face, OpenAI APIs, and MCP (Model Context Protocol) and MS Fabric Agents.
* Prompt Engineering \&amp; Optimization: Design, test, and refine prompts to maximize the accuracy, creativity, and reliability of LLM\-based marketing analytics and automation workflows.
* LLM Fine\-Tuning \&amp; Evaluation: Fine\-tune and evaluate large language models (e.g., GPT, LLaMA, Mistral) using automated evaluation pipelines, human feedback, and LLM\-as\-a\-judge approaches.
* AI Agents \&amp; RAG Systems: Develop multi\-agent frameworks and Retrieval\-Augmented Generation (RAG) pipelines using interoperable standards such as MCP, enabling scalable analytics and decision workflows.
* Prototyping \&amp; Model Innovation: Rapidly prototype multi\-agent and LLM\-integrated applications using LangChain, MCP, and Fabric’s Agent Framework, enabling scalable and explainable marketing intelligence solutions.
* Cloud \&amp; Data Architecture: Design and maintain scalable data architectures across cloud technologies like AWS, Azure, and GCP, ensuring security, compliance, and performance for AI workloads.
* Continuous Research \&amp; Collaboration: Stay at the forefront of GenAI innovation, partner with marketing and engineering teams, and drive adoption of emerging foundation models and AI tools across CDW.
**What we expect of you:** 
* Bachelor’s degree in Data Science, Statistics, Computer Science, Data Analytics or related field and 1\+ years of experience in marketing analytics, data science, or AI automation. OR
* Master’s degree in Data Science, Statistics, Computer Science, Data Analytics or related field and a previous internship.
* Strong skills in SQL and Python for analytics and automation.
* Experience with Generative AI tools (LangChain, VertexAI, OpenAI, Hugging Face, MCP).
* Knowledge of LLMs, prompt engineering, and evaluation techniques.
* Familiarity with Adobe Analytics, GA4, Power BI, and Tag Management tools.
* Exposure to cloud platforms (AWS, Azure, or GCP).
* Strong communication, storytelling, and innovation mindset.
 Pay range: $84,000 \- $116,800 depending on experience and skill set
 Benefits overview: https://cdw.benefit\-info.com/
 Salary ranges may be subject to geographic differentials</t>
        </is>
      </c>
    </row>
    <row r="7">
      <c r="A7" t="inlineStr">
        <is>
          <t>li-4376803663</t>
        </is>
      </c>
      <c r="B7" t="inlineStr">
        <is>
          <t>Senior or Principal Data Scientist/Machine Learning Scientist</t>
        </is>
      </c>
      <c r="C7" t="inlineStr">
        <is>
          <t>Datalign Advisory</t>
        </is>
      </c>
      <c r="D7" t="inlineStr">
        <is>
          <t>linkedin</t>
        </is>
      </c>
      <c r="E7" t="inlineStr"/>
      <c r="F7" t="inlineStr"/>
      <c r="G7" t="inlineStr">
        <is>
          <t>Cambridge, MA</t>
        </is>
      </c>
      <c r="H7" t="inlineStr"/>
      <c r="I7" t="inlineStr">
        <is>
          <t>**Position Overview**
 We are seeking a Senior or Principal Data Scientist/Machine Learning Scientist to lead product\-focused artificial intelligence initiatives and facilitate strategic decision\-making through advanced analytics and machine learning. This role requires a proven track record of building and scaling data science products that directly impact user experience and business outcomes.
 As Data Scientist/Machine Learning Scientist, you will shape the future of how consumers connect with vetted financial advisory firms through our proprietary three\-sided marketplace, leveraging data and AI\-powered analytics to create meaningful one\-to\-one matches and improved financial outcomes.
**Please note:** 
 We are only accepting applications from candidates in the Greater Boston area, as this is a hybrid role with 4 days a week in office.
**Key Responsibilities**
* Conduct exploratory data analysis to uncover relationships, patterns and key features in data for both business decision making and model development.
* Develop and deploy machine learning models for production using robust CI/CD practices in collaboration with software engineers.
* Identify success metrics and build evaluation frameworks for both model and product performance considering both technical and business requirements.
* Innovate with the latest generative AI and graph\-based machine learning advancements to improve existing processes and develop new products.
* Contribute to architectural and code reviews to maintain and evolve the health of our technical stack.
* Collaborate with product management, engineering, and business teams to rapidly identify and test high\-impact solutions for business needs.
* Influence strategic decisions across multiple business areas by clearly communicating complex data in a way that is understandable and actionable for technical and non\-technical stakeholders.
**Required Qualifications**
* MS or PhD in Computer Science, Statistics, Mathematics, or related quantitative field
* MS with 6\+ years of industry experience or PhD with 3\+
* Entrepreneurial mindset with willingness to experiment, iterate quickly and move from hypothesis to implementation to develop critical business solutions.
* Expert\-level proficiency in Python, SQL, and distributed computing frameworks.
* Deep understanding of machine learning algorithms, experiment design and statistical modeling and evaluation
* Strong background in product analytics, classifiers, recommendation systems, and personalization algorithms
* Experience putting machine learning solutions in production with modern ML platforms (e.g. AWS/GCP/Azure ML, MLflow, Kubeflow)
* Familiarity with A/B testing, product metrics and user behavior analytics
**Preferred Qualifications**
* Experience with graph representations/graph neural networks, real\-time ML systems and/or matching algorithms.
* Proficiency in big data technologies (e.g. Spark, Dask, Kafka, Airflow) and cloud architectures.
* Background in fintech, wealth management, or financial advisory services with an understanding of the regulatory requirements in financial services.
* Track record of publications in top\-tier conferences or journals.
* Understanding of marketplace dynamics and multi\-sided platform optimization.
* Experience with data monetization and building data products
**What We Offer**
* A dynamic, team\-centric and supportive environment in the heart of Kendall Square where your work has a direct impact on enhancing financial advisory services.
* Competitive salary with performance\-based bonuses.
* Comprehensive benefits package including health, dental, and vision insurance, and retirement savings plan
* Commuting is on us and we will pay for your monthly parking, T Pass or commuter rail pass. We also offer a corporate Bluebike membership.
* Opportunities for professional growth and development within a rapidly growing company.
* Weekly lunches catered to the office.
* Fully stocked kitchen covering all of coffee, tea and snack needs.
**Additional Information**
* We are only accepting applications from candidates in the Greater Boston area, as this is a hybrid role with 4 days a week in office.
* The level of this position can be adjusted based on the candidate's experience.
 Powered by JazzHR</t>
        </is>
      </c>
    </row>
    <row r="8">
      <c r="A8" t="inlineStr">
        <is>
          <t>li-4376590147</t>
        </is>
      </c>
      <c r="B8" t="inlineStr">
        <is>
          <t>Junior Data Scientist</t>
        </is>
      </c>
      <c r="C8" t="inlineStr">
        <is>
          <t>Wpromote</t>
        </is>
      </c>
      <c r="D8" t="inlineStr">
        <is>
          <t>linkedin</t>
        </is>
      </c>
      <c r="E8" t="inlineStr"/>
      <c r="F8" t="inlineStr"/>
      <c r="G8" t="inlineStr">
        <is>
          <t>Delaware, United States</t>
        </is>
      </c>
      <c r="H8" t="inlineStr"/>
      <c r="I8" t="inlineStr">
        <is>
          <t>Wpromote is hiring a Junior Data Scientist who loves solving problems with data and has strong math, logic, and communication skills. In this role, you’ll support data processing, model updates, and analytics reporting while learning advanced techniques that will grow your impact over time. You’ll collaborate with teams across Engineering, Reporting, Product, Paid Media, and Data Science, working with exciting clients in e\-commerce, retail, and entertainment. If you’re detail\-oriented, eager to learn, and ready to turn data into meaningful insights, we want to hear from you! At Wpromote, we believe that great work is only possible with great people. Our goal is to build a better, more inclusive work environment and support our people at every stage of their careers by prioritizing a strong work\-life balance through our policies and benefits listed below. As a Best Place to Work according to both Ad Age and Glassdoor and Adweek’s Fastest Growing Digital Agency, we are moving fast to expand our teams and bring new experts into the fold to keep pushing the boundaries of what’s possible in marketing.
 We offer:
* Half\-day Fridays year round
* Unlimited PTO
* Extended Holiday break (Winter)
* Flexible schedules
* Work from anywhere options
* 100% paid parental leave
* 401(k) matching
* Medical, Dental, Vision, Life, Pet Insurance
* Sponsored life insurance
* Short Term Disability insurance and additional voluntary insurance
* Annual Class Pass Credits and more!
**Pay range and compensation package** 
 The anticipated annual salary for this role will range from $88,000 \- $100,000, based on a variety of factors unique to each candidate, including skill set, years and depth of experience, education and certifications, competitive benchmarks, scope of responsibility, market dynamics, geographic location, and the respective state’s salary threshold for exempt employees. At Wpromote, pay ranges are subject to change and are based on specific market medians for similar jobs according to third\-party salary benchmark surveys. Individual pay within that range can vary due to skills, experience, and available budget. The total compensation package for this role will include benefits (listed above).
**Responsibilities** 
* Learning to transform, improve, and integrate data according to business requirements
* Planning and scoping end\-to\-end data analysis projects by identifying the business problem and selecting appropriate investigative tests and solutions
* Using SQL and BigQuery to combine and prepare datasets from multiple sources
* Delivering data in a clear, useful, and visually appealing way to both technical and non\-technical audiences
* Maintaining existing media\-mix models through directed retrains and reporting on performance changes
* Organizing and collecting results from media\-mix models, incrementality tests, clean rooms, and related analyses to support Wpromote’s culture of learning
* Conducting guided marketing analyses to support client and internal needs
* Supporting presentations through data pulls, ad\-hoc analyses, and slide creation
* Learning to automate data gathering, blending, and transformation processes
* Collaborating across Engineering, Reporting, Product, Paid Media, and Data Science teams to understand and support client needs
**Qualifications** 
* Associate’s degree, bootcamp certification, or practical work experience in a quantitative field (Statistics, Mathematics, Computer Science, Information Technology, Economics, Engineering, etc.)
**Required Skills** 
* Intermediate programming skills in R or Python for data cleaning, data modeling, pipeline development, API calls, and related tasks
* Experience with statistical modeling, machine learning techniques, and LLMs
* Intermediate SQL skills, including window functions, stored procedures, views, triggers, unions, CTEs, subqueries, and debugging
* Advanced proficiency in Excel and/or Google Sheets
* Experience with at least one BI platform (Looker, Tableau, Power BI, etc.) with the ability to learn others; Looker preferred
* Experience or familiarity with version control tools such as Git or Bitbucket
* Strong organizational skills with the ability to balance competing client requests and work with complex datasets while maintaining accuracy and meeting deadlines
* Intermediate to advanced competency in statistics, probability, and linear algebra
* Strong communication skills, including experience creating and delivering presentations and executive summaries
* Demonstrated critical thinking skills—the ability to analyze numbers, trends, and data to form meaningful insights
* Interest or passion for marketing analytics and/or a personal project portfolio
**Preferred Skills** 
* Bachelor’s degree or higher in a quantitative field
* Exposure to marketing analyses such as media\-mix models (MMM), incrementality testing, CAC, and lead scoring
* Experience with analytics software, such as Google Analytics and Adobe Analytics
* Familiarity with clean room environments (FBAA, AMC, Google ADH)
* Experience with cloud computing (AWS, GCP, Azure, etc.)
**Equal Opportunity Statement** 
 Wpromote is committed to bringing together individuals from different backgrounds and perspectives, providing employees with a safe and welcoming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Wpromote.
 This employer participates in E\-Verify and will provide the federal government with your Form I\-9 information to confirm that you</t>
        </is>
      </c>
    </row>
    <row r="9">
      <c r="A9" t="inlineStr">
        <is>
          <t>li-4376578525</t>
        </is>
      </c>
      <c r="B9" t="inlineStr">
        <is>
          <t>Junior Data Scientist</t>
        </is>
      </c>
      <c r="C9" t="inlineStr">
        <is>
          <t>Wpromote</t>
        </is>
      </c>
      <c r="D9" t="inlineStr">
        <is>
          <t>linkedin</t>
        </is>
      </c>
      <c r="E9" t="inlineStr"/>
      <c r="F9" t="inlineStr"/>
      <c r="G9" t="inlineStr">
        <is>
          <t>California, United States</t>
        </is>
      </c>
      <c r="H9" t="inlineStr"/>
      <c r="I9" t="inlineStr">
        <is>
          <t>Wpromote is hiring a Junior Data Scientist who loves solving problems with data and has strong math, logic, and communication skills. In this role, you’ll support data processing, model updates, and analytics reporting while learning advanced techniques that will grow your impact over time. You’ll collaborate with teams across Engineering, Reporting, Product, Paid Media, and Data Science, working with exciting clients in e\-commerce, retail, and entertainment. If you’re detail\-oriented, eager to learn, and ready to turn data into meaningful insights, we want to hear from you! At Wpromote, we believe that great work is only possible with great people. Our goal is to build a better, more inclusive work environment and support our people at every stage of their careers by prioritizing a strong work\-life balance through our policies and benefits listed below. As a Best Place to Work according to both Ad Age and Glassdoor and Adweek’s Fastest Growing Digital Agency, we are moving fast to expand our teams and bring new experts into the fold to keep pushing the boundaries of what’s possible in marketing.
 We offer:
* Half\-day Fridays year round
* Unlimited PTO
* Extended Holiday break (Winter)
* Flexible schedules
* Work from anywhere options
* 100% paid parental leave
* 401(k) matching
* Medical, Dental, Vision, Life, Pet Insurance
* Sponsored life insurance
* Short Term Disability insurance and additional voluntary insurance
* Annual Class Pass Credits and more!
**Pay range and compensation package** 
 The anticipated annual salary for this role will range from $88,000 \- $100,000, based on a variety of factors unique to each candidate, including skill set, years and depth of experience, education and certifications, competitive benchmarks, scope of responsibility, market dynamics, geographic location, and the respective state’s salary threshold for exempt employees. At Wpromote, pay ranges are subject to change and are based on specific market medians for similar jobs according to third\-party salary benchmark surveys. Individual pay within that range can vary due to skills, experience, and available budget. The total compensation package for this role will include benefits (listed above).
**Responsibilities** 
* Learning to transform, improve, and integrate data according to business requirements
* Planning and scoping end\-to\-end data analysis projects by identifying the business problem and selecting appropriate investigative tests and solutions
* Using SQL and BigQuery to combine and prepare datasets from multiple sources
* Delivering data in a clear, useful, and visually appealing way to both technical and non\-technical audiences
* Maintaining existing media\-mix models through directed retrains and reporting on performance changes
* Organizing and collecting results from media\-mix models, incrementality tests, clean rooms, and related analyses to support Wpromote’s culture of learning
* Conducting guided marketing analyses to support client and internal needs
* Supporting presentations through data pulls, ad\-hoc analyses, and slide creation
* Learning to automate data gathering, blending, and transformation processes
* Collaborating across Engineering, Reporting, Product, Paid Media, and Data Science teams to understand and support client needs
**Qualifications** 
* Associate’s degree, bootcamp certification, or practical work experience in a quantitative field (Statistics, Mathematics, Computer Science, Information Technology, Economics, Engineering, etc.)
**Required Skills** 
* Intermediate programming skills in R or Python for data cleaning, data modeling, pipeline development, API calls, and related tasks
* Experience with statistical modeling, machine learning techniques, and LLMs
* Intermediate SQL skills, including window functions, stored procedures, views, triggers, unions, CTEs, subqueries, and debugging
* Advanced proficiency in Excel and/or Google Sheets
* Experience with at least one BI platform (Looker, Tableau, Power BI, etc.) with the ability to learn others; Looker preferred
* Experience or familiarity with version control tools such as Git or Bitbucket
* Strong organizational skills with the ability to balance competing client requests and work with complex datasets while maintaining accuracy and meeting deadlines
* Intermediate to advanced competency in statistics, probability, and linear algebra
* Strong communication skills, including experience creating and delivering presentations and executive summaries
* Demonstrated critical thinking skills—the ability to analyze numbers, trends, and data to form meaningful insights
* Interest or passion for marketing analytics and/or a personal project portfolio
**Preferred Skills** 
* Bachelor’s degree or higher in a quantitative field
* Exposure to marketing analyses such as media\-mix models (MMM), incrementality testing, CAC, and lead scoring
* Experience with analytics software, such as Google Analytics and Adobe Analytics
* Familiarity with clean room environments (FBAA, AMC, Google ADH)
* Experience with cloud computing (AWS, GCP, Azure, etc.)
**Equal Opportunity Statement** 
 Wpromote is committed to bringing together individuals from different backgrounds and perspectives, providing employees with a safe and welcoming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Wpromote.
 This employer participates in E\-Verify and will provide the federal government with your Form I\-9 information to confirm that you</t>
        </is>
      </c>
    </row>
    <row r="10">
      <c r="A10" t="inlineStr">
        <is>
          <t>li-4376578574</t>
        </is>
      </c>
      <c r="B10" t="inlineStr">
        <is>
          <t>Junior Data Scientist</t>
        </is>
      </c>
      <c r="C10" t="inlineStr">
        <is>
          <t>Wpromote</t>
        </is>
      </c>
      <c r="D10" t="inlineStr">
        <is>
          <t>linkedin</t>
        </is>
      </c>
      <c r="E10" t="inlineStr"/>
      <c r="F10" t="inlineStr"/>
      <c r="G10" t="inlineStr">
        <is>
          <t>Alaska, United States</t>
        </is>
      </c>
      <c r="H10" t="inlineStr"/>
      <c r="I10" t="inlineStr">
        <is>
          <t>Wpromote is hiring a Junior Data Scientist who loves solving problems with data and has strong math, logic, and communication skills. In this role, you’ll support data processing, model updates, and analytics reporting while learning advanced techniques that will grow your impact over time. You’ll collaborate with teams across Engineering, Reporting, Product, Paid Media, and Data Science, working with exciting clients in e\-commerce, retail, and entertainment. If you’re detail\-oriented, eager to learn, and ready to turn data into meaningful insights, we want to hear from you! At Wpromote, we believe that great work is only possible with great people. Our goal is to build a better, more inclusive work environment and support our people at every stage of their careers by prioritizing a strong work\-life balance through our policies and benefits listed below. As a Best Place to Work according to both Ad Age and Glassdoor and Adweek’s Fastest Growing Digital Agency, we are moving fast to expand our teams and bring new experts into the fold to keep pushing the boundaries of what’s possible in marketing.
 We offer:
* Half\-day Fridays year round
* Unlimited PTO
* Extended Holiday break (Winter)
* Flexible schedules
* Work from anywhere options
* 100% paid parental leave
* 401(k) matching
* Medical, Dental, Vision, Life, Pet Insurance
* Sponsored life insurance
* Short Term Disability insurance and additional voluntary insurance
* Annual Class Pass Credits and more!
**Pay range and compensation package** 
 The anticipated annual salary for this role will range from $88,000 \- $100,000, based on a variety of factors unique to each candidate, including skill set, years and depth of experience, education and certifications, competitive benchmarks, scope of responsibility, market dynamics, geographic location, and the respective state’s salary threshold for exempt employees. At Wpromote, pay ranges are subject to change and are based on specific market medians for similar jobs according to third\-party salary benchmark surveys. Individual pay within that range can vary due to skills, experience, and available budget. The total compensation package for this role will include benefits (listed above).
**Responsibilities** 
* Learning to transform, improve, and integrate data according to business requirements
* Planning and scoping end\-to\-end data analysis projects by identifying the business problem and selecting appropriate investigative tests and solutions
* Using SQL and BigQuery to combine and prepare datasets from multiple sources
* Delivering data in a clear, useful, and visually appealing way to both technical and non\-technical audiences
* Maintaining existing media\-mix models through directed retrains and reporting on performance changes
* Organizing and collecting results from media\-mix models, incrementality tests, clean rooms, and related analyses to support Wpromote’s culture of learning
* Conducting guided marketing analyses to support client and internal needs
* Supporting presentations through data pulls, ad\-hoc analyses, and slide creation
* Learning to automate data gathering, blending, and transformation processes
* Collaborating across Engineering, Reporting, Product, Paid Media, and Data Science teams to understand and support client needs
**Qualifications** 
* Associate’s degree, bootcamp certification, or practical work experience in a quantitative field (Statistics, Mathematics, Computer Science, Information Technology, Economics, Engineering, etc.)
**Required Skills** 
* Intermediate programming skills in R or Python for data cleaning, data modeling, pipeline development, API calls, and related tasks
* Experience with statistical modeling, machine learning techniques, and LLMs
* Intermediate SQL skills, including window functions, stored procedures, views, triggers, unions, CTEs, subqueries, and debugging
* Advanced proficiency in Excel and/or Google Sheets
* Experience with at least one BI platform (Looker, Tableau, Power BI, etc.) with the ability to learn others; Looker preferred
* Experience or familiarity with version control tools such as Git or Bitbucket
* Strong organizational skills with the ability to balance competing client requests and work with complex datasets while maintaining accuracy and meeting deadlines
* Intermediate to advanced competency in statistics, probability, and linear algebra
* Strong communication skills, including experience creating and delivering presentations and executive summaries
* Demonstrated critical thinking skills—the ability to analyze numbers, trends, and data to form meaningful insights
* Interest or passion for marketing analytics and/or a personal project portfolio
**Preferred Skills** 
* Bachelor’s degree or higher in a quantitative field
* Exposure to marketing analyses such as media\-mix models (MMM), incrementality testing, CAC, and lead scoring
* Experience with analytics software, such as Google Analytics and Adobe Analytics
* Familiarity with clean room environments (FBAA, AMC, Google ADH)
* Experience with cloud computing (AWS, GCP, Azure, etc.)
**Equal Opportunity Statement** 
 Wpromote is committed to bringing together individuals from different backgrounds and perspectives, providing employees with a safe and welcoming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Wpromote.
 This employer participates in E\-Verify and will provide the federal government with your Form I\-9 information to confirm that you</t>
        </is>
      </c>
    </row>
    <row r="11">
      <c r="A11" t="inlineStr">
        <is>
          <t>li-4376573938</t>
        </is>
      </c>
      <c r="B11" t="inlineStr">
        <is>
          <t>Junior Data Scientist</t>
        </is>
      </c>
      <c r="C11" t="inlineStr">
        <is>
          <t>Wpromote</t>
        </is>
      </c>
      <c r="D11" t="inlineStr">
        <is>
          <t>linkedin</t>
        </is>
      </c>
      <c r="E11" t="inlineStr"/>
      <c r="F11" t="inlineStr"/>
      <c r="G11" t="inlineStr">
        <is>
          <t>Hawaii, United States</t>
        </is>
      </c>
      <c r="H11" t="inlineStr"/>
      <c r="I11" t="inlineStr">
        <is>
          <t>Wpromote is hiring a Junior Data Scientist who loves solving problems with data and has strong math, logic, and communication skills. In this role, you’ll support data processing, model updates, and analytics reporting while learning advanced techniques that will grow your impact over time. You’ll collaborate with teams across Engineering, Reporting, Product, Paid Media, and Data Science, working with exciting clients in e\-commerce, retail, and entertainment. If you’re detail\-oriented, eager to learn, and ready to turn data into meaningful insights, we want to hear from you! At Wpromote, we believe that great work is only possible with great people. Our goal is to build a better, more inclusive work environment and support our people at every stage of their careers by prioritizing a strong work\-life balance through our policies and benefits listed below. As a Best Place to Work according to both Ad Age and Glassdoor and Adweek’s Fastest Growing Digital Agency, we are moving fast to expand our teams and bring new experts into the fold to keep pushing the boundaries of what’s possible in marketing.
 We offer:
* Half\-day Fridays year round
* Unlimited PTO
* Extended Holiday break (Winter)
* Flexible schedules
* Work from anywhere options
* 100% paid parental leave
* 401(k) matching
* Medical, Dental, Vision, Life, Pet Insurance
* Sponsored life insurance
* Short Term Disability insurance and additional voluntary insurance
* Annual Class Pass Credits and more!
**Pay range and compensation package** 
 The anticipated annual salary for this role will range from $88,000 \- $100,000, based on a variety of factors unique to each candidate, including skill set, years and depth of experience, education and certifications, competitive benchmarks, scope of responsibility, market dynamics, geographic location, and the respective state’s salary threshold for exempt employees. At Wpromote, pay ranges are subject to change and are based on specific market medians for similar jobs according to third\-party salary benchmark surveys. Individual pay within that range can vary due to skills, experience, and available budget. The total compensation package for this role will include benefits (listed above).
**Responsibilities** 
* Learning to transform, improve, and integrate data according to business requirements
* Planning and scoping end\-to\-end data analysis projects by identifying the business problem and selecting appropriate investigative tests and solutions
* Using SQL and BigQuery to combine and prepare datasets from multiple sources
* Delivering data in a clear, useful, and visually appealing way to both technical and non\-technical audiences
* Maintaining existing media\-mix models through directed retrains and reporting on performance changes
* Organizing and collecting results from media\-mix models, incrementality tests, clean rooms, and related analyses to support Wpromote’s culture of learning
* Conducting guided marketing analyses to support client and internal needs
* Supporting presentations through data pulls, ad\-hoc analyses, and slide creation
* Learning to automate data gathering, blending, and transformation processes
* Collaborating across Engineering, Reporting, Product, Paid Media, and Data Science teams to understand and support client needs
**Qualifications** 
* Associate’s degree, bootcamp certification, or practical work experience in a quantitative field (Statistics, Mathematics, Computer Science, Information Technology, Economics, Engineering, etc.)
**Required Skills** 
* Intermediate programming skills in R or Python for data cleaning, data modeling, pipeline development, API calls, and related tasks
* Experience with statistical modeling, machine learning techniques, and LLMs
* Intermediate SQL skills, including window functions, stored procedures, views, triggers, unions, CTEs, subqueries, and debugging
* Advanced proficiency in Excel and/or Google Sheets
* Experience with at least one BI platform (Looker, Tableau, Power BI, etc.) with the ability to learn others; Looker preferred
* Experience or familiarity with version control tools such as Git or Bitbucket
* Strong organizational skills with the ability to balance competing client requests and work with complex datasets while maintaining accuracy and meeting deadlines
* Intermediate to advanced competency in statistics, probability, and linear algebra
* Strong communication skills, including experience creating and delivering presentations and executive summaries
* Demonstrated critical thinking skills—the ability to analyze numbers, trends, and data to form meaningful insights
* Interest or passion for marketing analytics and/or a personal project portfolio
**Preferred Skills** 
* Bachelor’s degree or higher in a quantitative field
* Exposure to marketing analyses such as media\-mix models (MMM), incrementality testing, CAC, and lead scoring
* Experience with analytics software, such as Google Analytics and Adobe Analytics
* Familiarity with clean room environments (FBAA, AMC, Google ADH)
* Experience with cloud computing (AWS, GCP, Azure, etc.)
**Equal Opportunity Statement** 
 Wpromote is committed to bringing together individuals from different backgrounds and perspectives, providing employees with a safe and welcoming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Wpromote.
 This employer participates in E\-Verify and will provide the federal government with your Form I\-9 information to confirm that you</t>
        </is>
      </c>
    </row>
    <row r="12">
      <c r="A12" t="inlineStr">
        <is>
          <t>li-4375715944</t>
        </is>
      </c>
      <c r="B12" t="inlineStr">
        <is>
          <t>Data Scientist</t>
        </is>
      </c>
      <c r="C12" t="inlineStr">
        <is>
          <t>Horace Mann</t>
        </is>
      </c>
      <c r="D12" t="inlineStr">
        <is>
          <t>linkedin</t>
        </is>
      </c>
      <c r="E12" t="inlineStr"/>
      <c r="F12" t="inlineStr"/>
      <c r="G12" t="inlineStr"/>
      <c r="H12" t="inlineStr"/>
      <c r="I12" t="inlineStr">
        <is>
          <t>**Overall Objective:**
 To drive actionable insights and inform corporate strategies through the use of analytics, GenAI, advanced modeling, data mining, and market intelligence.
**Key Skills:**
* ****Strong Communication:****
  Demonstrates strong communication skills with a basic understanding of project management principles.  Ability to share updates with team members and manager clearly and concisely, with flexibility in discussions around project scope and deliverables.
* ****Data Visualization:****
  Ability to visualize data effectively to support clear insights and decision\-making.
* ****Analysis:****
  Proficiency in leveraging data and statistical modeling to identify, create, and solve business opportunities.
* ****GenAI and Machine Learning:****
   Some proficiency in GenAI and machine learning techniques to identify, create, and solve business opportunities. Shows a strong desire to build foundational skills first and demonstrates flexibility in selecting appropriate methods.
* ****Technical Data Proficiency:****
  Ability to work with data using programming languages (SQL, Python) and a solid understanding of relational data and data tools.
* ****Coding Skills:****
  Demonstrates the ability to write production\-ready code in Python that is modular, efficient, and well\-documented.
* ****BI Tools:****
  Experience developing dashboards preferred with Python\-based tools (PowerBI experience is a plus).
* ****Project Drive:****
 Demonstrates a desire to learn and own project workstreams with a GenAI/Data Science focus to positively impact business outcomes.
* ****Inquisitive Mindset:****
  Possesses an inquisitive mindset and a desire to delve into the details while maintaining a focus on business impact and practical solutions.
* ****Collaboration:****
 Capable of both independent work and collaboration within projects and cross\-functional teams to achieve targeted outcomes and drive shared success.
**Preferred education/experience: OR Required education**
* Master’s degree or higher in data science related areas (statistics, applied economics, data science)
* 2\+ years of professional analytical experience preferred
* 2\+ years of P\&amp;C or Life/Retirement experience preferred
 Salary Range:
 $89,800\.00 \- $125,500\.00  
 Salary is commensurate to experience, location, etc.
 \#VIZI 
 Horace Mann was founded in 1945 by two Springfield, Illinois, teachers who saw a need for quality, affordable auto insurance for teachers. Since then, we’ve broadened our mission to helping all educators protect what they have today and prepare for a successful tomorrow.  And with our broadened mission has come corporate growth:  We serve more than 4,100 school districts nationwide, we’re publicly traded on the New York Stock Exchange (symbol: HMN) and we have more than $12 billion in assets.
 We’re motivated by the fact that educators take care of our children’s future, and we believe they deserve someone to look after theirs.  We help educators identify their financial goals and develop plans to achieve them.  This includes insurance to protect what they have today and financial products to help them prepare for their future. Our tailored offerings include special rates and benefits for educators.
 EOE/Minorities/Females/Veterans/Disabled. All qualified applicants will receive consideration for employment without regard to race, color, religion, sex, sexual orientation, gender identity, national origin, disability or protected veteran status
 For applicants that are California residents, please review our California Consumer Privacy Notice
 All applicants should review our Horace Mann Privacy Policy</t>
        </is>
      </c>
    </row>
    <row r="13">
      <c r="A13" t="inlineStr">
        <is>
          <t>li-4376579651</t>
        </is>
      </c>
      <c r="B13" t="inlineStr">
        <is>
          <t>Junior Data Scientist</t>
        </is>
      </c>
      <c r="C13" t="inlineStr">
        <is>
          <t>Wpromote</t>
        </is>
      </c>
      <c r="D13" t="inlineStr">
        <is>
          <t>linkedin</t>
        </is>
      </c>
      <c r="E13" t="inlineStr"/>
      <c r="F13" t="inlineStr"/>
      <c r="G13" t="inlineStr">
        <is>
          <t>Connecticut, United States</t>
        </is>
      </c>
      <c r="H13" t="inlineStr"/>
      <c r="I13" t="inlineStr">
        <is>
          <t>Wpromote is hiring a Junior Data Scientist who loves solving problems with data and has strong math, logic, and communication skills. In this role, you’ll support data processing, model updates, and analytics reporting while learning advanced techniques that will grow your impact over time. You’ll collaborate with teams across Engineering, Reporting, Product, Paid Media, and Data Science, working with exciting clients in e\-commerce, retail, and entertainment. If you’re detail\-oriented, eager to learn, and ready to turn data into meaningful insights, we want to hear from you! At Wpromote, we believe that great work is only possible with great people. Our goal is to build a better, more inclusive work environment and support our people at every stage of their careers by prioritizing a strong work\-life balance through our policies and benefits listed below. As a Best Place to Work according to both Ad Age and Glassdoor and Adweek’s Fastest Growing Digital Agency, we are moving fast to expand our teams and bring new experts into the fold to keep pushing the boundaries of what’s possible in marketing.
 We offer:
* Half\-day Fridays year round
* Unlimited PTO
* Extended Holiday break (Winter)
* Flexible schedules
* Work from anywhere options
* 100% paid parental leave
* 401(k) matching
* Medical, Dental, Vision, Life, Pet Insurance
* Sponsored life insurance
* Short Term Disability insurance and additional voluntary insurance
* Annual Class Pass Credits and more!
**Pay range and compensation package** 
 The anticipated annual salary for this role will range from $88,000 \- $100,000, based on a variety of factors unique to each candidate, including skill set, years and depth of experience, education and certifications, competitive benchmarks, scope of responsibility, market dynamics, geographic location, and the respective state’s salary threshold for exempt employees. At Wpromote, pay ranges are subject to change and are based on specific market medians for similar jobs according to third\-party salary benchmark surveys. Individual pay within that range can vary due to skills, experience, and available budget. The total compensation package for this role will include benefits (listed above).
**Responsibilities** 
* Learning to transform, improve, and integrate data according to business requirements
* Planning and scoping end\-to\-end data analysis projects by identifying the business problem and selecting appropriate investigative tests and solutions
* Using SQL and BigQuery to combine and prepare datasets from multiple sources
* Delivering data in a clear, useful, and visually appealing way to both technical and non\-technical audiences
* Maintaining existing media\-mix models through directed retrains and reporting on performance changes
* Organizing and collecting results from media\-mix models, incrementality tests, clean rooms, and related analyses to support Wpromote’s culture of learning
* Conducting guided marketing analyses to support client and internal needs
* Supporting presentations through data pulls, ad\-hoc analyses, and slide creation
* Learning to automate data gathering, blending, and transformation processes
* Collaborating across Engineering, Reporting, Product, Paid Media, and Data Science teams to understand and support client needs
**Qualifications** 
* Associate’s degree, bootcamp certification, or practical work experience in a quantitative field (Statistics, Mathematics, Computer Science, Information Technology, Economics, Engineering, etc.)
**Required Skills** 
* Intermediate programming skills in R or Python for data cleaning, data modeling, pipeline development, API calls, and related tasks
* Experience with statistical modeling, machine learning techniques, and LLMs
* Intermediate SQL skills, including window functions, stored procedures, views, triggers, unions, CTEs, subqueries, and debugging
* Advanced proficiency in Excel and/or Google Sheets
* Experience with at least one BI platform (Looker, Tableau, Power BI, etc.) with the ability to learn others; Looker preferred
* Experience or familiarity with version control tools such as Git or Bitbucket
* Strong organizational skills with the ability to balance competing client requests and work with complex datasets while maintaining accuracy and meeting deadlines
* Intermediate to advanced competency in statistics, probability, and linear algebra
* Strong communication skills, including experience creating and delivering presentations and executive summaries
* Demonstrated critical thinking skills—the ability to analyze numbers, trends, and data to form meaningful insights
* Interest or passion for marketing analytics and/or a personal project portfolio
**Preferred Skills** 
* Bachelor’s degree or higher in a quantitative field
* Exposure to marketing analyses such as media\-mix models (MMM), incrementality testing, CAC, and lead scoring
* Experience with analytics software, such as Google Analytics and Adobe Analytics
* Familiarity with clean room environments (FBAA, AMC, Google ADH)
* Experience with cloud computing (AWS, GCP, Azure, etc.)
**Equal Opportunity Statement** 
 Wpromote is committed to bringing together individuals from different backgrounds and perspectives, providing employees with a safe and welcoming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Wpromote.
 This employer participates in E\-Verify and will provide the federal government with your Form I\-9 information to confirm that you</t>
        </is>
      </c>
    </row>
    <row r="14">
      <c r="A14" t="inlineStr">
        <is>
          <t>li-4375386807</t>
        </is>
      </c>
      <c r="B14" t="inlineStr">
        <is>
          <t>Data Scientist I</t>
        </is>
      </c>
      <c r="C14" t="inlineStr">
        <is>
          <t>RemoteHunter</t>
        </is>
      </c>
      <c r="D14" t="inlineStr">
        <is>
          <t>linkedin</t>
        </is>
      </c>
      <c r="E14" t="inlineStr"/>
      <c r="F14" t="inlineStr"/>
      <c r="G14" t="inlineStr"/>
      <c r="H14" t="inlineStr"/>
      <c r="I14" t="inlineStr">
        <is>
          <t>About the Opportunity:
 This role involves developing predictive models and algorithms to automate critical business functions. The focus is on exploring and analyzing data from multiple sources to gain insights that provide a competitive advantage.
 Responsibilities:
 • Develop, implement, and validate predictive and statistical models
 • Analyze data from various sources to extract meaningful insights
 • Manage the full modeling life cycle, including data cleansing, feature creation, and iterative model selection
 • Apply statistics, modeling, and machine learning to enhance system efficiency and algorithm relevance
 • Participate in Agile ceremonies such as daily scrum, refinement, sprint planning, and retrospectives
 • Recommend process improvements
 • Follow safety guidelines and participate in pre\-task planning
 • Report safety concerns to management
 • Maintain quality standards across projects
 Requirements:
 • Bachelor’s degree in statistics, mathematics, economics, computer science, or related technical discipline plus 3 years of relevant experience, or 7 years of related experience without a degree
 • Experience with statistics, machine learning, algorithm development, predictive modeling, and advanced mathematics
 • Proficiency in programming languages
 • Valid driver’s license with acceptable violation history
 Benefits \&amp; Perks:
 • Medical, dental, and vision insurance
 • Life insurance
 • 401(k) plan
 • Paid time off and holidays
 • Education reimbursement
 • Various bonus programs
 Employment Type: Regular, Full Time
 Service Line: Office Management/Administration
 Location: Olathe, KS (Remote Only)
 Job Category: IT
 Job Expires: 28\-Jan\-2026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5">
      <c r="A15" t="inlineStr">
        <is>
          <t>li-4374250911</t>
        </is>
      </c>
      <c r="B15" t="inlineStr">
        <is>
          <t>Data Scientist - Optimization and Advanced Machine Learning</t>
        </is>
      </c>
      <c r="C15" t="inlineStr">
        <is>
          <t>ChatGPT Jobs</t>
        </is>
      </c>
      <c r="D15" t="inlineStr">
        <is>
          <t>linkedin</t>
        </is>
      </c>
      <c r="E15" t="inlineStr"/>
      <c r="F15" t="inlineStr"/>
      <c r="G15" t="inlineStr"/>
      <c r="H15" t="inlineStr"/>
      <c r="I15" t="inlineStr">
        <is>
          <t>**Job Description**
 Data Scientist \- Optimization and Advanced Machine Learning
**FM** 
 \- Johnston, RI
* On\-site, Remote
**Salary:** 
 $103\.04K \- $148\.10K/yr
**Type:** 
 Full\-time
**Benefits:** 
 Medical, Retirement
**Posted:** 
 3 hours ago
**Job Description**
 FM is seeking a Data Scientist specializing in optimization and advanced machine learning to translate business needs into analytical \&amp; AI solutions. The role involves designing, developing, and deploying optimization models, AI/ML algorithms, and decision‑support systems for real‑world problems across various teams.
 Key Responsibilities
* Build machine learning and AI solutions using Python/R and modern ML frameworks.
* Develop and deploy optimization models for risk assessment and operational decision‑making.
* Lead end‑to\-end model development: problem framing, data processing, feature engineering, modeling, validation, implementation, and monitoring.
* Work with cross‑functional partners to translate analytical insights into business actions.
* Work with large‑scale datasets using SQL or similar tools and implement robust data pipelines.
* Apply creativity and domain expertise to evaluate and improve model performance and interpretability.
* Contribute to continuous innovation in optimization, ML, and AI practices across the organization.
**Qualifications**
**Education:**
* Master’s degree in Operations Research, Industrial Engineering, Applied Mathematics, Computer Science, Data Science, or a related field. PhD preferred.
**Experience**
* 5\+ years of industry experience in building optimization or machine learning solutions.
* 5\+ years hands‑on experience with data processing, modeling, and advanced analytics using Python or R.
* 3\+ years experience working with large datasets using SQL or similar technologies.
* Experience leading full‑cycle data science or optimization projects from ideation to deployment.
* Experience with cloud‑based analytics and machine learning platforms, preferably Azure Databricks
**Technical Skills**
 Strong Knowledge \&amp; Practical Experience in:
* Optimization methods:
+ Linear / Non‑linear programming
+ Mixed‑integer optimization
+ Metaheuristics (GA, simulated annealing, evolutionary algorithms)
+ Stochastic and robust optimization
* Core Machine Learning algorithms:
+ Tree‑based models, gradient boosting
+ Clustering \&amp; unsupervised learning
+ Neural networks and deep learning fundamentals
* Simulation
* Model evaluation, validation, and experimentation
* Data wrangling, feature engineering, and pipeline design
* ML engineering practices following MLOps principles (model tracking, reproducibility, deployment)
**Preferred Qualifications**
* Experience in risk management, insurance, or operations modeling.</t>
        </is>
      </c>
    </row>
    <row r="16">
      <c r="A16" t="inlineStr">
        <is>
          <t>li-4376570525</t>
        </is>
      </c>
      <c r="B16" t="inlineStr">
        <is>
          <t>Senior Data Scientist</t>
        </is>
      </c>
      <c r="C16" t="inlineStr">
        <is>
          <t>Walmart Aspectiva</t>
        </is>
      </c>
      <c r="D16" t="inlineStr">
        <is>
          <t>linkedin</t>
        </is>
      </c>
      <c r="E16" t="inlineStr"/>
      <c r="F16" t="inlineStr"/>
      <c r="G16" t="inlineStr">
        <is>
          <t>Illinois, United States</t>
        </is>
      </c>
      <c r="H16" t="inlineStr"/>
      <c r="I16" t="inlineStr">
        <is>
          <t>**Senior Data Scientist @Walmart Global Tech Israel**
**AR Optical** 
 is part of Walmart Global Tech, developing immersive eCommerce experiences and leading health care eCommerce innovations. We specialize in cutting\-edge technologies for
 **virtual try\-on systems** 
 , leveraging
 **Generative AI** 
 (Diffusion models, LLMs),
 **Deep Learning** 
 ,
 **computer vision** 
 , and
 **3D modeling** 
 to deliver transformative solutions for our customers.
 We are seeking a
 **Senior Data Scientist** 
 to join our Data Science team and lead the development of our 2D\-to\-3D modeling projects and help us bring the company’s vision of virtual try\-on to reality. The ideal candidate will have hands\-on experience in
 **3D reconstruction** 
 ,
 **multi\-view geometry** 
 ,
 **animation** 
 and
 **neural rendering** 
 , with a proven ability to design and deploy production\-ready models.
 Responsibilities:
* Lead research and development of 2D\-to\-3D modeling solutions, including single\-image 3D reconstruction, multi\-view 3D reconstruction, texture mapping, PBR mapping and depth estimation.
* Own your deliverables from literature research, design and development to integration, testing and ongoing support
* Collaborate with cross\-functional teams to integrate research outcomes into scalable production systems.
* Mentor other team members and promote teamwork
* Continuously optimize team processes and workflows to improve efficiency and output
**Requirements**
* 5\+ years of experience in deep learning and computer vision research, with a focus on 2D\-to\-3D modeling, animation or related areas
* Experience in 3D reconstruction techniques, including structure from motion, photogrammetry, neural implicit representations, and animation pipelines
* Self\-driven attitude, end\-to\-end ownership
* MSc in STEM from a leading university
* Proven track record of research deliverables
 Advantages
* Experience with 3D libraries like Open3D, Blender Python API, or MeshLab
* Experience with 3D modeling and animation software like Blender, Maya, or Cinema 4D
* Hands\-on experience with animation techniques and rigging</t>
        </is>
      </c>
    </row>
    <row r="17">
      <c r="A17" t="inlineStr">
        <is>
          <t>li-4376807941</t>
        </is>
      </c>
      <c r="B17" t="inlineStr">
        <is>
          <t>Data Scientist - Podcast Monetization</t>
        </is>
      </c>
      <c r="C17" t="inlineStr">
        <is>
          <t>Spotify</t>
        </is>
      </c>
      <c r="D17" t="inlineStr">
        <is>
          <t>linkedin</t>
        </is>
      </c>
      <c r="E17" t="inlineStr"/>
      <c r="F17" t="inlineStr"/>
      <c r="G17" t="inlineStr">
        <is>
          <t>New York, NY</t>
        </is>
      </c>
      <c r="H17" t="inlineStr"/>
      <c r="I17" t="inlineStr">
        <is>
          <t>The Spotify Podcast R\&amp;D team consists of Data Scientists, Analytics Engineers and User Researchers dedicated to improving the experience of podcasts for both creators and users of the platform. This role will support our Product team in evaluating the performance of exciting features from Spotify for Creators like Podcast Comments, Creator Analytics, and the Spotify Partner Program (to name a few).
 What You'll Do
* Develop research questions and undertake data exploration to understand creator monetization, and where we can develop our products to bring greater value to creators.
* Work closely with cross\-functional teams of data scientists, researchers, product owners, engineers, designers, marketers, and others across the company to develop and improve monetization tools for creators.
* Define, evaluate, dashboard, and monitor metrics, understanding the root causes of changes.
* Communicate insights and recommendations to collaborators across Spotify to build out our product strategy.
* Maintain a culture of rigor and data\-informed decision\-making to drive tangible business impact.
* Contribute to the development of the Insights function and the wider analytics community at Spotify.
 Who You Are
* Demonstrated ability in a similar Data Science role.
* Degree in data science, computer science, statistics, economics, mathematics, or a similar quantitative field.
* Deeply curious; interested in the current and future creator ecosystem.
* You have experience with product analytics, including crafting success metrics, performing exploratory analysis and presenting findings with clear product recommendations or implications.
* You have hands\-on experience synthesizing insights from data using tools such as Python, DBT, BigQuery, SQL, Tableau.
* Strong communication skills and value building strong relationships with colleagues and partners as well as the ability to explain sophisticated topics in straightforward terms.
* You’re a compelling storyteller who can communicate in succinct and inspiring ways to audiences with varied data science experience to influence product or feature decisions.
 Where You'll Be
* This role is based in our New York office.
* We offer you the flexibility to work where you work best! There will be some in person meetings, but still allows for flexibility to work from home.
 The United States base range for this position is $ 94,584 \- $ 135,121, plus equity. The benefits available for this position include health insurance, six month paid parental leave, 401(k) retirement plan, a monthly meal allowance, 23 paid days off, 13 paid flexible holidays. These ranges may be modified in the future.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Find our AI notice here: https://lifeatspotify.com/ai\-notice
 Today, we are the world’s most popular audio streaming subscription service.</t>
        </is>
      </c>
    </row>
    <row r="18">
      <c r="A18" t="inlineStr">
        <is>
          <t>li-4376594840</t>
        </is>
      </c>
      <c r="B18" t="inlineStr">
        <is>
          <t>Data Scientist (Multiple Levels)</t>
        </is>
      </c>
      <c r="C18" t="inlineStr">
        <is>
          <t>Noblis</t>
        </is>
      </c>
      <c r="D18" t="inlineStr">
        <is>
          <t>linkedin</t>
        </is>
      </c>
      <c r="E18" t="inlineStr"/>
      <c r="F18" t="inlineStr"/>
      <c r="G18" t="inlineStr">
        <is>
          <t>Washington, DC</t>
        </is>
      </c>
      <c r="H18" t="inlineStr"/>
      <c r="I18" t="inlineStr">
        <is>
          <t>**Responsibilities**
 We are seeking highly qualified Subject Matter Experts (SMEs) across multiple levels (I\-V) to support data science, aviation, engineering, psychological, analytical, and technical programs within the Federal Aviation Administration (FAA) or related federal initiatives. SMEs will apply advanced knowledge in their respective technical or analytical disciplines—particularly data science, machine learning, and data\-driven analysis—to solve complex problems, integrate requirements, and contribute to system design, program execution, and organizational effectiveness.
 SMEs will participate in multidisciplinary teams, utilizing advanced analytical tools, simulation environments, laboratories, data analysis platforms, and test facilities. They will provide guidance in technical planning, data strategy, process improvement, and performance evaluation, ensuring that data\-driven insights inform program and mission outcomes.
 Key Responsibilities (All Levels)
* Apply advanced knowledge in data science, engineering, psychology, or related technical disciplines to solve complex technical or organizational problems within the FAA or similar environments.
* Extract insights and value from large and complex datasets to inform decision\-making, enhance system performance, and drive innovation across programs.
* Develop and implement data\-driven solutions and predictive models using advanced statistical, machine learning, and data analysis techniques.
* Collect, clean, and integrate data from multiple sources to support analytical, technical, and operational objectives.
* Perform exploratory data analysis (EDA) to identify trends, patterns, and relationships in data relevant to aviation safety, engineering performance, human factors, or organizational outcomes.
* Utilize scientific, engineering, and analytical tools (e.g., Python, R, SQL, MATLAB, data visualization platforms) to design, test, and validate analytical models and simulations.
* Collaborate with cross\-functional teams—including software engineers, data analysts, behavioral scientists, and domain experts—to integrate data science solutions into operational systems and decision\-support workflows.
* Develop and review technical documentation, reports, and data\-driven recommendations to support program planning, compliance, and strategic decisions.
* Communicate analytical findings and technical insights to stakeholders in a clear, actionable manner, enabling evidence\-based decision\-making.
* Contribute to technical planning, data infrastructure design, and process optimization, ensuring alignment with program goals and federal data standards.
* Mentor junior staff and provide expertise in data science methodologies, enhancing team capabilities and promoting a culture of analytical excellence.
**Required Qualifications**
 Qualifications for all Levels:
* U.S. citizen or green card permanent resident (3\+ years U.S. residency)
* Ability to obtain and maintain FAA Sutiability/Public Trust.
* Experience with FAA and the environment.
 Level I
**Required Qualifications**
* Bachelor’s degree in engineering, science, or related field and 4\+ years of relevant experience; or equivalent aviation\-related experience with 6\+ years.
 D.C. Salary Range: $71,800\.00 \- $112,150
 Level II
**Required Qualifications:**
* Bachelor’s degree in engineering, science, or related field and 8\+ years of relevant experience; or equivalent aviation\-related experience with 12\+ years.
 D.C. Salary Range: $78,900 \- $123,300
 Level III
**Required Qualifications:**
* Master’s degree in engineering, science, or related field and 10\+ years of experience; or Bachelor’s degree with 12\+ years of experience.
 D.C. Salary Range: $105,100 \- $164,125
 Level IV
**Required Qualifications:**
* Master’s degree in engineering, science, or related field and 13\+ years of experience; or Bachelor’s degree with 17\+ years of experience.
 D.C. Salary Range: $127,100 \- $198,575
 Level V
**Required Qualifications:**
* Doctorate degree in psychology, industrial/organizational psychology, engineering, science, or related technical/analytical field and 10\+ years of experience; or Master’s degree with 12\+ years, or Bachelor’s degree with 17\+ years of experience.
 D.C. Salary Range: $153,800 \- $240,350
**Desired Qualifications**
 Desired Expertise
* Demonstrated experience in data science, machine learning, statistics, or quantitative analysis, preferably in aviation, engineering, or related technical domains.
* Proficiency with data science tools and programming languages (e.g., Python, R, SQL, TensorFlow, PyTorch, scikit\-learn, Tableau, Power BI).
* Strong understanding of data pipelines, data governance, and analytical model deployment in operational environments.
* Ability to translate complex technical and analytical concepts into actionable insights for diverse stakeholders.
 Level I
* Experience with technical problem\-solving, system integration, or engineering team support in aviation\-related programs.
 Level II
* Demonstrated experience leading small technical teams, performing process improvement, and applying engineering/scientific tools to complex problems.
 Level III
* Experience in advanced technical planning, integration of complex systems, and use of data analysis and test facilities for problem resolution.
 Level IV
* Proven record of technical leadership, mentorship of junior SMEs, and contributions to program or organizational strategy.
* Experience with large\-scale program integration, advanced modeling, simulation, or laboratory testing.
 Level V
* Expertise in psychological, organizational, technical, or analytical domains applied to aviation, engineering, or large\-scale program environments.
* Demonstrated leadership in multidisciplinary teams, system\-of\-systems problem solving, and organizational planning.
* Experience applying human factors, industrial/organizational psychology, or advanced analytics to improve performance, safety, and process outcomes.
* THIS POSITION IS CONTINGENT ON AWARD AND POSITION AVAILABILITY\*\*
**Overview**
 Noblis and our wholly owned subsidiaries, Noblis ESI,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 Remote/hybrid status is subject to change based on Noblis and/or government requirements
 Commitment to Non\-Discrimination
 All qualified applicants will receive consideration for employment without regard to race, color, ethnicity, sex, age, national origin, religion, physical or mental disability, pregnancy/childbirth and related medical conditions, veteran or military status, or any other characteristics protected by applicable federal, state, or local law.
 If reasonable accommodation is needed to participate in the job application or interview process, to perform essential job functions, and/or to receive other benefits and privileges of employment, please contact us.
 EEO is the Law \| E\-Verify \| Right to Work
 Total Rewards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Compensation at Noblis is determined by various factors, including but not limited to, the combination of education, certifications, knowledge, skills, competencies, and experience, internal and external equity, location, clearance level, as well as contract\-specific affordability, organizational requirements and applicable employment laws. The projected compensation range for this position is based on full time status. For part time or on\-call staff, compensation is proportionately adjusted based on hours worked. While monetary compensation is important, it's just one component of Noblis’ total compensation package.
 Posted Salary Range
 USD $71,800\.00 \- USD $240,350\.00 /Yr.</t>
        </is>
      </c>
    </row>
    <row r="19">
      <c r="A19" t="inlineStr">
        <is>
          <t>li-4376593007</t>
        </is>
      </c>
      <c r="B19" t="inlineStr">
        <is>
          <t>Junior Data Scientist</t>
        </is>
      </c>
      <c r="C19" t="inlineStr">
        <is>
          <t>Wpromote</t>
        </is>
      </c>
      <c r="D19" t="inlineStr">
        <is>
          <t>linkedin</t>
        </is>
      </c>
      <c r="E19" t="inlineStr"/>
      <c r="F19" t="inlineStr"/>
      <c r="G19" t="inlineStr">
        <is>
          <t>Georgia, United States</t>
        </is>
      </c>
      <c r="H19" t="inlineStr"/>
      <c r="I19" t="inlineStr">
        <is>
          <t>Wpromote is hiring a Junior Data Scientist who loves solving problems with data and has strong math, logic, and communication skills. In this role, you’ll support data processing, model updates, and analytics reporting while learning advanced techniques that will grow your impact over time. You’ll collaborate with teams across Engineering, Reporting, Product, Paid Media, and Data Science, working with exciting clients in e\-commerce, retail, and entertainment. If you’re detail\-oriented, eager to learn, and ready to turn data into meaningful insights, we want to hear from you! At Wpromote, we believe that great work is only possible with great people. Our goal is to build a better, more inclusive work environment and support our people at every stage of their careers by prioritizing a strong work\-life balance through our policies and benefits listed below. As a Best Place to Work according to both Ad Age and Glassdoor and Adweek’s Fastest Growing Digital Agency, we are moving fast to expand our teams and bring new experts into the fold to keep pushing the boundaries of what’s possible in marketing.
 We offer:
* Half\-day Fridays year round
* Unlimited PTO
* Extended Holiday break (Winter)
* Flexible schedules
* Work from anywhere options
* 100% paid parental leave
* 401(k) matching
* Medical, Dental, Vision, Life, Pet Insurance
* Sponsored life insurance
* Short Term Disability insurance and additional voluntary insurance
* Annual Class Pass Credits and more!
**Pay range and compensation package** 
 The anticipated annual salary for this role will range from $88,000 \- $100,000, based on a variety of factors unique to each candidate, including skill set, years and depth of experience, education and certifications, competitive benchmarks, scope of responsibility, market dynamics, geographic location, and the respective state’s salary threshold for exempt employees. At Wpromote, pay ranges are subject to change and are based on specific market medians for similar jobs according to third\-party salary benchmark surveys. Individual pay within that range can vary due to skills, experience, and available budget. The total compensation package for this role will include benefits (listed above).
**Responsibilities** 
* Learning to transform, improve, and integrate data according to business requirements
* Planning and scoping end\-to\-end data analysis projects by identifying the business problem and selecting appropriate investigative tests and solutions
* Using SQL and BigQuery to combine and prepare datasets from multiple sources
* Delivering data in a clear, useful, and visually appealing way to both technical and non\-technical audiences
* Maintaining existing media\-mix models through directed retrains and reporting on performance changes
* Organizing and collecting results from media\-mix models, incrementality tests, clean rooms, and related analyses to support Wpromote’s culture of learning
* Conducting guided marketing analyses to support client and internal needs
* Supporting presentations through data pulls, ad\-hoc analyses, and slide creation
* Learning to automate data gathering, blending, and transformation processes
* Collaborating across Engineering, Reporting, Product, Paid Media, and Data Science teams to understand and support client needs
**Qualifications** 
* Associate’s degree, bootcamp certification, or practical work experience in a quantitative field (Statistics, Mathematics, Computer Science, Information Technology, Economics, Engineering, etc.)
**Required Skills** 
* Intermediate programming skills in R or Python for data cleaning, data modeling, pipeline development, API calls, and related tasks
* Experience with statistical modeling, machine learning techniques, and LLMs
* Intermediate SQL skills, including window functions, stored procedures, views, triggers, unions, CTEs, subqueries, and debugging
* Advanced proficiency in Excel and/or Google Sheets
* Experience with at least one BI platform (Looker, Tableau, Power BI, etc.) with the ability to learn others; Looker preferred
* Experience or familiarity with version control tools such as Git or Bitbucket
* Strong organizational skills with the ability to balance competing client requests and work with complex datasets while maintaining accuracy and meeting deadlines
* Intermediate to advanced competency in statistics, probability, and linear algebra
* Strong communication skills, including experience creating and delivering presentations and executive summaries
* Demonstrated critical thinking skills—the ability to analyze numbers, trends, and data to form meaningful insights
* Interest or passion for marketing analytics and/or a personal project portfolio
**Preferred Skills** 
* Bachelor’s degree or higher in a quantitative field
* Exposure to marketing analyses such as media\-mix models (MMM), incrementality testing, CAC, and lead scoring
* Experience with analytics software, such as Google Analytics and Adobe Analytics
* Familiarity with clean room environments (FBAA, AMC, Google ADH)
* Experience with cloud computing (AWS, GCP, Azure, etc.)
**Equal Opportunity Statement** 
 Wpromote is committed to bringing together individuals from different backgrounds and perspectives, providing employees with a safe and welcoming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Wpromote.
 This employer participates in E\-Verify and will provide the federal government with your Form I\-9 information to confirm that you</t>
        </is>
      </c>
    </row>
    <row r="20">
      <c r="A20" t="inlineStr">
        <is>
          <t>li-4376821157</t>
        </is>
      </c>
      <c r="B20" t="inlineStr">
        <is>
          <t>Data Scientist (healthcare)</t>
        </is>
      </c>
      <c r="C20" t="inlineStr">
        <is>
          <t>Accion Labs</t>
        </is>
      </c>
      <c r="D20" t="inlineStr">
        <is>
          <t>linkedin</t>
        </is>
      </c>
      <c r="E20" t="inlineStr"/>
      <c r="F20" t="inlineStr"/>
      <c r="G20" t="inlineStr">
        <is>
          <t>Houston, TX</t>
        </is>
      </c>
      <c r="H20" t="inlineStr"/>
      <c r="I20" t="inlineStr">
        <is>
          <t>*Must Haves:* 
* Project Lead Experience
* Building Data Sets
* Presenting to A\-C level executives
* Must have Cogito experience
 Job Description:
 Lead Data Scientist
 Education: Bachelor’s Degree in science, engineering, computer science, mathematics, statistics, or related STEM field required. Master’s Degree in Data Science preferred.
 Experience / Knowledge / Skills:
 Seven (7\) years of experience in data science is required
 Professional experience in hospital setting, medical informatics, healthcare information technology/finance/revenue cycle data management, or Electronic Health Record (EHR) data management is preferred
 Business analytical skills (process flows, procedures, spreadsheets, modeling, etc.), technical expertise, mathematical skills and good understanding of design and architecture principles are required
 Possesses deep understanding of a variety of machine learning techniques (clustering, decision tree learning, artificial neural networks, etc.) and their real\-world advantages/drawbacks
 Proficient understanding of advanced statistical techniques and concepts (regression, properties of distributions, statistical tests and proper usage, etc.) and experience with applications
 Ability to communicate, gather requirements and execute storytelling with data
 Possesses advanced level knowledge of the data science project life cycle
 Proficient programming skills in addition to a working knowledge and experience of statistical analysis tools
 Demonstrates proficiency in problem solving, analytical reasoning and decision\-making skills
 Demonstrates proficiency in identifying and seeking needed information to perform problem/situation analysis
 Advanced level of understanding and experience in researching and resolving data issues with a logical, instinctive, and problem\-solving mentality working with large, complex and incomplete sources
 Exhibits strong project management skills, with an ability to work independently on multiple projects with competing priorities and a strong commitment to meeting goals and deadlines
 Advanced understanding of SQL database management tools
 Exceptional analytical skills and ability to understand and interpret results based on advanced statistical techniques
 Strong written and verbal communication skills in IT and business environments; ability to communicate to technical and non\-technical audiences
 Ability to work under minimal supervision in a fast\-paced multidisciplinary environment
 Advanced knowledge of data science methods – time series forecasting, linear regression, A/B testing, statistical testing, Clustering, etc.
 Superior customer service in the form of first\-rate work products and project management
 Strong ability to manage challenging client situations
 Strong ability to troubleshoot and recommend solutions
 Strong ability to translate complex information for a wide range of stakeholders
 PRINCIPAL ACCOUNTABILITIES
 Leads high priority projects that impact the organization.
 Leads complex issues and problems, and refers more complex issues to higher\-level staff.
 Provides technical supervision/mentoring to other data scientists and trains the broader audience on data science developments.
 Provides leadership, coaching, and/or mentoring to subordinate group.
 Develops custom data models and algorithms to apply to data sets.
 Develops and applies algorithms or models to key business metrics with the goal of improving operations or answering business questions. Provides findings and analysis for use in decision making.
 Performs research, analysis, and modeling on organizational data.
 Maintains existing models and evaluates their goodness of fit.
 Provides in\-depth data insights from structured and unstructured data for complex business problems through use of advanced analytics techniques, predictive modeling, data mining/visualization and pattern analysis tools.
 Develops and tests hypotheses and communicates findings in clear, precise and actionable manner to project and leadership teams.
 Works closely with teams to identify, understand, and resolve data issues and improve efficiency, productivity and scalability of data processes.
 Assists with the evaluation of data science vendors and tools.
 Ensures safe care to patients, staff and visitors; adheres to all Memorial Hermann policies, procedures, and standards within budgetary specifications including time management, supply management, productivity and quality of service.
 Promotes individual professional growth and development by meeting requirements for mandatory/continuing education and skills competency; supports department\-based goals which contribute to the success of the organization; serves as preceptor, mentor and resource to less experienced staff.
 Demonstrates commitment to caring for every member of our community by creating compassionate and personalized experiences. Models Memorial Hermann’s service standards by providing safe, caring, personalized and efficient experiences to patients and colleagues.</t>
        </is>
      </c>
    </row>
    <row r="21">
      <c r="A21" t="inlineStr">
        <is>
          <t>li-4376582056</t>
        </is>
      </c>
      <c r="B21" t="inlineStr">
        <is>
          <t>Senior Data Scientist</t>
        </is>
      </c>
      <c r="C21" t="inlineStr">
        <is>
          <t>Walmart Aspectiva</t>
        </is>
      </c>
      <c r="D21" t="inlineStr">
        <is>
          <t>linkedin</t>
        </is>
      </c>
      <c r="E21" t="inlineStr"/>
      <c r="F21" t="inlineStr"/>
      <c r="G21" t="inlineStr">
        <is>
          <t>Illinois, United States</t>
        </is>
      </c>
      <c r="H21" t="inlineStr"/>
      <c r="I21" t="inlineStr">
        <is>
          <t>**Senior Data Scientist (Video) @Walmart Global Tech Israel**
**About The Team**
 Join the team defining the future of retail at
 **Walmart Global Tech Israel.** 
 Our group is the powerhouse behind Walmart’s industry\-leading Augmented Reality and Virtual Try\-On experiences, used by millions of customers daily. Our focus is conducting applied research using state\-of\-the\-art technologies in
 **Generative AI, Computer Vision, and Deep Learning.** 
 We are moving beyond static images to build the next generation of dynamic, hyper\-realistic shopping experiences.
**About The Role**
 We are looking for a
 **Senior AI Researcher** 
 to join our R\&amp;D team and spearhead the development of our next\-generation Virtual Try\-On technology.
**Experience in training Diffusion Networks is a must for this role.** 
 You will be responsible for researching and developing novel deep learning models that generate realistic, temporally consistent video content to help customers visualize apparel in motion. You will work at the bleeding edge of technology, taking ideas from research papers to Proof of Concept (PoC) and eventually to production at massive scale. Experience in GenAI Video is a strong advantage.
**What You'll Do**
* Lead Generative Video Research: Design and train advanced generative models for video synthesis (e.g., Video Diffusion Models, Temporal Attention layers) to create high\-fidelity virtual try\-on videos.
* Solve Complex Vision Problems: Tackle challenges specific to video generation, such as temporal consistency, motion preservation, and identity retention across frames.
* Innovate \&amp; Prototype: Rapidly develop future\-facing Proofs of Concept (PoCs) utilizing Diffusion models, LLMs, and 3D\-aware architectures.
* Scale to Production: Collaborate with engineering teams to optimize complex models for low\-latency inference, ensuring they can serve millions of users on Walmart.com.
* Stay Ahead of the Curve: Continuously survey the latest academic literature in GenAI, CV, and Graphics, applying key insights to our domain.
**What You'll Bring**
* M.Sc. or Ph.D. in Computer Science, Electrical Engineering, or a related field (focus on Deep Learning/Computer Vision).
* 5\+ years of hands\-on research experience in Deep Learning and Computer Vision.
* Strong Technical Stack: Proficiency in Python and deep learning frameworks (PyTorch or TensorFlow).
* Experience training image generation networks: Proven experience researching and training generative image models (e.g., Diffusion Models, text\-to\-image or image\-to\-image systems) for high\-fidelity, photorealistic image synthesis.
**Advantage**
* Experience training video generation networks: Proven track record researching and training models for video generation. Familiarity with architectures like Video LDM, Sora\-like transformers, or Motion Modules is essential.
* Experience with Human\-Centric AI (Pose estimation, Human mesh recovery, SMPL).
* Knowledge of 3D Vision technologies (NeRF, 3D Gaussian Splatting).
* Experience optimizing diffusion models for inference speed (distillation, quantization).
* Publication Record: Experience publishing in top\-tier conferences (CVPR, ICCV, ECCV, SIGGRAPH, NeurIPS) is a strong plus.
**﻿Why Join Us?**
* Impact at Scale: Your algorithms will directly impact purchasing decisions for millions of users globally.
* Innovation Hub: Work in our Tel Aviv R\&amp;D center, a hub known for pioneering virtual try\-on technology.
* Resources: Access to massive datasets and world\-class compute infrastructure to train large\-scale models.</t>
        </is>
      </c>
    </row>
    <row r="22">
      <c r="A22" t="inlineStr">
        <is>
          <t>li-4376573858</t>
        </is>
      </c>
      <c r="B22" t="inlineStr">
        <is>
          <t>Junior Data Scientist</t>
        </is>
      </c>
      <c r="C22" t="inlineStr">
        <is>
          <t>Wpromote</t>
        </is>
      </c>
      <c r="D22" t="inlineStr">
        <is>
          <t>linkedin</t>
        </is>
      </c>
      <c r="E22" t="inlineStr"/>
      <c r="F22" t="inlineStr"/>
      <c r="G22" t="inlineStr">
        <is>
          <t>Arizona, United States</t>
        </is>
      </c>
      <c r="H22" t="inlineStr"/>
      <c r="I22" t="inlineStr">
        <is>
          <t>Wpromote is hiring a Junior Data Scientist who loves solving problems with data and has strong math, logic, and communication skills. In this role, you’ll support data processing, model updates, and analytics reporting while learning advanced techniques that will grow your impact over time. You’ll collaborate with teams across Engineering, Reporting, Product, Paid Media, and Data Science, working with exciting clients in e\-commerce, retail, and entertainment. If you’re detail\-oriented, eager to learn, and ready to turn data into meaningful insights, we want to hear from you! At Wpromote, we believe that great work is only possible with great people. Our goal is to build a better, more inclusive work environment and support our people at every stage of their careers by prioritizing a strong work\-life balance through our policies and benefits listed below. As a Best Place to Work according to both Ad Age and Glassdoor and Adweek’s Fastest Growing Digital Agency, we are moving fast to expand our teams and bring new experts into the fold to keep pushing the boundaries of what’s possible in marketing.
 We offer:
* Half\-day Fridays year round
* Unlimited PTO
* Extended Holiday break (Winter)
* Flexible schedules
* Work from anywhere options
* 100% paid parental leave
* 401(k) matching
* Medical, Dental, Vision, Life, Pet Insurance
* Sponsored life insurance
* Short Term Disability insurance and additional voluntary insurance
* Annual Class Pass Credits and more!
**Pay range and compensation package** 
 The anticipated annual salary for this role will range from $88,000 \- $100,000, based on a variety of factors unique to each candidate, including skill set, years and depth of experience, education and certifications, competitive benchmarks, scope of responsibility, market dynamics, geographic location, and the respective state’s salary threshold for exempt employees. At Wpromote, pay ranges are subject to change and are based on specific market medians for similar jobs according to third\-party salary benchmark surveys. Individual pay within that range can vary due to skills, experience, and available budget. The total compensation package for this role will include benefits (listed above).
**Responsibilities** 
* Learning to transform, improve, and integrate data according to business requirements
* Planning and scoping end\-to\-end data analysis projects by identifying the business problem and selecting appropriate investigative tests and solutions
* Using SQL and BigQuery to combine and prepare datasets from multiple sources
* Delivering data in a clear, useful, and visually appealing way to both technical and non\-technical audiences
* Maintaining existing media\-mix models through directed retrains and reporting on performance changes
* Organizing and collecting results from media\-mix models, incrementality tests, clean rooms, and related analyses to support Wpromote’s culture of learning
* Conducting guided marketing analyses to support client and internal needs
* Supporting presentations through data pulls, ad\-hoc analyses, and slide creation
* Learning to automate data gathering, blending, and transformation processes
* Collaborating across Engineering, Reporting, Product, Paid Media, and Data Science teams to understand and support client needs
**Qualifications** 
* Associate’s degree, bootcamp certification, or practical work experience in a quantitative field (Statistics, Mathematics, Computer Science, Information Technology, Economics, Engineering, etc.)
**Required Skills** 
* Intermediate programming skills in R or Python for data cleaning, data modeling, pipeline development, API calls, and related tasks
* Experience with statistical modeling, machine learning techniques, and LLMs
* Intermediate SQL skills, including window functions, stored procedures, views, triggers, unions, CTEs, subqueries, and debugging
* Advanced proficiency in Excel and/or Google Sheets
* Experience with at least one BI platform (Looker, Tableau, Power BI, etc.) with the ability to learn others; Looker preferred
* Experience or familiarity with version control tools such as Git or Bitbucket
* Strong organizational skills with the ability to balance competing client requests and work with complex datasets while maintaining accuracy and meeting deadlines
* Intermediate to advanced competency in statistics, probability, and linear algebra
* Strong communication skills, including experience creating and delivering presentations and executive summaries
* Demonstrated critical thinking skills—the ability to analyze numbers, trends, and data to form meaningful insights
* Interest or passion for marketing analytics and/or a personal project portfolio
**Preferred Skills** 
* Bachelor’s degree or higher in a quantitative field
* Exposure to marketing analyses such as media\-mix models (MMM), incrementality testing, CAC, and lead scoring
* Experience with analytics software, such as Google Analytics and Adobe Analytics
* Familiarity with clean room environments (FBAA, AMC, Google ADH)
* Experience with cloud computing (AWS, GCP, Azure, etc.)
**Equal Opportunity Statement** 
 Wpromote is committed to bringing together individuals from different backgrounds and perspectives, providing employees with a safe and welcoming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Wpromote.
 This employer participates in E\-Verify and will provide the federal government with your Form I\-9 information to confirm that you</t>
        </is>
      </c>
    </row>
    <row r="23">
      <c r="A23" t="inlineStr">
        <is>
          <t>li-4271367332</t>
        </is>
      </c>
      <c r="B23" t="inlineStr">
        <is>
          <t>Senior Data Scientist, Analytical Data Product - Safety</t>
        </is>
      </c>
      <c r="C23" t="inlineStr">
        <is>
          <t>Roblox</t>
        </is>
      </c>
      <c r="D23" t="inlineStr">
        <is>
          <t>linkedin</t>
        </is>
      </c>
      <c r="E23" t="inlineStr"/>
      <c r="F23" t="inlineStr"/>
      <c r="G23" t="inlineStr">
        <is>
          <t>San Mateo, CA</t>
        </is>
      </c>
      <c r="H23" t="inlineStr"/>
      <c r="I23"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DATA SCIENCE \&amp; ANALYTICS?**
 The Data Science \&amp; Analytics organization's mission is to increase our speed, frequency and acumen of making decisions at scale by instilling a data\-influenced approach to building products. We cover a wide area of the data spectrum including analytical data engineering, product analytics, experimentation, causal inference, statistical modeling and machine learning. Aligned and partnering with product verticals, we use this extensive tool belt to discover new opportunities and unmet use cases, influence and shape the product roadmap and prioritization, build data products and measure impact on our community of players and developers.
**WHY ANALYTICAL DATA PRODUCT?**
 This role will work very closely with Product Managers, Engineers, and other Data Scientists to build best\-in\-class Safety products. Roblox has unique safety challenges in the content moderation space and in understanding user identity, and this role powers company\-wide decision making about critical safety issues.
 This role combines technical expertise in analytics data engineering and data science, focused on building analytics products and empowering teams with actionable insights. You will play a key role in creating foundational datasets, maintaining scalable data systems, and delivering world\-class visualizations and insights to deepen our understanding of users. This role will report directly into Senior Data Science leadership. .
**You Will**
* Create and manage foundational datasets that power company\-wide reporting and analytics use cases.
* Build interactive data tools and dashboards to deepen our understanding of our Safety systems.
* Build production\-level quality and anomaly and monitoring on some of our most critical internal models
* Scale our data foundation while maintaining high data quality, scalability, and reliability.
* Define key metric frameworks in collaboration with cross\-functional partners and data scientists.
* Use your understanding of business logic and technical expertise to solve complex data challenges.
**You Have**
* An Advanced or equivalent Degree in Computer Science, Applied Math, Physics, Engineering, Statistics, Economics, or related discipline.
* 6\+ years of industry or equivalent experience in Data Science and Analytics.
* 6\+ years of experience with SQL and data visualization.
* 4\+ years of experience in analytical engineering or similar role
* Experience with data mining, warehousing and building ETL pipelines.
* Experience working with complex datasets in the safety, social, compliance, or growth domain and/or gaming industry
* Experience in scripting languages like Python or R for data manipulation.
**You Are**
* Passionate about leveraging data solutions to drive decisions and optimize business performance.
* Strive to write elegant and maintainable code, clear documentations and comfortable with picking up new technologies
* Strong product mindset and data intuition. Keen to apply analytical and data engineering skills to translate business problems into scalable engineering solutions, and experience thinking about the data itself as a product
* An expert at transforming data with SQL and a scripting language such as Python or R. You're experienced in automating efforts and crunching massive volumes of data in distributed systems using frameworks such as Spark, Hadoop or Flink.
* Motivated by impact. You find satisfaction in being able to point to direct contributions you've made to an organization. You recognize the inherent tradeoffs between further research/experimentation and productionization apply the appropriate methodology to maximize impact.
* A strong communicator. You understand that analysis must be presented in meaningful ways and engage in spirited discussions about the findings. You have the ability to explain technical concepts to non\-technical audiences and discuss appropriate tradeoffs.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$262,380—$321,230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24">
      <c r="A24" t="inlineStr">
        <is>
          <t>li-4334652957</t>
        </is>
      </c>
      <c r="B24" t="inlineStr">
        <is>
          <t>Senior Data Scientist</t>
        </is>
      </c>
      <c r="C24" t="inlineStr">
        <is>
          <t>Ford Motor Company</t>
        </is>
      </c>
      <c r="D24" t="inlineStr">
        <is>
          <t>linkedin</t>
        </is>
      </c>
      <c r="E24" t="inlineStr"/>
      <c r="F24" t="inlineStr"/>
      <c r="G24" t="inlineStr">
        <is>
          <t>Dearborn, MI</t>
        </is>
      </c>
      <c r="H24" t="inlineStr"/>
      <c r="I24" t="inlineStr">
        <is>
          <t>**Job Description**
 Senior Data Scientist
 We are the movers of the world and the makers of the future. We get up every day, roll up our sleeves and build a better world \-\- together. At Ford, we’re all a part of something bigger than ourselves. Are you ready to change the way the world moves?
 Do you believe data tells the real story? We do! Redefining mobility requires quality data, metrics and analytics, as well as insightful interpreters and analysts. That's where Global Data Insight \&amp; Analytics makes an impact. We advise leadership on business conditions, customer needs and the competitive landscape. With our support, key decision makers can act in meaningful, positive ways. Join us and use your data expertise and analytical skills to drive evidence\-based, timely decision making.
 In this position...
 We are looking for a Senior Data Scientist to support Design Cost and Complexity Analytics. A successful candidate must have experience in statistics and machine learning and be a proven communicator who effectively interfaces between technical and business teams. The ideal candidate will also have knowledge of cost modeling, product design (hardware), manufacturing, mechanical engineering or similar.
 This job is a good fit for you if you have strong critical thinking skills and enjoy working with users and deeply understanding the data. – We value being Smart. Nice. Curious. Communicative.
**Responsibilities**
**What you’ll do** 
 :
* Acquire deep understanding of vehicle engineering problems and translate them into appropriate mathematical representations
* Work with large and small, complex data sets using tools such as SQL, BigQuery, and Python
* Contribute and review code for our code base in GitHub
* Make sense of, clean, and assess validity and completeness of data samples from Ford’s products, services, and supply chain.
* Deliver insights, models, and tools using statistical analysis, sample validation, machine learning, algorithm design, and feature engineering
* Interpret modeling results and communicate them to technical and non\-technical audiences, cross\-functional teams and leadership
* Interact and work cross\-functionally with a variety of hardware engineers, software engineers, and product designers
* Develop trust with stakeholders and peers by delivering results on time
* Ensure overall quality of the data \&amp; solutions throughout the development process
* Provide training and maintenance of implemented tools to business partners
* Collect feedback from business users and continuously improve analytic products
* Mentor more junior data scientists by being a role model and advisor on the above tasks
* Find areas to lead and innovate as a Senior Data Scientist on the team
**Qualifications**
**You'll have..** 
 .
**The minimum requirements we seek** 
 :
* Bachelor’s degree in engineering, Statistics, Data Science, Computer Science, Engineering, Economics, Mathematics, Data Science, Operations Research or similar technical field or a related quantitative discipline.
* 5\+ years of experience using statistics, machine learning, and other advanced mathematical techniques for gaining insights from data
* 5\+ years of experience using Python, SQL or BigQuery for acquiring and transforming data
* 5\+ years of experience with real\-world data, data cleaning, data collection or other data wrangling challenges
* Experience with sampling and sample assessment techniques when data are not ideal, especially in structured data with data gaps (e.g. statistical design of experiments, factorial experimental design, Latin hypercube sampling, and others)
* Comfortable working in an environment where problems are not always well\-defined
* Well\-organized, a self\-starter, independent and ready to work with minimal supervision
* A respectful and committed teammate, willing to excel and work with talented people
* Inquisitive, proactive, and interested in learning new tools and techniques
* Proven quantitative modeling and statistical analysis skills
**Even better, you may have...**
**Additional preferred requirements:**
* Masters or PhD in quantitative field, such as (but not limited to) Statistics, Computer Science, Engineering, Economics, Mathematics, Data Science, Operations Research or similar technical field.
* K nowledge of cost modeling, product design (hardware), mechanical engineering or similar
* Experience deploying Machine Learning in production (ideally MLOps) for internal or external use
* Experience with Google Cloud Platform (GCP) or other cloud systems
* Strong oral, written and interpersonal communication skills
* Ability to effectively advocate technical solutions to peer, management and business audiences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https://fordcareers.co/GSRSP2
 This position is a range of salary grades 6\-8\.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
**About Us**
 At Ford Motor Company, we believe freedom of movement drives human progress. With our incredible plans for the future of mobility, we have a wide variety of opportunities for you to accelerate your career and help us define tomorrow’s transportation.
**About The Team**
 We are trusted advisers enabling Ford to see our business, know our customers and act in a meaningful way. We drive evidence\-based decision making by providing timely, actionable and forward\-looking insights to our One Ford business partners. We seek to provide the thought leadership essential to achieving Ford’s strategic objectives. We translate insight into action by driving toward robust points of view, timely decisions and responsible allocation of enterprise resources.</t>
        </is>
      </c>
    </row>
    <row r="25">
      <c r="A25" t="inlineStr">
        <is>
          <t>li-4376581441</t>
        </is>
      </c>
      <c r="B25" t="inlineStr">
        <is>
          <t>Junior Data Scientist</t>
        </is>
      </c>
      <c r="C25" t="inlineStr">
        <is>
          <t>Wpromote</t>
        </is>
      </c>
      <c r="D25" t="inlineStr">
        <is>
          <t>linkedin</t>
        </is>
      </c>
      <c r="E25" t="inlineStr"/>
      <c r="F25" t="inlineStr"/>
      <c r="G25" t="inlineStr">
        <is>
          <t>Alabama, United States</t>
        </is>
      </c>
      <c r="H25" t="inlineStr"/>
      <c r="I25" t="inlineStr">
        <is>
          <t>Wpromote is hiring a Junior Data Scientist who loves solving problems with data and has strong math, logic, and communication skills. In this role, you’ll support data processing, model updates, and analytics reporting while learning advanced techniques that will grow your impact over time. You’ll collaborate with teams across Engineering, Reporting, Product, Paid Media, and Data Science, working with exciting clients in e\-commerce, retail, and entertainment. If you’re detail\-oriented, eager to learn, and ready to turn data into meaningful insights, we want to hear from you! At Wpromote, we believe that great work is only possible with great people. Our goal is to build a better, more inclusive work environment and support our people at every stage of their careers by prioritizing a strong work\-life balance through our policies and benefits listed below. As a Best Place to Work according to both Ad Age and Glassdoor and Adweek’s Fastest Growing Digital Agency, we are moving fast to expand our teams and bring new experts into the fold to keep pushing the boundaries of what’s possible in marketing.
 We offer:
* Half\-day Fridays year round
* Unlimited PTO
* Extended Holiday break (Winter)
* Flexible schedules
* Work from anywhere options
* 100% paid parental leave
* 401(k) matching
* Medical, Dental, Vision, Life, Pet Insurance
* Sponsored life insurance
* Short Term Disability insurance and additional voluntary insurance
* Annual Class Pass Credits and more!
**Pay range and compensation package** 
 The anticipated annual salary for this role will range from $88,000 \- $100,000, based on a variety of factors unique to each candidate, including skill set, years and depth of experience, education and certifications, competitive benchmarks, scope of responsibility, market dynamics, geographic location, and the respective state’s salary threshold for exempt employees. At Wpromote, pay ranges are subject to change and are based on specific market medians for similar jobs according to third\-party salary benchmark surveys. Individual pay within that range can vary due to skills, experience, and available budget. The total compensation package for this role will include benefits (listed above).
**Responsibilities** 
* Learning to transform, improve, and integrate data according to business requirements
* Planning and scoping end\-to\-end data analysis projects by identifying the business problem and selecting appropriate investigative tests and solutions
* Using SQL and BigQuery to combine and prepare datasets from multiple sources
* Delivering data in a clear, useful, and visually appealing way to both technical and non\-technical audiences
* Maintaining existing media\-mix models through directed retrains and reporting on performance changes
* Organizing and collecting results from media\-mix models, incrementality tests, clean rooms, and related analyses to support Wpromote’s culture of learning
* Conducting guided marketing analyses to support client and internal needs
* Supporting presentations through data pulls, ad\-hoc analyses, and slide creation
* Learning to automate data gathering, blending, and transformation processes
* Collaborating across Engineering, Reporting, Product, Paid Media, and Data Science teams to understand and support client needs
**Qualifications** 
* Associate’s degree, bootcamp certification, or practical work experience in a quantitative field (Statistics, Mathematics, Computer Science, Information Technology, Economics, Engineering, etc.)
**Required Skills** 
* Intermediate programming skills in R or Python for data cleaning, data modeling, pipeline development, API calls, and related tasks
* Experience with statistical modeling, machine learning techniques, and LLMs
* Intermediate SQL skills, including window functions, stored procedures, views, triggers, unions, CTEs, subqueries, and debugging
* Advanced proficiency in Excel and/or Google Sheets
* Experience with at least one BI platform (Looker, Tableau, Power BI, etc.) with the ability to learn others; Looker preferred
* Experience or familiarity with version control tools such as Git or Bitbucket
* Strong organizational skills with the ability to balance competing client requests and work with complex datasets while maintaining accuracy and meeting deadlines
* Intermediate to advanced competency in statistics, probability, and linear algebra
* Strong communication skills, including experience creating and delivering presentations and executive summaries
* Demonstrated critical thinking skills—the ability to analyze numbers, trends, and data to form meaningful insights
* Interest or passion for marketing analytics and/or a personal project portfolio
**Preferred Skills** 
* Bachelor’s degree or higher in a quantitative field
* Exposure to marketing analyses such as media\-mix models (MMM), incrementality testing, CAC, and lead scoring
* Experience with analytics software, such as Google Analytics and Adobe Analytics
* Familiarity with clean room environments (FBAA, AMC, Google ADH)
* Experience with cloud computing (AWS, GCP, Azure, etc.)
**Equal Opportunity Statement** 
 Wpromote is committed to bringing together individuals from different backgrounds and perspectives, providing employees with a safe and welcoming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Wpromote.
 This employer participates in E\-Verify and will provide the federal government with your Form I\-9 information to confirm that you</t>
        </is>
      </c>
    </row>
    <row r="26">
      <c r="A26" t="inlineStr">
        <is>
          <t>li-4366769085</t>
        </is>
      </c>
      <c r="B26" t="inlineStr">
        <is>
          <t>Data Scientist</t>
        </is>
      </c>
      <c r="C26" t="inlineStr">
        <is>
          <t>Stand8 Technology Consulting</t>
        </is>
      </c>
      <c r="D26" t="inlineStr">
        <is>
          <t>linkedin</t>
        </is>
      </c>
      <c r="E26" t="inlineStr"/>
      <c r="F26" t="inlineStr"/>
      <c r="G26" t="inlineStr">
        <is>
          <t>Long Beach, CA</t>
        </is>
      </c>
      <c r="H26" t="inlineStr"/>
      <c r="I26" t="inlineStr">
        <is>
          <t>STAND 8 provides end to end IT solutions to enterprise partners across the United States and with offices in Los Angeles, New York, New Jersey, Atlanta, and more including internationally in Mexico and India
 We are seeking a highly analytical and technically skilled Data Scientist to transform complex, multi\-source data into unified, actionable insights used for executive reporting and decision\-making.
 This role requires expertise in business intelligence design, data modeling, metadata management, data integrity validation, and the development of dashboards, reports, and analytics used across operational and strategic environments.
 The ideal candidate thrives in a fast\-paced environment, demonstrates strong investigative skills, and can collaborate effectively with technical teams, business stakeholders, and leadership.
**Essential Duties \&amp; Responsibilities** 
* As a Data Scientist, participate across the full solution lifecycle: business case, planning, design, development, testing, migration, and production support.
* Analyze large and complex datasets with accuracy and attention to detail.
* Collaborate with users to develop effective metadata and data relationships.
* Identify reporting and dashboard requirements across business units.
* Determine strategic placement of business logic within ETL or metadata models.
* Build enterprise data warehouse metadata/semantic models.
* Design and develop unified dashboards, reports, and data extractions from multiple data sources.
* Develop and execute testing methodologies for reports and metadata models.
* Document BI architecture, data lineage, and project report requirements.
* Provide technical specifications and data definitions to support the enterprise data dictionary.
* Apply analytical skills and Data Science techniques to understand business processes, financial calculations, data flows, and application interactions.
* Identify and implement improvements, workarounds, or alternative solutions related to ETL processes, ensuring integrity and timeliness.
* Create UI components or portal elements (e.g., SharePoint) for dynamic or interactive stakeholder reporting.
* As a Data Scientist, download and process SQL database information to build Power BI or Tableau reports (including cybersecurity awareness campaigns).
* Utilize SQL, Python, R, or similar languages for data analysis and modeling.
* Support process optimization through advanced modeling, leveraging experience as a Data Scientist where needed.
**Required Knowledge \&amp; Attributes** 
* Highly self\-motivated with strong organizational skills and ability to manage multiple verbal and written assignments.
* Experience collaborating across organizational boundaries for data sourcing and usage.
* Analytical understanding of business processes, forecasting, capacity planning, and data governance.
* Proficient with BI tools (Power BI, Tableau, PBIRS, SSRS, SSAS).
* Strong Microsoft Office skills (Word, Excel, Visio, PowerPoint).
* High attention to detail and accuracy.
* Ability to work independently, demonstrate ownership, and ensure high\-quality outcomes.
* Strong communication, interpersonal, and stakeholder engagement skills.
* Deep understanding that data integrity and consistency are essential for adoption and trust.
* Ability to shift priorities and adapt within fast\-paced environments.
**Required Education \&amp; Experience** 
* Bachelor's degree in Computer Science, Mathematics, or Statistics (or equivalent experience).
* 3\+ years of BI development experience.
* 3\+ years with Power BI and supporting Microsoft stack tools (SharePoint 2019, PBIRS/SSRS, Excel 2019/2021\).
* 3\+ years of experience with SDLC/project lifecycle processes
* 3\+ years of experience with data warehousing methodologies (ETL, Data Modeling).
* 3\+ years of VBA experience in Excel and Access.
* Strong ability to write SQL queries and work with SQL Server 2017\-2022\.
* Experience with BI tools including PBIRS, SSRS, SSAS, Tableau.
* Strong analytical skills in business processes, financial modeling, forecasting, and data flow understanding.
* Critical thinking and problem\-solving capabilities.
* Experience producing high\-quality technical documentation and presentations.
* Excellent communication and presentation skills, with the ability to explain insights to leadership and business teams.
**Benefits** 
* Medical coverage and Health Savings Account (HSA) through Anthem
* Dental/Vision/Various Ancillary coverages through Unum
* 401(k) retirement savings plan
* Paid\-time\-off options
* Company\-paid Employee Assistance Program (EAP)
* Discount programs through ADP WorkforceNow
**Additional Details**
 The base range for this contract position is $73 \- $83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
 By applying to this position, your data will be processed in accordance with the STAND 8 Privacy Policy.</t>
        </is>
      </c>
    </row>
    <row r="27">
      <c r="A27" t="inlineStr">
        <is>
          <t>li-4364950413</t>
        </is>
      </c>
      <c r="B27" t="inlineStr">
        <is>
          <t>Data Scientist</t>
        </is>
      </c>
      <c r="C27" t="inlineStr">
        <is>
          <t>Harrison Clarke</t>
        </is>
      </c>
      <c r="D27" t="inlineStr">
        <is>
          <t>linkedin</t>
        </is>
      </c>
      <c r="E27" t="inlineStr"/>
      <c r="F27" t="inlineStr"/>
      <c r="G27" t="inlineStr">
        <is>
          <t>Menlo Park, CA</t>
        </is>
      </c>
      <c r="H27" t="inlineStr"/>
      <c r="I27" t="inlineStr">
        <is>
          <t>A well\-capitalized, later\-stage investment platform is looking for a Data Scientist to work at the intersection of
 **data, AI, and strategic decision\-making** 
 .
 This role focuses on using data to evaluate company performance, market signals, and emerging trends rather than building internal dashboards or pure reporting. You’ll work closely with senior stakeholders on high\-impact, hypothesis\-driven analysis.
**What you’ll do** 
* Analyze large, messy datasets to surface insights on company and market performance
* Apply statistical, ML, and AI\-driven approaches to investment and strategy questions
* Partner directly with senior leaders to frame questions, test hypotheses, and communicate insights clearly
* Help shape how data and AI are used to inform long\-term decisions
**What they're looking for** 
* Experience with alternative, messy \&amp; raw datasets
* Strong background in data science, analytics, or applied ML (industry or research)
* Comfortable operating end\-to\-end: problem framing → analysis → executive\-level storytelling
* Experience working with senior stakeholders and ambiguous problem spaces
* Interest in markets, technology, and business performance</t>
        </is>
      </c>
    </row>
    <row r="28">
      <c r="A28" t="inlineStr">
        <is>
          <t>li-4376589840</t>
        </is>
      </c>
      <c r="B28" t="inlineStr">
        <is>
          <t>Data Scientist</t>
        </is>
      </c>
      <c r="C28" t="inlineStr">
        <is>
          <t>Iron EagleX, Inc.</t>
        </is>
      </c>
      <c r="D28" t="inlineStr">
        <is>
          <t>linkedin</t>
        </is>
      </c>
      <c r="E28" t="inlineStr"/>
      <c r="F28" t="inlineStr"/>
      <c r="G28" t="inlineStr">
        <is>
          <t>Fort Liberty, NC</t>
        </is>
      </c>
      <c r="H28" t="inlineStr"/>
      <c r="I28" t="inlineStr">
        <is>
          <t>****Job Description:****
**Type of Requisition:**
 Regular
****Clearance Level Must Currently Possess:****
 Top Secret/SCI
****Clearance Level Must Be Able To Obtain:****
 Top Secret/SCI
****Public Trust/Other Required:****
 None
****Job Family:****
 Data Science and Data Engineering
****Skills:****
**Job Qualifications:**
 Artificial Intelligence (AI), Data Science, Datasets, Machine Learning (ML)
****Certifications:****
 None
****Experience:****
 5 \+ years of related experience
****US Citizenship Required:****
 No
****Job Description:****
**YOUR IMPACT**
 Own your opportunity to work with the largest government agency in the nation. Make an impact by advancing the Department of War’s mission to keep our country safe and secure.
****OUR COMPANY****
 Iron EagleX (IEX), a wholly owned subsidiary of General Dynamics Information Technology (GDIT), delivers agile IT and Intelligence solutions. Combining small\-team flexibility with global scale, IEX leverages emerging technologies to provide innovative, user\-focused solutions that empower organizations and end users to operate smarter, faster, and more securely in dynamic environments.
****JOB DESCRIPTION****
 The
 **Data Scientist Senior** 
 will support the SOCOM Data Technical Support (DTS) Program in Fort Bragg, NC.
**MEANINGFUL WORK AND PERSONAL IMPACT**
 As a Data Scientist, you will play a pivotal role in shaping innovative solutions and making a tangible impact through analytical insights and technical expertise. You will leverage your skills in Python programming, SQL, and large\-scale data systems to build and deliver Python\-based analytic services and web\-based GUIs. With hands\-on experience in tools such as Docker, Linux, FastAPI, and CI/CD pipelines, you will help advance machine learning applications and automated data processes that integrate data from diverse sources, including Commercially Available Information (CAI), Publicly Available Information (PAI), and classified datasets. The outcomes of your work will lead to meaningful contributions in areas such as entity resolution, graph/relational reasoning, and applied statistics, driving real\-world results for the mission.
****JOB DUTIES** 
 (INCLUDE BUT ARE NOT LIMITED TO)**
* Build Python\-based analytic services and web\-based GUIs.
* Leverage expertise in Python packages, APIs/services, packaging, and dependency management.
* Develop and implement automated data linking methodologies across structured, semi\-structured, and unstructured data.
* Design, build, and maintain machine learning applications with Python and Streamlit.
* Perform exploratory data analysis (EDA) on CAI/PAI and classified sources.
* Integrate data from APIs, databases, and other sources into unified applications.
* Productionize machine learning models using tools such as FastAPI, CI/CD pipelines, Docker, and Linux.
* Work with large\-scale systems, including Trino, PostgreSQL, and Hive.
* Utilize data science tools such as NumPy, SciPy, pandas, scikit\-learn, and Matplotlib.
* Apply expertise in entity resolution, graph/relational reasoning, and applied statistics.
* Manage the full lifecycle of data processes, from ingestion to model deployment.
****REQUIRED SKILLS:****
* Proficient in broad machine learning concepts such as supervised and unsupervised.
* Proficient in Python, Bash, Docker and Git.
* Proficient in working with APIs using Python.
* Proficient in software testing in Python.
****WHAT YOU’LL NEED TO SUCCEED****
* Clearance: Current DoW TS/SCI Clearance is required
* Experience: 5 years of related experience
* Education: Bachelor’s degree in Computer Science, Statistics, Engineering, or a related field (or equivalent experience)
* Role requirements: Onsite
* Due to US Government Contract Requirements, only US Citizens are eligible for this role
****PREFERRED QUALIFICATION****
* Demonstratable projects using AI/ML to solve problems.
* Proficient in setting up Flask and FastAPI.
* SCRUM/AGILE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competitive pay and paid time off
* Community: Award\-winning culture of innovation and a military\-friendly workplace
**OWN YOUR OPPORTUNITY**
 Explore a career at GDIT and you’ll find endless opportunities to grow alongside colleagues who share your passion for the mission and delivering results.
 **\#iexjobs**
*Equal Opportunity Employer / Individuals with Disabilities / Protected Veterans*
 The likely salary range for this position is $110,500 \- $149,500\. This is not, however, a guarantee of compensation or salary. Rather, salary will be set based on experience, geographic location and possibly contractual requirements and could fall outside of this range.
****Scheduled Weekly Hours:****
 40
****Travel Required:****
 Less than 10%
****Telecommuting Options:****
 Onsite
**Work Location:**
 USA NC Fort Bragg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29">
      <c r="A29" t="inlineStr">
        <is>
          <t>li-4375394823</t>
        </is>
      </c>
      <c r="B29" t="inlineStr">
        <is>
          <t>Data Scientist</t>
        </is>
      </c>
      <c r="C29" t="inlineStr">
        <is>
          <t>Haystack</t>
        </is>
      </c>
      <c r="D29" t="inlineStr">
        <is>
          <t>linkedin</t>
        </is>
      </c>
      <c r="E29" t="inlineStr"/>
      <c r="F29" t="inlineStr"/>
      <c r="G29" t="inlineStr"/>
      <c r="H29" t="inlineStr"/>
      <c r="I29" t="inlineStr">
        <is>
          <t>Data Integration Specialist (TS/SCI) \| Doral, Florida, United States \| Hybrid \| $81,000\-$173,000 yearly
 We're working with Vantor on this exciting opportunity. This role supports a critical DoD mission, focusing on developing and sustaining a scalable data ecosystem that enhances interoperability and mission\-driven analytics. You will bridge operational gaps between various agencies, enabling real\-time information sharing and dynamic data integration.
 The Role
 • Develop and maintain scalable data pipelines for real\-time and batch processing of diverse data.
 • Implement Extract, Transform, Load (ETL) workflows for data interoperability across cloud and on\-premises environments.
 • Manage schema alignment, metadata tagging, and data governance to ensure data quality and traceability.
 • Coordinate with the AI/ML Engineer to tailor data transformations for model training and analytical needs.
 • Document data sources, pipeline optimizations, and integration updates through the Data Ingestion \&amp; Transformation Report.
 What You'll Need
 • Active TS\-SCI Clearance.
 • Bachelor's degree in Data Science, Information Management, or related field, or five years of equivalent experience.
 • Proven experience in developing and managing ETL workflows and integrating data from multiple sources.
 • Expertise with tools like Apache NiFi, Databricks, and SQL\-based data warehouses.
 • Capability to manage data ingestion, transformation, and interoperability in hybrid environments.
 • Proficiency in data integration tools, API development, ETL pipelines, and schema management.
 What's On Offer
 • Opportunity to work on a critical DoD mission.
 • Comprehensive benefits package including paid time off, health/welfare insurance, and 401(k).
 • Competitive salary with a range based on experience and location.
 • A supportive and diverse work environment.
 Apply via Haystack today!</t>
        </is>
      </c>
    </row>
    <row r="30">
      <c r="A30" t="inlineStr">
        <is>
          <t>li-4376817023</t>
        </is>
      </c>
      <c r="B30" t="inlineStr">
        <is>
          <t>Data Scientist (5063)</t>
        </is>
      </c>
      <c r="C30" t="inlineStr">
        <is>
          <t>SMX</t>
        </is>
      </c>
      <c r="D30" t="inlineStr">
        <is>
          <t>linkedin</t>
        </is>
      </c>
      <c r="E30" t="inlineStr"/>
      <c r="F30" t="inlineStr"/>
      <c r="G30" t="inlineStr">
        <is>
          <t>Patuxent River, MD</t>
        </is>
      </c>
      <c r="H30" t="inlineStr"/>
      <c r="I30" t="inlineStr">
        <is>
          <t>SMX is seeking a Data Scientist to provide support for the NAWCAD Readiness \&amp; Fleet Analytics (R\&amp;FA) Division’s Advanced Analytics and Innovation (AA\&amp;I) Branch at Patuxent River Naval Air Station in Lexington Park, MD.
 This candidate will primarily involve migrating code for data science projects from Cloudera Data Science Workbench (CDSW) to Databricks. The candidate will use business intelligence (BI) tools such as Tableau and Microsoft Power BI to transform PMA reliability, maintenance, and supply data into actionable insights. Additionally, you will work with cutting\-edge data engineering, web development, and data science platforms, including Databricks, GitLab, JIRA, Amazon Web Services (AWS), NUCLEUS, and JAVA, to deliver innovative and impactful solutions.
 The AA\&amp;I Branch provides critical support to Program Management Air (PMA) offices, the Air Systems Group, Command, Fleet Readiness Centers, and other Department of Defense (DoD) services.
 This role will allow for telework but will require occasional time onsite at Patuxent River NAS. 
**Essential Duties \&amp; Responsibilities** 
* Apply advanced analytical models, techniques, and methodologies to solve complex scientific and business operations challenges.
* Research, design, and develop user\-centric interactive reports, dashboards, and visualization solutions using Tableau, Qlik, or Power BI to deliver actionable business insights for PMA and AA\&amp;I branch decision makers.
* Demonstrate expertise in scientific tools including QLIK, Tableau, R, Python, and SQL, along with other programming and dashboarding utilities. Analyze aircraft platforms and develop algorithms to detect system failures and performance issues.
* Design, build, integrate, and manage data architecture and frameworks for various data science projects, ensuring seamless data flow between servers and applications.
* Gather, clean, preprocess, and analyze data from multiple sources to support modeling and decision\-making processes. Apply statistical analysis and data mining techniques to extract insights, validate model assumptions, and develop automated scripts for data transmission across different environments.
* Apply machine learning, natural language processing, and other advanced programming techniques to collect, process, analyze, and present statistical data in meaningful formats.
* Analyze historical data and trends to forecast future outcomes and continuously optimize model performance.
**Required Skills \&amp; Experience**
* Clearance Required: Secret
	+ US Citizenship is required for work on DoD contract
* Bachelor’s degree in Data Science, Computer Science, Mathematics, Statistics (preferred), or Engineering/Operations Research (acceptable) with 5\+ years of related experience.
	+ Master’s degree preferred and will receive preference.
* 7\+ years of professional or academic experience with Python, R, or SQL.
* 3\+ years of hands\-on experience with Tableau, Qlik, or Power BI.
* 5\+ years of experience with JIRA and GitLab.
**Desired Skills/Experience:** 
* Background in aerospace and/or defense industries
* Familiarity with aviation industry data
* JAVA and front\-end development skills
* Advanced Tableau data visualization expertise
* Scrum Master certification and/or leadership experience
* Strong analytical and critical thinking capabilities
* Excellent oral and written communication skills, including the ability to present and defend technical recommendations
* Self\-directed team player with proven ability to deliver results efficiently and interact professionally across all management levels
* High\-level problem\-solving and interpersonal skills
* Adaptability to work effectively in dynamic environments
**Application Deadline:**
 3/23/2026
 \#cjpost
  The SMX salary determination process takes into account a number of factors, including but not limited to, geographic location, Federal Government contract labor categories, relevant prior work experience, specific skills, education and certifications. At SMX, one of our Core Values is to Invest in Our People so we offer a competitive mix of compensation, learning \&amp; development opportunities, and benefits. Some key components of our robust benefits include health insurance, paid leave, and retirement.
 The proposed salary for this position is:: $87,600 USD \- $146,000 USD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an Equal Opportunity employer including disabilities and veterans.
 Selected applicant may be subject to a background investigation and/or education verification.
 SMX does not sponsor a new applicant for employment authorization or immigration related support for this position (i.e. H1B, F\-1 OPT, F\-1 STEM OPT, F\-1 CPT, J\-1, TN, E\-2, E\-3, L\-1 and O\-1, or any EADs or other forms of work authorization that require immigration support from an employer).</t>
        </is>
      </c>
    </row>
    <row r="31">
      <c r="A31" t="inlineStr">
        <is>
          <t>li-4341533484</t>
        </is>
      </c>
      <c r="B31" t="inlineStr">
        <is>
          <t>Senior Data Scientist</t>
        </is>
      </c>
      <c r="C31" t="inlineStr">
        <is>
          <t>Posh</t>
        </is>
      </c>
      <c r="D31" t="inlineStr">
        <is>
          <t>linkedin</t>
        </is>
      </c>
      <c r="E31" t="inlineStr"/>
      <c r="F31" t="inlineStr"/>
      <c r="G31" t="inlineStr"/>
      <c r="H31" t="inlineStr"/>
      <c r="I31" t="inlineStr">
        <is>
          <t>**About Posh**
 We are all social creatures, but the dominant “social” companies today have evolved into digital loneliness machines, driving isolation, anxiety, and mental health challenges around the world.
 Human connection is lost. Posh is a beacon guiding us back.
 Posh enables anyone to build an IRL community based on shared interests, while connecting consumers with the communities of people just like them. Founded by event organizers who were frustrated with the growing loneliness epidemic and the tools available to build their own event brand, we’ve built the ultimate platform for launching, monetizing, and finding IRL communities of people just like you. In just 5 years, Posh has grown to a team of 65, expanded to 7M\+ users, secured $70m in venture funding, and facilitated over $300M in transactions.
**About The Role**
 We are looking for an experienced Senior Data Scientist to build the foundation of our personalization and recommendation system. In this role, you’ll lead the development of our core personalization algorithm. As one of the early data hires at Posh, you’ll shape the technical direction of our modeling strategy and set the standards for how data is defined, collected, and transformed across the organization.
 You’ll work across the full ML lifecycle: identifying new data sources, building clean pipelines for model features, model selection/iteration, and evaluating model performance. Your work will directly drive key product experiences, influencing ranking, classification, and personalization at scale.
 You’ll partner closely with Product and Engineering to define feature requirements, ensure proper tracking, and architect model\-ready datasets that reflect real user behavior. You’ll establish best practices for data quality, governance, and documentation, ensuring our models remain trustworthy and performant as we grow.
 This role offers a high\-growth opportunity as we expand our data capabilities and team. If you're passionate about building from 0 to 1 and making a lasting impact, this is the role for you.
**This is an in\-person role based in our New York City office in the heart of SoHo** 
 . Building live experiences and building with soul are important for our customers, and we believe being and working together as a team is the best way for Posh to feel and achieve this. Events on Posh should be fun, alive, and driven with passion and we want to mirror this in our teams every day!
**At a high level, you’ll be in charge of:**
* Designing and Preparing High\-Quality Data for Personalization Models: Own the process of data cleaning, feature selection, and model selection to build a high\-performing personalization model. Ensure all inputs into personalization algorithms are reliable, well\-structured, and optimized for downstream ML performance.
* Building and Maintaining Scalable Pipelines for Modeling Data: Develop robust ETL/ELT pipelines that transform raw behavioral, transactional, and catalog data into features for recommendation systems. Continuously iterate to improve data freshness and coverage using SQL and Python.
* Optimizing Infrastructure to Support ML Personalization at Scale: Enhance data architecture and processing frameworks to support real\-time and batch modeling needs.
* Ensuring Strong Data Governance and Documentation: Implement best practices for data quality, documentation, observability, and lineage across all model\-bound datasets.
* Collaborating with Product and Engineering on Instrumentation \&amp; Feature Tracking: Work closely with Engineering to ensure accurate tracking and logging of user actions and product interactions needed for personalization systems. Partner with Product to translate business needs into feature definitions and modeling requirements.
* Optimizing Classification Models: Develop, refine, and optimize classification models that accurately categorize events. Improve signal quality through feature engineering, tuning, sampling, and continuous iteration to ensure accurate tagging that powers downstream personalization algorithms.
**Our Ideal Candidate**
* Possesses 5\+ Years of full time Data Experience: Has at least 5 years of hands\-on experience in data science or analytics engineering. Demonstrates a strong ability to design, build, and optimize scalable data systems.
* Expert in SQL and Python: Demonstrates strong proficiency in SQL and Python, with deep experience cleaning data, engineering features, and building efficient, production\-ready modeling pipelines.
* Strong Ability to Analyze and Evaluate Models: Skilled in designing experiments, interpreting model performance, and communicating insights clearly to both technical and non\-technical stakeholders.
* Experience Building Personalization and Recommendation Systems: Has built or contributed to ranking, classification, recommendation, or personalized user experience models in production environments.
* Proficient with Modern Data and ML Tooling: Experienced working with cloud data platforms and analytics tooling, and familiar with best practices in data modeling, pipeline reliability, and ML optimization.
* Has a Background in Early Stage Data Team (Required): Exhibits high interest in startups and has experience building the early foundation of a data team at a small tech company.
* Cloud ML Tools \&amp; Consumer Scale (Bonus): Experience with AWS Personalize, SageMaker, or similar cloud ML platforms, and/or working on consumer\-facing products operating at scale.
 Posh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Posh is committed to providing reasonable accommodations for qualified individuals with disabilities in our job application procedures. Please let us know if you need assistance or accommodation due to a disability</t>
        </is>
      </c>
    </row>
    <row r="32">
      <c r="A32" t="inlineStr">
        <is>
          <t>li-4335022082</t>
        </is>
      </c>
      <c r="B32" t="inlineStr">
        <is>
          <t>Data Scientist 2</t>
        </is>
      </c>
      <c r="C32" t="inlineStr">
        <is>
          <t>Garmin</t>
        </is>
      </c>
      <c r="D32" t="inlineStr">
        <is>
          <t>linkedin</t>
        </is>
      </c>
      <c r="E32" t="inlineStr"/>
      <c r="F32" t="inlineStr"/>
      <c r="G32" t="inlineStr">
        <is>
          <t>Olathe, KS</t>
        </is>
      </c>
      <c r="H32" t="inlineStr"/>
      <c r="I32" t="inlineStr">
        <is>
          <t>**Overview**
 We are seeking a full\-time
 **Data Scientist 2** 
 at Garmin’s U.S. headquarters in the Greater Kansas City area. In this role, you will be responsible for analyzing complex data sets, developing machine learning models, and collaborating with cross\-functional teams to provide actionable insights and AI solutions. In addition, under guidance or with minimal supervision, this role will apply machine learning, statistical analysis, and data engineering techniques to address challenging business problems.
**Essential Functions**
* Under guidance or with minimal supervision, lead the collection, cleaning, and preprocessing of large datasets from diverse sources
* Conduct advanced exploratory data analysis (EDA) to identify trends, patterns, and anomalies that inform modeling efforts
* Design, implement, and refine predictive models using machine learning and statistical methodologies
* Collaborate with cross\-functional teams to translate data\-driven insights into product and strategy recommendations
* Design and deploy data pipelines for annotation, training and evaluation, and automate workflows to enhance efficiency
* Explore, evaluate, and experiment with emerging data science techniques, algorithms, and tools to improve model performance
* Support integration of models into production systems by coordinating with functional and technical teams and monitoring performance post\-deployment
* Assist in developing and maintaining processes and tools to ensure model performance, reliability, and data quality
* Create and present compelling data visualizations and reports using advanced graphics and visualization tools
* Identify and leverage both internal and external datasets to drive innovation and support business solutions
* Contribute to the development of custom machine learning models and algorithms across diverse datasets
* Apply predictive modeling to improve user experiences, support revenue growth, and enable data\-driven insights
* Support the definition of project scope and business expectations based on data\-driven insights
* Provide mentorship and share best practices with junior team members under the guidance of senior staff
* Participate in peer reviews and contribute to the continuous improvement of team processes
* Demonstrate a commitment to ongoing learning of new technologies, frameworks, and methodologies
* Ensure data quality, adherence to governance standards, and compliance with data privacy and AI\-related regulations
**Basic Qualifications**
* Bachelor's Degree in Computer Science, Electrical Engineering, Computer Engineering, Software Engineering, Aerospace Engineering, Math or Physics or a technical field (such as CIS or IT) relevant to the essential functions of this job description AND a minimum of 1 year of relevant experience OR an equivalent combination of education and relevant experience
* Excellent academics (cumulative GPA greater than or equal to 3\.0 as a general rule)
* Experience using systems such as SQL, Python, or R
* Strong knowledge of machine learning frameworks (e.g., Scikit\-Learn, TensorFlow, PyTorch)
* Demonstrated understanding of advanced descriptive and inferential statistics
* Demonstrates expert knowledge in data analysis methods and tools
* Demonstrated strong and effective verbal, written, and interpersonal communication skills
* Must be team\-oriented, possess a positive attitude, and work well with others
* Driven problem solver with proven success in solving difficult problems
* Consistently demonstrates quality and effectiveness in work documentation and organization
**Desired Qualifications**
* Experience with structured database management systems
* Experience with applying statistical methods (e.g. time series analysis, NLP, deep learning, or reinforcement learning)
* Hands\-on experience with MLOps, model deployment, and CI/CD for data science workflows
* Exposure to distributed computing (e.g., Spark, Dask) and NoSQL databases
* Understanding of A/B testing and causal inference
* Experience working with unstructured data (text, images, audio, etc.)
* Familiarity with data visualization tools (i.e. Matplotlib, Seaborn)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Employment Benefits*</t>
        </is>
      </c>
    </row>
    <row r="33">
      <c r="A33" t="inlineStr">
        <is>
          <t>li-4334900955</t>
        </is>
      </c>
      <c r="B33" t="inlineStr">
        <is>
          <t>Staff Data Scientist</t>
        </is>
      </c>
      <c r="C33" t="inlineStr">
        <is>
          <t>Underdog</t>
        </is>
      </c>
      <c r="D33" t="inlineStr">
        <is>
          <t>linkedin</t>
        </is>
      </c>
      <c r="E33" t="inlineStr"/>
      <c r="F33" t="inlineStr"/>
      <c r="G33" t="inlineStr"/>
      <c r="H33" t="inlineStr"/>
      <c r="I33" t="inlineStr">
        <is>
          <t>At Underdog, we make sports more fun.
 Our thesis is simple: build the best products and we’ll build the biggest company in the space, because there’s so much more to be built for sports fans. We’re just over five years in, and we’re one of the fastest\-growing sports companies ever, most recently valued at $1\.3B. And it’s still the early days.
 We’ve built and scaled multiple games and products across fantasy sports, sports betting, and prediction markets, all united in one seamless, simple, easy to use, intuitive and fun app.
 Underdog isn’t for everyone. One of our core values is give a sh\*t. The people who win here are the ones who care, push, and perform. If that’s you, come join us.
 Winning as an Underdog is more fun.
**About The Role**
* Collaborate with other data scientists to build and iterate on models for personalized recommendations, targeting, and user segmentation.
* Lead personalization initiatives that span modeling, experimentation, and implementation to improve user experience and retention.
* Build and deploy machine learning models such as recommendation systems, targeting algorithms, segmentation, and ranking models.
* Design and analyze A/B tests and other experiments to evaluate the effectiveness of personalization strategies.
* Collaborate closely with Product, Engineering, Marketing, and Data Engineering to bring personalization models into production.
* Develop clean, maintainable code and contribute to reusable pipelines, feature stores, and evaluation frameworks.
* Translate data insights into compelling stories and actionable strategies for technical and non\-technical audiences.
****Who you are****
* A degree in Math, Physics, Statistics, Economics, Computer Science, or a similar domain. MS degree preferred.
* 7\+ years of experience in data science, machine learning, or a related technical role.
* Hands\-on experience with recommendation engines, targeting systems, ranking models, or personalization algorithms.
* Strong proficiency in Python for modeling and data manipulation.Advanced SQL skills and experience querying large, complex datasets.
* Solid foundation in statistics, hypothesis testing, and experimental design.
* Familiarity with cloud\-based tools and platforms (e.g., AWS, GCP, Snowflake, dbt, Airflow).
* Proven ability to partner cross\-functionally and influence product decisions with data.
****Even better if you have****
* Experience with uplift modeling, multi\-armed bandits, or causal inference.
* Prior work in industries such as fantasy sports, sports betting, mobile gaming, or other B2C tech companies.
* Exposure to real\-time personalization pipelines or recommender systems at scale.
* Familiarity with tools like MLflow, SageMaker, or Feature Stores.
*Our target starting base salary range for this position is between $180,000 and $210,000, plus target equity. The starting base salary will depend on a number of factors including the candidate’s skills and experience, among other things.*
**What we can offer you:**
* Unlimited PTO for full\-time employees (we're extremely flexible with the exception of the first few weeks before \&amp; into the NFL season)
* 16 weeks of fully paid parental leave
* A $500 home office allowance
* A connected virtual\-first culture with a highly engaged distributed workforce
* 5% 401k match, FSA, company paid health, dental, vision plan options for employees and dependents
 We're a remote\-first company and value in\-person connection. That said, we expect everyone to gather 2\-3 times per year for team and company offsites, trainings, and more.
***T***
***his position may require sports betting licensure based on certain state regulations.***
*Underdog is an equal opportunity employer and doesn't discriminate on the basis of creed, race, sexual orientation, gender, age, disability status, or any other defining characteristic.*
**California Applicants** 
 : Review our CPRA Privacy Notice here.</t>
        </is>
      </c>
    </row>
    <row r="34">
      <c r="A34" t="inlineStr">
        <is>
          <t>li-4370994714</t>
        </is>
      </c>
      <c r="B34" t="inlineStr">
        <is>
          <t>Data Scientist</t>
        </is>
      </c>
      <c r="C34" t="inlineStr">
        <is>
          <t>Underdog.io -Apply to top tech jobs in 60 seconds. A place where companies apply to you</t>
        </is>
      </c>
      <c r="D34" t="inlineStr">
        <is>
          <t>linkedin</t>
        </is>
      </c>
      <c r="E34" t="inlineStr"/>
      <c r="F34" t="inlineStr"/>
      <c r="G34" t="inlineStr"/>
      <c r="H34" t="inlineStr"/>
      <c r="I34" t="inlineStr">
        <is>
          <t>Underdog.io is a modern recruiting platform. One of our hiring partners is looking to hire a Data Scientist to expand their retail analytics team.
**Job Title:** 
 Data Scientist
**Locations:** 
 San Francisco, CA, Irvine, CA, New York, NY, Seattle, WA, Austin, TX, and Remote
**About Our Company** 
 We’re the world’s largest live streaming platform, where millions of global communities connect daily around shared passions—from gaming, music, and sports to cooking and creative arts. Our mission is to empower creators and foster belonging through real\-time interaction. Backed by a collaborative, community\-driven culture, we’re solving complex challenges at the intersection of entertainment, technology, and human connection.
**The Opportunity** 
 Join our Monetization Data Science team to directly impact how creators earn revenue on our platform. As a Data Scientist focused on Payouts \&amp; Creator Economics, you’ll ensure fair, transparent, and innovative compensation systems for thousands of global creators. Partner with Product, Engineering, Finance, and Legal teams to refine payout policies, launch new monetization features, and combat fraud—all while growing into a senior technical leader.
 What You’ll Do
* **Analyze Policy Impact:** 
 Measure how payout program changes (e.g., eligibility rules, payment timelines) affect creator behavior and platform economics.
* **Own Creator Insights:** 
 Develop dashboards and reports tracking payout performance, earnings trends, and program health.
* **Drive Causal Inference:** 
 Apply methods like DiD, matching, and IPW to evaluate non\-experimental policy shifts.
* **Build Data Pipelines:** 
 Create and maintain SQL/Python workflows for recurring analytics (owning data ops when needed).
* **Cross\-Functional Leadership:** 
 Guide product decisions by translating data into actionable strategies for stakeholders.
* **Support Innovation:** 
 Shape new monetization initiatives to expand creator opportunities globally.
**Your Expertise** 
* 3\+ years in Data Science, Analytics, or related field.
**Technical Fluency:** 
* Advanced SQL (complex joins, window functions).
* Python (Pandas, SciPy) or R for data analysis.
* Causal inference mastery (experiment design, quasi\-experimental methods).
* **Communication:** 
 Distill technical insights for executives, legal teams, and engineers.
* **Ownership Mentality:** 
 Thrive in ambiguity; proactively solve problems with imperfect data.
* **Growth Mindset:** 
 Eager to evolve from tactical analytics to strategic leadership.
 Bonus Points For
* Airflow, SageMaker, or ML deployment experience (fraud/churn models).
* Econometrics background or A/B test design.
* Dashboarding (Tableau, Looker, Redshift).
 Perks \&amp; Benefits
* 💰
 **Competitive Salary** 
 \+ Annual Bonus
* 🩺
 **Full\-Coverage Health:** 
 Medical, dental, vision, disability (100% premiums)
* 👨 👩 👧
 **Family Support:** 
 16\-week parental leave \+ fertility benefits
* 🌴
 **Flexible PTO:** 
 Unlimited vacation \+ company\-wide breaks
* 💻
 **Workspace Stipend:** 
 $1,000/year home office upgrade
* 📈
 **401(k):** 
 100% match up to 6% of salary
* 🛒
 **Retail Discounts:** 
 10% off at leading e\-commerce brands
 Our Culture
* **Community First:** 
 We build belonging—for creators and each other.
* **Bold Ownership:** 
 Solve hard problems with autonomy and accountability.
* **Learn Together:** 
 Weekly tech talks, mentorship, and $5k/year learning stipend.
* **Global Impact:** 
 Your work directly empowers creators worldwide.
**Apply Now** 
 Ready to revolutionize how creators thrive? Join us to blend analytical rigor with creative problem\-solving—and grow your career in a team that values curiosity, collaboration, and human connection.</t>
        </is>
      </c>
    </row>
    <row r="35">
      <c r="A35" t="inlineStr">
        <is>
          <t>li-4259652465</t>
        </is>
      </c>
      <c r="B35" t="inlineStr">
        <is>
          <t>Sr Advanced Data Scientist</t>
        </is>
      </c>
      <c r="C35" t="inlineStr">
        <is>
          <t>Honeywell</t>
        </is>
      </c>
      <c r="D35" t="inlineStr">
        <is>
          <t>linkedin</t>
        </is>
      </c>
      <c r="E35" t="inlineStr"/>
      <c r="F35" t="inlineStr"/>
      <c r="G35" t="inlineStr">
        <is>
          <t>Pittsburgh, PA</t>
        </is>
      </c>
      <c r="H35" t="inlineStr"/>
      <c r="I35" t="inlineStr">
        <is>
          <t>**Job Description**
 Sr Advanced Data Scientist (Senior Adv Software Engineer)
 Sr Advanced Data Scientist (Senior Adv Software Engineer) for Vocollect, Inc. in Pittsburgh, PA
**Responsibilities**
 Responsible for developing and supporting Honeywell’s Voice Enterprise software platforms (VoiceConsole, VoiceCheck, VoiceLink) using Agile Scrum/SAFe methodologies and expected to use industry standard tool (e.g., Jira, Bitbucket Github, Confluence, etc.).
 Work directly with developers, testers, and product managers to deliver across the entire application life cycle (Concept, Design, Build, Deploy, Test, Release and Support).
 Perform software development on existing products while defining/designing next generation platform such as microservices architecture (Spring Boot), flexible API development (GraphQL), container orchestration (Kubernetes) and knowledge of migrating enterprise applications to Software\-as\-a\-Service (SaaS) model to Azure cloud.
 Perform demos on features or concepts.
 Participate in the Secure Software Lifecycle activities with Global and Cyber\-Security teams; interact cross\-functionally with Honeywell global teams, partners and customers to address customer field issues; support the learning, mentoring and on\-boarding of new and/or junior team members. Experience with mobile application development for creating and deploying across iOS and Android devices.
**Additional Information**
 Location: Pittsburgh, PA
 40 hours/week
 Employee Referral Fee: $1500
 If offered employment must have legal right to work in U.S. EOE.
**Qualifications**
 YOU MUST HAVE:
 Qualified applicants must have a Bachelor’s degree or foreign equivalent in Computer Science, Software Engineering, Information Systems, or related field, and 5 years of enterprise, webbased software development experience. Full term of experience must include: developing, scripting, testing and troubleshooting applications developed in Java plus one or more of the following languages: Javascript, React, Python, C/C\+\+; working knowledge of Spring, Springboot, Struts, SQL/No\-SQL, RESTful services, GraphQL; efficient with software version control tools (e.g, Bitbucket, SVN, Github, GitLab) and defect tracking tools (e.g., Jira, Bugzilla); demonstrated experience with cloud technologies including an understanding of modern microservice\-based architectures and methodologies; experience converting enterprise applications to Software\-as\-a\-Service solutions by migrating it to a cloud platform (e.g. Azure); experience using container orchestration tools (e.g. Kubernetes) for automating software deployment, scaling, and management; and knowledge of speech recognition technologies for transcribing spoken audio into text. Up to 10% domestics travel required. Telecommuting is permitted up to two (2\) times per week.</t>
        </is>
      </c>
    </row>
    <row r="36">
      <c r="A36" t="inlineStr">
        <is>
          <t>li-4367775160</t>
        </is>
      </c>
      <c r="B36" t="inlineStr">
        <is>
          <t>Sr. Political Data Scientist</t>
        </is>
      </c>
      <c r="C36" t="inlineStr">
        <is>
          <t>GoodParty.org</t>
        </is>
      </c>
      <c r="D36" t="inlineStr">
        <is>
          <t>linkedin</t>
        </is>
      </c>
      <c r="E36" t="inlineStr"/>
      <c r="F36" t="inlineStr"/>
      <c r="G36" t="inlineStr"/>
      <c r="H36" t="inlineStr"/>
      <c r="I36" t="inlineStr">
        <is>
          <t>**Senior Political Data Scientist**
 GoodParty.org is looking for a Senior Political Data Scientist / Political Researcher / Data Analyst to join our mission to make people matter more than money in our democracy. In this role, you’ll use data, experiments, and quantitative models to support independent candidates at every level, helping them run smarter, win more often, and serve their communities better. You’ll join a fully remote, fast\-growing startup where your work directly shapes the future of our democracy.
**About GoodParty.org:**
 A majority of voters, including more than half of Millennials and Gen Z, say that neither major party represents them. GoodParty.org is the solution.
 We’re on a mission to make people matter more than money in our democracy by empowering Independent candidates to run, win, and serve.
 Since 2024, 13,000\+ Independent candidates have won their races across all 50 states using our tools, training, and support. Our AI\-powered platform provides free tools to launch and run campaigns, connect with voters, and serve their communities effectively. The only things our elected officials have in common is that they prioritize people over parties and community over corporate interests.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 Develop, test, and refine quantitative models of electoral outcomes, including vote propensity, voter support scoring, and pathways to victory for independent candidates.
* Model constituencies and public service outcomes by collecting, imputing, and analyzing public opinion data to help independent candidates and public officials better understand and serve their communities.
* Implement and iterate on public opinion measurement methods (e.g., surveys or in\-product feedback) to build feedback loops on constituent priorities.
* Design and run surveys and political field experiments to understand how independents can best run, win, and serve once in office.
* Find opportunities for natural experiments in our product, user, and election result data.
* Improve measurements of electoral and public service outcomes.
* Identify new data sources and improve the usage of our existing data on campaigns, elections, voting, and constituencies (e.g., improving our nationwide election identification system by surfacing candidate and election data as far ahead of each election as possible).
* Partner with engineering, operations, and product teams to incorporate new datasets and modeling into a scalable data pipeline and internal tools.
* Enhance product features for candidates and public officials through the application of political data and modeling best practices, while continuously improving our core political models.
* Work independently as a senior member of a small research team to drive measurable results quickly.
* Own a cycle of constant model improvement, aiming for steady, measurable accuracy gains and better decision\-making week over week.
* Reports to the Research Director.
**Who we’re looking for:**
* You’re up for the audacious challenge of driving money out of politics and democratizing democracy.
* You have 5\+ years of relevant experience; or a Master’s degree in a quantitative or social science field (e.g., political science, statistics, economics, public policy, data science) and 3\+ years of applied work experience; or a PhD with evidence of experience working quickly with concrete deliverables.
* You have a strong background applying data science, statistics, or computation to politics. This expertise could take many forms, but may include several of: econometrics, causal inference, sampling and survey design, political applications of machine learning and AI, or social scientific simulations.
* You have experience with public opinion data: either designing and fielding surveys or analyzing combinations of data sources on public opinion or behavior and imputing data where appropriate. You’ve worked to develop statewide or nationwide pictures of voter/constituent thoughts and behaviors.
* You have experience designing and deploying field experiments, either in the context of a product, campaigns, or governance, or you have a fine sense for identifying natural experiments and opportunities for causal measurement in political data.
* You have experience with forecasts, predictions, or inferential models about politics. Examples could be counterfactual event simulation, propensity scoring or support scoring on campaigns, or data\-journalistic predictive models of electoral success.
* You have hands\-on experience with U.S. election data or other types of U.S. political data, and are comfortable working with messy, real\-world datasets (election returns, voter files, or other types of administrative data).
* You are able to scope questions, choose methods, ship analyses, and iterate independently.
* You have used a statistical programming language in a previous role (preferably R or Python), are comfortable writing queries in SQL, and have experimented with how cutting\-edge AI models can be used to address political data and research questions.
**Bonus if:**
* You have experience working with elected officials or government agencies in a data or modeling intensive role.
* You have led the design or implementation of real field experiments, ideally through digital products such as apps or web tools.
* You have experience turning research ideas on the whiteboard into prototypes or minimum viable examples of software that can be scaled by an engineering team and deployed in a product.
* You’ve studied, worked, or volunteered in politics, civics, or democracy reform.
* You’re tired of sitting on the sidelines while democracy fails to meet its potential – and you’re ready to act.
**Why you should work at GoodParty.org:**
* Join a passionate team with diverse political views focused on one mission. Our values are: People First. Direct, Open, and Honest. Empowered Ownership. Iterate for Impact. Fun Is Fuel.
* We’re a Public Benefit Corporation that prioritizes social impact over profit.
* Innovative Bitcoin denominated deferred bonus plan, allowing you to have the amazing upside of being in a startup while working on a truly meaningful mission.
* Work where and how you like, on a fully remote team spread across the country.
* 100% coverage of health, dental, and vision benefits for you and your dependents.
* We encourage you to take time off to recharge and have an unlimited PTO (sick and vacation) policy. This is a marathon, not a sprint. We believe a work\-life balance is needed to get there.
* 401(k) program available so you can contribute toward retirement savings (no employer match).
* Individual learning \&amp; development budget to fund your growth.
* We’ll make sure you’ve got what you need to work remotely through our workspace setup stipend.
* If you work from home, we give $50/month to help with your internet and other expenses. If you prefer co\-working, that’s an option we can discuss too.
* Fully funded for our mission. No stressing over whether the next round of funding will come through. Focus on making an impact. That’s what matters here.
 The salary range is $136,000 \- $170,000 for this remote, full\-time position with excellent benefits. This range reflects the range of possible compensation for this role at the time of this posting. We may ultimately pay more or less than the posted range. An employee’s position within the salary range will be based on several factors including, but not limited to, relevant experience, skills, seniority, education, qualifications, certifications, and organizational needs. We reserve the right to modify this pay range at any time.
 We are not considering candidates currently based outside of the US, so please only apply if you are physically located in the US. Unfortunately, we are not able to provide sponsorship for any of our roles at this time.
**Ready to learn more and apply?**
 We hope you'll apply! You can also keep up with the latest by signing up at GoodParty.org/about. If you know anyone else who may be interested, please share this job posting – thanks!</t>
        </is>
      </c>
    </row>
    <row r="37">
      <c r="A37" t="inlineStr">
        <is>
          <t>li-4294991628</t>
        </is>
      </c>
      <c r="B37" t="inlineStr">
        <is>
          <t>Senior Data Scientist, Algorithm (Risk &amp; Fraud)</t>
        </is>
      </c>
      <c r="C37" t="inlineStr">
        <is>
          <t>Airwallex</t>
        </is>
      </c>
      <c r="D37" t="inlineStr">
        <is>
          <t>linkedin</t>
        </is>
      </c>
      <c r="E37" t="inlineStr"/>
      <c r="F37" t="inlineStr"/>
      <c r="G37" t="inlineStr">
        <is>
          <t>San Francisco, CA</t>
        </is>
      </c>
      <c r="H37" t="inlineStr"/>
      <c r="I37"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*This role is based in Singapore, with the opportunity to relocate and work in a fast\-growing, globally connected tech ecosystem.*
**About The Team**
 The risk platform team at Airwallex is responsible for managing the risk for all the products at Airwallex, including GTPN, Payment, Issuing, Onboarding, and Account takeover. The risk landscape is constantly changing, and fraudsters are becoming increasingly sophisticated. We are at the forefront of innovation in risk management.
 What you’ll do
 As a Senior Machine Learning engineer, you will tackle challenging machine learning problems in the international payment risk domain and help build industry\-leading model systems. You will be responsible for implementing end\-to\-end ML solutions to address real business challenges and will be accountable for delivering business impact.
 This role is based in "Singapore".
**Responsibilities**
* Analyze business requirements and translate them into machine learning problems
* Work on data engineering, feature engineering, model training, and deployment
* Identify issues and propose effective solutions through regular analysis
* Develop machine learning platforms and tools to streamline ML workflows at Airwallex
* Collaborate with cross\-functional teams to apply models that solve business problems
 Who You Are
 We're looking for people who meet the minimum qualifications for this role. The preferred qualifications are great to have, but are not mandatory.
**Minimum Qualifications**
* At least 3\+ years experienced with common ML libraries, such as scikit\-learn, TensorFlow, PyTorch, Keras, etc.
* Bachelor’s or above degree in Computer Science, Engineering, or a related technical field.
* Proficient in coding language such as Python and SQL.
* Experience in payment risk or international e\-commerce risk is a plus.
* Experience in applying LLMs to real\-time risk management is a plus.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SGD 146,060 \- SGD 246,340</t>
        </is>
      </c>
    </row>
    <row r="38">
      <c r="A38" t="inlineStr">
        <is>
          <t>li-4373850326</t>
        </is>
      </c>
      <c r="B38" t="inlineStr">
        <is>
          <t>Lead AI Engineer/GenAI Engineer/Data Scientist</t>
        </is>
      </c>
      <c r="C38" t="inlineStr">
        <is>
          <t>NeerInfo Solutions</t>
        </is>
      </c>
      <c r="D38" t="inlineStr">
        <is>
          <t>linkedin</t>
        </is>
      </c>
      <c r="E38" t="inlineStr"/>
      <c r="F38" t="inlineStr"/>
      <c r="G38" t="inlineStr">
        <is>
          <t>Richardson, TX</t>
        </is>
      </c>
      <c r="H38" t="inlineStr"/>
      <c r="I38" t="inlineStr">
        <is>
          <t>Role :
 **Lead AI Engineer/GenAI Engineer/Data Scientist** 
 fulltime role
 Location :
 **Austin Texas Richardson, TX or Raleigh, NC or Hartford, CT (Onsite)** 
**seeking an AI Engineer.** 
 In this role, you will enable digital transformation for our clients in a global delivery model, research on technologies independently, recommend appropriate solutions and contribute to technology\-specific best practices and standards. You will provide inputs for identifying best\-fit architectural solutions for one or more projects; develop design of applications, provide regular support and guidance to project teams on complex coding and issue resolution with the objective of ensuring best\-fit and high\-quality technical solutions within the area of technology specialization and in compliance with guidelines, policies and norms. You will be part of a learning culture, where teamwork and collaboration are encouraged, excellence is rewarded, and diversity is respected and valued.
**Required Qualifications:** 
* Bachelor’s degree or foreign equivalent required from an accredited institution. Will also consider three years of progressive experience in the specialty in lieu of every year of education.
* At least 4 years of experience in Information Technology
* Experience in AI, data engineering, creating data pipelines and processing huge volume of data.
* Experience in Machine learning engineering /MLE, data science and data engineering with a proven track record of delivering impactful solutions
**Preferred Qualifications** 
 :
* Good understanding of Agile software development frameworks
* Strong communication and Analytical skills
* Ability to work in teams in a diverse, multi\-stakeholder environment comprising of Business and Technology teams
* Experience and desire to work in a global delivery environment</t>
        </is>
      </c>
    </row>
    <row r="39">
      <c r="A39" t="inlineStr">
        <is>
          <t>li-4374518125</t>
        </is>
      </c>
      <c r="B39" t="inlineStr">
        <is>
          <t>Data Scientist III</t>
        </is>
      </c>
      <c r="C39" t="inlineStr">
        <is>
          <t>Fanatics</t>
        </is>
      </c>
      <c r="D39" t="inlineStr">
        <is>
          <t>linkedin</t>
        </is>
      </c>
      <c r="E39" t="inlineStr"/>
      <c r="F39" t="inlineStr"/>
      <c r="G39" t="inlineStr"/>
      <c r="H39" t="inlineStr"/>
      <c r="I39" t="inlineStr">
        <is>
          <t>**Job Description**
**About Fanatics Markets**
 Fanatics Markets is the real\-money prediction and trading app where you can invest in moments you care about. Built on a secure platform, we let users predict real\-world outcomes and trade on events they actually follow \- from sports and entertainment to political elections and beyond. Our mission is to redefine how fans engage with the moments and markets that matter most. We're looking for the right people to help us build the future of prediction markets.
**Role Overview**
 We are looking for a Data Scientist II to join the Fanatics Markets Data team. This is a high\-impact role where you will bridge the gap between complex behavioral data and actionable business strategy. Our culture is built on high ownership and accountability, and we value fast iteration balanced with strong statistical rigor, clear documentation, and reproducible research. You’ll thrive here if you are business\-impact\-driven and enjoy the challenge of connecting betting behavior to long\-term value signals in a collaborative, innovative environment.
**Responsibilities**
* Partner with Product and CRM teams to design, evaluate, and scale a rigorous experimentation roadmap (A/B testing, hypothesis testing) to improve promotional efficiency and bonus ROI.
* Build and maintain production\-grade models for churn, LTV, segmentation, and cross\-sell propensity, moving from initial feature engineering to automated monitoring.
* Analyze customer journeys and high\-frequency betting patterns to improve lifecycle marketing and reduce early\-lifecycle churn.
* Support live testing and deploy models into production environments using modern orchestration tools (Airflow, MLflow).
* Create dashboards and automated insight pipelines for key KPIs
* Present clear, data\-driven recommendations to stakeholders across London, Dublin, and U.S. offices.
* Contribute to internal standards for reproducible analysis, version control (Git), and model monitoring.
**Qualifications Required**
* 5 plus years of experience as a Data Scientist or Quantitative Analyst in tech, gaming, or finance.
* Strong experience with Python (specifically pandas, NumPy, scikit\-learn) and advanced SQL.
* Strong applied statistics and experimental design knowledge (A/B testing, hypothesis testing, causal reasoning).
* Hands\-on experience with modern data warehouses (Snowflake, BigQuery, or Redshift)
* Familiarity with dbt, uplift modeling, and causal ML techniques
* Working experience within AWS or GCP environments
* Ability to translate complex quantitative findings into clear insights for non\-technical audiences.
* Degree in a quantitative field (Statistics, Computer Science, Economics, Engineering, or similar).
**Preferred**
* Experience in sports betting, iGaming, or fintech, particularly working with CRM and lifecycle marketing datasets.
* Familiarity with A/B testing at scale, uplift modeling, and causal inference.
* Exposure to ML pipeline orchestration (Airflow, Databricks, MLflow).
**Salary Range:** 
 $129,200– $212,500 USD per year
 The base salary for this role is based on job\-related knowledge, skills, and experience and may vary depending on the successful candidate’s geographic location. Remote employees may also be eligible for a home office setup stipend. For information about our benefits, please visit https://benefitsatfanatics.com/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is>
      </c>
    </row>
    <row r="40">
      <c r="A40" t="inlineStr">
        <is>
          <t>li-4375726824</t>
        </is>
      </c>
      <c r="B40" t="inlineStr">
        <is>
          <t>Applied Scientist (Time-Series)</t>
        </is>
      </c>
      <c r="C40" t="inlineStr">
        <is>
          <t>Striv</t>
        </is>
      </c>
      <c r="D40" t="inlineStr">
        <is>
          <t>linkedin</t>
        </is>
      </c>
      <c r="E40" t="inlineStr"/>
      <c r="F40" t="inlineStr"/>
      <c r="G40" t="inlineStr"/>
      <c r="H40" t="inlineStr"/>
      <c r="I40" t="inlineStr">
        <is>
          <t>Who We Are
 Striv is a startup building AI\-powered wearable technology for real\-time athletic feedback, with team based in Boston. We operate at the intersection of smart wearables, biomechanics, and AI, helping users detect risk earlier, train smarter, and improve performance.
 We’ve raised multiple rounds of funding, completed early product validation, and shipped to users in 50\+ countries, with backing and use cases involving top Olympic athletes. We’re in a fast iteration and growth phase, expanding into more sports and movement scenarios.
 Our team is deeply technical, with early team members from MIT, Harvard, and leading companies.
 What You’ll Work On
* Build robust, interpretable signals and metrics from long\-horizon sensor time\-series data (e.g., baseline, variability, anomaly deviation, state changes)
* Develop modeling approaches across users and scenarios (e.g., stratification, normalization, drift detection, anomaly detection) to improve consistency and reliability
* Build personalization models that learn an individual’s normal pattern and detect early risk signals or performance changes
* Design evaluation and regression pipelines to measure model/rule improvements and monitor performance over time
* Collaborate with engineering to productionize algorithms: define interfaces/fields, support versioning, and enable fast iteration
 What We’re Looking For
 * **3–7 years** 
 of experience in applied data science / machine learning / algorithm development
* Strong experience with at least one of the following: time\-series data, sensor data, telemetry, or large\-scale behavioral/log data
* Solid Python \+ statistics / ML fundamentals, with the ability to handle real\-world issues: noise, missingness, distribution shift, weak labels, etc.
* Experience with (or strong interest in) heterogeneity and longitudinal / sequential modeling
* Strong engineering mindset: writes maintainable code, values evaluation rigor, reproducibility, and iteration speed
 Nice to Have
 * Experience in wearables, IoT, telemetry, personalization, or anomaly detection
* Experience taking models from offline analysis to production (monitoring, regression testing, experiment design, A/B testing, etc.)
* Interest in or long\-term engagement with sports, health, training, or smart hardware
* Experience in any of: forecasting, risk modeling, user modeling, representation learning
 What We Offer
 * **Rare data \+ fast validation:** 
 real device data, rapid iteration, direct product impact
* **0→1 ownership:** 
 define core modeling capabilities, evaluation standards, and algorithm direction
* **Compensation:** 
 competitive!
 📍
 **Location:** 
 Boston (remote or hybrid can be discussed)</t>
        </is>
      </c>
    </row>
    <row r="41">
      <c r="A41" t="inlineStr">
        <is>
          <t>li-4376855593</t>
        </is>
      </c>
      <c r="B41" t="inlineStr">
        <is>
          <t>Data Scientist</t>
        </is>
      </c>
      <c r="C41" t="inlineStr">
        <is>
          <t>Advize</t>
        </is>
      </c>
      <c r="D41" t="inlineStr">
        <is>
          <t>linkedin</t>
        </is>
      </c>
      <c r="E41" t="inlineStr"/>
      <c r="F41" t="inlineStr"/>
      <c r="G41" t="inlineStr"/>
      <c r="H41" t="inlineStr"/>
      <c r="I41" t="inlineStr">
        <is>
          <t>Must have healthcare payer experience. Statistical experience; Population health backgrounds or more generalized biostatistician experience/degree may not be a good fit.
**Role Description** 
 This is a full\-time remote role for a Data Scientist. The Data Scientist will work on developing advanced data models, performing statistical analyses, and creating actionable insights to support data\-driven decision\-making. The role involves leveraging data science methodologies, conducting data analyses, designing data visualizations, and collaborating with internal and external stakeholders to understand and address business challenges. The successful candidate will play a key role in refining processes and developing strategies using data.
**Qualifications** 
* Proficiency in Data Science and Statistics methodologies to create models and insights
* Strong skills in Data Analytics and Data Analysis for large datasets
* Experience in creating impactful Data Visualizations to communicate findings effectively
* Proficient in programming languages such as Python, R, or similar tools, and knowledge of database querying (SQL)
* Strong problem\-solving skills, along with the ability to work collaboratively in remote settings
* Bachelor's or Master’s degree in Data Science, Statistics, Computer Science, or a related field
* Experience with healthcare data or knowledge of healthcare compliance is highly desirable
* Excellent communication skills to present complex analyses to both technical and non\-technical audiences</t>
        </is>
      </c>
    </row>
    <row r="42">
      <c r="A42" t="inlineStr">
        <is>
          <t>li-4377003447</t>
        </is>
      </c>
      <c r="B42" t="inlineStr">
        <is>
          <t>Data Scientist - Model Optimization</t>
        </is>
      </c>
      <c r="C42" t="inlineStr">
        <is>
          <t>Quadric</t>
        </is>
      </c>
      <c r="D42" t="inlineStr">
        <is>
          <t>linkedin</t>
        </is>
      </c>
      <c r="E42" t="inlineStr"/>
      <c r="F42" t="inlineStr"/>
      <c r="G42" t="inlineStr">
        <is>
          <t>Burlingame, CA</t>
        </is>
      </c>
      <c r="H42" t="inlineStr"/>
      <c r="I42" t="inlineStr">
        <is>
          <t>Quadric has created an innovative general purpose neural processing unit (GPNPU) architecture. Quadric's co\-optimized software and hardware is targeted to run neural network (NN) inference workloads in a wide variety of edge and endpoint devices, ranging from battery operated smart\-sensor systems to high\-performance automotive or autonomous vehicle systems. Unlike other NPUs or neural network accelerators in the industry today that can only accelerate a portion of a machine learning graph, the Quadric GPNPU executes both NN graph code and conventional C\+\+ DSP and control code.
**Role**
 You will be joining the data science team focused on model optimization for Quadric's custom GPNPU architecture. You will research, prototype, and implement novel quantization algorithms tailored to our hardware constraints. Beyond applying existing techniques, you'll develop custom low\-precision methods that maximize performance on the Chimera GPNPU. Your work will directly shape the quantization capabilities in the Chimera SDK and influence future hardware features.
 This California Bay Area based engineering role is intended to be primarily in\-office at our Burlingame location, with the ability to commute regularly. We believe strong technical collaboration, rapid iteration, and shared problem\-solving are well supported by working together in person. The team and company also gather periodically for onsite meetings and offsite events to connect, collaborate, and align on priorities.
**Responsibilities**
* Design statistically rigorous experiments to compare PTQ, QAT, and mixed\-precision schemes on vision, language, and multimodal models.
* Implement custom quantization algorithms from scratch, adapting existing techniques or developing novel approaches to match Chimera GPNPU's unique architectural features and numerical formats.
* Build calibration datasets; develop Python notebooks/dashboards to track accuracy, latency, power, and memory trade\-offs.
* Perform layer\-level error analysis to guide numerical\-format choices.
* Partner with compiler team to convert your findings into turnkey SDK flows and reference configs.
* Publish internal white papers, external benchmarks, and present results to customers and at industry events.
* Monitor academic literature in compression and efficient inference; translate promising ideas into reproducible prototypes.
**Requirements**
* M.S./Ph.D. in CS, EE, Applied Math, or similar, with 5\+ years in ML model optimization or data\-science\-driven research.
* Deep grasp of fixed\-point arithmetic, quantization theory, numerical analysis, and statistical calibration.
* Strong ability to implement quantization algorithms from first principles, not just use existing frameworks.
* Fluent in Python, PyTorch or TensorFlow, NumPy/Pandas/SciPy, and data\-viz tools (Matplotlib/Plotly).
* Experience implementing custom quantizers and understanding their interaction with hardware constraints (bit\-width, format, operations).
* Hands\-on with at least one quantization toolkit (PyTorch FX/PTQ/QAT, TF\-Lite, ONNX\-Runtime, TVM, MLIR Quant) and ability to extend them.
* Working knowledge of CNNs, Transformers, and DNN architectures.
* Bonus: Experience with custom hardware accelerators, DSPs, or neural processing units.
**Benefits**
 At Quadric, we value Integrity, Humility, and Happiness. What we expect from one another is simple and clear: Initiative, Collaboration, and Completion. We are a collaborative team focused on building something extraordinary in the edge computing space.
* Competitive salary and meaningful equity
* Medical, dental, and vision plan options starting on day one
* 401(k) retirement plan
* Flexible paid time off (unlimited, non\-accrual) to support work\-life balance
* When working in\-office, enjoy company\-provided lunches and a stocked kitchen
* Convenient office location within walking distance of the Caltrain station
* Support for commuting, including monthly parking or Caltrain passes
* Downtown Burlingame office location, close to shops, cafes, and local amenities
* A politics\-free, highly collaborative environment where talented people can do their best work and make an immediate impact
* The opportunity to build long\-term career relationships in a company that values strong personal connections alongside professional excellence
 Founded in 2016 and based in downtown Burlingame, California, Quadric is building the world’s first supercomputer designed for the real\-time needs of edge devices. Quadric aims to empower developers in every industry with superpowers to create tomorrow’s technology, today. The company was co\-founded by technologists from MIT and Carnegie Mellon, who were previously the technical co\-founders of the Bitcoin computing company 21\.
 Quadric is proud to be an equal opportunity employer. We are committed to creating an inclusive environment where people from all backgrounds can do their best work. We consider all qualified applicants without regard to race, color, religion, sex, gender identity or expression, sexual orientation, national origin, age, disability, veteran status, or any other protected characteristic under applicable law.
 If this role resonates with you, we encourage you to apply even if your experience does not perfectly match every qualification. We value potential, curiosity, and a willingness to learn just as much as direct experience. Skills and growth come in many forms, and we would love to hear your story.</t>
        </is>
      </c>
    </row>
    <row r="43">
      <c r="A43" t="inlineStr">
        <is>
          <t>li-4376832208</t>
        </is>
      </c>
      <c r="B43" t="inlineStr">
        <is>
          <t>Data Scientist</t>
        </is>
      </c>
      <c r="C43" t="inlineStr">
        <is>
          <t>Paylocity</t>
        </is>
      </c>
      <c r="D43" t="inlineStr">
        <is>
          <t>linkedin</t>
        </is>
      </c>
      <c r="E43" t="inlineStr"/>
      <c r="F43" t="inlineStr"/>
      <c r="G43" t="inlineStr"/>
      <c r="H43" t="inlineStr"/>
      <c r="I43" t="inlineStr">
        <is>
          <t>Job Type
 Full\-time
**Description**
**Position Title: Data Scientist**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Take your career to the next level at one of G2's Top 100 Software Companies. Explore our Product \&amp; Technology positions to see where you fit!
 This is a fully remote position, allowing you to work from home or location of record within the U.S. with no in\-office requirements. You must be available five days per week during designated work hours. The work arrangement for this role is subject to change based on business needs and individual performance. This may include adjustments to on\-site requirements or schedule expectations, as necessary.
**Position Overview**
 Our data science team is responsible for developing AI and machine learning solutions to meet client needs in domains ranging from NLP and supervised learning to time series forecasting and anomaly detection. The team is focused on building high impact software solutions that deliver automation, insights, and assistance to millions of users every day. You can learn more about the type of work we do on our Paylocity AI page.
 As a Data Scientist, you will help Paylocity discover the information hidden in vast amounts of data, to help our customers make smarter human capital decisions that drive organizational success. Your primary focus will be to apply knowledge of statistics, machine learning, programming, data modeling, to recognize patterns, identify opportunities, pose business questions, and make valuable discoveries leading to prototype development and product improvement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Select features, build, and optimize models using machine learning techniques such as time series methods, regression, random forests, gradient boosting, and neural networks
* Leverage cutting edge big data technologies on AWS and Microsoft Azure utilizing Databricks and Spark
* Collaborate with Product Managers, Enterprise Architects, Software Development Managers, and other leaders to translate complex human capital management challenges into data science projects
* Create automated data and modeling pipelines and develop custom performance tracking
* Work closely with full stack software engineers in an agile product development environment to deliver machine learning software features
* Conduct ad\-hoc analyses and present results in a clear manner
**Education And Experience**
* 3 years of demonstrated data science success or similar experience with a Bachelor's degree, or an Advanced degree (Masters or PhD) preferred in data science, computer science, engineering, statistics, mathematics or another quantitative field.
* Experience in writing production grade machine learning models in Python
* Experience with cloud infrastructure on AWS or Azure
* Demonstrated ability to leverage data science to drive business results
* Skilled at translating business problems into data science problems and communicating the results to non\-technical audiences
* Able to work in a collaborative environment with a desire to share your ideas
* Able to work independently and complete tasks with high quality, but unafraid to seek out suggestions from other team members
**Preferred Skills**
* Professional or academic experience in HR, social science or psychology
* Significant experience with cloud development and infrastructure\-as\-code tools
* Be invested in staying current in data science by applying new technologies and practices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LeaveBenefits@paylocity.com. This email address is exclusively designated for such requests, aligning with federal and state disability laws. Please do not send resumes to this email address, as they will be removed.
 The pay range for this position is $95,800 \- $178,000/yr; however, base pay offered may vary depending on job\-related knowledge, skills, and experience. This position is eligible for an annual restricted stock unit grant based on individual performance in addition to a full range of benefits outlined here. This information is provided per the relevant state and local pay transparency laws for the location in which this position will be performed. Base pay information is based on market location. Applicants should apply via www.paylocity.com/careers.</t>
        </is>
      </c>
    </row>
    <row r="44">
      <c r="A44" t="inlineStr">
        <is>
          <t>li-4377019237</t>
        </is>
      </c>
      <c r="B44" t="inlineStr">
        <is>
          <t>Data Scientist</t>
        </is>
      </c>
      <c r="C44" t="inlineStr">
        <is>
          <t>Everfit</t>
        </is>
      </c>
      <c r="D44" t="inlineStr">
        <is>
          <t>linkedin</t>
        </is>
      </c>
      <c r="E44" t="inlineStr"/>
      <c r="F44" t="inlineStr"/>
      <c r="G44" t="inlineStr"/>
      <c r="H44" t="inlineStr"/>
      <c r="I44" t="inlineStr">
        <is>
          <t>**Data Scientist** 
 Everfit \| Hybrid, San Francisco Bay Area
**About Everfit** 
 Everfit is a fitness technology company building an AI\-powered coaching platform that serves 280,000\+ coaches and millions of training clients globally. We're transforming how fitness professionals deliver personalized training and nutrition guidance to their clients through intelligent automation and data\-driven insights.
**About the Role** 
 We're looking for a senior data scientist who is passionate about fitness and energized by turning data into actionable insights that help coaches and their clients succeed. You'll play a critical role in understanding user behavior, product performance, and business metrics to inform strategic decisions as we scale our platform.
**What You'll Do** 
 Product Analytics \&amp; User Insights
* Define and track key product metrics (activation, engagement, retention, churn) to measure product health and success.
* Conduct cohort, funnel, and retention analyses to uncover behavioral insights and inform feature prioritization.
* Identify opportunities to improve onboarding, engagement, and coach–client interactions.
 Experimentation \&amp; A/B Testing
* Own the experimentation framework and guide teams through hypothesis design, sample sizing, execution, and interpretation.
 Strategic Impact \&amp; Roadmapping
* Collaborate with leadership to translate data insights into roadmap priorities and measurable business outcomes.
* Build predictive models and scenario analyses to support forecasting, pricing, and product investment decisions.
* Establish best practices in data instrumentation, dashboarding, and self\-serve analytics across teams.
 Technical Foundations
* Partner with data engineering to improve pipelines and instrumentation.
* Leverage tools such as SQL, Python/R, data visualization platforms, and experimentation platforms.
*Marketing Analytics \&amp; Optimization* 
* Analyze customer acquisition funnels and marketing performance to identify high\-impact opportunities for growth and conversion.
* Partner with marketing and growth teams to design and evaluate campaign experiments
**What We're Looking For** 
* 4\-6 years of experience in a data analyst or analytics role, preferably at a growth\-stage tech company
* Strong proficiency in SQL and experience setting up data pipelines, transforming data, and analyzing large datasets
* Deep experience with creating dashboards and providing analysis on product analytics and data visualization tools (Amplitude, Looker, Tableau, Mode, or similar)
* Understanding of SaaS metrics and cohort analysis
* Experience with translating numerical findings into clear insights for non\-technical team members
* Genuine passion for fitness, health, or wellness (we build for coaches so you need to understand their world)
**Bonus Points:** 
* Experience with Python or R for statistical analysis
* Experience in a PLG (Product\-Led Growth) environment
* Experience working at a company during a hypergrowth phase
* Background in fitness, health, wellness, or coaching industries
**You'll thrive here if you:** 
* Are naturally curious and love asking "why" until you find the answer
* Are excited by fast\-paced, high\-growth environments with a passion for building out systems for scaling
* Enjoy collaborating with global teams and making complex topics understandable
* Are comfortable with ambiguity and can structure your own work
* Care deeply about the impact your insights have on real coaches and their clients
**Why Join Everfit** 
* Establish the foundations for Fitness Intelligence and help shape the future of coaching for millions around the world
* Work with autonomy and ownership on high\-impact projects
* Join a collaborative, global team with experience from leading tech and fitness companies
* Enjoy competitive salary, equity, and performance bonuses
* Build something meaningful that helps people live better, healthier lives
 Everfit is an equal opportunity employer committed to building a diverse and inclusive team. We make employment decisions without regard to race, color, religion, sex, sexual orientation, gender identity, national origin, veteran status, disability, or any other protected status.
 Ready to dive into data in the fitness intelligence space? We'd love to hear from you.</t>
        </is>
      </c>
    </row>
    <row r="45">
      <c r="A45" t="inlineStr">
        <is>
          <t>li-4375736589</t>
        </is>
      </c>
      <c r="B45" t="inlineStr">
        <is>
          <t>Data Scientist, Research, gTrade</t>
        </is>
      </c>
      <c r="C45" t="inlineStr">
        <is>
          <t>Google</t>
        </is>
      </c>
      <c r="D45" t="inlineStr">
        <is>
          <t>linkedin</t>
        </is>
      </c>
      <c r="E45" t="inlineStr"/>
      <c r="F45" t="inlineStr"/>
      <c r="G45" t="inlineStr">
        <is>
          <t>Mountain View, CA</t>
        </is>
      </c>
      <c r="H45" t="inlineStr"/>
      <c r="I45" t="inlineStr">
        <is>
          <t>**Minimum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 1 year of experience managing investigative projects.
**Preferred qualifications:**
* 5 years of work experience using analytics to solve product or business problems, coding (e.g., Python, R, SQL), querying databases or statistical analysis, or a PhD degree.
**About The Job**
 Our team is responsible for real\-time bidding on behalf of Google Ads advertisers (i.e. GDA and AC). Our optimization modules oversee the transaction of \~20B ARR of ad inventory across web and app display publishers. We optimize bidding across web and app on several exchanges running different types of auctions.
 As a Data Scientist, you will solve critical problems for the future of the display ads business. Our work involves data analysis, algorithms design/tuning, data pipelines design/implementation. You will have the opportunity to collaborate within the team as well as with other teams and build knowledge across the display ads ecosystem and the serving stack.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stakeholders in cross\-projects and team settings to identify and clarify business or product questions to answer. Provide feedback to translate and refine business questions into tractable analysis, evaluation metrics, or mathematical models.
* Use custom data infrastructure or existing data models as appropriate, using specialized knowledge. Design and evaluate models to mathematically express and solve defined problems with limited precedent.
* Own and contribute to the bidding models that govern how Google Ads network bids on real\-time auctions for display publisher inventory, across web and mobile properties.
* Improve the product by analyzing auction abuse patterns, duplicate queries, and designing solutions to counter them.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6">
      <c r="A46" t="inlineStr">
        <is>
          <t>li-4374519511</t>
        </is>
      </c>
      <c r="B46" t="inlineStr">
        <is>
          <t>Sr. Data Scientist</t>
        </is>
      </c>
      <c r="C46" t="inlineStr">
        <is>
          <t>Americor</t>
        </is>
      </c>
      <c r="D46" t="inlineStr">
        <is>
          <t>linkedin</t>
        </is>
      </c>
      <c r="E46" t="inlineStr"/>
      <c r="F46" t="inlineStr"/>
      <c r="G46" t="inlineStr"/>
      <c r="H46" t="inlineStr"/>
      <c r="I46" t="inlineStr">
        <is>
          <t>Americor is an innovative finance technology company with a unique approach to debt resolution. Americor focuses on getting Americans out of debt quickly and responsibly so they can take control of their lives again. Our employees love coming to work and find value in what they do, consistently recognizing Americor as a top place to work. With over a decade of experience paired with a number of best company awards, Americor has relieved over $2 billion in debt for over 200,000 Americans.
 We are seeking an enthusiastic Sr. Data Scientist to join our team, with a specific focus on
 **marketing optimization** 
 and
 **machine learning** 
 productionization. This role is ideal for someone who thrives at the intersection of data science, cloud engineering and business strategy.
 In the role, you’ll work closely with stakeholders across Marketing, Sales, Data and Product to build predictive models, scale model implementation in AWS and translate model performance into insights and actions for executive leadership.
**Responsibilities**
* Perform extensive exploratory analyses across all the marketing channels
* Develop, test, productionalize, monitor and maintain propensity models to optimize marketing investment and customer acquisition in AWS leveraging S3, Lambda and SageMaker
* Productionize machine learning models with real\-time and distributed batch scoring
* Proficiency with MLOps practices and tools for model versioning, monitoring, CI/CD pipelines
* Build dashboards in Tableau to communicate model trends, insights and performance
* Identify new areas of opportunity and ideate with stakeholders on new projects
* Stay current with industry best practices and emerging ML technologies
* Other duties as assigned
**Education \&amp; Experience:**
* 5\+ years of experience applying ML within lead generation and digital marketing
* Advanced AWS experience; solutions architect certification or equivalent expertise preferred
* Advanced proficiency with XGBoost, Neural Networks, and other ML techniques
* Advanced Python, SQL and Tableau
* Excellent storytelling and presentation skills
* Proven ability to position oneself to advise and teach across a data organization
* Bachelor's degree in Applied Mathematics, Computer Science, Physics, or equivalent experience; Master’s preferred
**Additional Benefits**
* Career path
* Medical
* Dental
* Company paid group life / AD\&amp;D insurance
* 7 paid holidays and 2 flex days to use at will
* Paid time off
* Flexible spending/HAS
* Employee Assistance Program (EAP)
* 401(k)
* Referral program
 Compensation: $120,000\-$150,000 annually, depending on experience.
 Work Location: Hybrid/Remote\- Irvine, CA.
 Note to Agencies: Americor Funding Inc. has an internal recruiting department and may, at times, supplement that capability with assistance from temporary staffing agencies, placement services, and professional recruiters (“Agency”). Agencies are directed not to contact Americor Funding Inc. employees directly to present candidates. It is the Company’s policy that all candidates must be presented to hiring managers exclusively by the internal recruiting team or other authorized personnel.
 Any unsolicited resumes sent to Americor Funding Inc. by an Agency—including those sent to any Company mailing address, fax, email, employee, or the resume database—will be considered the property of the Company. Americor Funding Inc. will not pay a fee for any placement resulting from an unsolicited resume. Any candidate for whom an Agency submits an unsolicited resume will be deemed referred at no cost to the Company.
 Americor is proud to be an Equal Opportunity Employer. Americor does not discriminate based on race, color, gender, disability, veteran, military status, religion, age, creed, national origin, sexual identity or expression, sexual orientation, marital status, genetic information, or any other basis prohibited by local, state, or federal law.
 Note to Agencies: Americor Funding Inc. has an internal recruiting department and may, at times, supplement that capability with assistance from temporary staffing agencies, placement services, and professional recruiters (“Agency”). Agencies are directed not to contact Americor Funding Inc. employees directly to present candidates. It is the Company’s policy that all candidates must be presented to hiring managers exclusively by the internal recruiting team or other authorized personnel.
 Any unsolicited resumes sent to Americor Funding Inc. by an Agency—including those sent to any Company mailing address, fax, email, employee, or the resume database—will be considered the property of the Company. Americor Funding Inc. will not pay a fee for any placement resulting from an unsolicited resume. Any candidate for whom an Agency submits an unsolicited resume will be deemed referred at no cost to the Company.
 Americor is proud to be an Equal Opportunity Employer. Americor does not discriminate based on race, color, gender, disability, veteran, military status, religion, age, creed, national origin, sexual identity or expression, sexual orientation, marital status, genetic information, or any other basis prohibited by local, state, or federal law.</t>
        </is>
      </c>
    </row>
    <row r="47">
      <c r="A47" t="inlineStr">
        <is>
          <t>li-4375773139</t>
        </is>
      </c>
      <c r="B47" t="inlineStr">
        <is>
          <t>Associate Data Scientist</t>
        </is>
      </c>
      <c r="C47" t="inlineStr">
        <is>
          <t>MetLife</t>
        </is>
      </c>
      <c r="D47" t="inlineStr">
        <is>
          <t>linkedin</t>
        </is>
      </c>
      <c r="E47" t="inlineStr"/>
      <c r="F47" t="inlineStr"/>
      <c r="G47" t="inlineStr">
        <is>
          <t>Cary, NC</t>
        </is>
      </c>
      <c r="H47" t="inlineStr"/>
      <c r="I47" t="inlineStr">
        <is>
          <t>**Requirements**
**Description and Requirements**
**Role Value Proposition:**
 The GG ‑ 8 Data Scientist is an entry ‑ level role designed for early ‑ career analytical talent. This position supports the full data and analytics lifecycle under close guidance from senior colleagues. The role contributes to production ‑ grade data science solutions while developing strong foundational skills in analytics, machine learning, data preparation, LLM ‑ based analysis, and business understanding. The role also provides exposure to modern AI ‑ augmented workflows, including foundation model adaptation and responsible AI practices.
**Objectives of This Role:**
* Build core analytical and machine learning fundamentals through hands ‑ on project work.
* Support the development, validation, and deployment of analytics and machine learning models.
* Learn to interpret analytical outputs and communicate clear business insights.
* Develop a foundational understanding of LLM concepts, prompt engineering, RAG workflows, and AI governance.
**Key Responsibilities:**
* With supervision, participate in basic analytical tasks and project assignments.
* Learn and contribute to the development of simple machine learning solutions.
* Perform exploratory data analysis and feature engineering activities.
* Support preparation of datasets, model development, evaluation, and deployment tasks.
* Under guidance, design, build, validate, and deploy production ‑ grade rule ‑ based and machine learning models using structured and unstructured data.
* Assist with adapting or fine ‑ tuning foundation models and large language models for internal use cases.
* Use AI copilots and AI ‑ augmented tooling to accelerate analysis and validate generated outputs for accuracy.
* Monitor and evaluate model performance and document findings.
* Ensure development follows quality, security, compliance, explainability, and responsible AI guidelines.
**Essential Business Experience and Technical Skills:**
**Required:**
* Bachelor’s degree in Mathematics, Statistics, Operations Research, Social Sciences, Computer Science, Engineering, or related quantitative field.
* 0–2 years of relevant experience in data science, analytics, or related quantitative domains (internships or academic projects acceptable).
* Technical skills in Python, statistics, hypothesis testing, feature engineering, and modeling.
* Exposure to machine learning frameworks such as scikit ‑ learn, TensorFlow, and/or PyTorch.
* Exposure to NLP tools such as spaCy, Transformers, and/or OCR technologies.
* Strong analytical, communication, and structured problem ‑ solving skills.
**Preferred:**
* Introductory experience with Generative AI concepts, including prompting, embeddings, vector stores, and RAG workflows.
* Ability to work with AI copilots and AI ‑ augmented development environments.
* Portfolio of academic, internship, or personal data science projects is a plus.
**At MetLife, we’re leading the global transformation of an industry we’ve long defined. United in purpose, diverse in perspective, we’re dedicated to making a difference in the lives of our customers.**
 Location Expectation: This is a hybrid role
 **requiring a minimum of 3 days per week** 
 in office.
 The expected salary range for this position is $65,050 to $83,600\.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$65,050 to $83,600</t>
        </is>
      </c>
    </row>
    <row r="48">
      <c r="A48" t="inlineStr">
        <is>
          <t>li-4374508286</t>
        </is>
      </c>
      <c r="B48" t="inlineStr">
        <is>
          <t>Data Scientist</t>
        </is>
      </c>
      <c r="C48" t="inlineStr">
        <is>
          <t>Henry Schein One</t>
        </is>
      </c>
      <c r="D48" t="inlineStr">
        <is>
          <t>linkedin</t>
        </is>
      </c>
      <c r="E48" t="inlineStr"/>
      <c r="F48" t="inlineStr"/>
      <c r="G48" t="inlineStr"/>
      <c r="H48" t="inlineStr"/>
      <c r="I48" t="inlineStr">
        <is>
          <t>This position will be remote in the United States or hybrid in our American Fork, UT office 2\-3 days per week.
**Job Summary**
 As a Data Scientist, you will lead the design and development of complex data systems that drive strategic value across the organization. You'll operate at the intersection of data architecture, analytics, and execution – guiding technical direction, mentoring engineers, and ensuring alignment with business goals. You'll take ownership of high\-impact data initiatives spanning multiple teams and domains. You'll proactively identify opportunities, architect for scalable solutions, and balance short\-term needs with long\-term vision. Your work will address key business objectives while serving as a reference and pattern for other teams.
**What You Will Do**
* Partner with product and engineering teams to translate business requirements into data\-driven solutions and analytical frameworks
* Design and implement advanced statistical methodologies and predictive models to enhance data analysis capabilities
* Deliver clear actionable insights through effective data visualization and comprehensive reporting to key stakeholders
* Drive operational efficiency by developing and deploying analytics solutions that provide meaningful business intelligence
* Lead data quality initiatives and establish data governance standards
* Architect and optimize data pipelines for scalable analytics solutions
* Develop automated monitoring systems for data integrity and model performance
* Maintain expertise in emerging data technologies and industry best practices while continuously improving analytical processes
**Travel/Physical Demands**
* Travel typically less than 10%
* Office environment with no special physical demands required
**Qualifications**
**What You Will Have**
* 10\+ years of experience in quantitative analysis and data science
* Expert proficiency in SQL, data modeling, and data warehouse optimization, including Redshift query and table design
* Deep understanding of data lake architectures, ETL processes, data catalog management, and data lineage/impact analysis
* Experience designing and optimizing data pipelines and productionizing models for both batch and streaming data workloads
* Familiarity in stream processing technologies, including Apache Flink, Spark, Kafka
* Hands\-on experience with AWS data platforms, including EMR cluster management and performance optimization
* Ability to apply industry best practices across analytics, data engineering, and applied data science workflows
* Analytical, problem\-solving, and independent decision\-making skills to resolve complex data challenges
* Effective verbal, written, and data\-driven communication, including presenting complex findings to diverse audiences
* Excellent collaboration and partnership skills across technical and non\-technical teams
**Nice to Haves**
* Bachelor’s or Master’s Degree in Data Science, Statistics, Mathematics, Computer Science, or a related field
* Domain experience in healthcare, finance, or SaaS analytics
 The posted range for this position is
 **$170,000 \- $220,000** 
 which is the expected starting salary range for an employee who is new to the role to fully proficient in the role. Many factors go into determining employee pay within the posted range including prior experience, current skills, location/labor market, internal equity, etc. This position is eligible for a bonus target not reflected in the range.
**What You Get As a Henry Schein One Employee**
* A great place to work with fantastic people
* A career in the healthcare technology industry, with the ability to grow and realize your full potential
* Competitive compensation
* Excellent benefits package – Medical, Dental and Vision Coverage, 401K Plan with Company Match, Paid Time Off (PTO), Sick Leave (if applicable), Paid Parental Leave, Short Term Disability, Income Protection, Work Life Assistance Program, Health Savings and Flexible Spending Accounts, Education Benefits, Worldwide Scholarship Program, Volunteer Opportunities, and more
**About Henry Schein One**
 Henry Schein One is the global leader in dental management, analytics, communication, and marketing software. Our company’s products and services work together as one simple solution to provide users with a seamless and integrated experience.
 Our company thrives because of our people. We believe in supportive, diverse, and inclusive workforce, inclusive environments, professional development opportunities, and competitive compensation packages. We value innovation, teamwork, and encourage work\-life balance.
 One of many reasons why Henry Schein One leads the industry is because of our products, services and most importantly, our people.
 In 2022, Henry Schein One was named one of Best Companies to Work for in Utah. Click here for more information: 2022 Best Companies to Work For \| Henry Schein One
*Henry Schein, Inc. is an Equal Employment Opportunity Employer and does not discriminate against applicants or employees on the basis of race, color, religion, creed, national origin, ancestry, disability that can be reasonably accommodated without undue hardship, sex, sexual orientation, gender identity, age, citizenship, marital or veteran status, or any other legally protected status* 
 .
***Unfortunately, Henry Schein One is not currently hiring individuals residing in Alaska, Delaware, Hawaii, Louisiana, Nebraska, North Dakota, Rhode Island, South Dakota, Vermont, West Virginia, Washington DC, or Puerto Rico and other US Territories.***</t>
        </is>
      </c>
    </row>
    <row r="49">
      <c r="A49" t="inlineStr">
        <is>
          <t>li-4374299585</t>
        </is>
      </c>
      <c r="B49" t="inlineStr">
        <is>
          <t>Data Scientist with GenAI and Python</t>
        </is>
      </c>
      <c r="C49" t="inlineStr">
        <is>
          <t>Dexian</t>
        </is>
      </c>
      <c r="D49" t="inlineStr">
        <is>
          <t>linkedin</t>
        </is>
      </c>
      <c r="E49" t="inlineStr"/>
      <c r="F49" t="inlineStr"/>
      <c r="G49" t="inlineStr">
        <is>
          <t>Charlotte, NC</t>
        </is>
      </c>
      <c r="H49" t="inlineStr"/>
      <c r="I49" t="inlineStr">
        <is>
          <t>**Job Summary:** 
 Dexian is seeking a Data Scientist with GenAI and Python for an opportunity with a client located in Charlotte, NC.
**Responsibilities:** 
* Design and build machine learning systems and pipelines, from data ingestion to model deployment in production environments
* Research and implement appropriate ML algorithms and tools, leveraging expertise in Python libraries like NumPy, Pandas, TensorFlow, or PyTorch
* Select, preprocess, and transform data using techniques like cleaning, transformation, and integration to ensure integrity for model training and evaluation
* Collaborate with data scientists, software engineers, and product managers, utilizing Agile principles and tools such as Jira for project tracking, sprint planning, and managing project scope
* Architect and maintain cloud\-based AI solutions (e.g., AWS, Azure, Google Cloud AI), ensuring efficient deployment, scaling, monitoring, and performance optimization of AI\-driven applications
* Stay current with the latest developments in AI/ML, including Generative AI (GenAI) and Large Language Models (LLMs), to drive innovation and explore new capabilities
* Own services end\-to\-end, including design, implementation, infrastructure\-as\-code, CI/CD, and on\-call support
**Requirements:** 
* Proven hands\-on experience implementing Gen AI project using open source LLMs (Llama, GPT OSS, Gemma, Mistral) and proprietary API's (OpenAI, Anthropic)
* Strong background in Retrieval Augmented Generation implementations
* In depth understanding of embedding models and their applications
* Hands on experience in Natural Language Processing (NLP) solutions on text data
* Strong Python development skills. Should be comfortable with Pandas and NumPy for data analysis and feature engineering
* Experience building and integrating APIs (REST, FastAPI, Flask) for serving models
* Fine tuning and optimizing open source LLM/SLM is a big plus
* Knowledge of Agentic AI frameworks and Orchestration
* Experience in ML and Deep Learning is an advantage
* Familiarity with cloud platforms (AWS/Azure/GCP)
* Experience working with Agile Methodology
* Strong problem solving, analytical and interpersonal skills
* Ability to work effectively in a team environment
* Strong written and oral communication skills
* Should have the ability to clearly express ideas
* Python
* Agile tools (Jira)
* Artificial Intelligence/Machine Learning
 Dexian stands at the forefront of Talent \+ Technology solutions with a presence spanning more than 70 locations worldwide and a team exceeding 10,000 professionals. As one of the largest technology and professional staffing companies and one of the largest minority\-owned staffing companies in the United States, Dexian combines over 30 years of industry expertise with cutting\-edge technologies to deliver comprehensive global services and support.
 Dexian connects the right talent and the right technology with the right organizations to deliver trajectory\-changing results that help everyone achieve their ambitions and goals. To learn more, please visit https://dexian.com/.
 Dexian is an Equal Opportunity Employer that recruits and hires qualified candidates without regard to race, religion, sex, sexual orientation, gender identity, age, national origin, ancestry, citizenship, disability, or veteran status.</t>
        </is>
      </c>
    </row>
    <row r="50">
      <c r="A50" t="inlineStr">
        <is>
          <t>li-4375756419</t>
        </is>
      </c>
      <c r="B50" t="inlineStr">
        <is>
          <t>Data Scientist I</t>
        </is>
      </c>
      <c r="C50" t="inlineStr">
        <is>
          <t>RemoteHunter</t>
        </is>
      </c>
      <c r="D50" t="inlineStr">
        <is>
          <t>linkedin</t>
        </is>
      </c>
      <c r="E50" t="inlineStr"/>
      <c r="F50" t="inlineStr"/>
      <c r="G50" t="inlineStr"/>
      <c r="H50" t="inlineStr"/>
      <c r="I50" t="inlineStr">
        <is>
          <t>About the Opportunity:
 This role involves developing predictive models and algorithms to automate critical business functions. The focus is on exploring and analyzing data from multiple sources to gain insights that provide a competitive advantage.
 Responsibilities:
 • Develop, implement, and validate predictive and statistical models
 • Analyze data from various sources to extract meaningful insights
 • Manage the full modeling life cycle, including data cleansing, feature creation, and iterative model selection
 • Apply statistics, modeling, and machine learning to enhance system efficiency and algorithm relevance
 • Participate in Agile ceremonies such as daily scrum, refinement, sprint planning, and retrospectives
 • Recommend process improvements
 • Follow safety guidelines and participate in pre\-task planning
 • Report safety concerns to management
 • Maintain quality standards across projects
 Requirements:
 • Bachelor’s degree in statistics, mathematics, economics, computer science, or related technical discipline plus 3 years of relevant experience, or 7 years of related experience without a degree
 • Experience with statistics, machine learning, algorithm development, predictive modeling, and advanced mathematics
 • Proficiency in programming languages
 • Valid driver’s license with acceptable violation history
 Benefits \&amp; Perks:
 • Medical, dental, and vision insurance
 • Life insurance
 • 401(k) plan
 • Paid time off and holidays
 • Education reimbursement
 • Various bonus programs
 Employment Type: Regular, Full Time
 Service Line: Office Management/Administration
 Location: Olathe, KS (Remote Only)
 Job Category: IT
 Job Expires: 28\-Jan\-2026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1">
      <c r="A51" t="inlineStr">
        <is>
          <t>li-4375737308</t>
        </is>
      </c>
      <c r="B51" t="inlineStr">
        <is>
          <t>Data Scientist</t>
        </is>
      </c>
      <c r="C51" t="inlineStr">
        <is>
          <t>Corewell Health</t>
        </is>
      </c>
      <c r="D51" t="inlineStr">
        <is>
          <t>linkedin</t>
        </is>
      </c>
      <c r="E51" t="inlineStr"/>
      <c r="F51" t="inlineStr"/>
      <c r="G51" t="inlineStr">
        <is>
          <t>Grand Rapids, MI</t>
        </is>
      </c>
      <c r="H51" t="inlineStr"/>
      <c r="I51" t="inlineStr">
        <is>
          <t>**Job Summary**
 The Intermediate Data Scientist is responsible for designing, implementing, and evaluating data science solutions to solve clinical and business problems. The Intermediate Data Scientist will work collaboratively with cross\-functional teams, mentor Associate Data Scientists, and work on projects from ideation to
 completion. The Intermediate Data Scientist is expected to contribute to the improvement of existing processes and methodologies. Individual job responsibilities include identifying opportunities for data\-driven solutions, conducting advanced data analysis and generating insights, designing, implementing, and evaluating machine learning models and algorithms, collaborating with cross\-functional teams to integrate data science solutions. Leadership responsibilities include mentoring and supporting Associate Data Scientists.
**Essential Functions**
* Seeks appropriate data sources and ensures data quality for projects
* Develops new descriptive, inferential, and predictive models, and enhances and fine tunes existing models
* Analyzes and interprets data sets across various domains, including exploratory data analysis (EDA), advanced statistical analyses, and predictive analytics
* Independently creates data visualizations and uses storytelling methods to communicate model results and findings to stakeholders effectively
* Actively pursues opportunities to grow their business acumen and skills from more experienced team members. Provide support and recommendations to less experienced team members to enhance their technical skills
* Adheres to the team’s application of best practices and organizational standards of the Software Development Lifecycle and machine learning operations (MLOps) to ensure reproducibility of findings and effective model deployment
**Qualifications**
 Required
* Bachelor's Degree or equivalent Training in a quantitative discipline – mathematics, computer science, statistics, physics, econometrics, or a related discipline. Similar certified online education or work experience will be considered on a case\-by\-case basis
* 2 years of relevant experience 2 \- 5 years of relevant training in a quantitative discipline health care, data science, statistics, or a related field equivalent. Demonstrated proficiency may also be considered. Proven track record of applying data science techniques to real\-world problems and delivering results. Similar certified online education or work experience will be considered on a case\-by\-case basis
**Preferred**
* Master's Degree or equivalent Data Science, Analytics, Computer Science, Statistics, or related field
**About Corewell Health**
 As a team member at Corewell Health, you will play an essential role in delivering personalized health care to our patients, members and our communities. We are committed to cultivating and investing in YOU. Our top\-notch teams are comprised of collaborators, leaders and innovators that continue to build on one shared mission statement \- to improve health, instill humanity and inspire hope. Join a nationally recognized health system with an ambitious vision of continued advancement and excellence.
 How Corewell Health cares for you
* Comprehensive benefits package to meet your financial, health, and work/life balance goals. Learn more here.
* On\-demand pay program powered by Payactiv
* Discounts directory with deals on the things that matter to you, like restaurants, phone plans, spas, and more!
* Optional identity theft protection, home and auto insurance, pet insurance
* Traditional and Roth retirement options with service contribution and match savings
* Eligibility for benefits is determined by employment type and status
**Primary Location**
 SITE \- Secchia Center \- 15 Michigan St NE \- Grand Rapids
**Department Name**
 Sponsored Programs Bioinformatics \- Grand Rapids Hosp
**Employment Type**
 Full time
**Shift**
 Day (United States of America)
**Weekly Scheduled Hours**
 40
**Hours of Work**
 8:00 a.m. \- 5:00 p.m.
**Days Worked**
 Monday \- Friday
**Weekend Frequency**
 Variable weekends
********CURRENT COREWELL HEALTH TEAM MEMBERS – Please apply through Find Jobs from your Workday team member account. This career site is for Non\-Corewell Health team members only.********
*Corewell Health is committed to providing a safe environment for our team members, patients, visitors, and community. We require a drug\-free workplace and require team members to comply with the MMR, Varicella, Tdap, and Influenza vaccine requirement if in an on\-site or hybrid workplace category. We are committed to supporting prospective team members who require reasonable accommodations to participate in the job application process, to perform the essential functions of a job, or to enjoy equal benefits and privileges of employment due to a disability, pregnancy, or sincerely held religious belief.*
*Corewell Health grants equal employment opportunity to all qualified persons without regard to race, color, national origin, sex, disability, age, religion, genetic information, marital status, height, weight, gender, pregnancy, sexual orientation, gender identity or expression, veteran status, or any other legally protected category.*
*An interconnected, collaborative culture where all are encouraged to bring their whole selves to work, is vital to the health of our organization. As a health system, we advocate for equity as we care for our patients, our communities, and each other. From workshops that develop cultural intelligence, to our inclusion resource groups for people to find community and empowerment at work, we are dedicated to ongoing resources that advance our values of diversity, equity, and inclusion in all that we do. We invite those that share in our commitment to join our team.*
*You may request assistance in completing the application process by calling 616\.486\.7447\.*</t>
        </is>
      </c>
    </row>
    <row r="52">
      <c r="A52" t="inlineStr">
        <is>
          <t>li-4377016707</t>
        </is>
      </c>
      <c r="B52" t="inlineStr">
        <is>
          <t>Data Scientist</t>
        </is>
      </c>
      <c r="C52" t="inlineStr">
        <is>
          <t>Highbrow LLC</t>
        </is>
      </c>
      <c r="D52" t="inlineStr">
        <is>
          <t>linkedin</t>
        </is>
      </c>
      <c r="E52" t="inlineStr"/>
      <c r="F52" t="inlineStr"/>
      <c r="G52" t="inlineStr">
        <is>
          <t>Overland Park, KS</t>
        </is>
      </c>
      <c r="H52" t="inlineStr"/>
      <c r="I52" t="inlineStr">
        <is>
          <t>**Job Description** 
 Requirements and skills
 Proven experience as a Data Scientist
 Experience in data mining
 Experience in Snowflake, SQL and Python.
 Experience using business intelligence tools e.g. PowerBI
 Analytical mind and business acumen
 Strong math skills (e.g. statistics, algebra)
 Problem\-solving aptitude
 Excellent communication and presentation skills
**Job Responsibilities** 
 Responsibilities
 Identify valuable data sources and automate collection processes
 Undertake preprocessing of structured and unstructured data
 Analyze large amounts of information to discover trends and patterns
 Present information using data visualization techniques
 Propose solutions and strategies to business challenges
 Collaborate with engineering and product development teams</t>
        </is>
      </c>
    </row>
    <row r="53">
      <c r="A53" t="inlineStr">
        <is>
          <t>li-4367478821</t>
        </is>
      </c>
      <c r="B53" t="inlineStr">
        <is>
          <t>Senior Data Scientist</t>
        </is>
      </c>
      <c r="C53" t="inlineStr">
        <is>
          <t>Xenith Solutions</t>
        </is>
      </c>
      <c r="D53" t="inlineStr">
        <is>
          <t>linkedin</t>
        </is>
      </c>
      <c r="E53" t="inlineStr"/>
      <c r="F53" t="inlineStr"/>
      <c r="G53" t="inlineStr">
        <is>
          <t>San Diego, CA</t>
        </is>
      </c>
      <c r="H53" t="inlineStr"/>
      <c r="I53" t="inlineStr">
        <is>
          <t>**Xenith Solutions** 
 is a small family focused business where we focus on taking care of our employees and customers equally. We are focused on serving Federal / Civilian, Defense and Intelligence organizations with superior service. If you want to be a part of a rapidly growing business with an exceptional culture, then you want to be a part of the Xenith Solutions family.
 We are seeking a highly skilled and motivated Data Scientist to join our team in developing innovative solutions to challenging national problems in support of the Navy, DoD, and Intel communities engineering and technology needs. You should possess deep expertise in Python, data science libraries, and visualization/BI tools to lead advanced analytics initiatives supporting mission\-critical objectives. The ideal candidate brings both strong technical acumen and domain experience working with Department of Defense (DoD) and/or Intelligence Community (IC) data sources such as SIGINT, GEOINT, or other multi\-INT data. This position may be filled as a Senior Data Scientist.
**Responsibilities** 
 :
* Design and conduct exploratory data analysis and hypothesis testing to support analytic objectives
* Develop interactive dashboards and visualizations using tools such as Power BI, Tableau, and Grafana, translating complex findings into actionable insights for senior decision\-makers
* Build and optimize Python\-based data pipelines leveraging libraries such as pandas, NumPy, scikit\-learn, matplotlib, seaborn, and Plotly
* Work with diverse data formats (CSV, JSON, XML, Excel, etc.) and integrate across relational (Postgres, MySQL) and NoSQL (MongoDB, Accumulo) databases
* Apply advanced data mining, statistical modeling, graph algorithms, and machine learning to extract insights from large structured and unstructured datasets
* Mentor junior data scientists and analysts, fostering best practices in statistical rigor, code quality, and reproducibility
**Required skills and experience areas include** 
 :
* Demonstrates proficiency with frequent scripting language use, such as Python (primary) or R and using packages commonly used in data science applications or advanced analytics such as SQL
* Familiar with Kubernetes clusters and utilization of tools such as Prometheus or similar
* Proficient in Grafana as an open\-source analytics and interactive visualization web application for monitoring application performance
* Comfortable working with data in a variety of formats including excel, CSV, JSON, XML
* Utilization of Microsoft's Power BI, Tableau, and other toolsets to visualize data and share insights with senior decision makers
* Active Top Secret Clearance with SCI eligibility
* You will be subject to a government security investigation, and you must be a U.S. citizen to apply.</t>
        </is>
      </c>
    </row>
    <row r="54">
      <c r="A54" t="inlineStr">
        <is>
          <t>li-4376807682</t>
        </is>
      </c>
      <c r="B54" t="inlineStr">
        <is>
          <t>Data Scientist</t>
        </is>
      </c>
      <c r="C54" t="inlineStr">
        <is>
          <t>Wiraa</t>
        </is>
      </c>
      <c r="D54" t="inlineStr">
        <is>
          <t>linkedin</t>
        </is>
      </c>
      <c r="E54" t="inlineStr"/>
      <c r="F54" t="inlineStr"/>
      <c r="G54" t="inlineStr"/>
      <c r="H54" t="inlineStr"/>
      <c r="I54" t="inlineStr">
        <is>
          <t>**About The Company**
 Michigan Medicine, part of the University of Michigan, is a leading academic health system dedicated to advancing healthcare through excellence in education, patient care, research, and community service. With a history dating back to 1850, Michigan Medicine is recognized for groundbreaking medical innovations and technological advancements. Employing over 30,000 professionals, it strives to attract, inspire, and develop outstanding talent in medicine, sciences, and healthcare. The organization emphasizes integrity, collaboration, and a commitment to improving health outcomes at local, national, and international levels. Supported by robust research initiatives and a supportive environment, Michigan Medicine is dedicated to making a meaningful difference in the lives of patients and communities.
**About The Role**
 We are seeking a highly skilled Data Architect Lead (Data Scientist) to join our BMC2 team. This pivotal role focuses on designing and optimizing the data infrastructure for our new Heart Failure Registry, which aims to improve cardiovascular care outcomes across Michigan. The successful candidate will lead the development of scalable, secure, and interoperable data models, ensuring seamless integration of diverse data sources from multiple clinical systems. You will work closely with multidisciplinary teams to develop advanced workflows for extracting, transforming, and loading clinical data using healthcare interoperability standards such as FHIR. Your expertise will support the application of machine learning and predictive analytics to generate actionable insights that enhance population health management. This role offers a unique opportunity to blend data science, architecture, and biomedical knowledge in a collaborative, mission\-driven environment dedicated to improving patient outcomes.
**Qualifications**
* Masters or PhD in Computer Science, Data Science, Statistics, or a related field, or equivalent professional experience
* 5\-8 years of experience managing data from complex relational databases, preferably within healthcare environments
* Proven expertise in extracting, transforming, and harmonizing Electronic Health Record (EHR) data using APIs, specifically utilizing FHIR standards and other healthcare interoperability protocols
* Significant familiarity with healthcare data standards such as HL7, FHIR, ICD/LOINC codes, REDCap, Epic/Clarity (preferred)
* Demonstrated knowledge of HIPAA, security, and regulatory requirements
* Experience with Git\-based version control workflows
* Familiarity with Linux\-based server environments
* Strong analytical, problem\-solving, and decision\-making skills
* Excellent written and verbal communication skills to effectively collaborate with diverse stakeholders
* Ability to work independently, prioritize tasks, and deliver results within deadlines
* Growth mindset with a willingness to learn and adapt to new technologies and methodologies
**Responsibilities**
* Design and lead the development of the data model and infrastructure, ensuring solutions are scalable, secure, and interoperable
* Create advanced workflows for extracting, transforming, and loading (ETL) clinical data using FHIR protocols to capture core variables across heterogeneous EHR systems
* Ensure seamless integration of new data sources with existing data warehouse structures and optimize data pipelines for high performance and reliability
* Establish rigorous processes for data acquisition, validation, and storage from multiple sites, maintaining data harmonization across varied clinical systems
* Apply sophisticated machine learning and predictive analytics techniques to generate insights supporting population health and quality improvement initiatives
* Plan, coordinate, and supervise multiple projects, reviewing progress and results to ensure objectives are met
* Make independent, informed decisions on technical and strategic matters within scope of responsibilities
* Collaborate with cross\-functional teams to align data architecture with organizational goals and quality standards
* Stay updated with emerging trends in healthcare data management, analytics, and interoperability standards to continually enhance system capabilities
**Benefits**
* Comprehensive medical, dental, and vision coverage effective from the first day of employment
* Retirement savings plan with a 2:1 employer match
* Paid time off and holidays
* Opportunities for professional development and continuous learning
* Supportive and collaborative work environment
* Access to cutting\-edge healthcare technology and research initiatives
* Flexible work arrangements where applicable
 Equal Opportunity
 Michigan Medicine is an equal employment opportunity employer. We celebrate diversity and are committed to creating an inclusive environment for all employees. We encourage applications from individuals of all backgrounds, regardless of race, color, religion, gender, sexual orientation, gender identity or expression, age, national origin, disability, or veteran status. All qualified applicants will receive consideration for employment without regard to these characteristics.
 Please note that a cover letter addressing your specific interest in this position and outlining relevant skills and experience must be attached as the first page of your resume for consideration.</t>
        </is>
      </c>
    </row>
    <row r="55">
      <c r="A55" t="inlineStr">
        <is>
          <t>li-4376836319</t>
        </is>
      </c>
      <c r="B55" t="inlineStr">
        <is>
          <t>Data Scientist</t>
        </is>
      </c>
      <c r="C55" t="inlineStr">
        <is>
          <t>TMB (Trusted Media Brands)</t>
        </is>
      </c>
      <c r="D55" t="inlineStr">
        <is>
          <t>linkedin</t>
        </is>
      </c>
      <c r="E55" t="inlineStr"/>
      <c r="F55" t="inlineStr"/>
      <c r="G55" t="inlineStr"/>
      <c r="H55" t="inlineStr"/>
      <c r="I55" t="inlineStr">
        <is>
          <t>**About Us**
 Trusted Media Brands (TMB) is a community\-driven entertainment company that engages more than 250 million consumers worldwide across streaming TV, social media, web, and print. Our portfolio of brands—including FailArmy, Family Handyman, People Are Awesome, Reader’s Digest, Taste of Home, The Healthy, Birds \&amp; Blooms, and The Pet Collective—is powered by content inspired and created by our fans.
 Together, our community sparks curiosity, fuels laughter, and inspires people to live big, full, fantastic lives.
**Location:**
 We have offices in
 **New York, Los Angeles, and Milwaukee** 
 . This position is remote with a preference for someone in the EST or CST time zones.
**Role Overview**
 We are looking for a Data Scientist who sits at the intersection of web analytics, content intelligence and applied AI. This role goes beyond reporting and model\-building. You’ll help optimize how the business operates by translating web traffic, user behavior and content signals into smarter decisions, better products and measurable growth.
 You’ll work with large\-scale datasets across web, video, and content ecosystems, and apply learning to improve performance across traffic acquisition, engagement, monetization and operational efficiency. You’ll build predictive models, develop and execute on insights that directly influence our strategies. You’ll collaborate with cross\-functional teams, leverage modern cloud technologies, and contribute to building scalable analytics solutions using traditional analytics, machine learning and Artificial Intelligence.
**Key Responsibilities**
* Analyze and model large, sometimes complex, datasets, including web traffic, user behavior, engagement funnels, and video and content metadata
* Develop and deploy scalable machine learning models for forecasting, user segmentation, and content performance optimization tasks
* Design, build, and maintain scalable ETL pipelines and workflows using GCP and BigQuery for data ingestion and transformation
* Leverage machine learning and AI techniques to improve decision\-making, including experimentation, ranking, scoring and automation use cases
* Collaborate with product, business verticals, operations and engineering teams to align initiatives with technical and business objectives and KPIs
* Build dashboards and visualizations that provide visibility into performance, tends and opportunities across the business
* Translate insights into clear recommendations that influence strategy and prioritization to stakeholders
* Optimize queries and workflows in SQL and Python for performance, reliability and efficiency
* Continuously evaluate new capabilities and tools to improve efficiency, insight generation and business outcomes
**What We’re Looking For:**
* 2\+ years experience in a data science or advanced analytics role, ideally supporting digital products or content and sales driven businesses
* Expertise in SQL and Python, with experience in statistical analysis and predictive modeling
* Proficiency working in cloud environments. We use Google Cloud Platform, including BigQuery, Dataform, Vertex AI. Gemini Enterprise experience is a plus
* Strong analytical judgment with the ability to move from data to decisions
* Solid understanding of web traffic analytics
* Strong problem\-solving skills and the ability to manage multiple projects and work effectively in a fast\-moving, cross functional environment
* Excellent communication skills and ability to present complex findings to both technical and non\-technical audiences
**Preferred Qualifications:**
* Experience applying AI or machine learning to optimize business workflows, content performance or user experiences
* Experience with vector search models and semantic search tools
* Experience with dashboarding tools and BI tools like Looker
* Background in experimentation frameworks, A/B testing and causal inference
* Knowledge of ad tech, monetization models, and/or revenue optimization using traffic and engagement data
**Our Benefits:**
 We value our people and offer a collaborative, engaging culture with a strong emphasis on work\-life balance. Trusted Media Brands provides generous time off, comprehensive benefits, and programs designed to support your well\-being and professional growth. Learn more at trustedmediabrands.com/careers.
*Trusted Media Brands embraces inclusivity and values our diverse community. We are committed to building a team based on qualifications, merit, and business need. We are proud to be an equal opportunity employer and do not discriminate on the basis of race, religion, color, national origin, gender, sexual orientation, age, marital status, veteran status, or disability status.*</t>
        </is>
      </c>
    </row>
    <row r="56">
      <c r="A56" t="inlineStr">
        <is>
          <t>li-4375757221</t>
        </is>
      </c>
      <c r="B56" t="inlineStr">
        <is>
          <t>Data Scientist, Early Career</t>
        </is>
      </c>
      <c r="C56" t="inlineStr">
        <is>
          <t>Jobright.ai</t>
        </is>
      </c>
      <c r="D56" t="inlineStr">
        <is>
          <t>linkedin</t>
        </is>
      </c>
      <c r="E56" t="inlineStr"/>
      <c r="F56" t="inlineStr"/>
      <c r="G56" t="inlineStr"/>
      <c r="H56" t="inlineStr"/>
      <c r="I56"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Develop and deploy predictive models and machine learning algorithms that power the core logic of our production AI agents
* Experiment with and optimize Large Language Model (LLM) prompts, fine\-tuning techniques, and RAG pipelines to improve agent performance and reliability
* Perform deep\-dive statistical analysis on user interaction data to identify patterns that drive product improvements and feature innovation
* Monitor model performance and provide technical support during critical product iteration cycles
**Qualification** 
 Required
* Recent graduate or entry\-level professional (0–2 years of experience) with a degree in Data Science, Computer Science, Statistics, or a related quantitative field
* Strong programming skills in Python and proficiency with machine learning libraries such as PyTorch, TensorFlow, or Scikit\-learn
* Practical understanding of LLM architectures, prompt engineering, and the evaluation of generative AI outputs
* Excellent communication skills with the ability to articulate technical methodology and complex modeling results to the broader team
* Must live in and be authorized to work in the United States
 Preferred
* Previous internship or research experience focused on Natural Language Processing (NLP), autonomous agents, or recommendation systems
* Experience building and maintaining data pipelines and working with cloud infrastructure (AWS/GCP/Azure)
* Strong technical foundation in SQL and database management for efficient data extraction and feature engineering</t>
        </is>
      </c>
    </row>
    <row r="57">
      <c r="A57" t="inlineStr">
        <is>
          <t>li-4374289755</t>
        </is>
      </c>
      <c r="B57" t="inlineStr">
        <is>
          <t>Senior Data Scientist</t>
        </is>
      </c>
      <c r="C57" t="inlineStr">
        <is>
          <t>SoTalent</t>
        </is>
      </c>
      <c r="D57" t="inlineStr">
        <is>
          <t>linkedin</t>
        </is>
      </c>
      <c r="E57" t="inlineStr"/>
      <c r="F57" t="inlineStr"/>
      <c r="G57" t="inlineStr">
        <is>
          <t>New York, NY</t>
        </is>
      </c>
      <c r="H57" t="inlineStr"/>
      <c r="I57" t="inlineStr">
        <is>
          <t>**Job Title: Senior Data Scientist** 
**Location: New York, NY** 
**Type: Full Time** 
 Our Client is seeking a highly skilled Machine Learning \&amp; NLP Engineer
 to join a cross\-functional team of data scientists, software engineers, ML engineers, and product managers. This role is at the forefront of delivering AI\-powered products that transform how millions of customers interact with their money.
**What You’ll Do** 
* Partner with cross\-functional teams to design and deliver breakthrough AI\-powered customer experiences.
* Leverage a broad stack of technologies — PyTorch, AWS Ultraclusters, Hugging Face, LangChain, Lightning, VectorDBs, and more — to uncover insights from massive volumes of numeric and textual data.
* Serve as the expert in Natural Language Processing (NLP), adapting and fine\-tuning Large Language Models (LLMs) for customer\-facing applications.
* Build ML and NLP models through all phases of development — design, training, evaluation, and validation — and operationalize them in scalable, resilient production systems serving 80\+ million customers.
* Translate complex technical work into tangible business goals, influencing stakeholders and driving measurable impact.
**The Ideal Candidate** 
* **Customer\-first** 
 mindset, passionate about making the right decisions for customers.
* **Innovative** 
 , staying current on emerging technologies and state\-of\-the\-art methods.
* **Creative** 
 , thriving on defining big, undefined problems and pushing boundaries.
* **Leader** 
 , challenging conventional thinking, improving processes, and developing talent.
* **Technical** 
 , with hands\-on expertise in advanced ML/DL technologies, LLMs, and cloud platforms.
* **Influential** 
 , able to inspire cross\-functional teams and communicate clearly with non\-technical audiences.
* Experienced in training large language or computer vision models, with expertise in areas such as training optimization, self\-supervised learning, explainability, or RLHF.
* Proven track record of delivering models at scale, contributing libraries, platforms, or solution\-level code to production systems.
**Basic Qualifications** 
* Bachelor’s degree in a quantitative field (Statistics, Economics, Operations Research, Analytics, Mathematics, Computer Science, or related) plus 2 years of data analytics experience
* OR Master’s degree in a quantitative field or MBA with a quantitative concentration
**Preferred Qualifications** 
* Master’s or PhD in a STEM discipline
* Experience working with AWS
* At least 2 years’ experience in Python, Scala, or R
* At least 2 years’ experience with machine learning
* At least 2 years’ experience with SQL</t>
        </is>
      </c>
    </row>
    <row r="58">
      <c r="A58" t="inlineStr">
        <is>
          <t>li-4374500972</t>
        </is>
      </c>
      <c r="B58" t="inlineStr">
        <is>
          <t>Senior Data Scientist</t>
        </is>
      </c>
      <c r="C58" t="inlineStr">
        <is>
          <t>3M</t>
        </is>
      </c>
      <c r="D58" t="inlineStr">
        <is>
          <t>linkedin</t>
        </is>
      </c>
      <c r="E58" t="inlineStr"/>
      <c r="F58" t="inlineStr"/>
      <c r="G58" t="inlineStr">
        <is>
          <t>Minnesota, United States</t>
        </is>
      </c>
      <c r="H58" t="inlineStr"/>
      <c r="I58" t="inlineStr">
        <is>
          <t>**Job Description**
 Senior Data Scientist, 3M Company, Maplewood, Minnesota (hybrid): Invent and develop data science technologies that create new opportunities or support existing 3M industrial adhesive and tape products. Use a variety of programming languages to quickly develop and optimize proof of concept algorithms for commercialization. Lead and collaborate with research teams across the enterprise to build capabilities and applications that use scientific, mathematical, and computational skills.
 Master’s in Data Science, Computer Science, or Information Science required.
 Must have one year of work or internship experience or coursework or projects related to coursework in:
* (i) Working with deep learning, machine learning (ML), natural language processing (NLP), data science, computer vision, and artificial intelligence (AI);
* (ii) Supporting full life cycle application development within an agile framework, including requirements gathering, technical design, implementation, testing, documentation, and maintenance;
* (iii) Working on preprocessing data, analyzing, model building, and deployment;
* and (iv) Python for data analysis and backend development.
 Experience may be gained concurrently.
 Position may be eligible for telecommuting one day per week from within commuting distance to Maplewood office.
 Pay Range: $97,032 \- $120,838 per year.
 View benefits offered and apply at: 3m.com/3M/en\_US/careers\-us/
 All US\-based 3M full time employees will need to sign an employee agreement as a condition of employment with 3M. This agreement lays out key terms on using 3M Confidential Information and Trade Secrets. It also has provisions discussing conflicts of interest and how inventions are assigned. Employees that are Job Grade 7 or equivalent and above may also have obligations to not compete against 3M or solicit its employees or customers, both during their employment, and for a period after they leave 3M.
 Learn more about 3M’s creative solutions to the world’s problems at www.3M.com or on Instagram, Facebook, and LinkedIn @3M.
 Responsibilities of this position include that corporate policies, procedures and security standards are complied with while performing assigned duties.
 Safety is a core value at 3M. All employees are expected to contribute to a strong Environmental Health and Safety (EHS) culture by following safety policies, identifying hazards, and engaging in continuous improvement.
 Pay \&amp; Benefits Overview: https://www.3m.com/3M/en\_US/careers\-us/working\-at\-3m/benefits/
 3M does not discriminate in hiring or employment on the basis of race, color, sex, national origin, religion, age, disability, veteran status, or any other characteristic protected by applicable law.
**Please note: your application may not be considered if you do not provide your education and work history, either by: 1\) uploading a resume, or 2\) entering the information into the application fields directly.**
**3M Global Terms of Use and Privacy Statement**
 Carefully read these Terms of Use before using this website. Your access to and use of this website and application for a job at 3M are conditioned on your acceptance and compliance with these terms.
 Please click on the following links and select the country where you are applying for employment to review the applicable Terms of Use (link here) and Privacy Policy (link here). Before submitting your application, you will be asked to confirm your agreement with the terms.</t>
        </is>
      </c>
    </row>
    <row r="59">
      <c r="A59" t="inlineStr">
        <is>
          <t>li-4375752530</t>
        </is>
      </c>
      <c r="B59" t="inlineStr">
        <is>
          <t>Senior Data Scientist</t>
        </is>
      </c>
      <c r="C59" t="inlineStr">
        <is>
          <t>dentsu</t>
        </is>
      </c>
      <c r="D59" t="inlineStr">
        <is>
          <t>linkedin</t>
        </is>
      </c>
      <c r="E59" t="inlineStr"/>
      <c r="F59" t="inlineStr"/>
      <c r="G59" t="inlineStr"/>
      <c r="H59" t="inlineStr"/>
      <c r="I59" t="inlineStr">
        <is>
          <t>*\*\*This is a remote role, unless you live within 90 min of our NY, MI, IL \&amp; Chicago offices, then expect a flexible work arrangement up to 3 days a week onsite.\*\** 
**About Us** 
 We are a leading global media agency, shaping the future of content, advertising, and audience engagement across platforms. Our product organization powers innovative solutions for clients worldwide, leveraging data, technology, and creativity.
 Reporting into the Global Head of AI \&amp; Innovation, you will drive the development and application of generative AI technologies to enhance our media products and services. Focused on AI \&amp; Innovation, you will collaborate with cross\-functional teams to research, prototype, and implement cutting\-edge AI models that power next\-generation media experiences.
**What You'll Do:**
* GenAI R\&amp;D: Lead research and development of generative AI models (e.g., LLMs, multimodal models) for media applications such as content creation, personalization, creative optimization, and audience engagement.
* Prototyping \&amp; Experimentation: Rapidly prototype new AI\-driven features, conduct experiments, and evaluate model performance with real\-world data.
* Collaboration: Work closely with product managers, engineers, and media strategists to align AI initiatives with business goals and product roadmaps
* Data Analysis \&amp; Modeling: Analyze complex datasets, develop and validate machine learning models, and implement statistical methods for media optimization, segmentation, and forecasting
* Product: Collaborate with engineering teams to deploy AI models into scalable, robust production environments
* Innovation Leadership: Stay at the forefront of AI and media technology trends, propose and drive adoption of new tools and methodologies, and contribute to internal knowledge sharing
* Ethics \&amp; Compliance: Ensure responsible AI development, adhering to data privacy, fairness, and transparency standards.
**What You'll Have**
* Advanced degree (Masters or PhD) in Computer Science, Data Science, Engineering, Mathematics, or related field.
* 5\+ years of experience in data science roles, with a strong focus on AI/ML and R\&amp;D, ideally within media, advertising, or technology sectors
* Expertise in generative AI (e.g., LLMs, diffusion models, GANs), NLP, and/or multimodal AI.
* Proficiency in Python and ML frameworks (TensorFlow, PyTorch, Hugging Face Transformers, etc.)
* Experience with data engineering, large\-scale data analysis, and cloud platforms (AWS, GCP, Azure)
* Strong communication skills and ability to explain complex technical concepts to non\-technical stakeholders
* Demonstrated ability to work in a fast\-paced, global, and cross\-functional environment.
* Track record of published research, open\-source contributions, or patents in AI/ML
 The annual salary range for this position is (150,000\-$180,000\+). Placement within the salary range is based on a variety of factors, including relevant experience, knowledge, skills, and other factors permitted by law. Additionally, this position is eligible for discretionary incentive compensation.
 Benefits available with this position include:
* Medical, vision, and dental insurance,
* Life insurance,
* Short\-term and long\-term disability insurance,
* 401k,
* Flexible paid time off,
* At least 15 paid holidays per year,
* Paid sick and safe leave, and
* Paid parental leave.
 Dentsu also complies with applicable state and local laws regarding employee leave benefits, including, but not limited to providing time off pursuant to the Colorado Healthy Families and Workplaces Act, in accordance with its plans and policies. For further details regarding Dentsu benefits, please visit www.dentsubenefitsplus.com.</t>
        </is>
      </c>
    </row>
    <row r="60">
      <c r="A60" t="inlineStr">
        <is>
          <t>li-4377016204</t>
        </is>
      </c>
      <c r="B60" t="inlineStr">
        <is>
          <t>Senior Data Scientist</t>
        </is>
      </c>
      <c r="C60" t="inlineStr">
        <is>
          <t>CCS Global Tech</t>
        </is>
      </c>
      <c r="D60" t="inlineStr">
        <is>
          <t>linkedin</t>
        </is>
      </c>
      <c r="E60" t="inlineStr"/>
      <c r="F60" t="inlineStr"/>
      <c r="G60" t="inlineStr">
        <is>
          <t>Miami, FL</t>
        </is>
      </c>
      <c r="H60" t="inlineStr"/>
      <c r="I60" t="inlineStr">
        <is>
          <t>Job Description:
 Looking for a Senior Data Scientist in the Miami/Doral area to support NGA and USSOUTHCOM. In this role you will develop methods for querying, visualizing, aggregating, correlating, and analyzing big data across intelligence disciplines. Optimize databases, expose new datasets, build custom tools, and apply mathematical concepts to solve complex geospatial intelligence analysis problems.
 Responsibilities
* An understanding of Transnational Criminal Organizations (TCOs) operating within the USSOUTHCOM AOR
* An understanding of coca cultivation and production areas Familiarity with Intelligence Community Directive (ICD) 203 (Analytic Standards) and ICD 206
* An understanding of how to operationalize the analytic output—shape/frame it in a way that supports operational planning
 Required Qualifications
* They must have a background with intelligence experience, where they provided analysis and/or data science to an intelligence mission.
* They must be able to operate at a senior level and in an independent environment.
* They must be proficient at creating processes around large data sets to identify analytical discoveries,
* They must be able to script at a Senior Level in python.
* Must be able to take these discoveries and provide them through visualizations that are easily integrated into daily operations.</t>
        </is>
      </c>
    </row>
    <row r="61">
      <c r="A61" t="inlineStr">
        <is>
          <t>li-4377000295</t>
        </is>
      </c>
      <c r="B61" t="inlineStr">
        <is>
          <t>Sr Data Scientist</t>
        </is>
      </c>
      <c r="C61" t="inlineStr">
        <is>
          <t>Regional Finance</t>
        </is>
      </c>
      <c r="D61" t="inlineStr">
        <is>
          <t>linkedin</t>
        </is>
      </c>
      <c r="E61" t="inlineStr"/>
      <c r="F61" t="inlineStr"/>
      <c r="G61" t="inlineStr">
        <is>
          <t>South Carolina, United States</t>
        </is>
      </c>
      <c r="H61" t="inlineStr"/>
      <c r="I61" t="inlineStr">
        <is>
          <t>Take your career to the next level! In the last few years our goal has been expansion, creating growth opportunities for many of our team members. Not only are we serious about growth, but we are also serious about helping our customers during hard financial times.
 We take pride in providing solutions and offering a helping hand, not only to our customers but also to the communities we serve. As we continue to expand and grow into a national leader in consumer financing, we invite you to consider joining our team.
 If you're passionate about making a meaningful impact in people's lives and bringing a personal touch to finance, we'd love to have you on board!
 The Senior Data Scientist uses data and analytics to deliver business value. They aren’t afraid of large, messy, or unstructured data or complex machine learning algorithms, but they won’t hesitate to solve the problem with a simple spreadsheet, if that’s the best answer. They can work directly and communicate efficiently with partners and stakeholders in technology, operations, risk, legal, and other domains to understand the problem and craft a solution.
 In this role, the Senior Data Scientist will design and deliver end\-to\-end analytical and machine learning solutions that support customer\-facing decisions, internal simulations and analytics, and strategic decision making. The associate will contribute from data acquisition through model development, implementation, monitoring, and ongoing maintenance across a range of approaches (e.g. XGBoost/LightGBM, Bayesian methods, and other statistical/ML techniques). They will also support experimentation and measurement, including A/B testing and more advanced methods where appropriate (e.g., multi\-arm bandits), and help communicate results through clear storytelling, executive\-ready materials, and well\-structured decks. Where valuable, the associate may incorporate modern large language model (LLM) techniques to work with unstructured data and build practical LLM\-enabled workflows with appropriate evaluation, monitoring, and governance. The associate will interact with, influence, and collaborate with all levels within the organization to understand and implement business solutions, including defining success metrics and managing OKRs.
**Duties And Responsibilities**
* Design, develop, implement, monitor, and maintain valuations related machine learning models
* Manage data analysis and modeling projects leveraging appropriate statistical, mathematical or machine learning tools to support business strategies and outcomes
* Manage analytic solutions (data, tools reports, models) that advance and accelerate business partner agenda
* Generate and synthesize customer and market insights from a wide variety of data systems
* Prepare reports of analysis results for business partners and other non\-technical audiences
* Develop needed databases, data structures, compute patterns and operational processes to extract maximum value form existing and new data assets
* Write “production worthy” code and perform code review and necessary testing to ensure that data products meet the highest quality and production standards
* Identify opportunities to apply statistical methods to improve business performance, advance new strategies or to solve existing challenges.
* Work cross\-functionally with peers in Technology, product, and business analysts to identify new attributes and applications
* Create business intelligence, dashboards, and/or other advanced analytics metrics and reports to adequately communicate the business narrative and offer recommendations that are actionable and have material impact.
* Provide mentorship and guidance to junior level team members, modeling effective working relationships and solution\-building that demonstrates product value.
* Other duties as assigned
**Minimum Qualifications**
* Bachelor’s Degree in Statistics, Computer Science, Applied Math, Physics, Engineering, Economics, Operations Research.
* 3\+ years’ experience with predictive analytics, implementing data products or analytic solutions, or related consulting experience with a proven record of performance
* Proficient with Python, R, SQL or other common analytic programming languages
* Familiarity with software management and change control systems, such as Git, GitHub, Bitbucket, etc.
**Preferred Qualifications**
* Advanced degree preferred
* Experience with consumer finance is desired
**Critical Competencies**
* Leadership qualities
* Excellent problem\-solving skills
* Excellent presentation skills
* Strong analytical skills with strong attention to detail and high concern for data accuracy
* Excellent organizational and time management skills; ability to multi\-task, prioritize workload, maintain accuracy, and met deadlines in a fast paced and high\-volume environment
* Ability to follow directions and proper analysis and assessments
* Excellent communication skills; verbal, written and presentation skills
* High level of integrity
* High degree of self\-confidence.
* Must pass drug screen, criminal and credit background checks
**Working conditions**
* Primarily and office setting
* Locations: Dallas, TX, Greenville, SC or Remote
* The compensation for this position varies by location and experience. The range is between $99,000 and $149,782\.84 annual.
 Regional is an equal opportunity employer and does not discriminate on the basis of race, color, religion, creed, national origin, sex (including pregnancy, childbirth, and related medical conditions), sexual orientation, gender identity, transgender status, age, disability, genetic information, veteran status, uniform service, or any other characteristic protected by applicable law (“Protected Characteristics”). Regional’s policy of non\-discrimination applies to all phases of the employment process and relationship, including, but not limited to, recruitment and selection; compensation and benefits; professional development and training; promotions and opportunities; transfers; social and recreational programs; layoff; and terminations.</t>
        </is>
      </c>
    </row>
    <row r="62">
      <c r="A62" t="inlineStr">
        <is>
          <t>li-4376863750</t>
        </is>
      </c>
      <c r="B62" t="inlineStr">
        <is>
          <t>Sr Data Scientist (Remote)</t>
        </is>
      </c>
      <c r="C62" t="inlineStr">
        <is>
          <t>ForFutures Financial, Planning, a financial advisory practice of Ameriprise Financial Services LLC</t>
        </is>
      </c>
      <c r="D62" t="inlineStr">
        <is>
          <t>linkedin</t>
        </is>
      </c>
      <c r="E62" t="inlineStr"/>
      <c r="F62" t="inlineStr"/>
      <c r="G62" t="inlineStr">
        <is>
          <t>California, United States</t>
        </is>
      </c>
      <c r="H62" t="inlineStr"/>
      <c r="I62" t="inlineStr">
        <is>
          <t>**Who We Are**
 Join a team that puts its People First! As a member of First American’s family of companies, First American Home Warranty offers a wide range of home warranty products and services to home sellers, buyers and agents.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Identifies business trends and problems through complex data analysis. Interprets results from multiple sources using a variety of techniques, ranging from simple data aggregation via statistical analysis to advanced machine learning and data mining methodologies. Designs, develops, and implements high\-impact, scalable business solutions that drive measurable value across the organization. Partners cross\-functionally to translate business needs into analytical frameworks and actionable insights.
**How You’ll Contribute**
* Leverage expertise in handling large, complex datasets to perform exploratory data analysis, feature engineering, and statistically sound sample design
* Build, validate, deploy, and enhance complex predictive and machine learning models using data from multiple structured and unstructured sources to materially improve business outcomes
* Design, build, deploy, and monitor machine learning models in production environments, ensuring scalability, reliability, and performance
* Implement model lifecycle management best practices including versioning, experiment tracking, monitoring, retraining strategies, and performance optimization (e.g., MLflow or similar frameworks)
* Automate feedback loops for algorithms and models in production while creating scalable, repeatable data science processes and production\-grade data products
* Design and execute experiments (A/B testing, causal inference frameworks) to evaluate model performance and business impact
* Act as a technical subject matter expert, recommending and developing innovative analytical approaches aligned with strategic priorities
* Translate complex analytical findings into clear business insights and present results to executive and non\-technical audiences
* Mentor junior data scientists and contribute to establishing enterprise best practices in modeling, governance, and documentation
* Collaborate with data engineering teams to ensure robust pipelines, high data quality, and scalable model deployment
* Influence cross\-functional teams and drive adoption of data\-driven decision\-making
* Other duties as assigned
**What You’ll Bring**
**Required Education, Experience, Certification/Licensure**
* Bachelor’s degree or equivalent experience in a quantitative field such as Mathematics, Statistics, Computer Science, Engineering, Economics, or related discipline
* Master’s or PhD preferred
* 5–7\+ years of professional experience building, validating, deploying, and monitoring predictive and machine learning models in production environments
* Strong programming expertise in Python with hands\-on experience building end\-to\-end ML solutions
* Experience with MLflow (or similar model lifecycle tools) for experiment tracking, model versioning, and deployment management
* Experience working with SQL and large\-scale data processing frameworks such as Apache Spark
* Experience designing scalable data solutions in modern data platforms; experience with Microsoft Fabric is a plus
* Proven experience applying machine learning techniques (e.g., regression, classification, clustering, ensemble methods, NLP, etc.)
* Strong communication skills with the ability to explain complex analytical concepts to non\-technical stakeholders
 Pay Range: $135,600\.00 \- $151,300\.00 Annually
 This hiring range is a reasonable estimate of the base pay range for this position at the time of posting. Pay is based on a number of factors which may include job\-related knowledge, skills, experience, business requirements and geographic location.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row>
    <row r="63">
      <c r="A63" t="inlineStr">
        <is>
          <t>li-4376895788</t>
        </is>
      </c>
      <c r="B63" t="inlineStr">
        <is>
          <t>Data Scientist</t>
        </is>
      </c>
      <c r="C63" t="inlineStr">
        <is>
          <t>Booz Allen Hamilton</t>
        </is>
      </c>
      <c r="D63" t="inlineStr">
        <is>
          <t>linkedin</t>
        </is>
      </c>
      <c r="E63" t="inlineStr"/>
      <c r="F63" t="inlineStr"/>
      <c r="G63" t="inlineStr">
        <is>
          <t>McLean, VA</t>
        </is>
      </c>
      <c r="H63" t="inlineStr"/>
      <c r="I63" t="inlineStr">
        <is>
          <t>**Job Number: R0234498**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to help create real\-world impact. You’ll work closely with clients to understand their questions and needs, and then dig into their data\-rich environments to find the pieces of their information puzzle. You’ll work with and learn from your teammates as you develop algorithms and systems. You’ll use the right combination of tools and frameworks to turn sets of disparate data points into objective answers so that your clients can make informed decisions. Ultimately, you’ll provide a deep understanding of the data, what it all means, and how it can be used.
 Work with us as we use data science for good.
 Join us. The world can’t wait.
**You Have:**
* Experience with data exploration, data cleaning, data analysis, data visualization, or data mining
* Experience with statistical and general\-purpose programming languages for data analysis
* Knowledge of structured and unstructured data sources
* Knowledge of machine learning, artificial intelligence, or natural language processing
* Ability to develop predictive data models, quantitative analyses, and visualization of targeted data sources
* Ability to deploy natural language processing, text mining, or machine learning techniques
* TS/SCI clearance with a polygraph
* Bachelor’s degree
**Nice If You Have:**
* Experience in the development of algorithms leveraging R, Python, SQL, or NoSQL
* Experience with distributed data or computing tools, including MapReduce, Hadoop, Hive, EMR, Kafka, Spark, Gurobi, or MySQL
* Experience with visualization packages, including Plotly, Seaborn, or ggplot2
* Master’s degree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64">
      <c r="A64" t="inlineStr">
        <is>
          <t>li-4375751831</t>
        </is>
      </c>
      <c r="B64" t="inlineStr">
        <is>
          <t>Senior Data Scientist, Applied AI</t>
        </is>
      </c>
      <c r="C64" t="inlineStr">
        <is>
          <t>Google</t>
        </is>
      </c>
      <c r="D64" t="inlineStr">
        <is>
          <t>linkedin</t>
        </is>
      </c>
      <c r="E64" t="inlineStr"/>
      <c r="F64" t="inlineStr"/>
      <c r="G64" t="inlineStr">
        <is>
          <t>Kirkland, WA</t>
        </is>
      </c>
      <c r="H64" t="inlineStr"/>
      <c r="I64" t="inlineStr">
        <is>
          <t>In accordance with Washington state law, we are highlighting our comprehensive benefits package, which is available to all eligible US based employees. Benefits for this role include: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
 **Minimum qualifications:**
* Bachelor's degree in Statistics, Mathematics, Data Science, Engineering, Physics, Economics, or a related quantitative field.
* 8 years of experience using analytics to solve product or business problems, performing statistical analysis, and coding (e.g., Python, R, SQL) or 5 years of experience with a Master's degree.
**Preferred qualifications:**
* Master's degree in Statistics, Mathematics, Data Science, Engineering, Physics, Economics, or a related quantitative field.
**About The Job**
 Google is and always will be an engineering company. We hire people with a broad set of technical skills who are ready to take on some of technology's greatest challenges and make an impact on users. At Google, data scientists not only revolutionize search, they routinely work on massive scalability and storage solutions, large\-scale applications, and entirely new platforms for developers around the world. From Google Ads to Chrome, Android to YouTube, social to local, Google engineers are changing the world one technological achievement after another.
 As a Senior Data Scientist, you will evaluate and improve Google's products. You will collaborate with a multidisciplinary team of engineers and analysts on a wide range of problems. You will bring scientific accuracy and statistical methods to the challenges of product creation, development, and improvement with an appreciation for the behaviors of the end user.
 The Applied AI team focuses on building and deploying AI agents for enterprise customers across a variety of industries. The organization has historically not had a data team and we are building one from scratch. This is a great opportunity for someone who grows in ambiguity, has a strong product mindset, and enjoys working in a 0\-1 startup environment.
 In this role, you will inform product strategy and launches and play a critical role in how we shape and scale the team. You will have a track record of working with AI. You will rapidly prototype ideas, and contribute to a team that's driven to exceed industry expectations.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Be the end\-to\-end data owner of a product area and closely collaborate with your respective engineering, product, and UX leads to build products that have product market fit and traction in the market.
* Be comfortable working with ambiguity and understand the broader business context and propose solutions that help propel the team forward and make effective data drive decisions.
* Be a proactive thought partner and strategic partner to your cross\-functional partners.
* Work on creating, improving, and assessing eval data sets to improve AI agent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5">
      <c r="A65" t="inlineStr">
        <is>
          <t>li-4376811733</t>
        </is>
      </c>
      <c r="B65" t="inlineStr">
        <is>
          <t>Data Scientist IV</t>
        </is>
      </c>
      <c r="C65" t="inlineStr">
        <is>
          <t>Nexus Consulting</t>
        </is>
      </c>
      <c r="D65" t="inlineStr">
        <is>
          <t>linkedin</t>
        </is>
      </c>
      <c r="E65" t="inlineStr"/>
      <c r="F65" t="inlineStr"/>
      <c r="G65" t="inlineStr">
        <is>
          <t>New York, United States</t>
        </is>
      </c>
      <c r="H65" t="inlineStr"/>
      <c r="I65" t="inlineStr">
        <is>
          <t>* **Role:** 
 Data Scientist IV
* **Location:** 
 100% Remote (Global)
* **Compensation:** 
 USD 105–125 per hour
**Overview** 
 We are seeking an experienced
 **Data Scientist IV** 
 to drive innovation through advanced analytics and modeling of high\-dimensional biosensor data. This role will contribute directly to biosensing research and development, enabling next\-generation product improvements and prototype development.
 The ideal candidate combines strong statistical and machine learning expertise with hands\-on experience in hardware sensor data, signal processing, and experimental analysis.
**Key Responsibilities** 
 Advanced Data Analysis \&amp; Modeling
* Execute, debug, and optimize distributed compute workflows for large\-scale metric computation and modeling
* Apply statistical analysis, machine learning, and advanced mathematical methods to uncover patterns in biosensor datasets
* Design and develop predictive models to extract actionable insights from real\-world sensor data
**Signal Processing \&amp; Sensor Analytics** 
* Analyze time\-domain signals and/or medical imaging data
* Apply signal processing techniques to improve data interpretation and model performance
* Support hardware sensor data analysis and prototype validation
**Experimentation \&amp; Hypothesis Testing** 
* Generate and test hypotheses through structured product experimentation
* Interpret experimental results to inform product and R\&amp;D strategy
**Cross\-Functional Collaboration** 
* Partner with engineering teams to translate analytical prototypes into scalable product solutions
* Provide technical guidance for large\-scale deployment of models and analytics frameworks
**Visualization \&amp; Communication** 
* Develop visualizations to communicate insights clearly to technical and non\-technical stakeholders
* Present findings from statistical and machine learning analyses to diverse audiences
**Minimum Qualifications** 
* Master’s or PhD in Computer Science, Statistics, Neuroscience, Biomedical Engineering, or related field
* 3\+ years of experience in data extraction, manipulation, and visualization
* Strong proficiency in Python, R, MATLAB, and/or SQL
* Experience working with large\-scale datasets
* Strong understanding of data structures and algorithms
**Required Technical Skills** 
* Experience with hardware sensor data and real\-world signal analysis
* Signal processing expertise (time\-domain signals and/or medical imaging systems)
* Scientific computing libraries: NumPy, SciPy, Pandas, Scikit\-learn, dplyr, caret
* Data visualization tools: Matplotlib, Pyplot, seaborn, ggplot2
* Machine learning and predictive modeling techniques
**Core Competencies** 
* Advanced Statistical Analysis
* Machine Learning \&amp; Predictive Modeling
* Signal Processing
* Experimental Design
* Distributed Compute Workflows
* Cross\-Functional Technical Collaboration
**Work Environment** 
* Onsite in New York City
* Research\-driven, data\-intensive environment
* Close collaboration with hardware and engineering teams
**Equal Opportunity Statement** 
 We are an equal opportunity employer and consider all qualified applicants without regard to legally protected characteristics. Reasonable accommodations are available upon request.
**APPLY NOW!**</t>
        </is>
      </c>
    </row>
    <row r="66">
      <c r="A66" t="inlineStr">
        <is>
          <t>li-4170776656</t>
        </is>
      </c>
      <c r="B66" t="inlineStr">
        <is>
          <t>Staff Applied Scientist</t>
        </is>
      </c>
      <c r="C66" t="inlineStr">
        <is>
          <t>Hippocratic AI</t>
        </is>
      </c>
      <c r="D66" t="inlineStr">
        <is>
          <t>linkedin</t>
        </is>
      </c>
      <c r="E66" t="inlineStr"/>
      <c r="F66" t="inlineStr"/>
      <c r="G66" t="inlineStr">
        <is>
          <t>Palo Alto, CA</t>
        </is>
      </c>
      <c r="H66" t="inlineStr"/>
      <c r="I66" t="inlineStr">
        <is>
          <t>**About Us**
 Hippocratic AI is the leading generative AI company in healthcare. We have the only system that can have safe, autonomous, clinical conversations with patients. We have trained our own LLMs as part of our Polaris constellation, resulting in a system with over 99\.9% accuracy.
**Why Join Our Team**
**Reinvent healthcare with AI that puts safety first.** 
 We’re building the world’s first healthcare‑only, safety‑focused LLM — a breakthrough platform designed to transform patient outcomes at a global scale. This is category creation.
**Work with the people shaping the future.** 
 Hippocratic AI was co‑founded by CEO Munjal Shah and a team of physicians, hospital leaders, AI pioneers, and researchers from institutions like El Camino Health, Johns Hopkins, Washington University in St. Louis, Stanford, Google, Meta, Microsoft, and NVIDIA.
**Backed by the world’s leading healthcare and AI investors.** 
 We recently raised a $126M Series C at a $3\.5B valuation, led by Avenir Growth, bringing total funding to $404M with participation from CapitalG, General Catalyst, a16z, Kleiner Perkins, Premji Invest, UHS, Cincinnati Children’s, WellSpan Health, John Doerr, Rick Klausner, and others.
**Build alongside the best in healthcare and AI.** 
 Join experts who’ve spent their careers improving care, advancing science, and building world‑changing technologies — ensuring our platform is powerful, trusted, and truly transformative.
**Location Requirement**
 We believe the best ideas happen together. To support fast collaboration and a strong team culture, this role is expected to be in our Palo Alto office five days a week, unless otherwise specified.
**About The Role**
 Applied Scientists at Hippocratic provide a dynamic opportunity to work with a team of world\-class research scientists and engineers, who are pursuing scientific and technical innovation to help solve complex challenges through the use of Generative AI technology.
 What You'll Do
 We are seeking Artificial Intelligence (AI) Applied Scientists to join our team and contribute to the development of Large Language Models (LLMs) aimed at creating disruptive safety\-focused generative intelligence for Healthcare. As an Applied Scientist, you will play a crucial role in developing, improving, and exploring the capabilities of LLMs to solve complex real\-world problems geared towards building Conversational AI products. Our ongoing research areas encompass but are not limited to:
* Post\-training: Instruction tuning and reinforcement learning from human and AI feedback.
* Multilinguality: Post\-training LLMs to talk fluently in any language, with medical accuracy and safety.
* Continual Learning: Enabling LLMs to evolve and adapt over time and learn from previous experiences over human interactions.
* Specialization: Tailoring LLMs to meet domain\-specific requirements.
* Efficiency: Optimizing the computational efficiency and cost\-effectiveness of LLM deployments.
**What You Bring**
**Must\-Have:**
* PhD in Computer Science, Electrical Engineering, or related field.
* 5\+ years of industry experience in NLP and machine learning, with a focus on LLMs.
* Strong programming skills in Python.
* Experience with deep learning frameworks such as PyTorch or TensorFlow.
* Experience with large\-scale data processing and distributed computing.
* Experience with training (pre\-training / fine\-tuning / RLHF / post\-training) autoregressive language models like LLaMA, GPT\-x, etc.
* Experience with open\-source LLM platforms and training stack (e.g., HuggingFace, Deepspeed etc.).
* Experience in healthcare or life sciences is a plus.
**Nice\-to\-Have:**
 Strong preference for individuals that can work onsite in our HQ located in Palo Alto, CA, but will consider individuals throughout the U.S.
 Applied Scientists are directly responsible for improving the product, safety, and intelligence of our system by researching innovative AI solutions and applying them into our models. Collaborating with accomplished doctoral candidates and some of the industry's brightest minds, Applied Scientist partake in an ongoing learning journey that fosters collaboration and establishes enduring connections. This position not only facilitates individual career advancement but also plays a crucial role in propelling forward innovative research and development initiatives.
**References**
* Polaris: A Safety\-focused LLM Constellation Architecture for Healthcare, https://arxiv.org/abs/2403\.13313
 2\. Polaris 2: https://www.hippocraticai.com/polaris2
 3\. Personalized Interactions: https://www.hippocraticai.com/personalized\-interactions
 4\. Human Touch in AI: https://www.hippocraticai.com/the\-human\-touch\-in\-ai
 5\. Empathetic Intelligence: https://www.hippocraticai.com/empathetic\-intelligence
 6\. Polaris 1: https://www.hippocraticai.com/research/polaris
 7\. Research and clinical blogs: https://www.hippocraticai.com/research
*Please be aware of recruitment scams impersonating Hippocratic AI. All recruiting communication will come from @* 
*hippocraticai.com* 
*email addresses. We will never request payment or sensitive personal information during the hiring process.*</t>
        </is>
      </c>
    </row>
    <row r="67">
      <c r="A67" t="inlineStr">
        <is>
          <t>li-4376893823</t>
        </is>
      </c>
      <c r="B67" t="inlineStr">
        <is>
          <t>Data Scientist</t>
        </is>
      </c>
      <c r="C67" t="inlineStr">
        <is>
          <t>Booz Allen Hamilton</t>
        </is>
      </c>
      <c r="D67" t="inlineStr">
        <is>
          <t>linkedin</t>
        </is>
      </c>
      <c r="E67" t="inlineStr"/>
      <c r="F67" t="inlineStr"/>
      <c r="G67" t="inlineStr">
        <is>
          <t>Chantilly, VA</t>
        </is>
      </c>
      <c r="H67" t="inlineStr"/>
      <c r="I67" t="inlineStr">
        <is>
          <t>**Job Number: R0234498**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to help create real\-world impact. You’ll work closely with clients to understand their questions and needs, and then dig into their data\-rich environments to find the pieces of their information puzzle. You’ll work with and learn from your teammates as you develop algorithms and systems. You’ll use the right combination of tools and frameworks to turn sets of disparate data points into objective answers so that your clients can make informed decisions. Ultimately, you’ll provide a deep understanding of the data, what it all means, and how it can be used.
 Work with us as we use data science for good.
 Join us. The world can’t wait.
**You Have:**
* Experience with data exploration, data cleaning, data analysis, data visualization, or data mining
* Experience with statistical and general\-purpose programming languages for data analysis
* Knowledge of structured and unstructured data sources
* Knowledge of machine learning, artificial intelligence, or natural language processing
* Ability to develop predictive data models, quantitative analyses, and visualization of targeted data sources
* Ability to deploy natural language processing, text mining, or machine learning techniques
* TS/SCI clearance with a polygraph
* Bachelor’s degree
**Nice If You Have:**
* Experience in the development of algorithms leveraging R, Python, SQL, or NoSQL
* Experience with distributed data or computing tools, including MapReduce, Hadoop, Hive, EMR, Kafka, Spark, Gurobi, or MySQL
* Experience with visualization packages, including Plotly, Seaborn, or ggplot2
* Master’s degree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68">
      <c r="A68" t="inlineStr">
        <is>
          <t>li-4170780548</t>
        </is>
      </c>
      <c r="B68" t="inlineStr">
        <is>
          <t>Senior Applied Scientist</t>
        </is>
      </c>
      <c r="C68" t="inlineStr">
        <is>
          <t>Hippocratic AI</t>
        </is>
      </c>
      <c r="D68" t="inlineStr">
        <is>
          <t>linkedin</t>
        </is>
      </c>
      <c r="E68" t="inlineStr"/>
      <c r="F68" t="inlineStr"/>
      <c r="G68" t="inlineStr">
        <is>
          <t>Palo Alto, CA</t>
        </is>
      </c>
      <c r="H68" t="inlineStr"/>
      <c r="I68" t="inlineStr">
        <is>
          <t>**About Us**
 Hippocratic AI is the leading generative AI company in healthcare. We have the only system that can have safe, autonomous, clinical conversations with patients. We have trained our own LLMs as part of our Polaris constellation, resulting in a system with over 99\.9% accuracy.
**Why Join Our Team**
**Reinvent healthcare with AI that puts safety first.** 
 We’re building the world’s first healthcare‑only, safety‑focused LLM — a breakthrough platform designed to transform patient outcomes at a global scale. This is category creation.
**Work with the people shaping the future.** 
 Hippocratic AI was co‑founded by CEO Munjal Shah and a team of physicians, hospital leaders, AI pioneers, and researchers from institutions like El Camino Health, Johns Hopkins, Washington University in St. Louis, Stanford, Google, Meta, Microsoft, and NVIDIA.
**Backed by the world’s leading healthcare and AI investors.** 
 We recently raised a $126M Series C at a $3\.5B valuation, led by Avenir Growth, bringing total funding to $404M with participation from CapitalG, General Catalyst, a16z, Kleiner Perkins, Premji Invest, UHS, Cincinnati Children’s, WellSpan Health, John Doerr, Rick Klausner, and others.
**Build alongside the best in healthcare and AI.** 
 Join experts who’ve spent their careers improving care, advancing science, and building world‑changing technologies — ensuring our platform is powerful, trusted, and truly transformative.
**Location Requirement**
 We believe the best ideas happen together. To support fast collaboration and a strong team culture, this role is expected to be in our Palo Alto office five days a week, unless otherwise specified.
**About The Role**
 Applied Scientists at Hippocratic provide a dynamic opportunity to work with a team of world\-class research scientists and engineers, who are pursuing scientific and technical innovation to help solve complex challenges through the use of Generative AI technology.
 What You'll Do
 We are seeking Artificial Intelligence (AI) Applied Scientists to join our team and contribute to the development of Large Language Models (LLMs) aimed at creating disruptive safety\-focused generative intelligence for Healthcare. As an Applied Scientist, you will play a crucial role in developing, improving, and exploring the capabilities of LLMs to solve complex real\-world problems geared towards building Conversational AI products.
* Post\-training: Instruction tuning and reinforcement learning from human and AI feedback.
* Multilinguality: Post\-training LLMs to talk fluently in any language, with medical accuracy and safety.
* Continual Learning: Enabling LLMs to evolve and adapt over time and learn from previous experiences over human interactions.
* Specialization: Tailoring LLMs to meet domain\-specific requirements.
* Efficiency: Optimizing the computational efficiency and cost\-effectiveness of LLM deployments.
**What You Bring**
**Must\-Have:**
* MS in Computer Science, Electrical Engineering, or related field.
* 3\+ years of industry experience in NLP and machine learning, with a focus on LLMs.
* Strong programming skills in Python.
* Experience with deep learning frameworks such as PyTorch or TensorFlow.
* Experience with large\-scale data processing and distributed computing.
* Experience with training (pre\-training / fine\-tuning / RLHF / post\-training) autoregressive language models like LLaMA, GPT\-x, etc.
* Experience with open\-source LLM platforms and training stack (e.g., HuggingFace, Deepspeed etc.).
* Experience in healthcare or life sciences is a plus.
**Nice\-to\-Have:**
 Strong preference for individuals that can work onsite in our HQ located in Palo Alto, CA, but will consider individuals throughout the U.S.
 Applied Scientists are directly responsible for improving the product, safety, and intelligence of our system by researching innovative AI solutions and applying them into our models. Collaborating with accomplished doctoral candidates and some of the industry's brightest minds, Applied Scientist partake in an ongoing learning journey that fosters collaboration and establishes enduring connections. This position not only facilitates individual career advancement but also plays a crucial role in propelling forward innovative research and development initiatives.
**References**
* Polaris: A Safety\-focused LLM Constellation Architecture for Healthcare, https://arxiv.org/abs/2403\.13313
 2\. Polaris 2: https://www.hippocraticai.com/polaris2
 3\. Personalized Interactions: https://www.hippocraticai.com/personalized\-interactions
 4\. Human Touch in AI: https://www.hippocraticai.com/the\-human\-touch\-in\-ai
 5\. Empathetic Intelligence: https://www.hippocraticai.com/empathetic\-intelligence
 6\. Polaris 1: https://www.hippocraticai.com/research/polaris
 7\. Research and clinical blogs: https://www.hippocraticai.com/research
*Please be aware of recruitment scams impersonating Hippocratic AI. All recruiting communication will come from @* 
*hippocraticai.com* 
*email addresses. We will never request payment or sensitive personal information during the hiring process.*</t>
        </is>
      </c>
    </row>
    <row r="69">
      <c r="A69" t="inlineStr">
        <is>
          <t>li-4375742786</t>
        </is>
      </c>
      <c r="B69" t="inlineStr">
        <is>
          <t>AI/ML &amp; Data Scientist SME</t>
        </is>
      </c>
      <c r="C69" t="inlineStr">
        <is>
          <t>Zachary Piper Solutions</t>
        </is>
      </c>
      <c r="D69" t="inlineStr">
        <is>
          <t>linkedin</t>
        </is>
      </c>
      <c r="E69" t="inlineStr"/>
      <c r="F69" t="inlineStr"/>
      <c r="G69" t="inlineStr">
        <is>
          <t>Washington, DC</t>
        </is>
      </c>
      <c r="H69" t="inlineStr"/>
      <c r="I69" t="inlineStr">
        <is>
          <t>Zachary Piper Solutions is seeking an
 **AI/ML \&amp; Data Scientist SME** 
 to support
 **hybrid** 
 operations in
 **Washington, DC** 
 . This role will analyze data, build clear visualizations, and automate cloud‑based workflows to deliver actionable insights.
**Responsibilities for the AI/ML \&amp; Data Scientist SME include:**
* Analyze complex datasets and deliver actionable insights using BI, AI/ML, and predictive analytics.
* Create clear, impactful Tableau/Power BI dashboards and communicate findings effectively.
* Perform SQL\-based ETL, manage relational databases, and ensure data quality through governance best practices.
* Use AWS and Power Automate to modernize data workflows and automate scalable processes.
**Qualifications for the AI/ML \&amp; Data Scientist SME include:**
* Bachelor’s degree (Master’s preferred) and 6\+ years in AI/ML, data analysis, and visualization
* Proficient in Python, SQL, and automated data workflows/pipelines
* Strong Tableau/Power BI dashboard and reporting expertise
* Familiar with AWS cloud services and Collibra Data Governance
* Active DHS or Top Secret clearance
**Compensation for the AI/ML \&amp; Data Scientist SME include:**
* Salary Range: $120,000 \- $140,000 based on years of experience
* Benefits: Medical, Dental, Vision, 401k Plan, PTO (Paid Time Off), Holidays, Sick leave as required by law
**This job opens for applications on 1/20/2025\. Applications for this job will be accepted for at least 30 days from the posting date**
**Keywords:** 
 AI/ML, data analytics, data visualization, Power BI, Tableau, SQL, ETL, Python, AWS, S3, EC2, RDS, Lambda, automation, Power Automate, data governance, Collibra, dashboards, reporting, predictive analytics, generative AI, data modeling, business intelligence, cloud computing, data pipelines, workflow automation, Oracle, PostgreSQL, MySQL, data quality, data integrity, data lineage, stakeholder engagement, insights, analytics solutions, data storytelling, relational databases, cloud modernization, analytics engineering, data processing, data extraction, KPI reporting, communication skills, cross\-functional collaboration, technical analysis, data\-driven decision\-making, performance metrics, analytics strategy, enterprise data, trends and patterns</t>
        </is>
      </c>
    </row>
    <row r="70">
      <c r="A70" t="inlineStr">
        <is>
          <t>li-4375729400</t>
        </is>
      </c>
      <c r="B70" t="inlineStr">
        <is>
          <t>Data Scientist - Property/Casualty</t>
        </is>
      </c>
      <c r="C70" t="inlineStr">
        <is>
          <t>Farm Bureau Financial Services</t>
        </is>
      </c>
      <c r="D70" t="inlineStr">
        <is>
          <t>linkedin</t>
        </is>
      </c>
      <c r="E70" t="inlineStr"/>
      <c r="F70" t="inlineStr"/>
      <c r="G70" t="inlineStr">
        <is>
          <t>West Des Moines, IA</t>
        </is>
      </c>
      <c r="H70" t="inlineStr"/>
      <c r="I70" t="inlineStr">
        <is>
          <t>Farm Bureau is looking for a strong data driven professional to join our team and help us live out our mission of protecting livelihoods and futures. In this role, you will perform statistical analysis as part of the predictive modeling team and assist in the delivery of pricing models and competitive research. Candidate must be local to the Des Moines area, or willing to relocate as at least three days in the office is required per week. Candidates must also have predictive modeling or actuarial experience.
**Who We Are:** 
 At Farm Bureau Financial Services, we make insurance simple so our client/members can feel confident knowing their family, home, cars and other property are protected. We value a culture where integrity, teamwork, passion, service, leadership and accountability are at the heart of every decision we make and every action we take. We're proud of our more than 80\-year commitment to protecting the livelihoods and futures of our client/members and creating an atmosphere where our employees thrive.
**What You'll Do**
* Develop, implement, and document predictive models
* Interpret results to audiences of various technical knowledge
* Test, validate, and correct / clean data as needed
* Collaborate with managing actuaries on the pricing teams to deliver results
**What It Takes To Join Our Team**
* College degree plus 3 years predictive modeling experience required.
* Property Casualty experience preferred.
* Must have strong skills with SQL, R, Emblem or other predictive modeling software.
* Be team focused and be able to work in a collaborative work environment.
* Strong communication and presentation skills.
**What We Offer You:** 
 When you're on our team, you get more than a great paycheck. You'll hear about career development and educational opportunities. We offer an enhanced 401K with a match, low\-cost health, dental, and vision benefits, and life and disability insurance options. We also offer paid time off, including holidays and volunteer time, and teams who know how to have fun. Add to that an onsite wellness facility with fitness classes and programs, a daycare center, a cafeteria, and for many positions, even consideration for a hybrid work arrangement.
 **Farm Bureau....where the grass really IS greener!**
**Work Authorization/Sponsorship**
 Applicants must be currently authorized to work in the United States on a full\-time basis. We are not able to sponsor now or in the future, or take over sponsorship of, an employment visa or work authorization for this role. For example, we are not able to sponsor OPT status.</t>
        </is>
      </c>
    </row>
    <row r="71">
      <c r="A71" t="inlineStr">
        <is>
          <t>li-4376899751</t>
        </is>
      </c>
      <c r="B71" t="inlineStr">
        <is>
          <t>Data Visualization Specialist /ERP Data Scientist</t>
        </is>
      </c>
      <c r="C71" t="inlineStr">
        <is>
          <t>CGI</t>
        </is>
      </c>
      <c r="D71" t="inlineStr">
        <is>
          <t>linkedin</t>
        </is>
      </c>
      <c r="E71" t="inlineStr"/>
      <c r="F71" t="inlineStr"/>
      <c r="G71" t="inlineStr">
        <is>
          <t>Arlington, VA</t>
        </is>
      </c>
      <c r="H71" t="inlineStr"/>
      <c r="I71" t="inlineStr">
        <is>
          <t>Position Description
 We are seeking a Data Visualization Specialist who is passionate about solving challenging client problems with emerging technology solutions. As a CGI Data Visualization Specialist, you will be joining the International Affairs (IAF) group to support the mission of U.S. security, economic well\-being, and worldwide relations. Working with various clients in the US federal space, IAF supports missions that foster national security, foreign relations and resilient democratic societies. Since 1976, CGI has partnered with the U.S. federal government to support a wide variety of organizations and unique missions building solutions that support clients around the world.
 This position is located in Arlington, VA.
 Your future duties and responsibilities
* Apply problem\-solving skills to modernize overall Business Intelligence technology solutions that will directly impact client missions.
* Provide a level of expertise in Visualizations with PowerBI.
* Be able to create dashboards and present data in a way that makes it visually appealing to the customer to promote customer adoption
**Required Qualifications To Be Successful In This Role**
 An interim Secret clearance is required to begin working onsite with our client, and a Secret clearance must be maintained throughout the project duration. Due to the nature of the government contract requirements and/or clearance requirements, US citizenship is required.
* Bachelor's degree or Master's degree in Business, Computer Science, Mathematics or STEM related discipline.
* 3\-4 years' experience in Data Technology experience to include BI tools, methodologies, and/or responsibilities
* Experience in design or development experience with visual analytics tools including PowerBI
* Experience in visualization design experience to include dashboards, executive briefings, or front\-end visualizations
* Excellent communication and interpersonal skills
* Proven ability to work creatively and analytically in a problem\-solving environment as a part of an agile/client facing team
* Experience creating data models and using statistical tools
 Desired qualifications/non\-essential skills required:
* Functional Experience in Acquisitions (Procurement) Data
* Experience with Momentum ERP Tables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$79,600\.00 \- $194,000\.00\.
 CGI Federal's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 Learning opportunities and tuition assistance
* Wellness and Well\-being programs
 \#CGIFederalJob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72">
      <c r="A72" t="inlineStr">
        <is>
          <t>li-4375760002</t>
        </is>
      </c>
      <c r="B72" t="inlineStr">
        <is>
          <t>Senior Data Scientist</t>
        </is>
      </c>
      <c r="C72" t="inlineStr">
        <is>
          <t>Jobs via Dice</t>
        </is>
      </c>
      <c r="D72" t="inlineStr">
        <is>
          <t>linkedin</t>
        </is>
      </c>
      <c r="E72" t="inlineStr"/>
      <c r="F72" t="inlineStr"/>
      <c r="G72" t="inlineStr">
        <is>
          <t>Phoenix, AZ</t>
        </is>
      </c>
      <c r="H72" t="inlineStr"/>
      <c r="I72" t="inlineStr">
        <is>
          <t>RESPONSIBILITIES:
 Kofrce has a client that is seeking a Senior Data Scientist in Phoenix, AZ (local candidates required). This role is hybrid, 4 days onsite/1 day remote. This client is a well\-established, nationwide organization that is seeking a Senior Data Scientist to join its growing analytics team. We are partnering directly with the hiring manager on this search for a high impact, senior level contributor.
 Summary:
 As a Senior Data Scientist, you'll lead advanced analytics and machine learning initiatives that support critical business decisions. This role spans the full data science lifecycle\-from data exploration and experimentation to model deployment and performance tracking in production. You'll work with large, real world datasets, influence analytics strategy, and help translate complex models into actionable insights for both technical and non\-technical stakeholders. This is a visible role with mentorship responsibility on a growing team.
 Key Responsibilities:
* Lead end to end data science projects, including predictive modeling and forecasting
* Build, validate, and deploy machine learning and AI models in a cloud environment (AWS)
* Perform time series analysis, experimentation, and causal analysis
* Translate analytics and ML insights into clear business recommendations
* Partner cross functionally to solve complex operational and commercial problems
* Lead and guide other data scientists (team size \~7\-10\)
 REQUIREMENTS:
* Bachelor's degree in an analytical discipline such as Mathematics, Computer Science, Information Management, Statistics, or Engineering; Master's degree preferred
* Five years of experience in advanced Python or R and SQL programming, performing complex statistical analyses and developing machine learning models using large\-scale databases in cloud computing environments
* At least 5\+ years of experience in data science or advanced analytics
* Proven experience with forecasting, including demand forecasting
* Strong proficiency in Python or R, SQL, and cloud platforms (AWS preferred)
* Deep expertise in at least 2 of 3 areas: Generative AI, traditional ML/statistics, optimization (operations research)
* Logistics or supply chain experience is a plus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73">
      <c r="A73" t="inlineStr">
        <is>
          <t>li-4232235277</t>
        </is>
      </c>
      <c r="B73" t="inlineStr">
        <is>
          <t>Principal Applied Scientist (AI for Enterprise Apps), AWS Supply Chain</t>
        </is>
      </c>
      <c r="C73" t="inlineStr">
        <is>
          <t>Amazon Web Services (AWS)</t>
        </is>
      </c>
      <c r="D73" t="inlineStr">
        <is>
          <t>linkedin</t>
        </is>
      </c>
      <c r="E73" t="inlineStr"/>
      <c r="F73" t="inlineStr"/>
      <c r="G73" t="inlineStr">
        <is>
          <t>Seattle, WA</t>
        </is>
      </c>
      <c r="H73" t="inlineStr"/>
      <c r="I73" t="inlineStr">
        <is>
          <t>**Description**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Are you excited about developing state\-of\-the\-art GenAI/Agentic AI based solutions for enterprise applications? Do you have proven analytical capabilities and can multi\-task and thrive in a fast\-paced environment? You enjoy the prospect of solving real\-world problems that, quite frankly, have not been solved at scale anywhere before. Along the way, you’ll get opportunities to be a disruptor, prolific innovator, and a reputed problem solver—someone who truly enables machine learning to create significant impacts.
 We're seeking a Principal Applied Scientist with the ability to apply deep learning and generative AI techniques to conceptualize, promote, and execute advanced solutions for previously unsolved challenges. As an Applied Scientist at AWS Supply Chain, you will bring AI advancements to customer facing enterprise applications. You will be working in a fast\-paced, cross\-disciplinary team of researchers who are leaders in the field. You will take on challenging problems, distill real requirements, and then deliver solutions that either leverage existing academic and industrial research, or utilize your own out\-of\-the\-box pragmatic thinking. In addition to coming up with novel solutions and prototypes, you may even need to deliver these to production in customer facing products.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PhD in one of the following disciplines: Computer Science, Machine Learning, Statistics, Applied Math or a related quantitative field
* 8\+ years of relevant, broad research experience after PhD
* Publications at top\-tier peer\-reviewed conferences or journals in one of these areas: reinforcement learning, deep learning, and machine learning
* Fluency in Python, SQL or similar scripting languages
* Strong algorithm development experience
* Depth and breadth in state\-of\-the\-art machine learning technologies
* Strong prior experience with mentorship and/or management of senior scientists and engineers.
**Preferred Qualifications**
* Experience programming in Java, C\+\+, or related language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A2987510</t>
        </is>
      </c>
    </row>
    <row r="74">
      <c r="A74" t="inlineStr">
        <is>
          <t>li-4375745795</t>
        </is>
      </c>
      <c r="B74" t="inlineStr">
        <is>
          <t>Senior Data Scientist (Only W2 &amp; Onsite role)</t>
        </is>
      </c>
      <c r="C74" t="inlineStr">
        <is>
          <t>Jobs via Dice</t>
        </is>
      </c>
      <c r="D74" t="inlineStr">
        <is>
          <t>linkedin</t>
        </is>
      </c>
      <c r="E74" t="inlineStr"/>
      <c r="F74" t="inlineStr"/>
      <c r="G74" t="inlineStr">
        <is>
          <t>Dearborn, MI</t>
        </is>
      </c>
      <c r="H74" t="inlineStr"/>
      <c r="I74" t="inlineStr">
        <is>
          <t>Dice is the leading career destination for tech experts at every stage of their careers. Our client, Patton Labs Inc., is seeking the following. Apply via Dice today!
**Job Title:** 
 Data Scientist
**Location:** 
 Hybrid (4 days onsite)
**Experience Level:** 
 Senior Associate (3 5\+ years)
**Education:** 
 Master s Degree Required
**Position Overview**
 We are seeking a highly analytical and results\-driven Data Scientist to develop predictive models and extract meaningful insights from complex datasets. This role focuses on leveraging machine learning, advanced analytics, and statistical methodologies to drive business outcomes and support data\-driven decision\-making.
**Key Responsibilities**
 Analyze business requirements and large datasets to determine optimal analytical approaches
 Design, build, and deploy machine learning and predictive models
 Apply data mining, statistical analysis, and advanced analytics to uncover trends and insights
 Develop scalable data pipelines and feature engineering processes to improve model accuracy
 Conduct experiments and A/B testing to validate hypotheses and measure impact
 Optimize algorithms to enhance performance and computational efficiency
 Collaborate with engineering teams to deploy and monitor models in production
 Communicate complex analytical findings to stakeholders in a clear, business\-focused manner
 Mentor junior team members and contribute to best practices and standards
**Required Qualifications**
 Master s degree in Data Science, Statistics, Mathematics, Computer Science, or related field
 5\+ years of experience in a Data Science role delivering measurable business impact
 Expert proficiency in Python (Pandas, NumPy, Scikit\-learn, SciPy) or R
 Strong knowledge of ML techniques including Gradient Boosting (XGBoost/LightGBM), Random Forests, GLMs, and Clustering
**Advanced SQL Skills With Experience Handling Complex, Multi\-terabyte Datasets**
 Strong foundation in statistics, linear algebra, and predictive modeling
 Experience writing clean, modular, maintainable code and using Git
**Preferred Skills**
 Experience with Google Cloud Platform (Google Cloud Platform) or cloud\-based data environments
 Experience deploying ML models and monitoring performance
 Experience working with large\-scale distributed data systems
**Technical Skills**
 Python \| Machine Learning \| Predictive Modeling \| SQL \| Algorithms \| Statistics \| Data Mining \| Google Cloud Platform \| Feature Engineering \| A/B Testing
**Work Environment**
 Hybrid schedule with 4 days onsite collaboration.
**Ideal Candidate**
 A data\-driven problem solver who can translate complex data into strategic insights and build scalable machine learning solutions that create measurable business value.</t>
        </is>
      </c>
    </row>
    <row r="75">
      <c r="A75" t="inlineStr">
        <is>
          <t>li-4375737954</t>
        </is>
      </c>
      <c r="B75" t="inlineStr">
        <is>
          <t>Lead Data Scientist</t>
        </is>
      </c>
      <c r="C75" t="inlineStr">
        <is>
          <t>Jobs via Dice</t>
        </is>
      </c>
      <c r="D75" t="inlineStr">
        <is>
          <t>linkedin</t>
        </is>
      </c>
      <c r="E75" t="inlineStr"/>
      <c r="F75" t="inlineStr"/>
      <c r="G75" t="inlineStr">
        <is>
          <t>Madison, WI</t>
        </is>
      </c>
      <c r="H75" t="inlineStr"/>
      <c r="I75" t="inlineStr">
        <is>
          <t>Dice is the leading career destination for tech experts at every stage of their careers. Our client, Konane Solutions, is seeking the following. Apply via Dice today!
**POSITION**
 Lead Data Scientist
**LOCATION**
* Madison, WI
* Boston, MA
**DURATION**
**12 Months C2H**
**PAY RATE**
**Depending upon YOE**
**INTERVIEW TYPE**
**Video**
**VISA RESTRICTIONS**
**MUST BE ABLE TO CONVERT WITHOUT SPONSORSHIP**
**Required Skills**
* To be considered for this position, candidates must have experience in a similar role, or they must possess significant knowledge, experience, and abilities to successfully perform the responsibilities listed
* Relevant education and/or training will be considered a plus</t>
        </is>
      </c>
    </row>
    <row r="76">
      <c r="A76" t="inlineStr">
        <is>
          <t>li-4375752737</t>
        </is>
      </c>
      <c r="B76" t="inlineStr">
        <is>
          <t>In person Interview Cary, NC In person Interview Senior Data Scientist</t>
        </is>
      </c>
      <c r="C76" t="inlineStr">
        <is>
          <t>Jobs via Dice</t>
        </is>
      </c>
      <c r="D76" t="inlineStr">
        <is>
          <t>linkedin</t>
        </is>
      </c>
      <c r="E76" t="inlineStr"/>
      <c r="F76" t="inlineStr"/>
      <c r="G76" t="inlineStr">
        <is>
          <t>Cary, NC</t>
        </is>
      </c>
      <c r="H76" t="inlineStr"/>
      <c r="I76" t="inlineStr">
        <is>
          <t>Dice is the leading career destination for tech experts at every stage of their careers. Our client, Cyber Sphere LLC, is seeking the following. Apply via Dice today!
 Senior Data Scientist
**Cary, NC In person Interview**
 Long Term
 Contract
 10\+ years of experience in data science, analytics, or related field.
 Proven track record of developing and deploying data science solutions that have delivered tangible business impact.
 Strong programming skills in Python.
 Expertise in cloud computing platforms, with a strong preference for Google Cloud Platform (BigQuery, Dataflow, Dataproc, AI Platform). Experience with other cloud platforms (AWS, Azure) considered.
 Excellent communication, presentation, and interpersonal skills.
 Ability to work independently and as part of a team in a fast\-paced environment.
 Job Title: Senior Data Science Engineer
 Department: CB AI Tribe
 Position Summary
 We are seeking an experienced and motivated Senior Data Science Engineer to join our AI Tribe. This individual will be responsible for implementing cutting\-edge data science solutions, leveraging their expertise to tackle complex business challenges and contribute to development and delivery targets. The ideal candidate has a strong technical background in data engineering and data science, a deep understanding of the latest methodologies and technologies, and a proven track record of delivering impactful results in a cloud\-based environment, preferably Google Cloud Platform (Google Cloud Platform).
 Key Responsibilities
 Data Science Execution:
 Deliver data science projects aligned with business objectives.
 Plan and implement key data science initiatives in a timely manner.
 Implement parts or the entire data science lifecycle, from data collection and preprocessing to model development, deployment, and evaluation.
 Technical Expertise:
 Demonstrate a deep understanding of statistical modeling, machine learning algorithms, and data mining techniques.
 Build and deploy predictive models, recommender systems, and other data\-driven solutions.
 Hands\-on experience with big data technologies and cloud platforms, preferably Google Cloud Platform (including BigQuery, Dataflow, Dataproc, AI Platform, Airflow or similar).
 Communication and Collaboration:
 Effectively communicate complex technical concepts to both technical and non\-technical audiences.
 Collaborate with cross\-functional teams, including product management, engineering, and business stakeholders, to translate business requirements into data science solutions.
 Present findings and recommendations to managers.
 Innovation and Research:
 Stay abreast of the latest advancements in data science and machine learning.
 Explore and evaluate new technologies and methodologies to improve effectiveness and drive innovation.
**Required Qualifications**
 Master's degree or Ph.D. in Computer Science, Statistics, Mathematics, or related field.
 10\+ years of experience in data science, analytics, or related field.
 Proven track record of developing and deploying data science solutions that have delivered tangible business impact.
 Strong programming skills in Python.
 Expertise in cloud computing platforms, with a strong preference for Google Cloud Platform (BigQuery, Dataflow, Dataproc, AI Platform). Experience with other cloud platforms (AWS, Azure) considered.
 Excellent communication, presentation, and interpersonal skills.
 Ability to work independently and as part of a team in a fast\-paced environment.
**Preferred Qualifications**
 Experience in the financial services industry.
 Familiarity with data visualization tools (e.g., Tableau, Looker).
 Experience with MLOps practices and tools.
 5\+ years of experience in leading and managing data science teams.
 Munesh
 ,
 CYBER SPHERE LLC</t>
        </is>
      </c>
    </row>
    <row r="77">
      <c r="A77" t="inlineStr">
        <is>
          <t>li-4375746727</t>
        </is>
      </c>
      <c r="B77" t="inlineStr">
        <is>
          <t>Sr. Lead Data Scientist | Need Local to Wisconsin or Massachusetts Only | Who are authorized work without Sponsorship | C2C | C2H | W2 |</t>
        </is>
      </c>
      <c r="C77" t="inlineStr">
        <is>
          <t>Jobs via Dice</t>
        </is>
      </c>
      <c r="D77" t="inlineStr">
        <is>
          <t>linkedin</t>
        </is>
      </c>
      <c r="E77" t="inlineStr"/>
      <c r="F77" t="inlineStr"/>
      <c r="G77" t="inlineStr">
        <is>
          <t>Boston, MA</t>
        </is>
      </c>
      <c r="H77" t="inlineStr"/>
      <c r="I77" t="inlineStr">
        <is>
          <t>Dice is the leading career destination for tech experts at every stage of their careers. Our client, TEKEngineersInc, is seeking the following. Apply via Dice today!
**Role: Sr. Lead Data Scientist**
**Location: Madison, WI or Boston, MA (Onsite \- Need local to WI or MA)**
**Duration: 12\-24\+ Months**
**Visa: Who are authorized work without Sponsorship**
 Required Qualifications:
* 12 Years of proven experience in software industry
* Experience delivering customer\-driven ML solutions
* Strong analytical problem\-solving with large, complex datasets
* Ability to communicate complex insights to business stakeholders</t>
        </is>
      </c>
    </row>
    <row r="78">
      <c r="A78" t="inlineStr">
        <is>
          <t>li-4375738974</t>
        </is>
      </c>
      <c r="B78" t="inlineStr">
        <is>
          <t>Senior Data Scientist</t>
        </is>
      </c>
      <c r="C78" t="inlineStr">
        <is>
          <t>Jobs via Dice</t>
        </is>
      </c>
      <c r="D78" t="inlineStr">
        <is>
          <t>linkedin</t>
        </is>
      </c>
      <c r="E78" t="inlineStr"/>
      <c r="F78" t="inlineStr"/>
      <c r="G78" t="inlineStr">
        <is>
          <t>Spring, TX</t>
        </is>
      </c>
      <c r="H78" t="inlineStr"/>
      <c r="I78" t="inlineStr">
        <is>
          <t>Dice is the leading career destination for tech experts at every stage of their careers. Our client, Nava Software Solutions, is seeking the following. Apply via Dice today!
**NAVA Software solutions is looking for a Sr Data Scientist.**
**Details:**
**Senior Data Scientist**
**Location: Spring TX \- Hybrid**
**Duration: 6\-12 months**
**Job Duties/Roles**
* Apply advanced data science concepts to deliver data\-driven digital offerings and insights using Databricks Lakehouse architecture.
* Utilize modern machine learning methods and domain understanding to support the creation of new products and services, leveraging MLflow for experiment tracking and model lifecycle management.
* Collaborate with data and analytics teams and cross\-functional departments such as digital, services, class, and engineering to build scalable ML solutions and deliver actionable insights.
* Write independent source code in Python, PySpark, and SQL, validate and test models, and use Databricks Feature Store for consistent feature reuse and governance.
* Design and implement robust data architectures using Delta Lake and manage data assets securely via Unity Catalog and Azure Data Lake.
* Combine Agile methodologies with data science practices to build advanced analytics and AI products using Databricks Workflows and Azure ML Pipelines.
* Develop, test, deploy, and maintain machine learning and AI models using Databricks Runtime for ML, ensuring scalability, performance, and governance.
* Lead the data\-driven decision\-making process, from data collection and analysis to implementation and monitoring of solutions using Databricks Jobs, CI/CD pipelines, and Azure DevOps.
* Support organizational decision\-making based on the results of analytics efforts, ensuring traceability and governance via Unity Catalog and Azure Purview.
* Work independently on data engineering, preprocessing, and preparation tasks using Databricks Notebooks, SQL Warehouses, and Azure Synapse Analytics.
* Mentor data scientists, ASPIRES, and interns, providing guidance and support in their professional development and technical growth.
* Evaluate and partner with external customers, vendors, university relations, and other teams to drive innovation and collaboration.
* Stay current in the field of AI and advanced analytics, with a focus on innovations within the Databricks, Azure, and OpenAI ecosystems, including LLMs, GenAI, and MLOps.
* Develop and deploy scalable and interpretable data products per business\-defined requirements using Databricks Repos, Model Serving, and Azure Machine Learning.
**Knowledge, Skills And Abilities Required (KSAR)**
* Strong written and verbal communication skills, with the ability to translate complex data into actionable insights.
* Experienced in working with cross\-functional teams to understand business challenges and deliver data\-driven solutions.
* Proficient in machine learning, data mining, statistical analysis, and applied AI methods using Databricks, Azure ML, and Dataiku.
* Skilled in developing scalable ML solutions and translating analytics into business impact.
* Advanced proficiency in Python, PySpark, SQL, and tools such as Jupyter, VS Code, and MLflow.
* Experience with database technologies and architectures including Delta Lake, Azure Data Lake, SQL Warehouses, and Synapse Analytics.
* Hands\-on experience with AutoML platforms such as Dataiku, and familiarity with Azure AutoML.
* Deep understanding of Azure Cloud resources, including Azure Machine Learning, Azure DevOps, Azure Cognitive Search, and Azure OpenAI.
* Familiarity with Generative AI solutions, Large Language Models, and NLP frameworks like Hugging Face Transformers.
* Ability to quickly adapt and learn new domains, technologies, and platforms.
* Proven ability to lead data\-driven projects and guide strategic decisions through analytics.
* Strong mentoring skills to support junior team members and interns.
* Demonstrated ability to solve complex problems with innovative and practical solutions.
* Entrepreneurial mindset with a focus on experimentation, scalability, and business value.
**Minimum Years Of Experience**
 2 to 3 years' work experience as a Senior Data Scientist and over 7 years' experience in Data Science, Information Systems, Computer Science, Engineering or other relevant field with relevant experience.
**Required/Preferred Education Requirements**
 Preferred \- master's degree in data science, Data Analytics, Information Systems, Computer Science, Engineering or other relevant field. Required bachelor's degree in data science, Information Systems, Computer Science, Engineering or other relevant field with relevant experience.
**Required/Preferred Professional Requirements**
* Prefer to have Career Essentials in Generative AI by Microsoft and LinkedIn
* Prefer to have Build Your Generative AI Productivity Skills with Microsoft and LinkedIn
* Prefer to have Azure AI Fundamentals
* Prefer to have Azure Data Scientist Associate
* Prefer to have Azure AI Engineer Associate</t>
        </is>
      </c>
    </row>
    <row r="79">
      <c r="A79" t="inlineStr">
        <is>
          <t>li-4377052732</t>
        </is>
      </c>
      <c r="B79" t="inlineStr">
        <is>
          <t>Data Scientist</t>
        </is>
      </c>
      <c r="C79" t="inlineStr">
        <is>
          <t>Partify</t>
        </is>
      </c>
      <c r="D79" t="inlineStr">
        <is>
          <t>linkedin</t>
        </is>
      </c>
      <c r="E79">
        <f>HYPERLINK("https://www.linkedin.com/jobs/view/4377052732", "https://www.linkedin.com/jobs/view/4377052732")</f>
        <v/>
      </c>
      <c r="F79" t="inlineStr"/>
      <c r="G79" t="inlineStr">
        <is>
          <t>Warren, MI</t>
        </is>
      </c>
      <c r="H79" t="inlineStr"/>
      <c r="I79" t="inlineStr">
        <is>
          <t>**Data Scientist** 
**Employment Type:** 
 Full Time
**Location:** 
 On Site in Warren, MI
**Reports To:** 
 Chief Executive Officer
**Role Overview:** 
 Partify Inc. is a fast growing ecommerce automotive parts company focused on building scalable, data driven operations. We are seeking a Data Scientist to lead advanced analytics, forecasting, and statistical modeling initiatives across the organization. This is a highly analytical, hands\-on role responsible for developing predictive models, building scalable data frameworks, and uncovering insights that directly influence executive decision making. You will work closely with leadership to identify key business drivers, optimize performance, and design models that support revenue growth, operational efficiency, and strategic planning.
**Key Responsibilities:** 
 Develop and deploy predictive models to support revenue forecasting, inventory planning, and operational optimization.
 Apply advanced statistical techniques, including regression analysis and multivariate modeling, to identify performance drivers.
 Design and maintain scalable data models to support advanced analytics.
 Analyze large datasets to uncover trends, correlations, and growth opportunities.
 Build automated reporting and forecasting workflows.
 Partner with executive leadership to define KPIs and measurable performance indicators.
 Translate complex statistical findings into actionable business strategies.
 Establish data validation and governance standards to ensure model accuracy and reliability.
 Support additional analytics initiatives as needed.
**Required Qualifications:** 
 Minimum of five years of experience in data science, advanced analytics, or statistical modeling roles.
 Strong proficiency in SQL and working with relational databases.
 Advanced Microsoft Excel skills, including financial modeling and Power Query.
 Strong foundation in statistics (regression, correlation, hypothesis testing, multivariate analysis).
 Experience building forecasting models in a production business environment.
 Ability to translate complex analytical outputs into clear executive level insights.
 Experience working with large, structured datasets.
 Strong problem solving skills and attention to detail.
 Ability to manage multiple high impact projects in a fast paced environment.
**Preferred Qualifications:** 
 Proficiency in Python or similar analytical programming languages.
 Experience with machine learning techniques and predictive modeling.
 Experience working in ecommerce, supply chain, or operational analytics.
 Familiarity with data visualization tools such as Power BI.
 Experience building scalable analytics frameworks in growing organizations.
**Why Join Partify:** 
 At Partify, data is central to how we scale and compete. This role offers the opportunity to directly influence company strategy, build advanced modeling systems, and work alongside executive leadership to drive measurable growth.
**We Offer:** 
 Competitive salary.
 HMO medical plans.
 Dental and vision coverage.
 401(k) with company match.
 Paid holidays and sick time.
 Employee discounts.
**Please Note:** 
 Partify Inc. is unable to sponsor employment visas at this time.</t>
        </is>
      </c>
    </row>
    <row r="80">
      <c r="A80" t="inlineStr">
        <is>
          <t>li-4377054980</t>
        </is>
      </c>
      <c r="B80" t="inlineStr">
        <is>
          <t>Data Scientist (REMOTE)</t>
        </is>
      </c>
      <c r="C80" t="inlineStr">
        <is>
          <t>Lensa</t>
        </is>
      </c>
      <c r="D80" t="inlineStr">
        <is>
          <t>linkedin</t>
        </is>
      </c>
      <c r="E80">
        <f>HYPERLINK("https://www.linkedin.com/jobs/view/4377054980", "https://www.linkedin.com/jobs/view/4377054980")</f>
        <v/>
      </c>
      <c r="F80" t="inlineStr"/>
      <c r="G80" t="inlineStr">
        <is>
          <t>Dallas, TX</t>
        </is>
      </c>
      <c r="H80" t="inlineStr"/>
      <c r="I8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81">
      <c r="A81" t="inlineStr">
        <is>
          <t>li-4374544410</t>
        </is>
      </c>
      <c r="B81" t="inlineStr">
        <is>
          <t>Data Scientist, Marketing Innovation</t>
        </is>
      </c>
      <c r="C81" t="inlineStr">
        <is>
          <t>OpenAI</t>
        </is>
      </c>
      <c r="D81" t="inlineStr">
        <is>
          <t>linkedin</t>
        </is>
      </c>
      <c r="E81">
        <f>HYPERLINK("https://www.linkedin.com/jobs/view/4374544410", "https://www.linkedin.com/jobs/view/4374544410")</f>
        <v/>
      </c>
      <c r="F81" t="inlineStr"/>
      <c r="G81" t="inlineStr">
        <is>
          <t>San Francisco, CA</t>
        </is>
      </c>
      <c r="H81" t="inlineStr"/>
      <c r="I81" t="inlineStr">
        <is>
          <t>**About The Role**
 We’re hiring a Data Scientist to support our Marketing Innovation pod, a cross\-functional team building the internal tools and agentic systems that fundamentally change how we do marketing and serve customers.
**We Build Product\-like Systems That**
* Deliver high\-touch, consultative experiences to millions of SMB customers through agentic lifecycle and sales experiences
* Adapt messaging, creative, and outreach using real\-time behavioral signals
* Power intelligent routing, targeting, and engagement decisions at scale, with minimal human\-in\-the\-loop
 In this role, you’ll be embedded with Product and Engineering to ensure these systems drive measurable business outcomes.
**What You’ll Do**
* Define success metrics for agentic marketing systems (e.g., incremental pipeline generated, conversion lift, rep hours saved), including leading indicators that enable weekly iteration.
* Design measurement and experimentation frameworks for always\-on systems across lifecycle automation, creative generation, targeting, and routing — using holdouts, staged rollouts, and quasi\-experimental methods when needed.
* Partner with PMs and engineers to instrument, evaluate, and monitor launches so every meaningful release has observability and a credible read on incremental value.
* Translate behavioral and model\-driven signals into decisions: what to scale, where to intervene, and how to allocate human and compute attention across segments.
* Build repeatable decision loops (pre\-launch criteria → post\-launch read → next action) that convert analysis into shipped changes.
**What We’re Looking For**
* 10\+ years in a quantitative role (e.g., Data Science, Decision Science), ideally at a product\-led company supporting B2B growth, with exposure to SMB or scaled self\-serve motions.
* Deep grounding in experimentation, causal inference, and applied statistics, with experience designing and interpreting tests in real\-world, always\-on environments.
* Strong technical fluency in SQL and Python, including working directly with messy, incomplete behavioral data to quantify impact.
* Proven track record of translating results into shipped decisions (product, lifecycle, targeting, routing).
* Strong business judgment and a bias toward action: able to scope ambiguous problems, define success, and move quickly from insight to strategy.
* Excellent communicator and partner to PMs/Engineers; comfortable influencing stakeholders and presenting recommendations to senior leadership.
**Nice to Have**
* Familiarity with large language models and AI\-assisted operations platforms
* Experience working on operational automation and decision systems (routing, prioritization, optimization)
* Experience operating in early\-stage or rapidly evolving environments, including building measurement and experimentation frameworks from scratch.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$293K \- $325K</t>
        </is>
      </c>
    </row>
    <row r="82">
      <c r="A82" t="inlineStr">
        <is>
          <t>li-4377033565</t>
        </is>
      </c>
      <c r="B82" t="inlineStr">
        <is>
          <t>AI/ML Data Scientist – Bio-sensor</t>
        </is>
      </c>
      <c r="C82" t="inlineStr">
        <is>
          <t>Mercor</t>
        </is>
      </c>
      <c r="D82" t="inlineStr">
        <is>
          <t>linkedin</t>
        </is>
      </c>
      <c r="E82">
        <f>HYPERLINK("https://www.linkedin.com/jobs/view/4377033565", "https://www.linkedin.com/jobs/view/4377033565")</f>
        <v/>
      </c>
      <c r="F82">
        <f>HYPERLINK("https://work.mercor.com/jobs/list_AAABnDPXMbG78_w_2jFKOpwr?utm_source=linkedin&amp;utm_medium=job_slot&amp;utm_campaign=auto&amp;utm_content=list_AAABnDPXMbG78_w_2jFKOpwr&amp;utm_term=aiml-data-scientist-bio-sensor-us-df6744&amp;urlHash=6SVR", "https://work.mercor.com/jobs/list_AAABnDPXMbG78_w_2jFKOpwr?utm_source=linkedin&amp;utm_medium=job_slot&amp;utm_campaign=auto&amp;utm_content=list_AAABnDPXMbG78_w_2jFKOpwr&amp;utm_term=aiml-data-scientist-bio-sensor-us-df6744&amp;urlHash=6SVR")</f>
        <v/>
      </c>
      <c r="G82" t="inlineStr"/>
      <c r="H82" t="inlineStr"/>
      <c r="I82" t="inlineStr">
        <is>
          <t>**About The Job**
**Mercor** 
 connects elite creative and technical talent with leading AI research labs. Headquartered in San Francisco, our investors include
 **Benchmark** 
 ,
 **General Catalyst** 
 ,
 **Peter Thiel** 
 ,
 **Adam D'Angelo** 
 ,
 **Larry Summers** 
 , and
 **Jack Dorsey** 
 .
**Position:** 
 Data Scientist IV
**Type:** 
**Onsite**
**Compensation:** 
**$105–$125/hour**
**Location:** 
**NYC**
**Role Responsibilities**
* Execute, debug, and optimize distributed compute workflows for metric computation, analysis, and modeling across large datasets.
* Apply knowledge of statistics, machine learning, programming, data modeling, and advanced mathematics to recognize patterns and identify opportunities.
* Design, develop, and evaluate predictive models and advanced algorithms for optimal value extraction from biosensor data.
* Generate and test hypotheses, analyzing and interpreting results of product experiments.
* Collaborate with engineers to translate prototypes into new products, services, and features, providing guidelines for large\-scale implementation.
* Leverage data visualization to guide future R\&amp;D directions.
**Qualifications**
**Must\-Have**
* Experience with hardware sensors and data analysis of real\-world data.
* Experience with signal processing for time domain signals and/or medical imaging systems.
* Experience presenting findings from statistical and machine learning methods to diverse audiences.
* Experience working with large datasets.
* 3\+ years of experience in data extraction, manipulation, and visualization using Python, R, MATLAB, or SQL.
* Proficiency in data structures and algorithms.
* Experience with scientific computing and analysis packages such as NumPy, SciPy, Pandas, Scikit\-learn, dplyr, caret.
* Experience with data visualization libraries such as Matplotlib, Pyplot, seaborn, ggplot2\.
**Preferred**
* Master's or PhD in computer science, statistics, neuroscience, biomedical engineering, or other relevant field.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83">
      <c r="A83" t="inlineStr">
        <is>
          <t>li-4377029696</t>
        </is>
      </c>
      <c r="B83" t="inlineStr">
        <is>
          <t>Data Scientist | Remote Position</t>
        </is>
      </c>
      <c r="C83" t="inlineStr">
        <is>
          <t>Mercor</t>
        </is>
      </c>
      <c r="D83" t="inlineStr">
        <is>
          <t>linkedin</t>
        </is>
      </c>
      <c r="E83">
        <f>HYPERLINK("https://www.linkedin.com/jobs/view/4377029696", "https://www.linkedin.com/jobs/view/4377029696")</f>
        <v/>
      </c>
      <c r="F83">
        <f>HYPERLINK("https://work.mercor.com/jobs/list_AAABnDPXMbG78_w_2jFKOpwr?utm_source=linkedin&amp;utm_medium=job_slot&amp;utm_campaign=auto&amp;utm_content=list_AAABnDPXMbG78_w_2jFKOpwr&amp;utm_term=data-scientist-remote-position-us-9e26c7&amp;urlHash=quK4", "https://work.mercor.com/jobs/list_AAABnDPXMbG78_w_2jFKOpwr?utm_source=linkedin&amp;utm_medium=job_slot&amp;utm_campaign=auto&amp;utm_content=list_AAABnDPXMbG78_w_2jFKOpwr&amp;utm_term=data-scientist-remote-position-us-9e26c7&amp;urlHash=quK4")</f>
        <v/>
      </c>
      <c r="G83" t="inlineStr"/>
      <c r="H83" t="inlineStr"/>
      <c r="I83" t="inlineStr">
        <is>
          <t>**About The Job**
**Mercor** 
 connects elite creative and technical talent with leading AI research labs. Headquartered in San Francisco, our investors include
 **Benchmark** 
 ,
 **General Catalyst** 
 ,
 **Peter Thiel** 
 ,
 **Adam D'Angelo** 
 ,
 **Larry Summers** 
 , and
 **Jack Dorsey** 
 .
**Position:** 
 Data Scientist IV
**Type:** 
**Onsite**
**Compensation:** 
**$105–$125/hour**
**Location:** 
**NYC**
**Role Responsibilities**
* Execute, debug, and optimize distributed compute workflows for metric computation, analysis, and modeling across large datasets.
* Apply knowledge of statistics, machine learning, programming, data modeling, and advanced mathematics to recognize patterns and identify opportunities.
* Design, develop, and evaluate predictive models and advanced algorithms for optimal value extraction from biosensor data.
* Generate and test hypotheses, analyzing and interpreting results of product experiments.
* Collaborate with engineers to translate prototypes into new products, services, and features, providing guidelines for large\-scale implementation.
* Leverage data visualization to guide future R\&amp;D directions.
**Qualifications**
**Must\-Have**
* Experience with hardware sensors and data analysis of real\-world data.
* Experience with signal processing for time domain signals and/or medical imaging systems.
* Experience presenting findings from statistical and machine learning methods to diverse audiences.
* Experience working with large datasets.
* 3\+ years of experience in data extraction, manipulation, and visualization using Python, R, MATLAB, or SQL.
* Proficiency in data structures and algorithms.
* Experience with scientific computing and analysis packages such as NumPy, SciPy, Pandas, Scikit\-learn, dplyr, caret.
* Experience with data visualization libraries such as Matplotlib, Pyplot, seaborn, ggplot2\.
**Preferred**
* Master's or PhD in computer science, statistics, neuroscience, biomedical engineering, or other relevant field.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84">
      <c r="A84" t="inlineStr">
        <is>
          <t>li-4376006061</t>
        </is>
      </c>
      <c r="B84" t="inlineStr">
        <is>
          <t>Data Scientist</t>
        </is>
      </c>
      <c r="C84" t="inlineStr">
        <is>
          <t>Newmont Corporation</t>
        </is>
      </c>
      <c r="D84" t="inlineStr">
        <is>
          <t>linkedin</t>
        </is>
      </c>
      <c r="E84">
        <f>HYPERLINK("https://www.linkedin.com/jobs/view/4376006061", "https://www.linkedin.com/jobs/view/4376006061")</f>
        <v/>
      </c>
      <c r="F84">
        <f>HYPERLINK("https://jobs.newmont.com/us/en/job/NMCNMCUS41623EXTERNALENUS/Data-Scientist?utm_source=linkedin&amp;utm_medium=phenom-feeds&amp;urlHash=Kbij", "https://jobs.newmont.com/us/en/job/NMCNMCUS41623EXTERNALENUS/Data-Scientist?utm_source=linkedin&amp;utm_medium=phenom-feeds&amp;urlHash=Kbij")</f>
        <v/>
      </c>
      <c r="G84" t="inlineStr">
        <is>
          <t>Denver, CO</t>
        </is>
      </c>
      <c r="H84" t="inlineStr"/>
      <c r="I84" t="inlineStr">
        <is>
          <t>**Workplace Type:
 ******Hybrid********
**Posting End Date**
 Newmont is the world’s leading gold company and a producer of copper, silver, zinc and lead. The Company’s world\-class portfolio of assets, prospects and talent is anchored in favorable mining jurisdictions in Africa, Australia, Latin America \&amp; Caribbean, North America, and Papua New Guinea. Newmont is the only gold producer listed in the S\&amp;P 500 Index and is widely recognized for its principled environmental, social and governance practices. The Company is an industry leader in value creation, supported by robust safety standards, superior execution and technical proficiency. Newmont was founded in 1921 and has been publicly traded since 1925\.
 At Newmont, people create the value in the metals we mine and are ambassadors in the communities where they live and work. As a team, we foster an environment in support of our people vision, where everyone belongs, thrives and is valued. We have built a diverse and inclusive workplace where our people can bring their differences to support delivering results together.
 Newmont’s Corporate Headquarters are located in Denver, Colorado with roles in Engineering, IT, Finance, Accounting, Human Resources and much more.
 Join us and unearth your potential in a global company that is at the forefront of shaping the future of the mining industry.
 Your Impact
 This role plays a key role in safeguarding the integrity and accessibility of Newmont’s data. In this role, you’ll help ensure our data meets the highest quality standards by following strong data‑management practices and keeping an eye on emerging technology trends. You’ll work closely with our AI/ML and Digital Enablement teams to turn data into meaningful insights—building predictive models, solving complex challenges, and uncovering patterns within large datasets. Your work will directly support strategic initiatives, strengthen operational efficiency, and help Newmont maintain a competitive edge in the mining industry
 As Part of Our Team, You Will
* Conducting Data Analysis and Interpretation examining extensive datasets to recognize trends, patterns, and valuable insights that can guide business decisions and support strategic endeavors effectively.
* Develop, evaluate, and enhance predictive models and machine learning algorithms to tackle unique business obstacles and enhance operational effectiveness in a professional manner.
* Work closely with various business units to comprehend their specific data requirements and provide customized solutions through collaboration with stakeholders.
* Gathering and Preparing Data: The process involves gathering, cleansing, and preparing data from diverse sources to guarantee its quality and dependability for subsequent analysis and model creation.
* Develop visualizations and reports to efficiently convey insights and discoveries to stakeholders, aiding data\-informed decision\-making processes in a professional manner.
 Prerequisites for Your Success in This Role
* Bachelor’s degree in Data Science, Information Technology, Business, Industrial Engineering, or related fields
* Experience in similar roles within digital enablement, analytics, or operational improvement
* Strong ability to translate complex data into clear, actionable insights that support decision‑making
* Ability to create dashboards and digital tools that provide leaders with real‑time visibility
* Skilled at simplifying technical data into practical recommendations for non‑technical stakeholders
* Strong data storytelling skills to communicate findings in a compelling and actionable way
* Ability to align data‑driven initiatives with business goals to ensure value creation
* Commitment to continuously improving processes based on insights and performance metrics
* Experience collaborating closely with operational teams to develop solutions tailored to their needs
 Your Work Environment
* You will work within Newmont’s global Digital organization, partnering with project managers, IT teams, Finance, and business stakeholders.
* The role operates in a dynamic, global environment supporting multiple initiatives at varying stages of delivery.
* Work is Hybrid with collaboration across regions and time zones.
 Why Join Newmont
* Be part of a global mining leader committed to safety, innovation, and sustainability.
* Gain exposure to enterprise\-scale digital initiatives and strategic transformation programs.
* Develop your skills in portfolio management, governance, analytics, and stakeholder engagement.
* Work in a collaborative environment that values continuous improvement and learning.
* Contribute to digital solutions that enable safe, efficient, and data\-driven operations across the business.
* The candidate can be located in any country where Newmont has a legal entity
 We understand no candidate will meet every single desired qualification. If your experience looks a little different from what we’ve identified and you think you can bring value to the role, we’d love to learn more about you!
 The salary range offered for this role is USD $86,500\- 115,300\. The salary range is tied to the Colorado market for jobs performed in Colorado. The salary offer to the successful candidate will be based on job\-related education, training, and/or experience. The salary offer will not be based on a candidate’s salary history at other jobs, and by law, Newmont will not seek information about salary history, and candidates should not share such information with Newmont.
 This role will be eligible for participation in a discretionary annual bonus program, pursuant to which an employee may be awarded a percentage of their salary based on the company’s performance and their own individual performance.
 Newmont offers a competitive and inclusive benefits package to support physical, mental, financial and emotional wellbeing. This role will be eligible for the following benefits: Medical, prescription drug, dental, and vision insurance; flexible spending accounts; health savings accounts; life and accidental death and dismemberment insurance; short and long\-term disability; defined benefit pension; 401(k) program with company match; financial planning; employee assistance program (EAP); wellbeing reimbursement program; adoption assistance; tuition reimbursement; paid holidays and paid time off; paid family leave; matching gifts; and discounts on home, auto and pet insurance. All bonuses and benefits are subject to the applicable eligibility and program/plan terms and may be modified or terminated at Newmont’s sole discretion.
 When submitting your resume or CV or any other application materials (including school transcripts, proof of graduation, etc.) to Newmont, it's important to focus on your relevant skills, experience, and qualifications to show how well you fit the role. Pursuant to Colorado law, you may choose to remove or redact any age\-identifying information (for example, age, date of birth, dates of school attendance, dates of school graduation, etc.). You will not be penalized for redacting or removing this information. Newmont is an equal employment opportunity employer, and does not make hiring decisions based on age or any other protected characteristics (e.g., gender, sexual orientation, disability, race, national origin, religion).
 Please note that if you are offered a position, the company may need to verify your date of birth for preemployment screening purposes including background check and prohibited party screening. But age\-related information is not required for the application process.</t>
        </is>
      </c>
    </row>
    <row r="85">
      <c r="A85" t="inlineStr">
        <is>
          <t>li-4377034528</t>
        </is>
      </c>
      <c r="B85" t="inlineStr">
        <is>
          <t>Data Scientist | Remote Position</t>
        </is>
      </c>
      <c r="C85" t="inlineStr">
        <is>
          <t>Mercor</t>
        </is>
      </c>
      <c r="D85" t="inlineStr">
        <is>
          <t>linkedin</t>
        </is>
      </c>
      <c r="E85">
        <f>HYPERLINK("https://www.linkedin.com/jobs/view/4377034528", "https://www.linkedin.com/jobs/view/4377034528")</f>
        <v/>
      </c>
      <c r="F85" t="inlineStr"/>
      <c r="G85" t="inlineStr"/>
      <c r="H85" t="inlineStr"/>
      <c r="I85" t="inlineStr">
        <is>
          <t>**About The Job**
**Mercor** 
 connects elite creative and technical talent with leading AI research labs. Headquartered in San Francisco, our investors include
 **Benchmark** 
 ,
 **General Catalyst** 
 ,
 **Peter Thiel** 
 ,
 **Adam D'Angelo** 
 ,
 **Larry Summers** 
 , and
 **Jack Dorsey** 
 .
**Position:** 
 Data Science Contractor
**Type:** 
**Contract**
**Compensation:** 
**$90–$110/hour**
**Location:** 
**Onsite at MPK**
**Role Responsibilities**
* Conduct rigorous analysis of complex datasets to identify trends and actionable insights in the ecosystem.
* Design and maintain critical metrics to measure ecosystem health, growth, and engagement.
* Develop and execute structured experiments to evaluate new features and strategies.
* Engage with cross\-functional teams to define requirements and deliver insights.
* Construct dashboards and reports to communicate findings to stakeholders.
* Provide timely analytical responses to urgent business inquiries.
**Qualifications**
**Must\-Have**
* Bachelor's degree or Master's in Data Science, Statistics, Computer Science, Economics, or related field.
* 5\+ years of professional experience in data science or analytics.
* Proficiency in SQL and one programming language (Python, R).
* Experience with data visualization tools (Tableau, Unidash, Metrics360\).
* Exceptional communication skills for presenting complex findings.
* Ability to work autonomously in a dynamic environment.
**Preferred**
* Experience with large\-scale data infrastructure in tech ecosystems.
* Familiarity with tools like Presto, Scuba, Hive.
* Knowledge of experiment design and causal inference methodologies.
**Compensation \&amp; Legal**
* Hourly contractor, Paid weekly via Stripe Connect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86">
      <c r="A86" t="inlineStr">
        <is>
          <t>li-4377070491</t>
        </is>
      </c>
      <c r="B86" t="inlineStr">
        <is>
          <t>Junior Data Scientist</t>
        </is>
      </c>
      <c r="C86" t="inlineStr">
        <is>
          <t>Lensa</t>
        </is>
      </c>
      <c r="D86" t="inlineStr">
        <is>
          <t>linkedin</t>
        </is>
      </c>
      <c r="E86">
        <f>HYPERLINK("https://www.linkedin.com/jobs/view/4377070491", "https://www.linkedin.com/jobs/view/4377070491")</f>
        <v/>
      </c>
      <c r="F86">
        <f>HYPERLINK("https://lensa.com/cgw/757a00986a504ce2868eb07f49d29cf0tjo1?jpsi=directemployers_no_redirect&amp;publisher_preference=easier_apply&amp;utm_campaign=Computer%20Occupations&amp;utm_medium=slot&amp;utm_source=linkedin&amp;utm_term=jse&amp;urlHash=GA79", "https://lensa.com/cgw/757a00986a504ce2868eb07f49d29cf0tjo1?jpsi=directemployers_no_redirect&amp;publisher_preference=easier_apply&amp;utm_campaign=Computer%20Occupations&amp;utm_medium=slot&amp;utm_source=linkedin&amp;utm_term=jse&amp;urlHash=GA79")</f>
        <v/>
      </c>
      <c r="G86" t="inlineStr">
        <is>
          <t>North Chicago, IL</t>
        </is>
      </c>
      <c r="H86" t="inlineStr"/>
      <c r="I8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Serco. Clicking "Apply Now" or "Read more" on Lensa redirects you to the job board/employer site. Any information collected there is subject to their terms and privacy notice.
**Position Description \&amp; Qualifications**
 At Serco, we foster a dynamic and collaborative work environment where team members contribute to innovative, high\-impact projects for leading government clients. We provide opportunities to solve complex challenges, improve processes, and utilize the latest technologies to deliver top\-tier products and services to our customers. The positions on this contract are located both CONUS and OCONUS in support of Army Sustainment Command (ASC).
 As a Junior Data Scientist you will play a key role in supporting Army Sustainment Command (ASC).
**In This Role, You Will**
* Perform advanced analysis and analytics to produce algorithms and/or businessprocess recommendations.
* Develop and use data, algorithms, and analyses to identify and applymechanisms to both overcome impediments to materiel readiness and exploitopportunities to improve readiness through feasible, cost\-effective software andbusiness process improvements, changes, and interventions.
* Forecast and address complex analytical challenges and identify the challengesand opportunities within systems, develop comprehensive solutions, andincorporate these capabilities solutions into software and workflows.
* Develop analytics and process solution sets, the criteria for recommendedalgorithms and processes shall include preference for efficient methods that useas simple of a process as possible given the current state\-of\-the\-art practices.The analytics and process solution sets shall provide appropriate, economicsavings\-driven answers.
* Regularly identify and communicate courses of actions required for program andproject success, including appropriate reporting processes and applicablemetrics to monitor and assess outcomes.
* Proactively identify mechanisms to improve mission performance.
* Use appropriate quantitative analytics techniques to include time series analysisand forecasting, advanced multivariate regression (including Probit and LogitModels), systems dynamics modelling, Bayesian inference procedures, minimaxprocedures (statistical), subjective probability utilization, expected utility analysis,operational risk analysis, and uncertainty evaluation.
* Use appropriate qualitative analytics techniques to include multi\-criteria decisionanalysis, qualitative comparative analysis, causal mapping, formal game theory,minimax procedures (game theory), decision architecture, systems architectureanalysis, organizational analysis and structural reform, supply chain analysis,and multinational best practices (military and industry) evaluation.
* Use logistics and agent\-based modeling and simulation.
* Conduct business process analysis and optimization across the Doctrine,Organization, Training, Materiel, Leadership, Education, Personnel, Facilities,Policy (DOTMLPF\-P) spectrum and beyond.
* Produce formal use cases, software program change requests, and otherrequired documentation for technology insertion into related defense logisticssupport software.
* Interface and liaise with software program offices and contractors.
* Develop requirements for defense analytics software.
* Conduct stakeholder analysis and create products for stakeholdercommunications and messaging.
**To Be Successful In This Role, You Will Have**
* U.S. Citizenship
* An Active Secret Clearance or an interim Secret Clearance.
* A Bachelor's degree in data science, mathematics, statistics, economics, computer science, engineering, or other related business or quantitativediscipline.
* Minimum 1 year of experience working directly on a data science team.
* Experience working with tools, including object\-oriented programming (Python, Java), computational analysis tools (R, MATLAB), and associated data science libraries (scikit\-learn).
* Experience creating meaningful data visualizations and interactive dashboards using platforms such as Tableau, Qlik, Power BI, RShiny, plotly, and d3\.js to communicate findings and relate them back to how your insights create business impact.
* Working knowledge of databases and SQL; preferred qualifications include linking analytic and data visualization products to database connections.
* Superior communication skills, both oral and written.
* Understand data science methods related to data architecture, data munging, data and feature engineering, and predictive analytics.
* Unstructured text and natural language processing.
* Experience using tools or langauges like R, Python, SAS, or MATLAB, Anaconda, IBM Blue, and Oracle Big Data to analyze large data sets and develop automated analytics in making sense of data.
* Experience using machine learning, data mining, statistical networks, natural language processing, text analytics, and graph\-based algorithms to analyze massive data sets.
* Experience developing software to generate reports and visualizations that summarize data sets and provide data\-driven insights.
* Experience developing and implementing statistical, machine learning, and heuristic techniques to create descriptive, predictive, and prescriptive analytics as well as to develop statistical tests to make data\-driven recommendations and decisions.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https://careers.serco\-na.com/us/en/what\-we\-offer . If you require an accommodation with the application process please email: careers@serco\-na.com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
 Serco is an equal opportunity employer. We evaluate qualified applicants without regard to race, color, religion, sex, sexual orientation, gender identity, national origin, disability, veteran status, and other legally protected characteristics.
**Pay Transparency**
 Our Total Rewards package includes competitive pay, performance\-based incentives, and benefits that promote well\-being and work\-life balance\-so you can thrive both professionally and personally. Eligible employees also gain access to a wide range of benefits from comprehensive health coverage and health savings accounts to retirement plans, life and disability insurance, and time\-off programs that support work\-life balance. Program availability may vary based on factors such as contract type, location, hire date, and applicable collective bargaining agreements.
 Salary range: The range for this position can be found at the top of this posting. This range is provided as a general guideline and represents a good faith estimate across all experience levels. Actual base salary will be determined by a variety of factors, including but not limited to, the scope of the role, relevant experience, job\-related knowledge, education and training, key skills, and geographic market considerations. For roles available in multiple states, the range may vary to reflect differences in local labor markets. In addition to base salary, eligible positions may include other forms of compensation such as annual bonuses or long\-term incentive opportunities. Benefits \- Comprehensible benefits for full\-time employees (part\-time employees receive a limited package tailored to their role):
* Medical, dental, and vision insurance
* Robust vacation and sick leave benefits, and flexible work arrangements where permitted by role or contract
* 401(k) plan that includes employer matching funds
* Tuition reimbursement program
* Life insurance and disability coverage
* Optional coverages that can be purchased, including pet insurance, home and auto insurance, additional life and accident insurance, critical illness insurance, group legal, ID theft protection
* Birth, adoption, parental leave benefits
* Employee Assistance Plan
 To review all Serco benefits please visit: https://careers.serco\-na.com/us/en/about\-us .
 Serco complies with all applicable state and local leave laws, including providing time off under the Colorado Healthy Families and Workplaces Act for eligible Colorado residents, in alignment with our policies and benefit plans. The application window for this position is for no more than 60 days. We encourage candidates to apply promptly after the posting date, as the position may close earlier if filled or if the application volume exceeds expectations. Please submit applications exclusively through Serco's external (or internal) career site. If an applicant has any concerns with job posting compliance, please send an email to: careers@serco\-na.com .
 If you have questions about this posting, please contact support@lensa.com</t>
        </is>
      </c>
    </row>
    <row r="87">
      <c r="A87" t="inlineStr">
        <is>
          <t>li-4376019225</t>
        </is>
      </c>
      <c r="B87" t="inlineStr">
        <is>
          <t>Data Scientist/AI Trainer</t>
        </is>
      </c>
      <c r="C87" t="inlineStr">
        <is>
          <t>Five9</t>
        </is>
      </c>
      <c r="D87" t="inlineStr">
        <is>
          <t>linkedin</t>
        </is>
      </c>
      <c r="E87">
        <f>HYPERLINK("https://www.linkedin.com/jobs/view/4376019225", "https://www.linkedin.com/jobs/view/4376019225")</f>
        <v/>
      </c>
      <c r="F87">
        <f>HYPERLINK("https://www.five9.com/about/careers/job-detail?gh_jid=5810903004&amp;gh_src=bbb12b784us&amp;urlHash=F_Km", "https://www.five9.com/about/careers/job-detail?gh_jid=5810903004&amp;gh_src=bbb12b784us&amp;urlHash=F_Km")</f>
        <v/>
      </c>
      <c r="G87" t="inlineStr"/>
      <c r="H87" t="inlineStr"/>
      <c r="I87" t="inlineStr">
        <is>
          <t>Join us in bringing joy to customer experience. Five9 is a leading provider of cloud contact center software, bringing the power of cloud innovation to customers worldwide.
 Living our values everyday results in our team\-first culture and enables us to innovate, grow, and thrive while enjoying the journey together. We celebrate diversity and foster an inclusive environment, empowering our employees to be their authentic selves.
 We are seeking a customer\-facing Data Scientist/AI Trainer to join our Professional Services team, focusing on advanced Conversational AI implementations. The ideal candidate will possess a strong background in Natural Language Processing, Python development, and a deep understanding of modern AI technologies. In this role, you will be responsible for designing, building, and optimizing Five9’s AI\-based solutions. You will work closely with Developers and Conversation Designers, leveraging your expertise in Speech\-to\-Text (STT), Text\-to\-Speech (TTS), and Large Language Model (LLM) prompting and evaluations to ensure the highest levels of accuracy and performance in our intelligent virtual agents and agent\-guided solutions.
**Responsibilities:**
* Develop and maintain Python code for data analysis, model evaluation, and the automation of AI workflows
* Design, implement, and evaluate sophisticated prompts for Large Language Models (LLMs) to optimize performance across various conversational tasks
* Integrate and fine\-tune Speech\-to\-Text (STT) and Text\-to\-Speech (TTS) models to ensure high\-quality, natural\-sounding voice interactions
* Implement and improve robust methods to quantitatively and qualitatively compare and evaluate LLM outputs
* Collaborate with Data Scientists and Engineers to identify technical requirements, prioritize tasks, and architect scalable AI solutions
* Create and curate multilingual speech and text datasets to train and benchmark models
* Evaluate, recommend, and implement machine learning models for tasks such as topic modeling, summarization, and intent classification
* Develop data visualization tools and dashboards to monitor model performance and provide insights to stakeholders
**Minimum Qualifications:**
* Master’s degree in Human\-Computer Interaction, Computer Science, Cognitive Science, Linguistics, or a similar technical field
* Proven experience in Python programming for data science, machine learning, or software development
* Solid understanding of Conversational AI concepts and the underlying technologies
* Strong attention to detail and a commitment to maintaining high\-quality standards in code and model performance
* Demonstrated ability to work independently and as part of a collaborative, customer\-facing team
* Excellent technical communication skills
* Fluent in English, both written and spoken
**Preferred Qualifications**
* Graduate degree or higher in Computer Science, Computational Linguistics, or a related field
* Fluency in Spanish and/or Portuguese
* Deep hands\-on experience with LLMs, including prompt engineering, fine\-tuning, and evaluation techniques
* Expertise in Speech\-to\-Text (STT) and Text\-to\-Speech (TTS) technologies and their practical application in conversational AI systems
* Proficiency with ML libraries and platforms such as Scikit\-learn, TensorFlow, PyTorch, R, Jupyter, and SQL
* Experience in a customer\-facing role, including technical requirement gathering and presentations
* Experience with bot frameworks such as IBM Watson, Amazon Lex, Rasa, or Google Dialogflow
 Work Location: This role is fully remote for candidates who reside outside the 50 mile radius of our San Ramon office. For candidates who reside within 50 miles of our San Ramon location, this role is Hybrid and would require 3 days a week (M, W, TH) in our San Ramon office.
 As part of our continued commitment to diversity, equity, and inclusion, Five9 supports pay transparency during the entire recruitment process. Actual compensation packages are based on several factors that are unique to each candidate including, but not limited to: skill set, depth of experience, certifications, and specific work location. The range displayed reflects the minimum and maximum target for new hire salaries for the job across the United States. Your recruiter can share more about the specific compensation package during your hiring process.
 Additionally, the total compensation package for this position may also include an annual performance bonus, stock, and/or other applicable incentive compensation plans.
 Our total reward package also includes:
* Health, dental, and vision coverage, beginning on the first day of employment. Five9 covers 100% of the employee portion of the health, dental and vision coverage and shares a high portion of the dependent cost. We also offer Short \&amp; Long\-Term Disability, Basic Life Insurance, and a 401k saving plan with employer matching
* Access to an innovative mental health support platform that offers personalized care and resources in areas such as: therapy, coaching and self\-guided mindfulness exercises for all covered employees and their covered dependents
* Generous employee stock purchase plan
* Paid Time Off, Company paid holidays, paid volunteer hours and 12 weeks paid parental leave
 All compensation and benefits are subject to the requirements and restrictions set forth in the applicable plan documents and any written agreements between the parties.
 The US base salary range for this role is below.
 $60,000—$150,000 USD
 Five9 embraces diversity and is committed to building a team that represents a variety of backgrounds, perspectives, and skills.  The more inclusive we are, the better we are.  Five9 is an equal opportunity employer.
 View our privacy policy, including our privacy notice to California residents here: https://www.five9\.com/pt\-pt/legal.
 Note: Five9 will never request that an applicant send money as a prerequisite for commencing employment with Five9\.</t>
        </is>
      </c>
    </row>
    <row r="88">
      <c r="A88" t="inlineStr">
        <is>
          <t>li-4377013940</t>
        </is>
      </c>
      <c r="B88" t="inlineStr">
        <is>
          <t>Data Analyst/Data Scientist M/F/D</t>
        </is>
      </c>
      <c r="C88" t="inlineStr">
        <is>
          <t>Agilent Technologies</t>
        </is>
      </c>
      <c r="D88" t="inlineStr">
        <is>
          <t>linkedin</t>
        </is>
      </c>
      <c r="E88">
        <f>HYPERLINK("https://www.linkedin.com/jobs/view/4377013940", "https://www.linkedin.com/jobs/view/4377013940")</f>
        <v/>
      </c>
      <c r="F88" t="inlineStr"/>
      <c r="G88" t="inlineStr">
        <is>
          <t>Connecticut, United States</t>
        </is>
      </c>
      <c r="H88" t="inlineStr"/>
      <c r="I88"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89">
      <c r="A89" t="inlineStr">
        <is>
          <t>li-4377034068</t>
        </is>
      </c>
      <c r="B89" t="inlineStr">
        <is>
          <t>Data Analyst/Data Scientist M/F/D</t>
        </is>
      </c>
      <c r="C89" t="inlineStr">
        <is>
          <t>Agilent Technologies</t>
        </is>
      </c>
      <c r="D89" t="inlineStr">
        <is>
          <t>linkedin</t>
        </is>
      </c>
      <c r="E89">
        <f>HYPERLINK("https://www.linkedin.com/jobs/view/4377034068", "https://www.linkedin.com/jobs/view/4377034068")</f>
        <v/>
      </c>
      <c r="F89" t="inlineStr"/>
      <c r="G89" t="inlineStr">
        <is>
          <t>Rhode Island, United States</t>
        </is>
      </c>
      <c r="H89" t="inlineStr"/>
      <c r="I89"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90">
      <c r="A90" t="inlineStr">
        <is>
          <t>li-4377014950</t>
        </is>
      </c>
      <c r="B90" t="inlineStr">
        <is>
          <t>Data Analyst/Data Scientist M/F/D</t>
        </is>
      </c>
      <c r="C90" t="inlineStr">
        <is>
          <t>Agilent Technologies</t>
        </is>
      </c>
      <c r="D90" t="inlineStr">
        <is>
          <t>linkedin</t>
        </is>
      </c>
      <c r="E90">
        <f>HYPERLINK("https://www.linkedin.com/jobs/view/4377014950", "https://www.linkedin.com/jobs/view/4377014950")</f>
        <v/>
      </c>
      <c r="F90">
        <f>HYPERLINK("https://agilent.wd5.myworkdayjobs.com/Agilent_Careers/job/UK-Remote-Location-Harwell/Data-Analyst-M-F-D_4035241/?source=LinkedIn_JP&amp;urlHash=xccl", "https://agilent.wd5.myworkdayjobs.com/Agilent_Careers/job/UK-Remote-Location-Harwell/Data-Analyst-M-F-D_4035241/?source=LinkedIn_JP&amp;urlHash=xccl")</f>
        <v/>
      </c>
      <c r="G90" t="inlineStr">
        <is>
          <t>Providence, TX</t>
        </is>
      </c>
      <c r="H90" t="inlineStr"/>
      <c r="I90"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91">
      <c r="A91" t="inlineStr">
        <is>
          <t>li-4377017826</t>
        </is>
      </c>
      <c r="B91" t="inlineStr">
        <is>
          <t>Data Analyst/Data Scientist M/F/D</t>
        </is>
      </c>
      <c r="C91" t="inlineStr">
        <is>
          <t>Agilent Technologies</t>
        </is>
      </c>
      <c r="D91" t="inlineStr">
        <is>
          <t>linkedin</t>
        </is>
      </c>
      <c r="E91">
        <f>HYPERLINK("https://www.linkedin.com/jobs/view/4377017826", "https://www.linkedin.com/jobs/view/4377017826")</f>
        <v/>
      </c>
      <c r="F91">
        <f>HYPERLINK("https://agilent.wd5.myworkdayjobs.com/Agilent_Careers/job/UK-Remote-Location-Harwell/Data-Analyst-M-F-D_4035241/?source=LinkedIn_JP&amp;urlHash=xccl", "https://agilent.wd5.myworkdayjobs.com/Agilent_Careers/job/UK-Remote-Location-Harwell/Data-Analyst-M-F-D_4035241/?source=LinkedIn_JP&amp;urlHash=xccl")</f>
        <v/>
      </c>
      <c r="G91" t="inlineStr">
        <is>
          <t>Colorado, United States</t>
        </is>
      </c>
      <c r="H91" t="inlineStr"/>
      <c r="I91"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92">
      <c r="A92" t="inlineStr">
        <is>
          <t>li-4377022628</t>
        </is>
      </c>
      <c r="B92" t="inlineStr">
        <is>
          <t>Data Analyst/Data Scientist M/F/D</t>
        </is>
      </c>
      <c r="C92" t="inlineStr">
        <is>
          <t>Agilent Technologies</t>
        </is>
      </c>
      <c r="D92" t="inlineStr">
        <is>
          <t>linkedin</t>
        </is>
      </c>
      <c r="E92">
        <f>HYPERLINK("https://www.linkedin.com/jobs/view/4377022628", "https://www.linkedin.com/jobs/view/4377022628")</f>
        <v/>
      </c>
      <c r="F92">
        <f>HYPERLINK("https://agilent.wd5.myworkdayjobs.com/Agilent_Careers/job/UK-Remote-Location-Harwell/Data-Analyst-M-F-D_4035241/?source=LinkedIn_JP&amp;urlHash=xccl", "https://agilent.wd5.myworkdayjobs.com/Agilent_Careers/job/UK-Remote-Location-Harwell/Data-Analyst-M-F-D_4035241/?source=LinkedIn_JP&amp;urlHash=xccl")</f>
        <v/>
      </c>
      <c r="G92" t="inlineStr">
        <is>
          <t>Kirkland, WA</t>
        </is>
      </c>
      <c r="H92" t="inlineStr"/>
      <c r="I92"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93">
      <c r="A93" t="inlineStr">
        <is>
          <t>li-4375760739</t>
        </is>
      </c>
      <c r="B93" t="inlineStr">
        <is>
          <t>Data Scientist</t>
        </is>
      </c>
      <c r="C93" t="inlineStr">
        <is>
          <t>Sandberg Goldberg Bernthal Family Foundation</t>
        </is>
      </c>
      <c r="D93" t="inlineStr">
        <is>
          <t>linkedin</t>
        </is>
      </c>
      <c r="E93">
        <f>HYPERLINK("https://www.linkedin.com/jobs/view/4375760739", "https://www.linkedin.com/jobs/view/4375760739")</f>
        <v/>
      </c>
      <c r="F93">
        <f>HYPERLINK("https://jobs.lever.co/sgff.org/c2d32a8d-be05-4401-ac07-d7ecb9b6ef0d&amp;urlHash=Iroj", "https://jobs.lever.co/sgff.org/c2d32a8d-be05-4401-ac07-d7ecb9b6ef0d&amp;urlHash=Iroj")</f>
        <v/>
      </c>
      <c r="G93" t="inlineStr"/>
      <c r="H93" t="inlineStr"/>
      <c r="I93" t="inlineStr">
        <is>
          <t>**About Lean In \&amp; The Sandberg Bernthal Family Foundation** 
 The Sandberg Goldberg Bernthal Family Foundation (SGBFF) works to build a more equal and resilient world. We bring people together to support each other through four initiatives: LeanIn.Org, LeanInGirls.Org, OptionB.Org, and the Dave Goldberg Scholarship Program.
 Through our community, research\-based content, and programs, we help women and allies build the skills, confidence, and networks they need to reach their full potential. We believe a more equal world is possible \- and that it will take us working together to create it. While the majority of your work will focus on Lean In, this role offers the opportunity to drive impact across multiple mission\-driven initiatives.
**Role Overview** 
 We are looking for a Data Scientist who can transform data into meaningful, actionable insight. Someone who is rigorous in analysis, thoughtful in interpretation, and motivated by impact. In this role, you will help us understand our community experience, measure what works, and guide strategic decisions that shape our products, programs, and reach. Your work will directly influence how we serve millions of women and allies around the world.
**What You’ll Do** 
**Turn Data into Insight** 
* Identify trends and patterns in data to uncover opportunities for growth and improvement
* Translate complex findings into clear, practical recommendations that inform decisions
* Design and conduct analyses to understand user engagement, content effectiveness, and program impact
**Drive Product and Program Impact** 
* Partner with product, marketing, and program teams to define meaningful metrics and measure success
* Develop experimentation frameworks and analyze A/B tests to optimize features and experiences
* Build predictive models and recommendation systems that personalize and strengthen user journeys
**Build Strong Foundations** 
* Create dashboards and visualizations that make insights accessible to both technical and non\-technical stakeholders
* Build and maintain reliable data pipelines (data engineering experience preferred)
* Design and optimize data infrastructure and warehousing solutions
* Ensure data quality, governance, and consistency across systems
* Work across the full data stack \- from raw data ingestion to reporting and storytelling
**What We’re Looking For** 
**Required** 
* 3\+ years of experience in data science, analytics, or a related field
* Strong proficiency in Python or R, SQL, and data visualization tools
* Experience with statistical analysis, machine learning, and experimental design
* Solid understanding of data engineering principles and data pipelines
* Familiarity with modern data tools (e.g., cloud data warehouses, ETL tools, BI platforms)
* Ability to communicate complex analyses in a clear, compelling way
* Strong problem\-solving skills and intellectual curiosity
* Excellent collaboration skills and experience working cross\-functionally
* Deep commitment to Lean In’s mission to inspire and equip women to lead
**Preferred** 
* Understanding or experience with user experience research
* Experience in mission\-driven or social impact organizations
* Genuine alignment with the broader initiatives of the Sandberg Bernthal Family Foundation, including building resilience and advancing equality
**What We Will Offer You** 
* **Base Salary:** 
 $140,000 – $165,000 based on experience, skills, and qualifications
* **Performance Bonus:** 
 Up to 15% of base salary annually
* Medical, dental, and vision insurance
* 401(k) with a 4% employer match
* Generous paid time off
* Additional benefits designed to support well\-being and long\-term success</t>
        </is>
      </c>
    </row>
    <row r="94">
      <c r="A94" t="inlineStr">
        <is>
          <t>li-4377020709</t>
        </is>
      </c>
      <c r="B94" t="inlineStr">
        <is>
          <t>Data Analyst/Data Scientist M/F/D</t>
        </is>
      </c>
      <c r="C94" t="inlineStr">
        <is>
          <t>Agilent Technologies</t>
        </is>
      </c>
      <c r="D94" t="inlineStr">
        <is>
          <t>linkedin</t>
        </is>
      </c>
      <c r="E94">
        <f>HYPERLINK("https://www.linkedin.com/jobs/view/4377020709", "https://www.linkedin.com/jobs/view/4377020709")</f>
        <v/>
      </c>
      <c r="F94" t="inlineStr"/>
      <c r="G94" t="inlineStr">
        <is>
          <t>Houston, TX</t>
        </is>
      </c>
      <c r="H94" t="inlineStr"/>
      <c r="I94"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95">
      <c r="A95" t="inlineStr">
        <is>
          <t>li-4377020705</t>
        </is>
      </c>
      <c r="B95" t="inlineStr">
        <is>
          <t>Data Analyst/Data Scientist M/F/D</t>
        </is>
      </c>
      <c r="C95" t="inlineStr">
        <is>
          <t>Agilent Technologies</t>
        </is>
      </c>
      <c r="D95" t="inlineStr">
        <is>
          <t>linkedin</t>
        </is>
      </c>
      <c r="E95">
        <f>HYPERLINK("https://www.linkedin.com/jobs/view/4377020705", "https://www.linkedin.com/jobs/view/4377020705")</f>
        <v/>
      </c>
      <c r="F95" t="inlineStr"/>
      <c r="G95" t="inlineStr">
        <is>
          <t>New Mexico, United States</t>
        </is>
      </c>
      <c r="H95" t="inlineStr"/>
      <c r="I95"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96">
      <c r="A96" t="inlineStr">
        <is>
          <t>li-4377033114</t>
        </is>
      </c>
      <c r="B96" t="inlineStr">
        <is>
          <t>Data Analyst/Data Scientist M/F/D</t>
        </is>
      </c>
      <c r="C96" t="inlineStr">
        <is>
          <t>Agilent Technologies</t>
        </is>
      </c>
      <c r="D96" t="inlineStr">
        <is>
          <t>linkedin</t>
        </is>
      </c>
      <c r="E96">
        <f>HYPERLINK("https://www.linkedin.com/jobs/view/4377033114", "https://www.linkedin.com/jobs/view/4377033114")</f>
        <v/>
      </c>
      <c r="F96">
        <f>HYPERLINK("https://agilent.wd5.myworkdayjobs.com/Agilent_Careers/job/UK-Remote-Location-Harwell/Data-Analyst-M-F-D_4035241/?source=LinkedIn_JP&amp;urlHash=xccl", "https://agilent.wd5.myworkdayjobs.com/Agilent_Careers/job/UK-Remote-Location-Harwell/Data-Analyst-M-F-D_4035241/?source=LinkedIn_JP&amp;urlHash=xccl")</f>
        <v/>
      </c>
      <c r="G96" t="inlineStr">
        <is>
          <t>Winchester, MA</t>
        </is>
      </c>
      <c r="H96" t="inlineStr"/>
      <c r="I96"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97">
      <c r="A97" t="inlineStr">
        <is>
          <t>li-4377058549</t>
        </is>
      </c>
      <c r="B97" t="inlineStr">
        <is>
          <t>Data Scientist</t>
        </is>
      </c>
      <c r="C97" t="inlineStr">
        <is>
          <t>Hirenza</t>
        </is>
      </c>
      <c r="D97" t="inlineStr">
        <is>
          <t>linkedin</t>
        </is>
      </c>
      <c r="E97">
        <f>HYPERLINK("https://www.linkedin.com/jobs/view/4377058549", "https://www.linkedin.com/jobs/view/4377058549")</f>
        <v/>
      </c>
      <c r="F97">
        <f>HYPERLINK("https://www.bestjobtool.com/job-description/3074373283?source=LinkedIn&amp;urlHash=ZQYX", "https://www.bestjobtool.com/job-description/3074373283?source=LinkedIn&amp;urlHash=ZQYX")</f>
        <v/>
      </c>
      <c r="G97" t="inlineStr"/>
      <c r="H97" t="inlineStr"/>
      <c r="I97" t="inlineStr">
        <is>
          <t>**About The Company**
 Guidehouse is a leading consulting firm dedicated to delivering innovative solutions across various sectors, including government, financial services, energy, and healthcare. Renowned for its commitment to excellence, diversity, and integrity, Guidehouse leverages its deep industry expertise and advanced technological capabilities to help clients navigate complex challenges and achieve their strategic goals. The company fosters a collaborative and inclusive work environment that encourages continuous learning, professional growth, and impactful contributions. With a focus on integrity and client success, Guidehouse is recognized for its ability to deliver measurable results that drive transformation and operational efficiency.
**About The Role**
 We are seeking a highly skilled and experienced Senior Data Scientist to join our AI and Data practice at Guidehouse. This role is pivotal in supporting transportation and federal civilian agency initiatives through the development and implementation of advanced analytics, artificial intelligence, and machine learning solutions. As a hands\-on leader, you will provide strategic guidance, technical oversight, and direct support for data\-driven projects that align with client missions and operational objectives. The ideal candidate will possess a strong background in data science, data engineering, and analytics, with a proven track record of leading large\-scale projects and delivering impactful insights. This position offers an exciting opportunity to influence federal initiatives while working within a dynamic and innovative team environment.
**Qualifications**
 The ideal candidate will possess the following qualifications:
* U.S. Citizenship is required
* Bachelor’s degree in Computer Science, Data Science, Statistics, or a related field; a Master’s degree is preferred
* Minimum of five (5\) years of hands\-on experience in data science, data engineering, and analytics
* At least two (2\) years of experience leading data\-driven transformation programs
* Proficiency in Python, including libraries such as Pandas, NumPy, scikit\-learn, and visualization tools
* Experience with R, PowerBI, MicroStrategy, and cloud analytics platforms such as Azure, AWS, or GCP
* Strong understanding of AI/ML technologies, data platforms, and analytics methodologies
* Experience developing self\-service data products, dashboards, and AI/ML solutions for enterprise use
* Demonstrated ability to lead large\-scale analytics projects and manage cross\-functional teams
* Excellent communication, facilitation, and stakeholder engagement skills
* Experience in business development, proposal writing, and strategic pursuits is a plus
**Responsibilities**
 The key responsibilities for this role include:
* Serving as a trusted advisor on data strategy, governance, and analytics modernization efforts for federal agencies and transportation clients
* Leading end\-to\-end project engagements from initial strategy through implementation, ensuring the delivery of high\-quality, impactful solutions
* Designing, developing, and overseeing AI/ML and analytics solutions utilizing platforms such as Databricks, Snowflake, and cloud services
* Developing and maintaining Python\-based tools, scripts, and automation processes for data analysis, reporting, and operational efficiency
* Applying methodologies such as CRISP\-DM, Agile Kanban, and human\-centered design to deliver innovative and user\-centric solutions
* Mentoring multidisciplinary teams, fostering innovation, best practices, and continuous learning within the team
* Collaborating closely with stakeholders to translate complex business challenges into actionable data\-driven solutions
* Supporting business development activities, including proposal writing and strategic pursuits to expand client engagements
* Driving the adoption of data literacy and a data\-driven culture through training, enablement resources, and community of practice sessions
**Benefits**
 Guidehouse offers a comprehensive total rewards package designed to support our employees’ health, well\-being, and professional development. Benefits include:
* Medical, prescription, dental, and vision insurance
* Personal and family sick leave, along with company\-paid holidays
* Potential eligibility for discretionary variable incentive bonuses
* Parental leave and adoption assistance programs
* 401(k) retirement savings plan with company matching
* Basic and supplemental life insurance options
* Health Savings Account (HSA), Flexible Spending Accounts (FSAs) for dental, vision, and dependent care
* Short\-term and long\-term disability coverage
* Student loan repayment assistance programs
* Tuition reimbursement, ongoing training, and professional development opportunities
* Skills development programs and certification support
* Employee referral bonuses and participation in corporate\-sponsored events and community outreach
* Emergency back\-up childcare services and mobility stipends
 Equal Opportunity
 Guidehouse is an Equal Opportunity Employer committed to fostering an inclusive and diverse workplace. We welcome applications from protected veterans, individuals with disabilities, and all qualified applicants regardless of race, color, religion, gender, sexual orientation, gender identity, or national origin. We consider qualified applicants with criminal histories in accordance with applicable laws and ordinances, including the Fair Chance Ordinance of Los Angeles and San Francisco.
 We are dedicated to providing reasonable accommodations during the application process. If you require assistance or accommodations, please contact Guidehouse Recruiting at the provided contact details. All communication will be kept confidential. Guidehouse does not charge fees for recruitment or accept unsolicited resumes from staffing agencies or search firms. We encourage all applicants to be cautious of unauthorized communications and to</t>
        </is>
      </c>
    </row>
    <row r="98">
      <c r="A98" t="inlineStr">
        <is>
          <t>li-4377024598</t>
        </is>
      </c>
      <c r="B98" t="inlineStr">
        <is>
          <t>Data Analyst/Data Scientist M/F/D</t>
        </is>
      </c>
      <c r="C98" t="inlineStr">
        <is>
          <t>Agilent Technologies</t>
        </is>
      </c>
      <c r="D98" t="inlineStr">
        <is>
          <t>linkedin</t>
        </is>
      </c>
      <c r="E98">
        <f>HYPERLINK("https://www.linkedin.com/jobs/view/4377024598", "https://www.linkedin.com/jobs/view/4377024598")</f>
        <v/>
      </c>
      <c r="F98">
        <f>HYPERLINK("https://agilent.wd5.myworkdayjobs.com/Agilent_Careers/job/UK-Remote-Location-Harwell/Data-Analyst-M-F-D_4035241/?source=LinkedIn_JP&amp;urlHash=xccl", "https://agilent.wd5.myworkdayjobs.com/Agilent_Careers/job/UK-Remote-Location-Harwell/Data-Analyst-M-F-D_4035241/?source=LinkedIn_JP&amp;urlHash=xccl")</f>
        <v/>
      </c>
      <c r="G98" t="inlineStr">
        <is>
          <t>Murray Hill, MD</t>
        </is>
      </c>
      <c r="H98" t="inlineStr"/>
      <c r="I98"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99">
      <c r="A99" t="inlineStr">
        <is>
          <t>li-4377018813</t>
        </is>
      </c>
      <c r="B99" t="inlineStr">
        <is>
          <t>Data Analyst/Data Scientist M/F/D</t>
        </is>
      </c>
      <c r="C99" t="inlineStr">
        <is>
          <t>Agilent Technologies</t>
        </is>
      </c>
      <c r="D99" t="inlineStr">
        <is>
          <t>linkedin</t>
        </is>
      </c>
      <c r="E99">
        <f>HYPERLINK("https://www.linkedin.com/jobs/view/4377018813", "https://www.linkedin.com/jobs/view/4377018813")</f>
        <v/>
      </c>
      <c r="F99">
        <f>HYPERLINK("https://agilent.wd5.myworkdayjobs.com/Agilent_Careers/job/UK-Remote-Location-Harwell/Data-Analyst-M-F-D_4035241/?source=LinkedIn_JP&amp;urlHash=xccl", "https://agilent.wd5.myworkdayjobs.com/Agilent_Careers/job/UK-Remote-Location-Harwell/Data-Analyst-M-F-D_4035241/?source=LinkedIn_JP&amp;urlHash=xccl")</f>
        <v/>
      </c>
      <c r="G99" t="inlineStr">
        <is>
          <t>Phoenix, AZ</t>
        </is>
      </c>
      <c r="H99" t="inlineStr"/>
      <c r="I99"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00">
      <c r="A100" t="inlineStr">
        <is>
          <t>li-4377044787</t>
        </is>
      </c>
      <c r="B100" t="inlineStr">
        <is>
          <t>Senior Data Scientist, Credit Underwriting</t>
        </is>
      </c>
      <c r="C100" t="inlineStr">
        <is>
          <t>Clair</t>
        </is>
      </c>
      <c r="D100" t="inlineStr">
        <is>
          <t>linkedin</t>
        </is>
      </c>
      <c r="E100">
        <f>HYPERLINK("https://www.linkedin.com/jobs/view/4377044787", "https://www.linkedin.com/jobs/view/4377044787")</f>
        <v/>
      </c>
      <c r="F100" t="inlineStr"/>
      <c r="G100" t="inlineStr">
        <is>
          <t>New York, United States</t>
        </is>
      </c>
      <c r="H100" t="inlineStr"/>
      <c r="I100" t="inlineStr">
        <is>
          <t>**About Clair**
 If you can send your friends money in seconds, why does it still take your employer two weeks to send your paycheck?
 At Clair, we are on a mission to create financial freedom for America's workers by giving them a digital banking platform that allows them to get paid as soon as they clock out of work. But we're not just another digital bank or on\-demand pay provider. We meet Americans at their place of work by embedding our products within the scheduling, workforce management, and payroll apps they already use every day.
 Learn more about us at getclair.com/about
**About The Role**
 As a Senior Data Scientist on Clair’s Data Science team, you’ll be responsible for developing and maintaining the next generation of credit models and predictive systems that power Clair’s financial products. You’ll shape how millions of hourly workers access affordable credit, leveraging cutting\-edge data science to assess risk, predict repayment, and optimize credit decisions.
 We’re looking for someone who thrives at the intersection of data science, machine learning, and fintech, and who’s excited to translate messy, real\-world data into clear, actionable intelligence. This role blends credit modeling with feature engineering — from designing new model features (including predictive features) based on user transaction data to deploying and monitoring production\-ready ML models that drive critical product decisions.
 To succeed, you’ll need a deep technical foundation in machine learning and statistical modeling, hands\-on experience in model deployment, and strong communication skills to collaborate with engineers, product managers, and risk teams.
 Key Responsibilities
* Develop and maintain credit risk and repayment models that directly power Clair’s underwriting and decision systems.
* Design and engineer predictive features using transaction\-level data, including the prediction of user income flows, spending, and repayment behaviors.
* Collaborate with engineering teams to deploy, monitor, and optimize models in production environments using AWS and Snowflake ML Platform.
* Build prototypes of new modeling methodologies and present them to stakeholders for evaluation and feedback.
* Investigate and analyze credit performance, identifying root causes of model drift or unexpected repayment behavior.
* Partner cross\-functionally with product, risk, and engineering teams to turn data insights into product improvements and credit strategy refinements.
* Communicate technical concepts clearly to both technical and non\-technical audiences.
* Stay current on best practices and emerging techniques in credit modeling, explainable AI, and financial ML systems.
**Minimum Qualifications**
* 5\+ years of professional experience in data science and machine learning.
* Proven track record of leading end\-to\-end data science projects — from research and model development to deployment and monitoring.
* Experience building and productionizing credit or risk assessment models.
* Strong proficiency in Python and familiarity with modern ML libraries (TensorFlow, PyTorch, XGBoost, etc.).
* Strong command of SQL and experience working with large transactional and time\-series datasets.
* Strong communication skills and ability to translate complex findings into actionable insights.
* Experience working with cross\-functional teams in a fast\-paced production environment.
**Preferred Qualifications**
* Experience in fintech or credit risk modeling.
* Experience with cloud\-based machine learning environments (AWS, Azure, Snowflake ML Platform, etc.).
* Familiarity with model explainability techniques and compliance requirements in financial modeling.
* Experience working with time\-series analysis and modeling, including forecasting, trend detection, and temporal feature engineering
**Additional Details**
**Location:** 
 This is a hybrid position based out in New York City, you will be expected to come into the office at least three days a week (Tuesdays, Wednesdays, \&amp; Thursdays) with additional days on occasion for client meetings.
**Compensation:** 
 The annual base salary for this role is $165,000 to $172,000\. The base pay for this role is determined using many factors, such as education, skills and experience and is reflective of Clair Series stage and size. Base pay is only one part of Clair’s competitive total compensation package which includes equity, benefits and additional perks. The base pay range is subject to change and may be modified in the future.
*Clair will only contact candidates from @getclair.com email addresses. We will never ask for payments or sensitive personal information during the hiring process. If you happen to receive anything suspicious, please ignore it.*
 Need more convincing?
**Benefits**
 Apart from getting to work with our incredible team, here are some of the benefits you can expect when you join Clair:
* Medical, Dental, \&amp; Vision Coverage, with option to extend to your family
* Fully\-paid parental leave
* Company\-sponsored 401k, HSA, and FSA
* Unlimited vacation for salaried roles, generous PTO for hourly roles
* Work from home setup allowance
* Access to your earnings every day on Clair
* Company\-sponsored short\-term and long\-term disability insurance
**Equal Opportunity Employer Information**
 Clair is an equal opportunity employer and we value diversity at our company. We actively seek a diverse applicant pool and do not discriminate on the basis of race, religion, color, national origin, gender, sexual orientation, age, marital status, veteran status, or disability status.
 For questions, please email us at careers@getclair.com</t>
        </is>
      </c>
    </row>
    <row r="101">
      <c r="A101" t="inlineStr">
        <is>
          <t>li-4377028406</t>
        </is>
      </c>
      <c r="B101" t="inlineStr">
        <is>
          <t>Senior Data Scientist</t>
        </is>
      </c>
      <c r="C101" t="inlineStr">
        <is>
          <t>Kforce Inc</t>
        </is>
      </c>
      <c r="D101" t="inlineStr">
        <is>
          <t>linkedin</t>
        </is>
      </c>
      <c r="E101">
        <f>HYPERLINK("https://www.linkedin.com/jobs/view/4377028406", "https://www.linkedin.com/jobs/view/4377028406")</f>
        <v/>
      </c>
      <c r="F101" t="inlineStr"/>
      <c r="G101" t="inlineStr">
        <is>
          <t>Scottsdale, AZ</t>
        </is>
      </c>
      <c r="H101" t="inlineStr"/>
      <c r="I101" t="inlineStr">
        <is>
          <t>**Responsibilities**
 Kofrce has a client that is seeking a Senior Data Scientist in Phoenix, AZ (local candidates required). This role is hybrid, 4 days onsite/1 day remote. This client is a well\-established, nationwide organization that is seeking a Senior Data Scientist to join its growing analytics team. We are partnering directly with the hiring manager on this search for a high impact, senior level contributor. Summary: As a Senior Data Scientist, you'll lead advanced analytics and machine learning initiatives that support critical business decisions. This role spans the full data science lifecycle\-from data exploration and experimentation to model deployment and performance tracking in production. You'll work with large, real world datasets, influence analytics strategy, and help translate complex models into actionable insights for both technical and non\-technical stakeholders. This is a visible role with mentorship responsibility on a growing team. Key Responsibilities:
* Lead end to end data science projects, including predictive modeling and forecasting
* Build, validate, and deploy machine learning and AI models in a cloud environment (AWS)
* Perform time series analysis, experimentation, and causal analysis
* Translate analytics and ML insights into clear business recommendations
* Partner cross functionally to solve complex operational and commercial problems
* Lead and guide other data scientists (team size \~7\-10\)
**Requirements**
* Bachelor's degree in an analytical discipline such as Mathematics, Computer Science, Information Management, Statistics, or Engineering; Master's degree preferred
* Five years of experience in advanced Python or R and SQL programming, performing complex statistical analyses and developing machine learning models using large\-scale databases in cloud computing environments
* At least 5\+ years of experience in data science or advanced analytics
* Proven experience with forecasting, including demand forecasting
* Strong proficiency in Python or R, SQL, and cloud platforms (AWS preferred)
* Deep expertise in at least 2 of 3 areas: Generative AI, traditional ML/statistics, optimization (operations research)
* Logistics or supply chain experience is a plus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02">
      <c r="A102" t="inlineStr">
        <is>
          <t>li-4377026452</t>
        </is>
      </c>
      <c r="B102" t="inlineStr">
        <is>
          <t>Data Analyst/Data Scientist M/F/D</t>
        </is>
      </c>
      <c r="C102" t="inlineStr">
        <is>
          <t>Agilent Technologies</t>
        </is>
      </c>
      <c r="D102" t="inlineStr">
        <is>
          <t>linkedin</t>
        </is>
      </c>
      <c r="E102">
        <f>HYPERLINK("https://www.linkedin.com/jobs/view/4377026452", "https://www.linkedin.com/jobs/view/4377026452")</f>
        <v/>
      </c>
      <c r="F102">
        <f>HYPERLINK("https://agilent.wd5.myworkdayjobs.com/Agilent_Careers/job/UK-Remote-Location-Harwell/Data-Analyst-M-F-D_4035241/?source=LinkedIn_JP&amp;urlHash=xccl", "https://agilent.wd5.myworkdayjobs.com/Agilent_Careers/job/UK-Remote-Location-Harwell/Data-Analyst-M-F-D_4035241/?source=LinkedIn_JP&amp;urlHash=xccl")</f>
        <v/>
      </c>
      <c r="G102" t="inlineStr">
        <is>
          <t>Atlanta, IL</t>
        </is>
      </c>
      <c r="H102" t="inlineStr"/>
      <c r="I102"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03">
      <c r="A103" t="inlineStr">
        <is>
          <t>li-4377033113</t>
        </is>
      </c>
      <c r="B103" t="inlineStr">
        <is>
          <t>Data Analyst/Data Scientist M/F/D</t>
        </is>
      </c>
      <c r="C103" t="inlineStr">
        <is>
          <t>Agilent Technologies</t>
        </is>
      </c>
      <c r="D103" t="inlineStr">
        <is>
          <t>linkedin</t>
        </is>
      </c>
      <c r="E103">
        <f>HYPERLINK("https://www.linkedin.com/jobs/view/4377033113", "https://www.linkedin.com/jobs/view/4377033113")</f>
        <v/>
      </c>
      <c r="F103">
        <f>HYPERLINK("https://agilent.wd5.myworkdayjobs.com/Agilent_Careers/job/UK-Remote-Location-Harwell/Data-Analyst-M-F-D_4035241/?source=LinkedIn_JP&amp;urlHash=xccl", "https://agilent.wd5.myworkdayjobs.com/Agilent_Careers/job/UK-Remote-Location-Harwell/Data-Analyst-M-F-D_4035241/?source=LinkedIn_JP&amp;urlHash=xccl")</f>
        <v/>
      </c>
      <c r="G103" t="inlineStr">
        <is>
          <t>Charleston, SC</t>
        </is>
      </c>
      <c r="H103" t="inlineStr"/>
      <c r="I103"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04">
      <c r="A104" t="inlineStr">
        <is>
          <t>li-4377031163</t>
        </is>
      </c>
      <c r="B104" t="inlineStr">
        <is>
          <t>Data Analyst/Data Scientist M/F/D</t>
        </is>
      </c>
      <c r="C104" t="inlineStr">
        <is>
          <t>Agilent Technologies</t>
        </is>
      </c>
      <c r="D104" t="inlineStr">
        <is>
          <t>linkedin</t>
        </is>
      </c>
      <c r="E104">
        <f>HYPERLINK("https://www.linkedin.com/jobs/view/4377031163", "https://www.linkedin.com/jobs/view/4377031163")</f>
        <v/>
      </c>
      <c r="F104" t="inlineStr"/>
      <c r="G104" t="inlineStr">
        <is>
          <t>Lincoln, NY</t>
        </is>
      </c>
      <c r="H104" t="inlineStr"/>
      <c r="I104"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05">
      <c r="A105" t="inlineStr">
        <is>
          <t>li-4377017821</t>
        </is>
      </c>
      <c r="B105" t="inlineStr">
        <is>
          <t>Data Analyst/Data Scientist M/F/D</t>
        </is>
      </c>
      <c r="C105" t="inlineStr">
        <is>
          <t>Agilent Technologies</t>
        </is>
      </c>
      <c r="D105" t="inlineStr">
        <is>
          <t>linkedin</t>
        </is>
      </c>
      <c r="E105">
        <f>HYPERLINK("https://www.linkedin.com/jobs/view/4377017821", "https://www.linkedin.com/jobs/view/4377017821")</f>
        <v/>
      </c>
      <c r="F105" t="inlineStr"/>
      <c r="G105" t="inlineStr">
        <is>
          <t>Jackson, NE</t>
        </is>
      </c>
      <c r="H105" t="inlineStr"/>
      <c r="I105"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06">
      <c r="A106" t="inlineStr">
        <is>
          <t>li-4377024597</t>
        </is>
      </c>
      <c r="B106" t="inlineStr">
        <is>
          <t>Data Analyst/Data Scientist M/F/D</t>
        </is>
      </c>
      <c r="C106" t="inlineStr">
        <is>
          <t>Agilent Technologies</t>
        </is>
      </c>
      <c r="D106" t="inlineStr">
        <is>
          <t>linkedin</t>
        </is>
      </c>
      <c r="E106">
        <f>HYPERLINK("https://www.linkedin.com/jobs/view/4377024597", "https://www.linkedin.com/jobs/view/4377024597")</f>
        <v/>
      </c>
      <c r="F106" t="inlineStr"/>
      <c r="G106" t="inlineStr">
        <is>
          <t>Reston, VA</t>
        </is>
      </c>
      <c r="H106" t="inlineStr"/>
      <c r="I106"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07">
      <c r="A107" t="inlineStr">
        <is>
          <t>li-4377021719</t>
        </is>
      </c>
      <c r="B107" t="inlineStr">
        <is>
          <t>Data Analyst/Data Scientist M/F/D</t>
        </is>
      </c>
      <c r="C107" t="inlineStr">
        <is>
          <t>Agilent Technologies</t>
        </is>
      </c>
      <c r="D107" t="inlineStr">
        <is>
          <t>linkedin</t>
        </is>
      </c>
      <c r="E107">
        <f>HYPERLINK("https://www.linkedin.com/jobs/view/4377021719", "https://www.linkedin.com/jobs/view/4377021719")</f>
        <v/>
      </c>
      <c r="F107">
        <f>HYPERLINK("https://agilent.wd5.myworkdayjobs.com/Agilent_Careers/job/UK-Remote-Location-Harwell/Data-Analyst-M-F-D_4035241/?source=LinkedIn_JP&amp;urlHash=xccl", "https://agilent.wd5.myworkdayjobs.com/Agilent_Careers/job/UK-Remote-Location-Harwell/Data-Analyst-M-F-D_4035241/?source=LinkedIn_JP&amp;urlHash=xccl")</f>
        <v/>
      </c>
      <c r="G107" t="inlineStr">
        <is>
          <t>Bismarck, IL</t>
        </is>
      </c>
      <c r="H107" t="inlineStr"/>
      <c r="I107"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08">
      <c r="A108" t="inlineStr">
        <is>
          <t>li-4377029233</t>
        </is>
      </c>
      <c r="B108" t="inlineStr">
        <is>
          <t>Data Analyst/Data Scientist M/F/D</t>
        </is>
      </c>
      <c r="C108" t="inlineStr">
        <is>
          <t>Agilent Technologies</t>
        </is>
      </c>
      <c r="D108" t="inlineStr">
        <is>
          <t>linkedin</t>
        </is>
      </c>
      <c r="E108">
        <f>HYPERLINK("https://www.linkedin.com/jobs/view/4377029233", "https://www.linkedin.com/jobs/view/4377029233")</f>
        <v/>
      </c>
      <c r="F108">
        <f>HYPERLINK("https://agilent.wd5.myworkdayjobs.com/Agilent_Careers/job/UK-Remote-Location-Harwell/Data-Analyst-M-F-D_4035241/?source=LinkedIn_JP&amp;urlHash=xccl", "https://agilent.wd5.myworkdayjobs.com/Agilent_Careers/job/UK-Remote-Location-Harwell/Data-Analyst-M-F-D_4035241/?source=LinkedIn_JP&amp;urlHash=xccl")</f>
        <v/>
      </c>
      <c r="G108" t="inlineStr">
        <is>
          <t>Madison, WI</t>
        </is>
      </c>
      <c r="H108" t="inlineStr"/>
      <c r="I108"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09">
      <c r="A109" t="inlineStr">
        <is>
          <t>li-4377021718</t>
        </is>
      </c>
      <c r="B109" t="inlineStr">
        <is>
          <t>Data Analyst/Data Scientist M/F/D</t>
        </is>
      </c>
      <c r="C109" t="inlineStr">
        <is>
          <t>Agilent Technologies</t>
        </is>
      </c>
      <c r="D109" t="inlineStr">
        <is>
          <t>linkedin</t>
        </is>
      </c>
      <c r="E109">
        <f>HYPERLINK("https://www.linkedin.com/jobs/view/4377021718", "https://www.linkedin.com/jobs/view/4377021718")</f>
        <v/>
      </c>
      <c r="F109" t="inlineStr"/>
      <c r="G109" t="inlineStr">
        <is>
          <t>Oklahoma City, OK</t>
        </is>
      </c>
      <c r="H109" t="inlineStr"/>
      <c r="I109"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10">
      <c r="A110" t="inlineStr">
        <is>
          <t>li-4377028236</t>
        </is>
      </c>
      <c r="B110" t="inlineStr">
        <is>
          <t>Data Analyst/Data Scientist M/F/D</t>
        </is>
      </c>
      <c r="C110" t="inlineStr">
        <is>
          <t>Agilent Technologies</t>
        </is>
      </c>
      <c r="D110" t="inlineStr">
        <is>
          <t>linkedin</t>
        </is>
      </c>
      <c r="E110">
        <f>HYPERLINK("https://www.linkedin.com/jobs/view/4377028236", "https://www.linkedin.com/jobs/view/4377028236")</f>
        <v/>
      </c>
      <c r="F110">
        <f>HYPERLINK("https://agilent.wd5.myworkdayjobs.com/Agilent_Careers/job/UK-Remote-Location-Harwell/Data-Analyst-M-F-D_4035241/?source=LinkedIn_JP&amp;urlHash=xccl", "https://agilent.wd5.myworkdayjobs.com/Agilent_Careers/job/UK-Remote-Location-Harwell/Data-Analyst-M-F-D_4035241/?source=LinkedIn_JP&amp;urlHash=xccl")</f>
        <v/>
      </c>
      <c r="G110" t="inlineStr">
        <is>
          <t>Baton Rouge, LA</t>
        </is>
      </c>
      <c r="H110" t="inlineStr"/>
      <c r="I110"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11">
      <c r="A111" t="inlineStr">
        <is>
          <t>li-4375798198</t>
        </is>
      </c>
      <c r="B111" t="inlineStr">
        <is>
          <t>Senior Marketing Data Scientist – Gaming Analytics</t>
        </is>
      </c>
      <c r="C111" t="inlineStr">
        <is>
          <t>Blueprint</t>
        </is>
      </c>
      <c r="D111" t="inlineStr">
        <is>
          <t>linkedin</t>
        </is>
      </c>
      <c r="E111">
        <f>HYPERLINK("https://www.linkedin.com/jobs/view/4375798198", "https://www.linkedin.com/jobs/view/4375798198")</f>
        <v/>
      </c>
      <c r="F111" t="inlineStr"/>
      <c r="G111" t="inlineStr">
        <is>
          <t>Redmond, WA</t>
        </is>
      </c>
      <c r="H111" t="inlineStr"/>
      <c r="I111"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**Data Scientist – Player Lifecycle Marketing (Hybrid – Redmond, WA)** 
**In This Role** 
 In this role, you will drive actionable insights that inform Player Lifecycle Marketing strategy for a large AAA gaming studio. You will partner closely with marketing, product, and engineering teams to ensure a strong data pipeline from database to reporting. You will analyze marketing A/B test results, evaluate evergreen campaign performance, and develop data\-driven recommendations to optimize player engagement, retention, and post\-sale monetization.
 You will transform complex analyses into clear, executive\-ready narratives that connect campaign activity to measurable business outcomes — answering: What happened? Why? So what? What should we do next?
 This is a highly visible role within a well\-known gaming franchise, offering the opportunity to influence major business decisions.
**Responsibilities** 
* Perform data exploration, profiling, and proof\-of\-concept table creation to support engineering partners in improving the production data environment
* Maintain and enhance Power BI dashboards to help stakeholders understand campaign\-level and lifecycle performance impact
* Build and maintain causal inference frameworks and pipelines
* Analyze marketing A/B test results and evergreen campaigns to identify statistically significant impact
* Provide data\-driven recommendations to optimize player engagement, retention, and monetization
* Develop prioritized action plans with clear expected business impact
* Synthesize insights into compelling narratives that connect player behavior changes to business outcomes
* Create executive\-ready readouts including presentation decks, annotated dashboards, and written summaries
* Build and socialize lifecycle funnel frameworks to create shared understanding across stakeholders
* Clearly communicate assumptions, limitations, and confidence levels in analysis
* Collaborate with marketing, product managers, and engineering to define success metrics and measurement plans
* Provide concise and consistent cross\-functional communication
* Recommend future experiments and testing roadmap additions
**Qualifications (Required)** 
* 7\+ years of overall experience in data science, analytics, or related field
* 5\+ years of hands\-on SQL experience
* 5\+ years of Python experience
* 5\+ years presenting data insights to stakeholders (technical and non\-technical audiences)
* 3\+ years building dashboards (Power BI preferred)
* 5\+ years in data analytics including data profiling and table creation
* Strong experience analyzing marketing campaigns and experimentation results
* Experience identifying statistically significant campaign impact
* Strong data visualization skills with ability to create decision\-ready outputs
* Ability to translate complex analyses into business insights and clear recommendations
* Excellent written and verbal communication skills
* Ability to work in fast\-paced, cross\-functional environments
**Preferred Qualifications** 
* Experience in gaming industry
* Experience with lifecycle or performance marketing analytics
* Experience building causal inference frameworks
* Familiarity with SparkSQL, Databricks, or Azure Data Explorer
* Experience with marketing platforms such as Braze, Salesforce, or CleverTap
* Familiarity with PySpark
* Experience working with large\-scale production data environments
* Strong storytelling ability connecting data → insight → action
* Interest in gaming and player behavior analytics
**Salary Range** 
 At Blueprint, we strive to offer competitive pay that reflects the value of our team members. Compensation for this role is influenced by a variety of factors, including skills, education, responsibilities, experience, and geographic market. For candidates based in Washington State, the anticipated salary range is
 **$140,000 to $150,000 per annum** 
 . Please note that we typically do not hire new employees at the top of the posted range. Actual starting pay will be determined based on experience, skills, and internal equity. The final salary and job title may vary depending on the selected candidate’s qualifications and could fall outside the stated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 Medical, dental, and vision coverage
* Flexible Spending Account
* 401k program
* Competitive PTO offerings
* Parental Leave
* Opportunities for professional growth and development
**Location:** 
 Hybrid, Redmond, WA</t>
        </is>
      </c>
    </row>
    <row r="112">
      <c r="A112" t="inlineStr">
        <is>
          <t>li-4374527577</t>
        </is>
      </c>
      <c r="B112" t="inlineStr">
        <is>
          <t>Full Stack Data Scientist</t>
        </is>
      </c>
      <c r="C112" t="inlineStr">
        <is>
          <t>rockITdata</t>
        </is>
      </c>
      <c r="D112" t="inlineStr">
        <is>
          <t>linkedin</t>
        </is>
      </c>
      <c r="E112">
        <f>HYPERLINK("https://www.linkedin.com/jobs/view/4374527577", "https://www.linkedin.com/jobs/view/4374527577")</f>
        <v/>
      </c>
      <c r="F112" t="inlineStr"/>
      <c r="G112" t="inlineStr"/>
      <c r="H112" t="inlineStr"/>
      <c r="I112" t="inlineStr">
        <is>
          <t>Driven by Innovation and built on Trust, rockITdata is a unique SDVOSB services company that partners with leading commercial healthcare/life sciences organizations on cutting edge innovations \- think AI, automation and data transformation. We then bring those commercially tested solutions to government entities to deliver predictable, measurable impact for the American taxpayer and consumer.
 We are seeking a highly skilled and innovative Full Stack Data Scientist to join our dynamic team. The ideal candidate will possess a strong background in both data science and software engineering, with a focus on developing end\-to\-end data\-driven solutions. This role offers an exciting opportunity to leverage advanced analytics and cutting\-edge technologies to drive impactful business outcomes. This is a Remote position.
**Key Responsibilities**
* Data Collection and Preprocessing:
+ Develop robust data pipelines for acquiring, cleaning, and preprocessing large\-scale datasets from various sources.
+ Implement strategies for data quality assessment and assurance to ensure reliable analysis outcomes.
* Exploratory Data Analysis and Visualization:
+ Conduct comprehensive exploratory data analysis to uncover patterns, trends, and insights within the data.
+ Create interactive visualizations and dashboards to effectively communicate findings to stakeholders.
* Machine Learning Model Development:
+ Design, develop, and deploy predictive models using advanced machine learning algorithms and techniques.
+ Optimize model performance through feature engineering, hyperparameter tuning, and model selection.
* Software Development and Integration:
+ Build scalable and efficient software solutions for deploying machine learning models into production environments.
+ Integrate data science workflows with existing systems and applications to enable seamless data\-driven decision\-making.
* Performance Monitoring and Maintenance:
+ Establish monitoring mechanisms to track the performance of deployed models and identify opportunities for improvement.
+ Conduct regular maintenance activities to ensure the reliability, stability, and scalability of data science solutions.
* Collaboration and Cross\-functional Communication:
+ Collaborate closely with cross\-functional teams including data engineers, software developers, and business stakeholders.
+ Communicate technical concepts and findings effectively to both technical and non\-technical audiences.
**Required Qualifications**
* Bachelor's or Master's degree in Computer Science, Data Science, Statistics, or a related field.
* Proven experience in data preprocessing, exploratory data analysis, and feature engineering.
* Expert\-level skills in data visualization platforms (e.g. Qlik, Tableau, Power BI)
* Proficiency in programming languages such as Python, R, and SQL for data manipulation and analysis.
* Strong understanding of machine learning algorithms and statistical modeling techniques.
* Hands\-on experience with machine learning libraries/frameworks such as TensorFlow, PyTorch, scikit\-learn, etc.
* Experience in developing and deploying end\-to\-end data science solutions in cloud environments (e.g., AWS, Azure, GCP).
* Solid understanding of software engineering principles and best practices for building scalable and maintainable code.
**Preferred Qualifications**
* Experience building solutions for Commercial clients in Pharma, Biotech, CPG, Retail or Manufacturing industries.
* Familiarity with containerization technologies such as Docker and orchestration tools like Kubernetes.
* Knowledge of DevOps practices for continuous integration and deployment (CI/CD).
* Experience with distributed computing frameworks for parallel processing (e.g., Dask, Ray).
* Strong problem\-solving skills and the ability to work effectively in a fast\-paced, collaborative environment.
**Here at rockITdata, we are committed to following our 10 Guiding Principles.**
 Our Guiding Principles define our culture. They’re who we are, how we work, and what inspires us to be the best. We empower our people to be themselves and encourage an entrepreneurial way of thinking. In our challenging, fast\-paced environment, no day is the same.
 Know the Why.
 Value People Above All Else.
 Transparency to a Fault.
 Progress, Not Perfection.
 Be Good by Doing Good.
 Smart People Can Disagree.
 Bend but Don’t Break.
 Represent Your Brand.
 Think Differently.
 Be Amazing, Be Fearless, Smile, Have Fun!
 Interested in joining something unique? Join us on our rockIT ship as we begin to blast off to the next chapter in our organization!
*rockITdata has become aware of a recruitment scam where unauthorized individuals are impersonating rockITdata recruiters, issuing fake job offers, and attempting to setup payment for the job seeker’s new hire costs. No one is ever required to complete any monetary transactions before starting employment with rockITdata. Legitimate rockITdata communications only come from @rockitdata.com email addresses and our official Applicant Tracking system, JazzHR (@applytojob.com email addresses). Please refer to our official Careers page at www.rockitdata.com/careers to accurately submit your application with us. You may also verify any suspicious communication by contacting our recruitment team directly through our official email, dreamjob@rockitdata.com.*
*rockITdata is an equal opportunity employer and is committed to non\-discrimination in all employment practices and decisions. All qualified applicants will receive consideration for employment without regard to disability status, veteran status or any characteristic protected by Federal, state, or local law.*
*rockITdata wants all interested and qualified candidates to be able to use our career site to review and apply for employment opportunities. If you have a disability and need an accommodation to access the application process, please contact us for assistance at dreamjob@rockitdata.com.*</t>
        </is>
      </c>
    </row>
    <row r="113">
      <c r="A113" t="inlineStr">
        <is>
          <t>li-4375847558</t>
        </is>
      </c>
      <c r="B113" t="inlineStr">
        <is>
          <t>Data Scientist</t>
        </is>
      </c>
      <c r="C113" t="inlineStr">
        <is>
          <t>Piper Companies</t>
        </is>
      </c>
      <c r="D113" t="inlineStr">
        <is>
          <t>linkedin</t>
        </is>
      </c>
      <c r="E113">
        <f>HYPERLINK("https://www.linkedin.com/jobs/view/4375847558", "https://www.linkedin.com/jobs/view/4375847558")</f>
        <v/>
      </c>
      <c r="F113">
        <f>HYPERLINK("https://careers.pipercompanies.com/details/160448/data_scientist&amp;urlHash=TnjI", "https://careers.pipercompanies.com/details/160448/data_scientist&amp;urlHash=TnjI")</f>
        <v/>
      </c>
      <c r="G113" t="inlineStr"/>
      <c r="H113" t="inlineStr"/>
      <c r="I113" t="inlineStr">
        <is>
          <t>**Piper Companies** 
 is currently seeking a
 **Data Scientist** 
 for a fully remote opportunity with a leading analytics‑driven organization. This role is ideal for someone who is passionate about building predictive models, optimizing large datasets, and contributing to high‑impact machine‑learning initiatives. The position offers a competitive salary of $116,000 and does not require a clearance.
**Responsibilities of the Data Scientist:**
* Develop, train, and optimize machine‑learning models, including regularization techniques such as LASSO
* Build and maintain ML pipelines and support MLOps workflows across the full model lifecycle
* Analyze large‑scale datasets to drive insights, support decision‑making, and improve processes
* Utilize tools such as Python, PySpark, SQL, R, Databricks, MLFlow, GitHub, Docker, and Amazon SageMaker
* Ensure strong model governance, documentation, and reproducibility standards
* Present complex analytical findings to non‑technical stakeholders in a clear, actionable manner
**Qualifications of the Data Scientist:**
* 5\+ years of hands‑on data science experience
* Proficiency with Python, PySpark, SQL, and R
* Experience with Databricks and Amazon SageMaker
* Strong understanding of machine‑learning models, model tuning, and best‑practice MLOps
* Ability to work with large datasets and build production‑grade predictive models
* Excellent communication skills and ability to translate insights to cross‑functional teams
* Healthcare or claims analysis experience is a major plus
* SAS experience preferred but not required
* No security clearance required
**Compensation \&amp; Benefits of the Data Scientist:**
* Salary: $116,000 annually
* Benefits include: Medical, Dental, Vision, 401(k), PTO, Holidays, and Sick Leave (as required by law)
 Keywords:
 Data Scientist, machine learning, MLOps, ML pipelines, Python, PySpark, SQL, R, Databricks, Amazon SageMaker, MLFlow, Docker, GitHub, predictive modeling, data analysis, healthcare analytics, claims data, SAS, big data, model tuning, model governance, AI engineering, remote, work from home, data engineering, analytics, statistical modeling
 Job applicants will be accepted for at least 30 days after 2/18\.</t>
        </is>
      </c>
    </row>
    <row r="114">
      <c r="A114" t="inlineStr">
        <is>
          <t>li-4376012410</t>
        </is>
      </c>
      <c r="B114" t="inlineStr">
        <is>
          <t>Data Scientist</t>
        </is>
      </c>
      <c r="C114" t="inlineStr">
        <is>
          <t>TMS</t>
        </is>
      </c>
      <c r="D114" t="inlineStr">
        <is>
          <t>linkedin</t>
        </is>
      </c>
      <c r="E114">
        <f>HYPERLINK("https://www.linkedin.com/jobs/view/4376012410", "https://www.linkedin.com/jobs/view/4376012410")</f>
        <v/>
      </c>
      <c r="F114">
        <f>HYPERLINK("https://workforcenow.adp.com/mascsr/default/mdf/recruitment/recruitment.html?cid=227380c2-b7ef-4c34-8220-db444305af06&amp;ccId=19000101_000001&amp;lang=en_US&amp;jobId=947363&amp;source=LI&amp;urlHash=KMAN", "https://workforcenow.adp.com/mascsr/default/mdf/recruitment/recruitment.html?cid=227380c2-b7ef-4c34-8220-db444305af06&amp;ccId=19000101_000001&amp;lang=en_US&amp;jobId=947363&amp;source=LI&amp;urlHash=KMAN")</f>
        <v/>
      </c>
      <c r="G114" t="inlineStr">
        <is>
          <t>Frederick, MD</t>
        </is>
      </c>
      <c r="H114" t="inlineStr"/>
      <c r="I114" t="inlineStr">
        <is>
          <t>Transportation Management Services (TMS) provides industry leading transportation and parking solutions for public and private meetings, conventions, and special events as well as emergency transportation services for government agencies. Supported by our service\-first mindset and data\-driven approach, our mission is to move people safely and reliably while delivering a personal and positive experience that aligns with our client’s goals. TMS is the global leader in ground transportation management, logistics, mobility and venue solutions, renowned for delivering top\-tier services for the world's most complex events with unwavering confidence and integrity. With over 30 years of industry experience, we proudly reflect on managing transportation for more than 1,450 events and contracts, safely transporting over 120 million passengers. Our prestigious portfolio includes supporting events such as the FIFA World Cup, Olympic and Paralympic Games, Formula One, NBA, Kentucky Derby, Coachella, and major corporations like Microsoft and Google. We also support citywide events and trade shows such as NAHB, SEMA, NACS, and ICSC. Our aim is to be distinguished by the quality of our work, fostering a legacy of trust and superior performance.
**Position Title: Data Scientist**
**Reporting Manager: CIO**
**Position Summary**
 TMS has an immediate opening for a Data Scientist located at our headquarters in Frederick, MD. This role will support operational, financial, and client\-facing teams by transforming data into actionable insights. The ideal candidate is hands\-on, analytical, and comfortable working across the full data lifecycle—from ingestion and modeling to visualization and decision support.
**Responsibilities**
* Design, build, and maintain data models and analytical datasets using enterprise data warehouse tools (e.g., Snowflake)
* Develop, maintain, and optimize data pipelines and workflows within the AWS environment
* Analyze operational, event, and transportation datasets to identify trends, risks, and optimization opportunities
* Create dashboards, reports, and visualizations using tools such as Tableau and Power BI
* Partner with Operations, Finance, IT, and Client Services to define data requirements and reporting needs
* Ensure data quality, consistency, and reliability across systems, document data sources, models, and assumptions
* Support ad\-hoc analysis requests related to event operations and forecasting, perform other job\-related duties as needed
**Qualifications And Requirements**
* BA/BS degree from an accredited college/university or equivalent experience,
* 2–5 years of experience in a data analytics or data science role
* Experience with Snowflake and AWS
* Strong SQL skills: Python preferred
* Experience with Tableau and/or Power BI
* Strong communication and problem\-solving skills
 The employees’ responsibilities reflect current needs and requirements of the Company as of the date of issuing this position description. However, the services that the employee is required to provide for the Company may change over time as circumstances dictate.
**Compensation \&amp; Benefit Package**
 A competitive compensation package commensurate with experience. Additionally, enjoy comprehensive Health, Vision \&amp; Dental insurance, ample Paid Time Off, and a 401K plan.
 TMS is proud to be an Equal Opportunity Employer (EOE).  We celebrate diversity and are committed to creating an inclusive environment for all employees.  We do not discriminate based on race, religion, color, national origin, gender, sexual orientation, age, marital status, veteran status, disability status, or any other characteristic protected by law.</t>
        </is>
      </c>
    </row>
    <row r="115">
      <c r="A115" t="inlineStr">
        <is>
          <t>li-4377030234</t>
        </is>
      </c>
      <c r="B115" t="inlineStr">
        <is>
          <t>Data Analyst/Data Scientist M/F/D</t>
        </is>
      </c>
      <c r="C115" t="inlineStr">
        <is>
          <t>Agilent Technologies</t>
        </is>
      </c>
      <c r="D115" t="inlineStr">
        <is>
          <t>linkedin</t>
        </is>
      </c>
      <c r="E115">
        <f>HYPERLINK("https://www.linkedin.com/jobs/view/4377030234", "https://www.linkedin.com/jobs/view/4377030234")</f>
        <v/>
      </c>
      <c r="F115">
        <f>HYPERLINK("https://agilent.wd5.myworkdayjobs.com/Agilent_Careers/job/UK-Remote-Location-Harwell/Data-Analyst-M-F-D_4035241/?source=LinkedIn_JP&amp;urlHash=xccl", "https://agilent.wd5.myworkdayjobs.com/Agilent_Careers/job/UK-Remote-Location-Harwell/Data-Analyst-M-F-D_4035241/?source=LinkedIn_JP&amp;urlHash=xccl")</f>
        <v/>
      </c>
      <c r="G115" t="inlineStr">
        <is>
          <t>Olympia, WA</t>
        </is>
      </c>
      <c r="H115" t="inlineStr"/>
      <c r="I115"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16">
      <c r="A116" t="inlineStr">
        <is>
          <t>li-4377033107</t>
        </is>
      </c>
      <c r="B116" t="inlineStr">
        <is>
          <t>Data Analyst/Data Scientist M/F/D</t>
        </is>
      </c>
      <c r="C116" t="inlineStr">
        <is>
          <t>Agilent Technologies</t>
        </is>
      </c>
      <c r="D116" t="inlineStr">
        <is>
          <t>linkedin</t>
        </is>
      </c>
      <c r="E116">
        <f>HYPERLINK("https://www.linkedin.com/jobs/view/4377033107", "https://www.linkedin.com/jobs/view/4377033107")</f>
        <v/>
      </c>
      <c r="F116" t="inlineStr"/>
      <c r="G116" t="inlineStr">
        <is>
          <t>Denver, NY</t>
        </is>
      </c>
      <c r="H116" t="inlineStr"/>
      <c r="I116"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17">
      <c r="A117" t="inlineStr">
        <is>
          <t>li-4377023595</t>
        </is>
      </c>
      <c r="B117" t="inlineStr">
        <is>
          <t>Data Analyst/Data Scientist M/F/D</t>
        </is>
      </c>
      <c r="C117" t="inlineStr">
        <is>
          <t>Agilent Technologies</t>
        </is>
      </c>
      <c r="D117" t="inlineStr">
        <is>
          <t>linkedin</t>
        </is>
      </c>
      <c r="E117">
        <f>HYPERLINK("https://www.linkedin.com/jobs/view/4377023595", "https://www.linkedin.com/jobs/view/4377023595")</f>
        <v/>
      </c>
      <c r="F117" t="inlineStr"/>
      <c r="G117" t="inlineStr">
        <is>
          <t>Springfield, LA</t>
        </is>
      </c>
      <c r="H117" t="inlineStr"/>
      <c r="I117"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18">
      <c r="A118" t="inlineStr">
        <is>
          <t>li-4377013934</t>
        </is>
      </c>
      <c r="B118" t="inlineStr">
        <is>
          <t>Data Analyst/Data Scientist M/F/D</t>
        </is>
      </c>
      <c r="C118" t="inlineStr">
        <is>
          <t>Agilent Technologies</t>
        </is>
      </c>
      <c r="D118" t="inlineStr">
        <is>
          <t>linkedin</t>
        </is>
      </c>
      <c r="E118">
        <f>HYPERLINK("https://www.linkedin.com/jobs/view/4377013934", "https://www.linkedin.com/jobs/view/4377013934")</f>
        <v/>
      </c>
      <c r="F118">
        <f>HYPERLINK("https://agilent.wd5.myworkdayjobs.com/Agilent_Careers/job/UK-Remote-Location-Harwell/Data-Analyst-M-F-D_4035241/?source=LinkedIn_JP&amp;urlHash=xccl", "https://agilent.wd5.myworkdayjobs.com/Agilent_Careers/job/UK-Remote-Location-Harwell/Data-Analyst-M-F-D_4035241/?source=LinkedIn_JP&amp;urlHash=xccl")</f>
        <v/>
      </c>
      <c r="G118" t="inlineStr">
        <is>
          <t>Cheyenne, WY</t>
        </is>
      </c>
      <c r="H118" t="inlineStr"/>
      <c r="I118"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19">
      <c r="A119" t="inlineStr">
        <is>
          <t>li-4377025592</t>
        </is>
      </c>
      <c r="B119" t="inlineStr">
        <is>
          <t>Data Analyst/Data Scientist M/F/D</t>
        </is>
      </c>
      <c r="C119" t="inlineStr">
        <is>
          <t>Agilent Technologies</t>
        </is>
      </c>
      <c r="D119" t="inlineStr">
        <is>
          <t>linkedin</t>
        </is>
      </c>
      <c r="E119">
        <f>HYPERLINK("https://www.linkedin.com/jobs/view/4377025592", "https://www.linkedin.com/jobs/view/4377025592")</f>
        <v/>
      </c>
      <c r="F119">
        <f>HYPERLINK("https://agilent.wd5.myworkdayjobs.com/Agilent_Careers/job/UK-Remote-Location-Harwell/Data-Analyst-M-F-D_4035241/?source=LinkedIn_JP&amp;urlHash=xccl", "https://agilent.wd5.myworkdayjobs.com/Agilent_Careers/job/UK-Remote-Location-Harwell/Data-Analyst-M-F-D_4035241/?source=LinkedIn_JP&amp;urlHash=xccl")</f>
        <v/>
      </c>
      <c r="G119" t="inlineStr">
        <is>
          <t>Cedar Creek, WI</t>
        </is>
      </c>
      <c r="H119" t="inlineStr"/>
      <c r="I119"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20">
      <c r="A120" t="inlineStr">
        <is>
          <t>li-4377040707</t>
        </is>
      </c>
      <c r="B120" t="inlineStr">
        <is>
          <t>Data Scientist (Transmission &amp; Substation Engineering)</t>
        </is>
      </c>
      <c r="C120" t="inlineStr">
        <is>
          <t>ComEd</t>
        </is>
      </c>
      <c r="D120" t="inlineStr">
        <is>
          <t>linkedin</t>
        </is>
      </c>
      <c r="E120">
        <f>HYPERLINK("https://www.linkedin.com/jobs/view/4377040707", "https://www.linkedin.com/jobs/view/4377040707")</f>
        <v/>
      </c>
      <c r="F120">
        <f>HYPERLINK("https://careers.comed.com/jobs/28474?lang=en-us&amp;iis=LinkedIn&amp;iisn=LinkedIn&amp;mode=apply&amp;urlHash=gVed", "https://careers.comed.com/jobs/28474?lang=en-us&amp;iis=LinkedIn&amp;iisn=LinkedIn&amp;mode=apply&amp;urlHash=gVed")</f>
        <v/>
      </c>
      <c r="G120" t="inlineStr">
        <is>
          <t>Oakbrook Terrace, IL</t>
        </is>
      </c>
      <c r="H120" t="inlineStr"/>
      <c r="I120"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20,000 colleagues strong serving more than 10\.7 million customers at six energy companies \-\- Atlantic City Electric (ACE), Baltimore Gas and Electric (BGE), Commonwealth Edison (ComEd), Delmarva Power \&amp; Light (DPL), PECO Energy Company (PECO), and Potomac Electric Power Company (Pepco).
 We're committed to creating an environment where every person can thrive. Our employee experience is grounded in four tenets that guide how we support our people: purposeful careers, growth opportunities, community impact, and support to thrive.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The Data Scientist (Transmission \&amp; Substation Engineering) at ComEd will apply the scientific method to extract knowledge and insights from data, which may take the form of time\-series (T\&amp;S Equipment for eg circuit breakers, transformers, relays etc.), structured (relational data stores), and unstructured (text and multi\-media) data sets. Train state of the art algorithmical models, including but not limited to tree\-based approaches and neural networks, and implement those models into a production environment following the established machine learning approaches. Closely collaborate with various internal stakeholders, information architects, data engineers, project/program managers, and other teams to turn data into analytics\-driven products and inform decision making. This requires understanding business needs, providing and receiving regular feedback, and planning the proper transfer of developed solutions. Validate findings with the business by sharing analysis outputs in a way that can be understood by business stakeholders. Become a subject matter expert in the areas of artificial intelligence, machine learning, feature engineering, and high\-performance computing. Demonstrate commitment to continuous learning and professional development in technical subject matter. Share knowledge with team members, and business stakeholders, and partners. A successful candidate will quickly adopt the team's established working processes and toolkit while growing his/her knowledge of the utilities industry. Position may be required to work extended hours for coverage during storms or other energy delivery emergencies.
**Primary Duties**
* Develop key predictive models that lead to delivering a premier customer experience, operating performance improvement, and increased safety best practices
* Analyze data using advanced analytics techniques in support of process improvement efforts using modern analytics frameworks, including but not limited to Python, R, Scala, or equivalent; Spark, Hadoop file system and others
* Access and analyze data sourced from various Company systems of record. Support the development of strategic business, marketing, and program implementation plans.
* Provide expert data and analytics support to multiple business units
* Access and enrich data warehouses across multiple Company departments. Build, modify, monitor and maintain high\-performance computing systems.
**Job Scope**
 Support business unit strategic planning while providing a strategic view on machine learning technologies. Advice and counsel key stakeholders on machine learning findings and recommend courses of action that redirect resources to improve operational performance or assist with overall emerging business issues. Provide key stakeholders with machine learning analyses that best positions the company going forward. Educate key stakeholders on the organizations advance analytics capabilities through internal presentations, training workshops, and publications.
**Minimum Qualifications**
* Bachelor's or Master's degree from a leading program in a Quantitative discipline. Ex: Applied Mathematics, Computer Science, Finance, Operations Research, Physics, Statistics, or related field
* 2\-4 years of relevant experience analyzing multi\-terabyte datasets is required (industry or academia). Previous research or professional experience applying advanced analytic techniques to large, complex datasets. Minimum of 1\-2 years of professional experience in a data scientist role.
* Strong knowledge in at least two of the following areas: machine learning, artificial intelligence, statistical modeling, data mining, information retrieval, or data visualization.
* Demonstratable experience in your analytics/statistics/visualization platform of choice, but preferably in the MS Azure suite as well as Python, SQL. Experience developing in Unix, using big data technologies like Spark, Dask, etc.
* Experience working within an open source environment and Unix\-based OS.
* Ability to translate data analysis and findings into coherent conclusions and actionable recommendations to business partners, practice leaders, and executives. Strong oral and written communication skills.
**Preferred Qualifications**
* Master's or PhD from a leading program in a Quantitative discipline
* Prior exposure to data structures pertaining to smart\-meters, billing, or outage management systems. Prior exposure to the utilities or broader energy sector.
* Solid understanding of relevant theories in machine learning, statistics, probability theory, data structures and algorithms, optimization, etc.
* Expert level coding skills (Python, R, Scala, etc), and experience developing in a Unix environment.
* Ability to translate executive and analytics leaders vision and guidance into methods and analytics. Strong time management and presentation skills. Experience presenting to diverse audiences including presenting to conferences and business symposia.
**Benefits**
* Annual salary will vary based on a candidate’s skills, qualifications, experience, and other factors: $74,400\.00/Yr. – $102,300\.00/Yr.
* Annual Bonus for eligible positions: 10%
* 401(k) match and annual company contribution
* Medical, dental and vision insurance
* Life and disability insurance
* Generous paid time off options, including vacation, sick time, floating and fixed holidays, maternity leave and bonding/primary caregiver leave or parental leave
* Employee Assistance Program and resources for mental and emotional support
* Wellbeing programs such as tuition reimbursement, adoption and surrogacy assistance and fitness reimbursement
* Referral bonus program
* And much more
 Note: Exelon\-sponsored compensation and benefit programs may vary or not apply based on length of service, job grade, job classification or represented status. Eligibility will be determined by the written plan or program documents.</t>
        </is>
      </c>
    </row>
    <row r="121">
      <c r="A121" t="inlineStr">
        <is>
          <t>li-4374534372</t>
        </is>
      </c>
      <c r="B121" t="inlineStr">
        <is>
          <t>Data Scientist (Manager)</t>
        </is>
      </c>
      <c r="C121" t="inlineStr">
        <is>
          <t>Huron</t>
        </is>
      </c>
      <c r="D121" t="inlineStr">
        <is>
          <t>linkedin</t>
        </is>
      </c>
      <c r="E121">
        <f>HYPERLINK("https://www.linkedin.com/jobs/view/4374534372", "https://www.linkedin.com/jobs/view/4374534372")</f>
        <v/>
      </c>
      <c r="F121">
        <f>HYPERLINK("https://huron.wd1.myworkdayjobs.com/huroncareers/job/Chicago\u002d\u002d-550-Van-Buren/Data-Scientist\u002d\u002dManager-_JR-0013625?source=LinkedIn_corporate_page&amp;urlHash=AU0p", "https://huron.wd1.myworkdayjobs.com/huroncareers/job/Chicago\u002d\u002d-550-Van-Buren/Data-Scientist\u002d\u002dManager-_JR-0013625?source=LinkedIn_corporate_page&amp;urlHash=AU0p")</f>
        <v/>
      </c>
      <c r="G121" t="inlineStr">
        <is>
          <t>Chicago, IL</t>
        </is>
      </c>
      <c r="H121" t="inlineStr"/>
      <c r="I121"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Huron is a global consultancy that collaborates with clients to drive strategic growth, ignite innovation, and navigate constant change. We're seeking a Data Science Manager to join the Data Science \&amp; Machine Learning team in our Commercial Digital practice, where you'll lead advanced analytics initiatives that transform how Fortune 500 companies make decisions across Financial Services, Manufacturing, Energy \&amp; Utilities, and other commercial industries.
 Managers play a vibrant, integral role at Huron. Their invaluable knowledge reflects in the projects they manage and the teams they lead. Known for building long\-standing partnerships with clients, they collaborate with colleagues to solve their most important challenges. Our Managers also spend significant time mentoring junior staff on the engagement team—sharing expertise, feedback, and encouragement. This promotes a culture of respect, unity, collaboration, and personal achievement.
 This isn't a reporting role or a dashboard factory—you'll own the full analytics lifecycle from hypothesis formulation through insight delivery, while leading and developing a team of data scientists and analysts. You'll work on problems that matter: experimental designs that validate multi\-million\-dollar strategies, predictive models that surface hidden patterns in complex data, and deep learning pipelines that extract signal from unstructured text, images, and time\-series. Our clients are Fortune 500 companies looking for partners who can find the signal in the noise and tell the story that drives action.
 The variety is real. In your first year, you might lead a customer segmentation and lifetime value analysis for a financial services firm, design and analyze a pricing experiment for a global manufacturer, and build an agentic anomaly detection system for a utility company's operational data—all while developing the next generation of data science talent at Huron. If you thrive on rigorous analysis, clear communication of complex findings, and building high\-performing teams, this role is for you.
 What You'll Do
* Lead and mentor junior data scientists and analysts—provide technical guidance, review analytical approaches and code, and support professional development. Foster a culture of intellectual curiosity, rigorous methodology, and clear communication within the team.
* Manage complex multi\-workstream analytics projects—oversee project planning, resource allocation, and delivery timelines. Ensure analyses meet quality standards and client expectations while maintaining methodological rigor.
* Design and execute end\-to\-end data science workflows—from problem framing and hypothesis development through exploratory analysis, modeling, validation, and insight delivery. Own the analytical approach and ensure conclusions are defensible.
* Lead development of both traditional statistical and modern AI\-powered analyses—including regression, classification, clustering, causal inference, A/B testing, and modern deep learning approaches using embeddings, transformer architectures, and foundation models for text, time\-series, and multimodal analysis.
* Build predictive and prescriptive models that drive business decisions—customer segmentation, churn prediction, demand forecasting, pricing optimization, risk scoring, and operational efficiency analysis for commercial enterprises.
* Translate complex analytical findings into actionable insights—create compelling data narratives, develop executive\-ready presentations, and communicate technical results to non\-technical stakeholders in ways that drive decisions.
* Serve as a trusted advisor to clients—build long\-standing partnerships, deeply understand business problems, formulate the right analytical questions, and deliver insights that create measurable value.
* Contribute to practice development—participate in business development activities, develop reusable analytical frameworks and methodologies, and help shape the technical direction of Huron's DSML capabilities.
**Required Qualifications**
* 5\+ years of hands\-on experience conducting data science and advanced analytics—not just ad\-hoc analysis, but structured analytical projects that drove business decisions. You've framed problems, developed hypotheses, analyzed data, and delivered insights that created measurable impact.
* Experience leading and developing technical teams—including coaching, mentorship, methodology review, and performance management. Demonstrated ability to build high\-performing teams and develop junior talent.
* Strong Python and SQL programming skills with deep experience in the data science ecosystem (Pandas, NumPy, Scikit\-learn, statsmodels, visualization libraries). Comfortable writing production\-quality code, not just notebooks.
* Solid foundation in statistics and machine learning: hypothesis testing, regression analysis, classification, clustering, experimental design, causal inference, and understanding of when different approaches are appropriate for different questions.
* Experience with deep learning and modern neural architectures—understanding of transformer models, embeddings, transfer learning, and how to leverage foundation models for analytical tasks. You know when ML approaches add value over classical methods, and how to integrate them into rigorous analytical workflows.
* Proficiency with data platforms: Microsoft Fabric, Snowflake, Databricks, or similar cloud analytics environments. You're comfortable working with large datasets and can optimize queries for performance.
* Exceptional communication and data storytelling skills—ability to distill complex analyses into clear narratives, create compelling visualizations, lead client meetings, and build trusted relationships with executive audiences. This is non\-negotiable.
* Bachelor's degree in Statistics, Mathematics, Economics, Computer Science, or related quantitative field (or equivalent practical experience).
* Willingness to travel approximately 30% to client sites as needed.
**Preferred Qualifications**
* Experience in Financial Services, Manufacturing, or Energy \&amp; Utilities industries.
* Background in experimental design, A/B testing, and causal inference methodologies—including propensity score matching, difference\-in\-differences, or instrumental variables.
* Hands\-on experience with deep learning frameworks (PyTorch, TensorFlow) and neural architectures—including transformers, attention mechanisms, and fine\-tuning pretrained models for NLP, time\-series, or tabular data applications.
* Experience building AI\-assisted analytical workflows—leveraging foundation model APIs, vector databases, and retrieval systems to accelerate insight extraction from unstructured data.
* Experience with Bayesian methods, probabilistic programming (PyMC, NumPyro, etc.), or uncertainty quantification in business contexts.
* Strong visualization and data interface design and development skills using programmatic visualization libraries (Plotly, Altair, D3\). Proficiency with AI\-assisted rapid data application development using Cursor, Lovable, v0, etc.
* Experience with time\-series analysis, forecasting methods (ARIMA, Prophet, neural forecasting), and demand planning applications.
* Cloud certifications (Azure Data Scientist, Databricks ML Associate, AWS ML Specialty).
* Consulting experience or demonstrated ability to work across multiple domains and adapt quickly to new problem spaces.
* Master's degree or PhD in Statistics, Applied Mathematics, Economics, or related quantitative field.
 Why Huron
**Variety that accelerates your growth.** 
 In consulting, you'll work across industries and analytical challenges that would take a decade to encounter at a single company. Our Commercial segment spans Financial Services, Manufacturing, Energy \&amp; Utilities, and more—each engagement is a new domain to master and a new problem to crack.
**Impact you can measure.** 
 Our clients are Fortune 500 companies making significant investments in analytics and AI. The insights you generate will inform real decisions—pricing strategies, customer segmentation, operational improvements, strategic investments. You'll see your analysis drive outcomes.
**A team that thinks deeply.** 
 Huron's Data Science \&amp; Machine Learning team is a close\-knit group of practitioners, not just advisors. We develop hypotheses, analyze data, and deliver insights that hold up to scrutiny. You'll work alongside data scientists and engineers who care about getting the answer right and telling the story clearly.
**Investment in your development.** 
 We provide resources for continuous learning, conference attendance, and certification. As our DSML practice grows, there's significant opportunity to take on technical leadership, shape our capabilities, and advance to senior leadership roles.
****Position Level****
 Manager
****Country****
 United States of America</t>
        </is>
      </c>
    </row>
    <row r="122">
      <c r="A122" t="inlineStr">
        <is>
          <t>li-4377013931</t>
        </is>
      </c>
      <c r="B122" t="inlineStr">
        <is>
          <t>Data Analyst/Data Scientist M/F/D</t>
        </is>
      </c>
      <c r="C122" t="inlineStr">
        <is>
          <t>Agilent Technologies</t>
        </is>
      </c>
      <c r="D122" t="inlineStr">
        <is>
          <t>linkedin</t>
        </is>
      </c>
      <c r="E122">
        <f>HYPERLINK("https://www.linkedin.com/jobs/view/4377013931", "https://www.linkedin.com/jobs/view/4377013931")</f>
        <v/>
      </c>
      <c r="F122">
        <f>HYPERLINK("https://agilent.wd5.myworkdayjobs.com/Agilent_Careers/job/UK-Remote-Location-Harwell/Data-Analyst-M-F-D_4035241/?source=LinkedIn_JP&amp;urlHash=xccl", "https://agilent.wd5.myworkdayjobs.com/Agilent_Careers/job/UK-Remote-Location-Harwell/Data-Analyst-M-F-D_4035241/?source=LinkedIn_JP&amp;urlHash=xccl")</f>
        <v/>
      </c>
      <c r="G122" t="inlineStr">
        <is>
          <t>Santa Fe, OK</t>
        </is>
      </c>
      <c r="H122" t="inlineStr"/>
      <c r="I122"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23">
      <c r="A123" t="inlineStr">
        <is>
          <t>li-4377083492</t>
        </is>
      </c>
      <c r="B123" t="inlineStr">
        <is>
          <t>Sr. Applied Scientist, Prime Video - Personalization and Discovery Science</t>
        </is>
      </c>
      <c r="C123" t="inlineStr">
        <is>
          <t>Prime Video &amp; Amazon MGM Studios</t>
        </is>
      </c>
      <c r="D123" t="inlineStr">
        <is>
          <t>linkedin</t>
        </is>
      </c>
      <c r="E123">
        <f>HYPERLINK("https://www.linkedin.com/jobs/view/4377083492", "https://www.linkedin.com/jobs/view/4377083492")</f>
        <v/>
      </c>
      <c r="F123" t="inlineStr"/>
      <c r="G123" t="inlineStr">
        <is>
          <t>Sunnyvale, CA</t>
        </is>
      </c>
      <c r="H123" t="inlineStr"/>
      <c r="I123"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Our organization is building world\-class teams with deep expertise in large\-scale recommender systems. This role sits at the intersection of AI research and direct business impact, where recommendation quality directly influences business outcomes and customer satisfaction. You'll be joining a team focused on foundational models for recommender systems and working on production systems that serve millions of customers and shape the future of personalized entertainment experiences.
 We're seeking talent who can deliver measurable impact on our core business metrics while advancing the state\-of\-the\-art in personalization and recommendation technology.
 Key job responsibilities
* Develop AI solutions for various Prime Video Search \&amp; Recommendation systems using Deep Learning, Reinforcement Learning, Optimization Methods, and most importantly, GenAI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The Prime Video \- Personalization \&amp; Discovery Science team owns science solution to power search experience on various devices, from sourcing, relevance, \&amp; ranking (to name a few). We are on a mission to deliver an AI\-first customer experience. At the heart of this transformation are our recommendation systems \-\- core, customer\-facing components that serve as primary drivers of engagement \&amp; growth.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
**Company** 
 \- Amazon.com Services LLC
 Job ID: A3187309</t>
        </is>
      </c>
    </row>
    <row r="124">
      <c r="A124" t="inlineStr">
        <is>
          <t>li-4377073878</t>
        </is>
      </c>
      <c r="B124" t="inlineStr">
        <is>
          <t>Data Scientist (Transmission &amp; Substation Engineering)</t>
        </is>
      </c>
      <c r="C124" t="inlineStr">
        <is>
          <t>Exelon</t>
        </is>
      </c>
      <c r="D124" t="inlineStr">
        <is>
          <t>linkedin</t>
        </is>
      </c>
      <c r="E124">
        <f>HYPERLINK("https://www.linkedin.com/jobs/view/4377073878", "https://www.linkedin.com/jobs/view/4377073878")</f>
        <v/>
      </c>
      <c r="F124">
        <f>HYPERLINK("https://jobs.exeloncorp.com/jobs/28474?lang=en-us&amp;iis=LinkedIn&amp;iisn=LinkedIn&amp;mode=apply&amp;urlHash=HoS7", "https://jobs.exeloncorp.com/jobs/28474?lang=en-us&amp;iis=LinkedIn&amp;iisn=LinkedIn&amp;mode=apply&amp;urlHash=HoS7")</f>
        <v/>
      </c>
      <c r="G124" t="inlineStr">
        <is>
          <t>Villa Park, IL</t>
        </is>
      </c>
      <c r="H124" t="inlineStr"/>
      <c r="I124"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20,000 colleagues strong serving more than 10\.7 million customers at six energy companies \-\- Atlantic City Electric (ACE), Baltimore Gas and Electric (BGE), Commonwealth Edison (ComEd), Delmarva Power \&amp; Light (DPL), PECO Energy Company (PECO), and Potomac Electric Power Company (Pepco).
 We're committed to creating an environment where every person can thrive. Our employee experience is grounded in four tenets that guide how we support our people: purposeful careers, growth opportunities, community impact, and support to thrive.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The Data Scientist (Transmission \&amp; Substation Engineering) at ComEd will apply the scientific method to extract knowledge and insights from data, which may take the form of time\-series (T\&amp;S Equipment for eg circuit breakers, transformers, relays etc.), structured (relational data stores), and unstructured (text and multi\-media) data sets. Train state of the art algorithmical models, including but not limited to tree\-based approaches and neural networks, and implement those models into a production environment following the established machine learning approaches. Closely collaborate with various internal stakeholders, information architects, data engineers, project/program managers, and other teams to turn data into analytics\-driven products and inform decision making. This requires understanding business needs, providing and receiving regular feedback, and planning the proper transfer of developed solutions. Validate findings with the business by sharing analysis outputs in a way that can be understood by business stakeholders. Become a subject matter expert in the areas of artificial intelligence, machine learning, feature engineering, and high\-performance computing. Demonstrate commitment to continuous learning and professional development in technical subject matter. Share knowledge with team members, and business stakeholders, and partners. A successful candidate will quickly adopt the team's established working processes and toolkit while growing his/her knowledge of the utilities industry. Position may be required to work extended hours for coverage during storms or other energy delivery emergencies.
**Primary Duties**
* Develop key predictive models that lead to delivering a premier customer experience, operating performance improvement, and increased safety best practices
* Analyze data using advanced analytics techniques in support of process improvement efforts using modern analytics frameworks, including but not limited to Python, R, Scala, or equivalent; Spark, Hadoop file system and others
* Access and analyze data sourced from various Company systems of record. Support the development of strategic business, marketing, and program implementation plans.
* Provide expert data and analytics support to multiple business units
* Access and enrich data warehouses across multiple Company departments. Build, modify, monitor and maintain high\-performance computing systems.
**Job Scope**
 Support business unit strategic planning while providing a strategic view on machine learning technologies. Advice and counsel key stakeholders on machine learning findings and recommend courses of action that redirect resources to improve operational performance or assist with overall emerging business issues. Provide key stakeholders with machine learning analyses that best positions the company going forward. Educate key stakeholders on the organizations advance analytics capabilities through internal presentations, training workshops, and publications.
**Minimum Qualifications**
* Bachelor's or Master's degree from a leading program in a Quantitative discipline. Ex: Applied Mathematics, Computer Science, Finance, Operations Research, Physics, Statistics, or related field
* 2\-4 years of relevant experience analyzing multi\-terabyte datasets is required (industry or academia). Previous research or professional experience applying advanced analytic techniques to large, complex datasets. Minimum of 1\-2 years of professional experience in a data scientist role.
* Strong knowledge in at least two of the following areas: machine learning, artificial intelligence, statistical modeling, data mining, information retrieval, or data visualization.
* Demonstratable experience in your analytics/statistics/visualization platform of choice, but preferably in the MS Azure suite as well as Python, SQL. Experience developing in Unix, using big data technologies like Spark, Dask, etc.
* Experience working within an open source environment and Unix\-based OS.
* Ability to translate data analysis and findings into coherent conclusions and actionable recommendations to business partners, practice leaders, and executives. Strong oral and written communication skills.
**Preferred Qualifications**
* Master's or PhD from a leading program in a Quantitative discipline
* Prior exposure to data structures pertaining to smart\-meters, billing, or outage management systems. Prior exposure to the utilities or broader energy sector.
* Solid understanding of relevant theories in machine learning, statistics, probability theory, data structures and algorithms, optimization, etc.
* Expert level coding skills (Python, R, Scala, etc), and experience developing in a Unix environment.
* Ability to translate executive and analytics leaders vision and guidance into methods and analytics. Strong time management and presentation skills. Experience presenting to diverse audiences including presenting to conferences and business symposia.
**Benefits**
* Annual salary will vary based on a candidate’s skills, qualifications, experience, and other factors: $74,400\.00/Yr. – $102,300\.00/Yr.
* Annual Bonus for eligible positions: 10%
* 401(k) match and annual company contribution
* Medical, dental and vision insurance
* Life and disability insurance
* Generous paid time off options, including vacation, sick time, floating and fixed holidays, maternity leave and bonding/primary caregiver leave or parental leave
* Employee Assistance Program and resources for mental and emotional support
* Wellbeing programs such as tuition reimbursement, adoption and surrogacy assistance and fitness reimbursement
* Referral bonus program
* And much more
 Note: Exelon\-sponsored compensation and benefit programs may vary or not apply based on length of service, job grade, job classification or represented status. Eligibility will be determined by the written plan or program documents.</t>
        </is>
      </c>
    </row>
    <row r="125">
      <c r="A125" t="inlineStr">
        <is>
          <t>li-4377082514</t>
        </is>
      </c>
      <c r="B125" t="inlineStr">
        <is>
          <t>Sr. Applied Scientist, Prime Video - Personalization and Discovery Science</t>
        </is>
      </c>
      <c r="C125" t="inlineStr">
        <is>
          <t>Prime Video &amp; Amazon MGM Studios</t>
        </is>
      </c>
      <c r="D125" t="inlineStr">
        <is>
          <t>linkedin</t>
        </is>
      </c>
      <c r="E125">
        <f>HYPERLINK("https://www.linkedin.com/jobs/view/4377082514", "https://www.linkedin.com/jobs/view/4377082514")</f>
        <v/>
      </c>
      <c r="F125">
        <f>HYPERLINK("https://www.amazon.jobs/jobs/3187309/sr-applied-scientist-prime-video\u002d\u002dpersonalization-and-discovery-science?cmpid=SPLICX0248M&amp;utm_source=linkedin.com&amp;utm_campaign=cxro&amp;utm_medium=social_media&amp;utm_content=job_posting&amp;ss=paid&amp;urlHash=nzhV", "https://www.amazon.jobs/jobs/3187309/sr-applied-scientist-prime-video\u002d\u002dpersonalization-and-discovery-science?cmpid=SPLICX0248M&amp;utm_source=linkedin.com&amp;utm_campaign=cxro&amp;utm_medium=social_media&amp;utm_content=job_posting&amp;ss=paid&amp;urlHash=nzhV")</f>
        <v/>
      </c>
      <c r="G125" t="inlineStr">
        <is>
          <t>New York, United States</t>
        </is>
      </c>
      <c r="H125" t="inlineStr"/>
      <c r="I125"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Our organization is building world\-class teams with deep expertise in large\-scale recommender systems. This role sits at the intersection of AI research and direct business impact, where recommendation quality directly influences business outcomes and customer satisfaction. You'll be joining a team focused on foundational models for recommender systems and working on production systems that serve millions of customers and shape the future of personalized entertainment experiences.
 We're seeking talent who can deliver measurable impact on our core business metrics while advancing the state\-of\-the\-art in personalization and recommendation technology.
 Key job responsibilities
* Develop AI solutions for various Prime Video Search \&amp; Recommendation systems using Deep Learning, Reinforcement Learning, Optimization Methods, and most importantly, GenAI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The Prime Video \- Personalization \&amp; Discovery Science team owns science solution to power search experience on various devices, from sourcing, relevance, \&amp; ranking (to name a few). We are on a mission to deliver an AI\-first customer experience. At the heart of this transformation are our recommendation systems \-\- core, customer\-facing components that serve as primary drivers of engagement \&amp; growth.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
**Company** 
 \- Amazon.com Services LLC
 Job ID: A3187309</t>
        </is>
      </c>
    </row>
    <row r="126">
      <c r="A126" t="inlineStr">
        <is>
          <t>li-4376023115</t>
        </is>
      </c>
      <c r="B126" t="inlineStr">
        <is>
          <t>Senior Data Scientist</t>
        </is>
      </c>
      <c r="C126" t="inlineStr">
        <is>
          <t>hackajob</t>
        </is>
      </c>
      <c r="D126" t="inlineStr">
        <is>
          <t>linkedin</t>
        </is>
      </c>
      <c r="E126">
        <f>HYPERLINK("https://www.linkedin.com/jobs/view/4376023115", "https://www.linkedin.com/jobs/view/4376023115")</f>
        <v/>
      </c>
      <c r="F126">
        <f>HYPERLINK("https://www.hackajob.com/job/398f9fc7-07ae-11f1-b544-0a05e249917d-senior-data-scientist?utm_source=LinkedIn&amp;utm_medium=JobAds&amp;utm_term=Automated&amp;utm_campaign=mantech-senior-data-scientist&amp;job_name=senior-data-scientist&amp;company=mantech&amp;workplace_type=on-site&amp;city=doral&amp;country=united-states&amp;urlHash=tvhJ", "https://www.hackajob.com/job/398f9fc7-07ae-11f1-b544-0a05e249917d-senior-data-scientist?utm_source=LinkedIn&amp;utm_medium=JobAds&amp;utm_term=Automated&amp;utm_campaign=mantech-senior-data-scientist&amp;job_name=senior-data-scientist&amp;company=mantech&amp;workplace_type=on-site&amp;city=doral&amp;country=united-states&amp;urlHash=tvhJ")</f>
        <v/>
      </c>
      <c r="G126" t="inlineStr">
        <is>
          <t>Doral, FL</t>
        </is>
      </c>
      <c r="H126" t="inlineStr"/>
      <c r="I126" t="inlineStr">
        <is>
          <t>***hackajob** 
 is collaborating with
 **MANTECH** 
 to connect them with exceptional tech professionals for this role.*
**MANTECH** 
 seeks a highly skilled and mission\-driven
 **Senior Data Scientist** 
 to support mission\-critical intelligence operations in
 **Miami, Florida.**
 This role supports national security objectives by applying advanced data science, analytics, and GEOINT tradecraft across GEOINT, multi\-INT, and enterprise\-level analytic environments. You will work closely with analysts, operators, and mission partners to transform complex, multi\-source data into actionable intelligence that supports operational planning and strategic decision\-making.
**Responsibilities Include But Are Not Limited To**
* In this role, you will support the full analytic lifecycle and help operationalize advanced analytics to solve complex intelligence problems.
* Build, maintain, analyze, and visualize GEOINT, SIGINT, OSINT, and multi\-INT datasets to support descriptive, diagnostic, and predictive analysis aligned to mission and operational requirements.
* Apply advanced analytic methodologies, including statistical modeling, machine learning, and data mining, to improve mission effectiveness and analytic rigor.
* Conduct multi\-INT research to augment imagery analysis, provide mission\-specific context, and answer complex intelligence questions.
* Develop analytic dashboards, applications, and visualizations, and communicate insights through clear briefings, demonstrations, training events, and formal analytic publications.
* Operationalize analytic outputs by shaping results to directly support operational planning, decision\-making, and intelligence production.
* Collaborate with integrated analytic teams to solve mission\-driven problems while identifying system enhancements, capability gaps, and emerging technologies that strengthen analytic workflows and mission delivery.
**Minimum Qualifications**
* 10\+ years of relevant professional experience.
* Bachelor’s degree in Data Science, Computer Science, Engineering, Mathematics, or a related technical discipline, or 4\+ years of equivalent military or intelligence community experience.
* Demonstrated experience working with integrated analytic teams and applying documented analytic methodologies, including modern analytic tools to enhance workflow efficiency and rigor.
* Experience in data mining, database manipulation, and maintaining structured analytic datasets, including proficiency in data preprocessing, feature engineering, and preparing structured and unstructured data for advanced analysis.
* Experience with Python or R and scientific computing libraries such as NumPy and Pandas, applying machine learning and statistical modeling techniques including regression, clustering, classification, and time\-series analysis.
* Ability to evaluate model performance, conduct error analysis, and communicate analytic results clearly to technical and non\-technical audiences.
**Preferred Qualifications**
* Hands\-on experience with FADE tools, including MIST, INTELBOOK, LINX, and WATCH BOX, to discover, refine, and operationalize analytic insights.
* Proficiency with statistical and visualization tools such as Tableau, MATLAB, Brewlytics, JEMA, and MapLarge to analyze and present large, complex datasets.
* Experience with API\-driven data ingestion, ETL pipelines, microservice\-based analytic architectures, and distributed analytics frameworks such as Spark, Dask, or Ray.
* Experience operationalizing analytic and machine learning models into repeatable, scalable pipelines supporting intelligence production, including deep learning and computer vision techniques such as convolutional neural networks, segmentation, and object detection applied to GEOINT or multi\-INT datasets.
* Knowledge of Structured Observation Management tools, Object\-Based Production methodologies, and analytic standards.
* Understanding of transnational criminal organizations and illicit production networks.
* Experience developing new geospatial tradecraft, methods, or technologies from an operations research perspective.
* Demonstrated ability to lead technical and analytic teams in solving complex intelligence problems.
**Clearance Requirements**
* An active TS/SCI clearance with the ability to obtain and maintain a polygraph
**Physical Requirements**
* Must be able to remain in a stationary position for extended periods while working at a computer.
* Must be able to occasionally move about the work area to collaborate with team members and access mission systems.
* Must be able to communicate effectively with co\-workers, management, and customers to exchange accurate information and present analytic findings.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2026-02-24T03:33:05Z</dcterms:created>
  <dcterms:modified xsi:type="dcterms:W3CDTF">2026-02-24T03:33:05Z</dcterms:modified>
</cp:coreProperties>
</file>