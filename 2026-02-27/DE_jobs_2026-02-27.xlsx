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in-c341eb25b16ef9ac</t>
        </is>
      </c>
      <c r="B2" t="inlineStr">
        <is>
          <t>Mid-Senior BI / Data Engineer – Oracle HCM Analytics</t>
        </is>
      </c>
      <c r="C2" t="inlineStr">
        <is>
          <t>CloudRay Inc</t>
        </is>
      </c>
      <c r="D2" t="inlineStr">
        <is>
          <t>indeed</t>
        </is>
      </c>
      <c r="E2" t="inlineStr"/>
      <c r="F2" t="inlineStr"/>
      <c r="G2" t="inlineStr">
        <is>
          <t>IN, US</t>
        </is>
      </c>
      <c r="H2" s="1" t="n">
        <v>46079</v>
      </c>
      <c r="I2" t="inlineStr">
        <is>
          <t>**Location:** remote
**Joining Timeline:** Immediate
**Duration/Tenure:** FTE
**Work Mode:** Remote
Role Overview
We are seeking a skilled Mid\-Senior BI / Data Engineer with strong expertise in Oracle HCM
Analytics to design, build, and deliver scalable HR and workforce analytics solutions. The ideal
candidate will have a solid foundation in data engineering, advanced SQL skills, and hands\-on
experience with BI tools and modern data platforms.
Key Responsibilities
* Design, develop, and maintain scalable data models for HR, payroll, and workforce
analytics.
* Build and optimize complex SQL queries for advanced HCM data analysis and reporting.
* Develop interactive dashboards and reports using BI tools such as Tableau, Power BI, or
similar platforms.
* Design and manage ETL pipelines for Oracle HCM data integration using tools such as
Informatica, Talend, or equivalent.
* Leverage Python and PySpark for data transformation, cleansing, and large\-scale data
processing (Apache Spark knowledge preferred).
* Implement and support data warehousing solutions using modern databases such as
Snowflake, BigQuery, or similar platforms.
* Collaborate with business stakeholders to gather, groom, and clarify requirements;
translate business needs into analytical and reporting solutions.
* Participate in requirement sessions, create user stories, and ensure alignment between
business objectives and technical implementation.
* Ensure data accuracy, consistency, and governance across HR analytics solutions.
Required Qualifications
* 6–8\+ years of experience in Business Intelligence and/or Data Engineering.
* Strong hands\-on experience in Oracle HCM analytics and workforce reporting.
* Advanced SQL skills with experience handling complex datasets.
* Experience with at least one BI/reporting tool (Tableau, Power BI, etc.).
* Intermediate to advanced proficiency in Python and PySpark.
* Experience with at least one ETL tool (Informatica, Talend, etc.).
* Solid understanding of data warehousing concepts and dimensional modeling.
* Experience working with modern cloud data platforms (Snowflake, BigQuery, etc.).
* Experience with at least one ERP system (Oracle HCM preferred).
* Strong analytical and problem\-solving skills with the ability to work independently and
collaboratively.
Preferred Qualifications
* Functional knowledge of Oracle HCM modules.
* Experience building HCM dashboards using Incorta.
* Exposure to Agile methodologies and working with user stories and sprint cycles</t>
        </is>
      </c>
    </row>
    <row r="3">
      <c r="A3" t="inlineStr">
        <is>
          <t>in-05b421d451b57eac</t>
        </is>
      </c>
      <c r="B3" t="inlineStr">
        <is>
          <t>Staff Data Engineer - Large Driving Model, Autonomy</t>
        </is>
      </c>
      <c r="C3" t="inlineStr">
        <is>
          <t>Rivian</t>
        </is>
      </c>
      <c r="D3" t="inlineStr">
        <is>
          <t>indeed</t>
        </is>
      </c>
      <c r="E3" t="inlineStr"/>
      <c r="F3" t="inlineStr"/>
      <c r="G3" t="inlineStr">
        <is>
          <t>Palo Alto, CA, US</t>
        </is>
      </c>
      <c r="H3" s="1" t="n">
        <v>46079</v>
      </c>
      <c r="I3" t="inlineStr">
        <is>
          <t>About Us: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We are seeking a Staff Data Engineer to drive the advancement of our Large Driving Model (LDM). The successful candidate will be responsible for the end\-to\-end data strategy that fuels our models, from mining and curation to experimental collaboration. You will build the pipelines that surface high\-value examples, refine evaluation benchmarks, and partner closely with modeling teams to accelerate model performance. Your work will directly influence the intelligence and safety of our autonomous capabilities, serving as a critical pillar in our mission. If you are an independent technical leader, highly analytical, and passionate about data\-centric AI, we would like to talk with you!
Responsibilities:
* Build scalable data mining pipelines to extract rare and critical driving scenarios from fleet data.
* Curate and analyze large\-scale training datasets to improve the robustness and generalization of the Large Driving Model.
* Design and enhance evaluation frameworks to rigorously measure model performance against complex real\-world baselines.
* Collaborate closely with modeling engineers to define data requirements and iterate on rapid experimental loops.
* Identify trends, anomalies, and data distribution shifts that impact model training and validation.
* Serve as a key technical authority within the department, offering guidance on current and future data infrastructure and strategy.
* Navigate complex tradeoffs between data quality, scale, and compute budgets, ensuring architectural decisions align with company priorities.
* Empower fellow engineers by crafting easily extendable and collaborative designs and code.
* Display the ability to influence and foster consensus across data and modeling teams, even during challenging technical discussions.
Qualifications:
* B.S. or M.S. in Computer Science, Data Science, Robotics, Engineering, or a related field.
* 8\+ years of experience as a Data Engineer or Machine Learning Engineer, preferably within the autonomous driving, robotics, or LDM space.
* Demonstrated potential or experience in technical leadership (TLM), capable of mentoring engineers and managing project roadmaps.
* Demonstrated ability to set direction and guide the team towards it.
* Expert level knowledge and experience in Python, SQL, and distributed data processing frameworks.
* Solid understanding of data\-centric AI, dataset curation strategies, and model evaluation methodologies.
* Experience with large\-scale sensor data (LiDAR, Camera) or complex robotics systems.
* Excellent problem\-solving skills and attention to detail.
* Capable of working in a fast\-paced development environment.
* Good team player with excellent communication skills that can build team consensus.
* Passionately motivated to take ideas from experimental validation to a verified product.
* Hands\-on approach: Proactively identifies and fills in gaps where needed.
Pay Disclosure:
The salary range for this role is $209,800\.00 \- $285,000\.00 for California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March 6, 2026\.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4">
      <c r="A4" t="inlineStr">
        <is>
          <t>in-1c1ca4fadb364b85</t>
        </is>
      </c>
      <c r="B4" t="inlineStr">
        <is>
          <t>Sr. Data Engineer</t>
        </is>
      </c>
      <c r="C4" t="inlineStr">
        <is>
          <t>The Baldwin Group</t>
        </is>
      </c>
      <c r="D4" t="inlineStr">
        <is>
          <t>indeed</t>
        </is>
      </c>
      <c r="E4" t="inlineStr"/>
      <c r="F4" t="inlineStr"/>
      <c r="G4" t="inlineStr">
        <is>
          <t>Tampa, FL, US</t>
        </is>
      </c>
      <c r="H4" s="1" t="n">
        <v>46079</v>
      </c>
      <c r="I4" t="inlineStr">
        <is>
          <t>* Must be authorized to work in the U.S. without the need for employment\-based visa sponsorship now or in the future. We are unable to sponsor applicants for U.S. work visa status for this opportunity (no sponsorship is available for H\-1B, L\-1, O\-1, E\-3, H\-1B1, F\-1, J\-1, OPT, CPT or any other employment\-based visa).
**About the Role**
We are seeking a highly skilled **Senior Data Engineer** to join our Data Engineering \&amp; Platform organization. This role is ideal for someone passionate about building scalable data solutions, enabling cross\-functional data delivery, and raising engineering excellence across the organization. You will work on an advanced **Databricks\-on\-AWS** data platform and play a key role in transforming our data ecosystem—designing and building resilient pipelines, implementing CI/CD, and contributing to platform modernization efforts.
As a senior member of the team, you will partner with data engineers, analytics teams, product teams, and platform engineering to build high\-quality, production\-grade data solutions that power enterprise analytics, data science, and operational workloads.
**Key Responsibilities:**
**Data Engineering \&amp; Pipeline Development**
* Design, build, maintain, and optimize scalable data pipelines and ELT/ETL processes to ingest, process, and store large volumes of data from various sources.
* Architect robust batch and streaming solutions using PySpark, Spark SQL, and Databricks Jobs.
* Monitor and troubleshoot data pipelines and infrastructure to ensure high availability and performance.
* Ensure reliability, observability, and SLAs through monitoring, alerting, and automated recovery patterns.
* Implement and maintain data integration solutions, including APIs and data connectors, to facilitate data exchange between systems.
**Cloud Platform Engineering**
* Build and manage data solutions on AWS, leveraging services such as S3, Lambda, Glue, IAM, EC2, EKS, Step Functions, and EventBridge.
* Apply cloud engineering best practices for cost optimization, reliability, and security.
**CI/CD, DevOps, and Infrastructure\-as\-Code**
* Implement and maintain CI/CD pipelines using:
	+ Databricks Asset Bundles
	+ Terraform (IaC)
	+ GitHub Actions / Azure DevOps / Jenkins (depending on internal stack)
* Own deployment automation and environment management for data workloads and platform components.
* Contribute to reusable Terraform modules and engineering standards.
**Data Governance and Data Quality**
* Maintain data quality through validation frameworks (e.g., DQX, Great Expectations, Databricks expectations, custom frameworks).
* Ensure data quality, integrity, and security by implementing best practices for data governance and management.
* Implement governance and lineage through Unity Catalog, cataloging standards, and metadata best practices.
**Platform Modernization**
* Contribute to initiatives such as:
	+ Migration of pipelines from legacy integration tools to Lakeflow / Lakehouse\-native ingestion
	+ Improving infrastructure automation
	+ Enhancing data observability, testing, and deployment workflows
**Collaboration \&amp; Technical Leadership**
* Serve as a technical mentor to junior engineers.
* Partner closely with data analysts, data scientists, and business stakeholders to deliver enterprise data assets.
* Contribute to architecture decisions, design reviews, and platform roadmap conversations.
**Required Qualifications**
* 7\+ years of data engineering experience building production\-grade data pipelines.
* Deep expertise in **Databricks** , **Spark** , and **Delta Lake** .
* Hands\-on experience with **AWS** cloud services.
* Strong proficiency in **Python** , **SQL** , and distributed computing patterns.
* Experience with **Terraform** and cloud\-native CI/CD.
* Strong understanding of data modeling, orchestration, and data quality frameworks.
* Ability to operate autonomously while collaborating in a team environment.
**Additional Qualifications**
* Experience with Lakeflow, Databricks Workflows, or ingestion modernization initiatives.
* Knowledge of software engineering best practices:
	+ test automation
	+ versioning
	+ code reviews
	+ Git workflows
* Familiarity with event\-driven architecture and streaming technologies.
* Experience supporting Data Science and ML platform teams.
* P\&amp;C Insurance domain knowledge preferred
The Baldwin Group will not accept unsolicited resumes from any source other than directly from a candidate who applies on our career site. Any unsolicited resumes sent to The Baldwin Group, including unsolicited resumes sent via any source from an Agency, will not be considered and are not subject to any fees for any placement resulting from the receipt of an unsolicited resume.</t>
        </is>
      </c>
    </row>
    <row r="5">
      <c r="A5" t="inlineStr">
        <is>
          <t>in-6510b6d15f7fb606</t>
        </is>
      </c>
      <c r="B5" t="inlineStr">
        <is>
          <t>Data Engineer</t>
        </is>
      </c>
      <c r="C5" t="inlineStr">
        <is>
          <t>Pepsi Bottling Ventures</t>
        </is>
      </c>
      <c r="D5" t="inlineStr">
        <is>
          <t>indeed</t>
        </is>
      </c>
      <c r="E5" t="inlineStr"/>
      <c r="F5" t="inlineStr"/>
      <c r="G5" t="inlineStr">
        <is>
          <t>Raleigh, NC, US</t>
        </is>
      </c>
      <c r="H5" s="1" t="n">
        <v>46079</v>
      </c>
      <c r="I5" t="inlineStr">
        <is>
          <t>**Unbottle YOUR Potential at Pepsi Bottling Ventures!**
At Pepsi, we spread home\-grown joy, in our special Pepsi Bottling Ventures way! Pepsi Bottling Ventures is the nation’s largest private bottler and distributor of Pepsi beverages. Pepsi Bottling Ventures is based in NC, SC, MD, \&amp; DE.
**APPLICATION INSTRUCTIONS:**
**CURRENT PBV EMPLOYEE, please** **login to Workday** **to complete the job application. Please do not apply here, apply internally through Workday.**
**Job Description**
Pepsi Bottling Ventures is seeking a **Data Engineer** to join our team!
Who We Are
We are jointly owned by Suntory and PepsiCo. Suntory is a family\-owned business founded in Japan more than 125 years ago that is known globally for their beverages and innovative spirit. PepsiCo has a 125\-year plus legacy as a global leader in convenient foods and beverages. We represent Suntory’s non\-alcoholic beverage industry in the United States and have an 80\-year plus legacy of providing PepsiCo products to the Carolinas and beyond.
**What We Do**
We make, sell, and distribute PepsiCo and other beverages. We do business in five states and sell PepsiCo beverages to most of the market in our geographic regions. We also develop our own line of beverages, producing and distributing a growing product line nationally.
**What Makes Us Unique**
We bring you the beverages you love. We bring PepsiCo’s beloved beverages and more to you and our customers. As a part of Suntory, we believe in dreaming big and boldly pursuing our dreams, growing for good, and giving back to society. We innovate to create new beverages, like our Nature’s Twist refreshing lemonade line, and we continuously expand our beverage portfolio to bring you and our customers joy.
**What We Look for in Team Members**
We integrity, teamwork, accountability, adaptability, and communication in all we do and expect from all team members.
We’d love to receive your application and talk with you about your interest in the position if the overview below describes you
**Data Engineer Role Overview**
Prepare data for analytical or operational uses within a data warehouse. The data engineer is typically responsible for building data pipelines to bring together information from different source systems. The data engineer will integrate, consolidate, and cleanse data and structure it for use in analytics applications. They will aim to make data easily accessible and to optimize their organization's data for use in Power BI.  
**Day\-to\-Day Responsibilities**
* Designing and implementing data transformations, ingestion, and curation functions within a Snowflake environment. Responsible for all CI CD pipeline deployments.
* Build data models and table structures within Snowflake from various source systems, SAP, Workday, and other applications.
* Monitor, enhance, and improve processes across the technical solutions that feed the data warehouse through various systems.
* Optimizing data pipelines for performance and cost solutions.
* Administration and management of all users' access to the various tools in the landscape, including DBT, Snowflake, and DevOPS.
* Other duties as assigned.
**Required Qualifications**
* Bachelor’ Degree in Business/IT/Computer science required.
* Master’s degree in computer science, or business analytics is a plus.
* Five to seven years of experience in data analytics, data transformation, and data modeling.
* Strong in database management and data modeling fact and dimension tables.
* Data vault modeling design and experience.
* Previous experience as a data engineer on a startup Data Platform project.
* Strong knowledge of DevOps practices, tools, and techniques.
* Strong knowledge and experience with GIT OPS.
* Knowledge of DBT software would be a plus.
* Certifications in a cloud platform would be a plus, AWS preferred.
* Working knowledge and experience in Agile methods.
* SQL and Python experience or education.
**Compensation and Benefits**
As part of your total compensation package, you will also receive the following benefits:
* Paid time off, including holidays, vacation days, personal days, parental leave, and bereavement leave
* 401(k) with a company match
* Medical, prescription, dental, and vision insurance options, as well as supplemental health plan options, including accident, critical illness, and hospitalization
* Saving and spending accounts
* Company\-paid telemedicine services
* Free counseling and information services
* Wellness program
* Company\-paid life insurance
* Company\-paid disability coverage
* Adoption assistance
* Education assistance
* Legal service plan option
* Pay advance option
Unfortunately, we will be unable to offer visa sponsorships to candidates.
EOE M/F/D/V
Pepsi Bottling Ventures is an Equal Opportunity/Affirmative Action employer and will consider all qualified applicants for employment without regard to race, color, religion, gender, sexual orientation, gender identity, national origin, age, protected veteran status, or disability status. All employment decisions are based on valid job\-related requirements. If you are a qualified individual with a disability or a disabled veteran and are unable or limited in your ability to use or access our website, you may request a reasonable accommodation to express interest in a specific opening. You can request reasonable accommodation by calling 1\-800\-662\-8792 or via e\-mail at rmssupport@pbvllc.com</t>
        </is>
      </c>
    </row>
    <row r="6">
      <c r="A6" t="inlineStr">
        <is>
          <t>in-9b4cb81306ddeb87</t>
        </is>
      </c>
      <c r="B6" t="inlineStr">
        <is>
          <t>Senior Data Engineer, Ads</t>
        </is>
      </c>
      <c r="C6" t="inlineStr">
        <is>
          <t>Roblox</t>
        </is>
      </c>
      <c r="D6" t="inlineStr">
        <is>
          <t>indeed</t>
        </is>
      </c>
      <c r="E6" t="inlineStr"/>
      <c r="F6" t="inlineStr"/>
      <c r="G6" t="inlineStr">
        <is>
          <t>San Mateo, CA, US</t>
        </is>
      </c>
      <c r="H6" s="1" t="n">
        <v>46079</v>
      </c>
      <c r="I6" t="inlineStr">
        <is>
          <t>San Mateo, CA, United StatesEngineeringID: 5777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**About the role:**
With Roblox’s daily active users growing at a record pace, we are seeking a senior data engineer to help build the next generation of Ad Data and ML feature infrastructure. Our team sits at the core of advertising systems at Roblox, powering high\-scale, high\-throughput data systems that shape ads personalization, ranking, and measurement. As a Senior Data Engineer, you will architect and build foundational data pipelines, real\-time streaming systems, and scalable feature computation frameworks. Your work will enable rapid experimentation, empower ranking models, and support personalized ad delivery at massive scale. You will collaborate closely with engineers across ML, backend, and analytics to shape the future of ads data infrastructure at Roblox. This role is a great fit for you if you are proficient in managing large scale systems and data\-driven applications and have a zeal for developing inspiring, easily maintainable, and reusable code. Join our highly skilled and rapidly growing team and make a significant impact at Roblox.
### **You Will:**
* Build high\-performance data pipelines and real\-time streaming systems that support both online and offline ML features, training data and statistical computation at scale.
* Design and scale robust data infrastructure for powering retrieval and ranking of various ads systems across Roblox
* Ensure data systems are reliable, observable, privacy\-compliant, and performant under heavy concurrency and high throughput.
* Partner with ML and backend engineers to define scalable interfaces and enable rapid iteration for model development and experimentation.
* Partner with our Data Platform and Data Infra teams to build our high quality data processing workflows.
* Contribute to internal platforms and tools that abstract complexity, improve developer productivity, and accelerate innovation.
* Be a tech lead and mentor junior engineers
* Self\-organize and take ownership of projects throughout their full lifecycle.
### **You Have:**
* 7\+ years of work experience building production\-grade, scalable, and reliable data systems
* Solid programming skills in languages such as Python and strong knowledge of SQL
* Strong expertise in developing large\-scale data pipelines (batch and streaming) and big\-data processing technologies such as Spark, Apache Druid, Flink, Ray, Kubeflow, etc
* Excellent cross\-functional collaboration skills; enjoy building systems that enable and accelerate team productivity
* Data\-driven focus for quality metrics and monitoring
* Approach data as a product—prioritizing quality, discoverability, and reusability
* B.S. equivalent in CS or sufficient experience.
**Nice to Have:**
* Knowledge about advertising and the technology which powers it is preferred
* Experience building data pipelines at TB\+ scale.
* Experience leveraging AI tooling to build simplified, human\-centric experiences for internal customers.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
      <c r="A7" t="inlineStr">
        <is>
          <t>in-a18a77d4b166227f</t>
        </is>
      </c>
      <c r="B7" t="inlineStr">
        <is>
          <t>Senior Finance Data Engineer</t>
        </is>
      </c>
      <c r="C7" t="inlineStr">
        <is>
          <t>Roblox</t>
        </is>
      </c>
      <c r="D7" t="inlineStr">
        <is>
          <t>indeed</t>
        </is>
      </c>
      <c r="E7" t="inlineStr"/>
      <c r="F7" t="inlineStr"/>
      <c r="G7" t="inlineStr">
        <is>
          <t>San Mateo, CA, US</t>
        </is>
      </c>
      <c r="H7" s="1" t="n">
        <v>46079</v>
      </c>
      <c r="I7" t="inlineStr">
        <is>
          <t>San Mateo, CA, United StatesData Science \&amp; Analytics ID: 5382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Data Engineering team at Roblox plays a fundamental role in enabling the company's success by developing and maintaining highly leveraged Core Data Sets, frameworks, and tooling to support the growing demand for analytics.
As a Senior Data Engineer, you will work to define the data ontology for all of Roblox, establish standard methodologies for data operations and lifecycle management, design and build analytics tooling and frameworks, and influence event instrumentation. Additionally, this role is highly multi\-functional, requiring close collaboration with Data Science, Experimentation, and Machine Learning teams to understand customer requirements and analytics applications, as well as with Data Infrastructure and Storage teams to develop integrated solutions.
Join us and be a part of a dynamic team driving innovation and growth at Roblox.
This role will report to our Engineering Manager on the Data Engineering team.
**You Will:**
-------------
* Partner with Data Science, Product, and Engineering to collect requirements to define the data ontology for all of Roblox
* Lead and mentor a growing team of Data Engineers to support Roblox's ever\-evolving data needs
* Design, build, and maintain efficient and reliable batch and streaming data pipelines to populate core data sets
* Develop scalable frameworks and tooling to automate analytics workflows and streamline users interactions with data products
* Establish and promote standard methodologies for data operations and lifecycle management
**You Have:**
-------------
* 8\+ years of professional experience working building scalable ETL pipelines on industry standard ETL orchestration tools (Airflow, Dagster, Luigi, Google Cloud Composer, etc.) with deep expertise in SQL, PySpark, or scala.
* 3\+ years leading data engineering development directly with business or data science partners
* Built, scaled, and maintained Multi\-Terabyte data sets and have an expansive toolbox for debugging and unblocking large scale analytics challenges (skew mitigation, sampling strategies, accumulation patterns, data sketches, etc.)
* Experience with at least one major cloud's suite of offerings (AWS, GCP, Azure).
* Developed or enhanced ETL orchestrations tools or frameworks
* Worked within standard GitOps workflow (branch and merge, PRs, CI / CD systems)
* Experience working with GDPR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$221,380—$263,670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
      <c r="A8" t="inlineStr">
        <is>
          <t>in-652313183683f48c</t>
        </is>
      </c>
      <c r="B8" t="inlineStr">
        <is>
          <t>Finance Analytics Engineer</t>
        </is>
      </c>
      <c r="C8" t="inlineStr">
        <is>
          <t>Roblox</t>
        </is>
      </c>
      <c r="D8" t="inlineStr">
        <is>
          <t>indeed</t>
        </is>
      </c>
      <c r="E8" t="inlineStr"/>
      <c r="F8" t="inlineStr"/>
      <c r="G8" t="inlineStr">
        <is>
          <t>San Mateo, CA, US</t>
        </is>
      </c>
      <c r="H8" s="1" t="n">
        <v>46079</v>
      </c>
      <c r="I8" t="inlineStr">
        <is>
          <t>San Mateo, CA, United StatesFinance \&amp; AccountingID: 5769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an Analytics Data Engineer within the Finance team, you will be a key player in shaping our data ecosystem. You will design, build, and maintain scalable data pipelines that transform raw data into a reliable and trustworthy source of truth for the Finance organization and beyond.
You will be the primary liaison between the Finance and the Data Engineering teams. You will use your domain knowledge of finance to understand their data requirements, translate them into technical specifications, and then build the necessary data infrastructure. Your work will directly impact financial planning, forecasting, and strategic decision\-making across the company.
You will report to Senior Manager, Finance Data and work in our San Mateo, CA office Tuesday\-Thursday.
**You Will:**
* Design, develop, and maintain robust data pipelines using Python and Apache Airflow to process large volumes of data from various sources (e.g., internal databases, third\-party APIs, and external systems).
* Be the subject matter expert on our Redshift data warehouse, optimizing queries and tables, and ensuring data integrity.
* Build and maintain data models that provide a single source of truth for key business metrics and KPIs.
* Co\-Develop and implement data quality checks and monitoring with finance business process owners to ensure the accuracy and reliability of our data.
* Document data pipelines, data models, and business logic to ensure maintainability and transparency.
* Collaborate with Finance stakeholders to understand their data needs and translate them into scalable data solutions.
**You Have:**
* A Bachelor's degree in Computer Science, Engineering, or a related quantitative field.
* 4\+ years of experience in a data\-focused role, with a strong emphasis on data engineering, business intelligence, or a similar analytics function.
* Proven experience in designing, building, and maintaining production\-level data pipelines.
* Demonstrable experience working directly with finance or business operations teams to deliver data solutions.
* Expertise in SQL and experience with a modern data warehouse, preferably Redshift.
* Strong programming skills in Python.
* An interest in learning core financial modeling concepts to understand data use\-cases
**You Are:**
* A Data Expert: You have a deep understanding of data warehousing, ETL/ELT principles, and data modeling best practices. You can design and implement robust and scalable data pipelines.
* A Problem\-Solver: You are passionate about using data to solve complex business problems. You can break down ambiguous requirements into clear, actionable data engineering tasks.
* Collaborative: You enjoy working with diverse teams and can effectively communicate complex technical concepts to both technical and non\-technical stakeholders.
* Detail\-Oriented: You have a high bar for data quality and integrity. You take pride in building accurate and reliable data products and you are comfortable owning full quality from end to end.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$184,960—$220,300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
      <c r="A9" t="inlineStr">
        <is>
          <t>in-9ea0c2b16251a6c0</t>
        </is>
      </c>
      <c r="B9" t="inlineStr">
        <is>
          <t>Technical Consultant- Enterprise Data Engineer</t>
        </is>
      </c>
      <c r="C9" t="inlineStr">
        <is>
          <t>Esri</t>
        </is>
      </c>
      <c r="D9" t="inlineStr">
        <is>
          <t>indeed</t>
        </is>
      </c>
      <c r="E9" t="inlineStr"/>
      <c r="F9" t="inlineStr"/>
      <c r="G9" t="inlineStr">
        <is>
          <t>Washington, DC, US</t>
        </is>
      </c>
      <c r="H9" s="1" t="n">
        <v>46079</v>
      </c>
      <c r="I9" t="inlineStr">
        <is>
          <t>**Overview**
In this position, you will partner with customers on enterprise database design and implementation strategies while applying Esri technology best practices. You will consult with customers to understand business and technical requirements, design enterprise data management strategies, and implement those strategies throughout the engagement life cycle. You will work both independently and as part of project teams to configure back\-end geospatial database management capabilities that support customer workflows utilizing ArcGIS web, desktop, and mobile applications.
This team supports Defense and Intel clients. You will be part of a talented cross\-functional team of dynamic and passionate engineers to deliver capabilities that enable our customers to make a difference in communities around the world. You will be part of a team that influences lasting contributions for communities with the solutions you provide.
The Professional Services division is the consulting and implementation arm of Esri. We break ground in new markets, push the technology envelope and deliver transformational solutions to high profile clients worldwide. The Professional Services organization is comprised of nearly 1,000 talented business and technical professionals who strive every day to help our users be successful.
Esri has a Relocation Assistance Program and can provide support with relocating to the Vienna, VA area for this position.
**Responsibilities**
* Design and implement robust, scalable, and secure database solutions to support mission\-critical applications
* Collaborate with cross\-functional teams during all phases of implementation including requirements, analysis, design, build/configuration, and deployment
* Configure and maintain database environments, including backup, restore, high\-availability, and disaster recovery strategies
* Monitor and tune database performance using industry\-standard tools and methodologies (such as query optimization, indexing strategies)
* Implement data security measures, access controls, and compliance standards across environments
* Automate routine database loading, maintenance, and monitoring tasks to improve efficiency
* Provide technical guidance and best practices for database design, migration, and integration projects
**Requirements**
* 5\+ years of hands\-on experience in database design, administration, and optimization for Oracle, SQL Server, PostgreSQL, or SAP HANA
* Familiarity with database design principles, data loading techniques, backup and recovery solutions, performance monitoring and tuning, database maintenance, and security
* Scripting skills in SQL and Python for automation and data workflows
* Exposure to geospatial concepts such as spatial data types, coordinate systems, and spatial indexing
* Ability to clearly communicate complex technical concepts to technical peers and non\-technical project managers or customers
* US citizenship with Active or Current (within 2 years of active) Top Secret Security Clearance with SCI eligibility
* Bachelor's degree in computer science, mathematics, GIS, or related STEM field
**Recommended Qualifications**
* Experience with ArcGIS Enterprise geodatabases
* Knowledge of integrating GIS with other enterprise systems
* CompTIA Security \+ certification
* One or more industry\-standard IT certifications (such as Esri, Microsoft, Amazon, PostgreSQL, Oracle)
* Master\`s degree in computer science, mathematics, GIS, or related STEM field
\#LI\-SS2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10">
      <c r="A10" t="inlineStr">
        <is>
          <t>in-5e4450e3c2a65eef</t>
        </is>
      </c>
      <c r="B10" t="inlineStr">
        <is>
          <t>System Engineer- Enterprise Data Engineer</t>
        </is>
      </c>
      <c r="C10" t="inlineStr">
        <is>
          <t>Esri</t>
        </is>
      </c>
      <c r="D10" t="inlineStr">
        <is>
          <t>indeed</t>
        </is>
      </c>
      <c r="E10" t="inlineStr"/>
      <c r="F10" t="inlineStr"/>
      <c r="G10" t="inlineStr">
        <is>
          <t>Washington, DC, US</t>
        </is>
      </c>
      <c r="H10" s="1" t="n">
        <v>46079</v>
      </c>
      <c r="I10" t="inlineStr">
        <is>
          <t>**Overview**
In this position, you will partner with customers on enterprise database design and implementation strategies while applying Esri technology best practices. You will consult with customers to understand business and technical requirements, design enterprise data management strategies, and implement those strategies throughout the engagement life cycle. You will work both independently and as part of project teams to configure back\-end geospatial database management capabilities that support customer workflows utilizing ArcGIS web, desktop, and mobile applications.
This team supports Defense and Intel clients. You will be part of a talented cross\-functional team of dynamic and passionate engineers to deliver capabilities that enable our customers to make a difference in communities around the world. You will be part of a team that influences lasting contributions for communities with the solutions you provide.
The Professional Services division is the consulting and implementation arm of Esri. We break ground in new markets, push the technology envelope and deliver transformational solutions to high profile clients worldwide. The Professional Services organization is comprised of nearly 1,000 talented business and technical professionals who strive every day to help our users be successful.
Esri has a Relocation Assistance Program and can provide support with relocating to the Vienna, VA area for this position.
**Responsibilities**
* Lead strategic technical discussions with customers, guiding them through complex data architecture and database design decisions
* Design and implement robust, scalable, and secure database solutions to support mission\-critical applications
* Collaborate with cross\-functional teams during all phases of implementation including requirements, analysis, design, build/configuration, and deployment
* Configure and maintain database environments, including backup, restore, high\-availability, and disaster recovery strategies
* Monitor and tune database performance using industry\-standard tools and methodologies (such as query optimization, indexing strategies)
* Implement data security measures, access controls, and compliance standards across environments
* Automate routine database loading, maintenance, and monitoring tasks to improve efficiency
* Provide technical guidance and best practices for database design, migration, and integration projects
**Requirements**
* 8\+ years of hands\-on experience in database design, administration, and optimization for Oracle, SQL Server, PostgreSQL, or SAP HANA
* Demonstrated experience with database design principles, data loading techniques, backup and recovery solutions, performance monitoring and tuning, database maintenance, and security
* Scripting skills in SQL and Python for automation and data workflows
* Experience with cloud\-based database solutions (such as AWS RDS, Azure SQL Database)
* Basic understanding of geospatial concepts such as spatial data types, coordinate systems, and spatial indexing
* Ability to clearly communicate complex technical concepts to technical peers and non\-technical project managers or customers
* US citizenship with Active or Current (within 2 years of active) Top Secret Security Clearance with SCI eligibility
* Bachelor's degree in computer science, mathematics, GIS, or related STEM field
**Recommended Qualifications**
* Experience with ArcGIS Enterprise geodatabases
* Knowledge of integrating GIS with other enterprise systems
* CompTIA Security \+ certification
* One or more industry\-standard IT certifications (such as Esri, Microsoft, Amazon, PostgreSQL, Oracle)
* Master's degree in computer science, mathematics, GIS or related STEM field
\#LI\-SS2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11">
      <c r="A11" t="inlineStr">
        <is>
          <t>in-69326344bf68b8cf</t>
        </is>
      </c>
      <c r="B11" t="inlineStr">
        <is>
          <t>System Engineer- Enterprise Data Engineer</t>
        </is>
      </c>
      <c r="C11" t="inlineStr">
        <is>
          <t>Esri</t>
        </is>
      </c>
      <c r="D11" t="inlineStr">
        <is>
          <t>indeed</t>
        </is>
      </c>
      <c r="E11" t="inlineStr"/>
      <c r="F11" t="inlineStr"/>
      <c r="G11" t="inlineStr">
        <is>
          <t>St. Louis, MO, US</t>
        </is>
      </c>
      <c r="H11" s="1" t="n">
        <v>46079</v>
      </c>
      <c r="I11" t="inlineStr">
        <is>
          <t>**Overview**
In this position, you will partner with customers on enterprise database design and implementation strategies while applying Esri technology best practices. You will consult with customers to understand business and technical requirements, design enterprise data management strategies, and implement those strategies throughout the engagement life cycle. You will work both independently and as part of project teams to configure back\-end geospatial database management capabilities that support customer workflows utilizing ArcGIS web, desktop, and mobile applications.
This team supports Defense and Intel clients. You will be part of a talented cross\-functional team of dynamic and passionate engineers to deliver capabilities that enable our customers to make a difference in communities around the world. You will be part of a team that influences lasting contributions for communities with the solutions you provide.
The Professional Services division is the consulting and implementation arm of Esri. We break ground in new markets, push the technology envelope and deliver transformational solutions to high profile clients worldwide. The Professional Services organization is comprised of nearly 1,000 talented business and technical professionals who strive every day to help our users be successful.
Esri has a Relocation Assistance Program and can provide support with relocating to the St. Louis, MO area for this position.
**Responsibilities**
* Lead strategic technical discussions with customers, guiding them through complex data architecture and database design decisions
* Design and implement robust, scalable, and secure database solutions to support mission\-critical applications
* Collaborate with cross\-functional teams during all phases of implementation including requirements, analysis, design, build/configuration, and deployment
* Configure and maintain database environments, including backup, restore, high\-availability, and disaster recovery strategies
* Monitor and tune database performance using industry\-standard tools and methodologies (such as query optimization, indexing strategies)
* Implement data security measures, access controls, and compliance standards across environments
* Automate routine database loading, maintenance, and monitoring tasks to improve efficiency
* Provide technical guidance and best practices for database design, migration, and integration projects
**Requirements**
* 8\+ years of hands\-on experience in database design, administration, and optimization for Oracle, SQL Server, PostgreSQL, or SAP HANA
* Demonstrated experience with database design principles, data loading techniques, backup and recovery solutions, performance monitoring and tuning, database maintenance, and security
* Scripting skills in SQL and Python for automation and data workflows
* Experience with cloud\-based database solutions (such as AWS RDS, Azure SQL Database)
* Basic understanding of geospatial concepts such as spatial data types, coordinate systems, and spatial indexing
* Ability to clearly communicate complex technical concepts to technical peers and non\-technical project managers or customers
* US citizenship with Active or Current (within 2 years of active) Top Secret Security Clearance with SCI eligibility
* Bachelor's degree in computer science, mathematics, GIS, or related STEM field
**Recommended Qualifications**
* Experience with ArcGIS Enterprise geodatabases
* Knowledge of integrating GIS with other enterprise systems
* CompTIA Security \+ certification
* One or more industry\-standard IT certifications (such as Esri, Microsoft, Amazon, PostgreSQL, Oracle)
* Master's degree in computer science, mathematics, GIS or related STEM field
\#LI\-SS2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12">
      <c r="A12" t="inlineStr">
        <is>
          <t>in-6f61d4f9e0de29b6</t>
        </is>
      </c>
      <c r="B12" t="inlineStr">
        <is>
          <t>Sr Data Engineer</t>
        </is>
      </c>
      <c r="C12" t="inlineStr"/>
      <c r="D12" t="inlineStr">
        <is>
          <t>indeed</t>
        </is>
      </c>
      <c r="E12" t="inlineStr"/>
      <c r="F12" t="inlineStr"/>
      <c r="G12" t="inlineStr">
        <is>
          <t>Glendale, CA, US</t>
        </is>
      </c>
      <c r="H12" s="1" t="n">
        <v>46079</v>
      </c>
      <c r="I12"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**Job Summary**
The Ads Data team, part of Disney's Ad Platforms organization, is on a mission to transform the advertising landscape across TV and streaming video through the power of data and AI. We design and build innovative solutions that measure and optimize the entire advertising lifecycle — from planning and activation to measurement and insights.
At the heart of our work is a highly collaborative, cross\-functional team that delivers end\-to\-end solutions across a wide spectrum of technologies, including machine learning, big data, microservices, and data visualization.
We are hiring a Senior Data Engineer to design, build, and scale the data foundations that power AI adoption across Ad Technology. In this role, you will own how data flows into AI ready and optimized stores, from streaming pipelines and embedding pipelines to vector stores and monitoring systems.
You’ll partner closely with the AI Core Engineering team to enable shared agents, registries, and developer tools with robust, reliable, real\-time data. As a Senior Engineer, you will design and implement robust data engineering solutions, mentor junior team members, and build resilient pipelines that support high\-profile AI applications. You will play a key role in developing reliable, real\-time data foundations, enabling faster and safer deployments across Disney Ad Tech.
This role is ideal for someone who combines strong technical expertise with a passion for leadership, system design, and delivering real business impact through data platforms. If you thrive in a fast\-paced, highly collaborative environment and are excited about building the foundation for the future of advertising, we’d love to hear from you.
**Responsibilities and Duties of the Role:**
Data Architecture \&amp; Pipeline Development
* Build and maintain high‑performance streaming and batch data pipelines that power AI applications, ensuring reliable low‑latency ingestion and high‑throughput processing.
* Implement and extend embedding generation workflows, vector store integrations, and retrieval pipelines supporting semantic search, RAG systems, and AI assistants.
* Develop and optimize scalable storage and retrieval patterns, focusing on cost‑efficient architecture and smooth production performance.
AI Data Foundations \&amp; Integration
* Implement AI‑optimized data models and storage patterns that align with broader enterprise architecture and platform requirements.
* Integrate pipelines with shared AI platform services (agent frameworks, registries, feature stores), ensuring clean, versioned, and reliable data delivery.
* Build reusable ingestion, transformation, and data processing components that streamline adoption across engineering teams.
Monitoring, Quality \&amp; Reliability
* Embed end‑to‑end observability into data systems, including metrics, structured logging, automated alerts, drift detection, and failure analysis.
* Implement robust data quality validation, schema evolution safeguards, and governance/compliance controls.
* Ensure deployed pipelines meet high standards for reliability, recoverability, auditability, and long‑term maintenance.
Execution, Collaboration \&amp; Leadership
* Drive execution by owning the full development lifecycle: prototyping, implementation, testing, deployment, optimization, and documentation.
* Collaborate closely with infrastructure, ML engineering, product, and governance teams to deliver production‑ready AI capabilities.
* Lead by example through strong execution, high‑quality code, and proactive problem solving.
* Influence design direction through technical proposals and hands‑on delivery rather than formal ownership of standards.
**Required Education, Experience/Skills/Training:**
**Basic Qualifications**
* 5\+ years of data engineering experience, with at least 1 year in a lead or senior technical role.
* Experience building and scaling streaming data pipelines in large\-scale, distributed environments.
* Strong skills in Python, Java and SQL with expert level skill in either Python or Java.
* Proven experience building streaming data pipelines (e.g., Kafka, Flink, Spark, Kinesis).
* Experience with embedding pipelines and vector stores (e.g., Pinecone, Weaviate, FAISS, pgvector).
* Strong knowledge of data modeling, storage optimization, and retrieval patterns for large\-scale systems.
* Hands\-on experience with workflow orchestration tools (Airflow, Dagster, etc.).
* Strong collaboration and communication skills, able to partner across AI engineering, infra, and product teams.
* Familiarity with testing, monitoring, and automation for data pipelines.
**Preferred Qualifications**
* Experience integrating AI\-ready data stores with LLM orchestration frameworks (LangChain, LangGraph, etc.).
* Knowledge of observability and monitoring stacks (Datadog, Prometheus, or equivalent).
* Background in governance and compliance practices for enterprise data platforms.
* Experience building data frameworks, registries, or accelerators adopted by multiple teams.
* Experience ensuring data security, lineage, and auditability in enterprise data environments
* Skilled at writing design documentation, driving system architecture reviews, and influencing data engineering culture.
**Experience with:**
* Python, Java, Databricks, LangChain, Vector Stores(Pinecone, Weaviate, FAISS, pgvector), SQL, AWS big data tech stack (like S3, Glue, MWAA)
**Required Education**
* Bachelor or above in computer science or a related quantitative field; or equivalent practical experience demonstrating advanced technical expertise
The hiring range for this position in Glendale, CA is $138,900 \- $186,200 per year, in San Francisco, CA is $152,100 \- $203,900 per year, in Seattle, WA is $145,400 \- $195,000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3">
      <c r="A13" t="inlineStr">
        <is>
          <t>in-9e2b8dcb9af5689f</t>
        </is>
      </c>
      <c r="B13" t="inlineStr">
        <is>
          <t>Data Engineer</t>
        </is>
      </c>
      <c r="C13" t="inlineStr">
        <is>
          <t>Booz Allen Hamilton</t>
        </is>
      </c>
      <c r="D13" t="inlineStr">
        <is>
          <t>indeed</t>
        </is>
      </c>
      <c r="E13" t="inlineStr"/>
      <c r="F13" t="inlineStr"/>
      <c r="G13" t="inlineStr">
        <is>
          <t>Macdill AFB, FL, US</t>
        </is>
      </c>
      <c r="H13" s="1" t="n">
        <v>46079</v>
      </c>
      <c r="I13" t="inlineStr">
        <is>
          <t>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missions—from fraud detection to cancer research to national intelligence.
As a data engineer at Booz Allen, you’ll help build advanced technology solutions and implement data engineering activities on some of the most mission\-driven projects in the industry. You’ll deploy and develop pipelines and platforms that organize and make disparate data meaningful.
Here, you’ll work with and guide a multi\-disciplinary team of analysts, data engineers, developers, and data consumers in a fast\-paced, agile environment. You’ll use your experience in analytical exploration and data examination while you manage the assessment, design, building, and maintenance of scalable platforms for your clients.
Work with us to use data for good.
Join us. The world can’t wait.
**You Have:**
* 3\+ years of experience in a data engineering or analytics engineering role in a professional work environment
* 2\+ years of experience with developing and maintaining scalable data stores that supply big data in forms needed for business analysis
* Experience with SQL and a general\-purpose programming language, such as Python, Jave, TypeScript, or C\+\+
* Experience with creating programs for retrieving, parsing, and processing structured and unstructured data
* Experience working with digital engagement metric tools, such as Google Analytics
* Experience with developing scalable ETL and ELT workflows for reporting and analytics
* Experience in creating solutions within a collaborative, cross\-functional team environment
* Ability to develop scripts and programs for converting various types of data into usable formats, and support project team to scale, monitor, and operate data platforms
* Secret clearance
* Bachelor’s degree
**Nice If You Have:**
* Experience with Palantir Foundry
* Experience with a public cloud, including AWS, Microsoft Azure, or Google Cloud
* Experience with distributed data and computing tools such as Spark, Databricks, Hadoop, Hive, AWS EMR, or Kafka
* Experience with natural language processing (NLP) or techniques for extracting insights from text and documents
* Experience with working on real\-time data and streaming applications, and with NoSQL implementation using MongoDB or Cassandra
* Experience with data warehousing, including AWS Redshift, MySQL, or Snowflake
* Experience with UNIX and Linux, including basic commands and Shell scripting
* Experience with Agile engineering practices
* TS/SCI clearance
* Bachelor’s degree in Computer Science, Mathematics, Software Engineering, or Data Science preferred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
      <c r="A14" t="inlineStr">
        <is>
          <t>in-ba6da3fc5a7bf2b0</t>
        </is>
      </c>
      <c r="B14" t="inlineStr">
        <is>
          <t>Data Engineer II, AWS Commerce Platform-ADC</t>
        </is>
      </c>
      <c r="C14" t="inlineStr">
        <is>
          <t>Amazon Web Services</t>
        </is>
      </c>
      <c r="D14" t="inlineStr">
        <is>
          <t>indeed</t>
        </is>
      </c>
      <c r="E14" t="inlineStr"/>
      <c r="F14" t="inlineStr"/>
      <c r="G14" t="inlineStr">
        <is>
          <t>Arlington, VA, US</t>
        </is>
      </c>
      <c r="H14" s="1" t="n">
        <v>46078</v>
      </c>
      <c r="I14"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5">
      <c r="A15" t="inlineStr">
        <is>
          <t>in-0360e56b0975df40</t>
        </is>
      </c>
      <c r="B15" t="inlineStr">
        <is>
          <t>Data Engineer II, AWS Commerce Platform-ADC</t>
        </is>
      </c>
      <c r="C15" t="inlineStr">
        <is>
          <t>Amazon Web Services</t>
        </is>
      </c>
      <c r="D15" t="inlineStr">
        <is>
          <t>indeed</t>
        </is>
      </c>
      <c r="E15" t="inlineStr"/>
      <c r="F15" t="inlineStr"/>
      <c r="G15" t="inlineStr">
        <is>
          <t>Jessup, MD, US</t>
        </is>
      </c>
      <c r="H15" s="1" t="n">
        <v>46078</v>
      </c>
      <c r="I15"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6">
      <c r="A16" t="inlineStr">
        <is>
          <t>in-b0864bcbaed93ba8</t>
        </is>
      </c>
      <c r="B16" t="inlineStr">
        <is>
          <t>Data Engineer II, AWS Commerce Platform-ADC</t>
        </is>
      </c>
      <c r="C16" t="inlineStr">
        <is>
          <t>Amazon Web Services</t>
        </is>
      </c>
      <c r="D16" t="inlineStr">
        <is>
          <t>indeed</t>
        </is>
      </c>
      <c r="E16" t="inlineStr"/>
      <c r="F16" t="inlineStr"/>
      <c r="G16" t="inlineStr">
        <is>
          <t>Herndon, VA, US</t>
        </is>
      </c>
      <c r="H16" s="1" t="n">
        <v>46078</v>
      </c>
      <c r="I16"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7">
      <c r="A17" t="inlineStr">
        <is>
          <t>in-3a1a8ee96686461c</t>
        </is>
      </c>
      <c r="B17" t="inlineStr">
        <is>
          <t>Data Engineer II, AWS Commerce Platform-ADC</t>
        </is>
      </c>
      <c r="C17" t="inlineStr">
        <is>
          <t>Amazon Web Services</t>
        </is>
      </c>
      <c r="D17" t="inlineStr">
        <is>
          <t>indeed</t>
        </is>
      </c>
      <c r="E17" t="inlineStr"/>
      <c r="F17" t="inlineStr"/>
      <c r="G17" t="inlineStr">
        <is>
          <t>Seattle, WA, US</t>
        </is>
      </c>
      <c r="H17" s="1" t="n">
        <v>46078</v>
      </c>
      <c r="I17"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8">
      <c r="A18" t="inlineStr">
        <is>
          <t>in-5ce9d3bd0e01741c</t>
        </is>
      </c>
      <c r="B18" t="inlineStr">
        <is>
          <t>Data Engineer II, AWS Commerce Platform-ADC</t>
        </is>
      </c>
      <c r="C18" t="inlineStr">
        <is>
          <t>Amazon Web Services</t>
        </is>
      </c>
      <c r="D18" t="inlineStr">
        <is>
          <t>indeed</t>
        </is>
      </c>
      <c r="E18" t="inlineStr"/>
      <c r="F18" t="inlineStr"/>
      <c r="G18" t="inlineStr">
        <is>
          <t>Denver, CO, US</t>
        </is>
      </c>
      <c r="H18" s="1" t="n">
        <v>46078</v>
      </c>
      <c r="I18"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9">
      <c r="A19" t="inlineStr">
        <is>
          <t>in-30f29a1ce995b298</t>
        </is>
      </c>
      <c r="B19" t="inlineStr">
        <is>
          <t>Data Engineer</t>
        </is>
      </c>
      <c r="C19" t="inlineStr">
        <is>
          <t>Mayo Clinic</t>
        </is>
      </c>
      <c r="D19" t="inlineStr">
        <is>
          <t>indeed</t>
        </is>
      </c>
      <c r="E19" t="inlineStr"/>
      <c r="F19" t="inlineStr"/>
      <c r="G19" t="inlineStr">
        <is>
          <t>Rochester, MN, US</t>
        </is>
      </c>
      <c r="H19" s="1" t="n">
        <v>46078</v>
      </c>
      <c r="I19"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Data Engineer gains access to data across the organization and provides ongoing analysis of the data by monitoring, profiling and analyzing databases. Requires a mix of functional, data and technical skills. The right candidate must be able to understand business requirements, translate them into information needs and implement those requirements using data available. The hire will be responsible for expanding and optimizing data architecture, as well as optimizing data flow and collection for cross functional teams. The ideal candidate is an experienced data pipeline builder and data wrangler who enjoys optimizing data systems. The Data Engineer will support our software developers, database architects, and data analysts and data scientists on data initiatives and will ensure optimal data delivery architecture is consistent throughout ongoing projects.  
Core job duties include:  
* Assemble large, complex data sets that meet functional / non\-functional business requirements.
* Strong knowledge of SQL required. Ability to identify sets and subsets of information across multiple joins or unions of tables is preferred in addition to writing and troubleshooting SQL queries for data mining
* Perform complex data analysis and investigation for customer requests to explain results and to make appropriate recommendations.
* Strong understanding of data modeling concepts
* Problem solver with the initiative to think critically to identify improvement opportunities (error detection, error correction, root cause analysis)
* Understand ETL that will aid in verification and testing of data
* Build processes supporting data transformation, data structures, metadata, dependency and workload management.
* A successful history of manipulating, processing and extracting value from large disconnected datasets.
* Analyze business objectives and develop data solutions to meet customer needs.
* Demonstrated ability to effectively participate in multiple, concurrent projects
* Improve and customize current data solutions to meet business functional and non\-functional requirements.
* Research new and existing data sources in order to contribute to new development, improve data management processes, and make recommendations for data quality initiatives.
* Perform periodic data quality reviews for internal and external data.
* Ensure timely resolution of queries and data issues.
* Look for new ways to find and collect data by researching potential new sources of information.
* Work with data and analytics experts to strive for greater functionality in our data systems.
**This vacancy is not eligible for sponsorship/ we will not sponsor or transfer visas for this position. Also, Mayo Clinic DOES NOT participate in the F\-1 STEM OPT extension program.**
 **Qualifications**  
Bachelor's degree in Computer Science, Engineering, or related field from an accredited University or College; OR an Associate’s degree in Computer Science, Engineering, or related field from an accredited University or College with 2 years of experience. Demonstrated ability to analyze and profile data as a means to address various business problems through leveraging advanced data modeling, source system databases, or data mining techniques, is required. May provide consultative services to departments/divisions and committees. Demonstrated application of several problem\-solving methodologies, planning techniques, continuous improvement methods, and analytical tools and methodologies (e.g. data analysis, data profiling, modeling, etc.) required. Incumbent must have ability to manage a varied workload of projects with multiple priorities and stay current on healthcare trends and enterprise changes. Interpersonal skills and time management skills are required. Requires strong analytical skills and the ability to identify and recommend solutions, advanced computer application skills and a commitment to customer service. Experience with data analysis, quality, and profiling; including data exploration tools including but not limited to Rapid SQL, AQT, Information Analyzer, and Informatics.
 **Exemption Status**  
Exempt  
**Compensation Detail**  
$102,336\.00 \- $143,270\.40 / year.  
**Benefits Eligible**  
Yes  
**Schedule**  
Full Time  
**Hours/Pay Period**  
80  
**Schedule Details**  
Monday\-Friday 10%\+ travel may be required  
**Weekend Schedule**  
NA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Joy Kundrata</t>
        </is>
      </c>
    </row>
    <row r="20">
      <c r="A20" t="inlineStr">
        <is>
          <t>in-299b375d376c4eb7</t>
        </is>
      </c>
      <c r="B20" t="inlineStr">
        <is>
          <t>Data Engineer II , UTR PLanning Tech</t>
        </is>
      </c>
      <c r="C20" t="inlineStr">
        <is>
          <t>Amazon.com</t>
        </is>
      </c>
      <c r="D20" t="inlineStr">
        <is>
          <t>indeed</t>
        </is>
      </c>
      <c r="E20" t="inlineStr"/>
      <c r="F20" t="inlineStr"/>
      <c r="G20" t="inlineStr">
        <is>
          <t>Austin, TX, US</t>
        </is>
      </c>
      <c r="H20" s="1" t="n">
        <v>46070</v>
      </c>
      <c r="I20"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1">
      <c r="A21" t="inlineStr">
        <is>
          <t>in-3452ed39d8ada7fd</t>
        </is>
      </c>
      <c r="B21" t="inlineStr">
        <is>
          <t>Data Engineer II , UTR PLanning Tech</t>
        </is>
      </c>
      <c r="C21" t="inlineStr">
        <is>
          <t>Amazon.com</t>
        </is>
      </c>
      <c r="D21" t="inlineStr">
        <is>
          <t>indeed</t>
        </is>
      </c>
      <c r="E21" t="inlineStr"/>
      <c r="F21" t="inlineStr"/>
      <c r="G21" t="inlineStr">
        <is>
          <t>Bellevue, WA, US</t>
        </is>
      </c>
      <c r="H21" s="1" t="n">
        <v>46070</v>
      </c>
      <c r="I2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2">
      <c r="A22" t="inlineStr">
        <is>
          <t>in-b1984d643c606502</t>
        </is>
      </c>
      <c r="B22" t="inlineStr">
        <is>
          <t>Data Engineer II , UTR PLanning Tech</t>
        </is>
      </c>
      <c r="C22" t="inlineStr">
        <is>
          <t>Amazon.com</t>
        </is>
      </c>
      <c r="D22" t="inlineStr">
        <is>
          <t>indeed</t>
        </is>
      </c>
      <c r="E22" t="inlineStr"/>
      <c r="F22" t="inlineStr"/>
      <c r="G22" t="inlineStr">
        <is>
          <t>Nashville, TN, US</t>
        </is>
      </c>
      <c r="H22" s="1" t="n">
        <v>46070</v>
      </c>
      <c r="I22"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3">
      <c r="A23" t="inlineStr">
        <is>
          <t>in-2ec0094b24dcb02a</t>
        </is>
      </c>
      <c r="B23" t="inlineStr">
        <is>
          <t>Software Development Manager, Amazon Security Data Engineering</t>
        </is>
      </c>
      <c r="C23" t="inlineStr">
        <is>
          <t>Amazon.com</t>
        </is>
      </c>
      <c r="D23" t="inlineStr">
        <is>
          <t>indeed</t>
        </is>
      </c>
      <c r="E23" t="inlineStr"/>
      <c r="F23" t="inlineStr"/>
      <c r="G23" t="inlineStr">
        <is>
          <t>Herndon, VA, US</t>
        </is>
      </c>
      <c r="H23" s="1" t="n">
        <v>46063</v>
      </c>
      <c r="I23"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24">
      <c r="A24" t="inlineStr">
        <is>
          <t>in-cae09c0bfe6c7cda</t>
        </is>
      </c>
      <c r="B24" t="inlineStr">
        <is>
          <t>Software Development Manager, Amazon Security Data Engineering</t>
        </is>
      </c>
      <c r="C24" t="inlineStr">
        <is>
          <t>Amazon.com</t>
        </is>
      </c>
      <c r="D24" t="inlineStr">
        <is>
          <t>indeed</t>
        </is>
      </c>
      <c r="E24" t="inlineStr"/>
      <c r="F24" t="inlineStr"/>
      <c r="G24" t="inlineStr">
        <is>
          <t>San Diego, CA, US</t>
        </is>
      </c>
      <c r="H24" s="1" t="n">
        <v>46063</v>
      </c>
      <c r="I24"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25">
      <c r="A25" t="inlineStr">
        <is>
          <t>in-f59e2cffa6b063ef</t>
        </is>
      </c>
      <c r="B25" t="inlineStr">
        <is>
          <t>Data Engineer, AMZL Orbit Data Engineering</t>
        </is>
      </c>
      <c r="C25" t="inlineStr">
        <is>
          <t>Amazon.com</t>
        </is>
      </c>
      <c r="D25" t="inlineStr">
        <is>
          <t>indeed</t>
        </is>
      </c>
      <c r="E25" t="inlineStr"/>
      <c r="F25" t="inlineStr"/>
      <c r="G25" t="inlineStr">
        <is>
          <t>Austin, TX, US</t>
        </is>
      </c>
      <c r="H25" s="1" t="n">
        <v>46054</v>
      </c>
      <c r="I25"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6">
      <c r="A26" t="inlineStr">
        <is>
          <t>in-189bb3e282dc3f65</t>
        </is>
      </c>
      <c r="B26" t="inlineStr">
        <is>
          <t>Data Engineer, AMZL Orbit Data Engineering</t>
        </is>
      </c>
      <c r="C26" t="inlineStr">
        <is>
          <t>Amazon.com</t>
        </is>
      </c>
      <c r="D26" t="inlineStr">
        <is>
          <t>indeed</t>
        </is>
      </c>
      <c r="E26" t="inlineStr"/>
      <c r="F26" t="inlineStr"/>
      <c r="G26" t="inlineStr">
        <is>
          <t>Bellevue, WA, US</t>
        </is>
      </c>
      <c r="H26" s="1" t="n">
        <v>46054</v>
      </c>
      <c r="I26"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7">
      <c r="A27" t="inlineStr">
        <is>
          <t>in-8e5d7c7c036894d7</t>
        </is>
      </c>
      <c r="B27" t="inlineStr">
        <is>
          <t>Data Engineer, AMZL Orbit Data Engineering</t>
        </is>
      </c>
      <c r="C27" t="inlineStr">
        <is>
          <t>Amazon.com</t>
        </is>
      </c>
      <c r="D27" t="inlineStr">
        <is>
          <t>indeed</t>
        </is>
      </c>
      <c r="E27" t="inlineStr"/>
      <c r="F27" t="inlineStr"/>
      <c r="G27" t="inlineStr">
        <is>
          <t>Nashville, TN, US</t>
        </is>
      </c>
      <c r="H27" s="1" t="n">
        <v>46054</v>
      </c>
      <c r="I27"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8">
      <c r="A28" t="inlineStr">
        <is>
          <t>in-056fd55a09d1710f</t>
        </is>
      </c>
      <c r="B28" t="inlineStr">
        <is>
          <t>Data Engineer</t>
        </is>
      </c>
      <c r="C28" t="inlineStr">
        <is>
          <t>Seattle Children's</t>
        </is>
      </c>
      <c r="D28" t="inlineStr">
        <is>
          <t>indeed</t>
        </is>
      </c>
      <c r="E28" t="inlineStr"/>
      <c r="F28" t="inlineStr"/>
      <c r="G28" t="inlineStr">
        <is>
          <t>Seattle, WA, US</t>
        </is>
      </c>
      <c r="H28" s="1" t="n">
        <v>46048</v>
      </c>
      <c r="I28" t="inlineStr">
        <is>
          <t>The Data Engineer responsibilities include building a data processing pipeline that collects, connects, centralizes, and curates data from various internal and external sources using a variety of languages and tools to marry systems together for the Enterprise Data Warehouse. This includes leveraging modern cloud platforms and services to develop highly scalable, secure and reliable data engineering solutions for efficiently moving and transforming data across systems. Additional responsibilities include designing, implementing, testing, and deploying cloud\-based data processing infrastructure; performing work in an Agile team setting; and breaking down, estimating, and providing just\-in\-time design for small increments of work. This role is pivotal to the mission and vision of Seattle Children's Enterprise Analytics team to transform healthcare for children by providing patient safety, predictive analysis to cure diseases, lowering cost of treatment, etc.
**Required Education and Experience**  
Bachelor's Degree in computer science or related field, or equivalent combination of education and experience/technical training that demonstrates analytical and technical competency.  
Minimum of two (2\) years technology industry or related experience, including items such as:  
* Build highly scalable, scaled\-out architectures on large scale database platforms.
* Experience working in a complex data infrastructure environment.
Two (2\) years of experience in a data engineering role.  
Data pipeline development experience with industry standard data integration tools.  
Advanced competency in SQL with ability to perform query optimization in large scale database platforms.  
Experience in SDLC process with requirements gathering, analysis, architecture, design, implementation, testing, deployment and technical support.  
Experience with any industry standard tool for Source Control and Project Management.  
Experience writing test cases and test scripts for data quality assurance.  
Experience creating stored procedures and functions.  
Experience developing dimensional data model with any industry standard tool.  
**Required Credentials**  
N/A.  
**Preferred**
Experience in Healthcare or related industry.
Experience GCP cloud services and data warehouse stores like BigQuery
Experience in version control and CI/CD (Continuous integration and continuous delivery) tools.
Knowledgeable productizing/automating predictive models that use R, SAS, SPSS, etc.
Familiarity with test\-driven development methodology for analytic solutions.
Familiarity with Agile framework and test\-driven development methodology for analytic solutions.
API development.
Data visualization and/or dashboard development.
**Compensation Range**
$107,431\.00 \- $161,147\.00 per year**Salary Information**
This compensation range was calculated based on full\-time employment (2080 hours worked per calendar year). Offers are determined by multiple factors including equity, skills, experience, and expertise, and may vary within the range provided.
**Disclaimer for Out of State Applicants**
This compensation range is specific to Seattle, positions located outside of Seattle may be compensated differently depending on various factors**.**
**Benefits Information**
Seattle Children’s offers a generous benefit package, including medical, dental, and vision plans, 403(b), life insurance, paid time off, tuition reimbursement, and more. Additional details on our benefits can be found on our website www.seattlechildrens.org/careers/benefits.
**About Us**
**Hope. Care. Cure. These three simple words capture what we do at Seattle Children’s – to help every child live the healthiest and most fulfilling life possible. Are you ready to engage with a mission\-driven organization that is life\-changing to many, and touches the hearts of all? \#HOPECARECURE**
Our founding promise to the community is as valid today as it was over a century ago: we will care for all children in our region, regardless of the families’ ability to pay. Together, we deliver superior patient care, advance new discoveries and treatments through pediatric research, and serve as the pediatric and adolescent, academic medical center for Washington, Alaska, Montana and Idaho – the largest region of any children’s hospital in the country.  
U.S. News \&amp; World Report consistently ranks Seattle Children’s among the nation’s best children’s hospitals. For more than a decade, Seattle Children’s has been nationally recognized in key specialty areas. We are honored to be one of the nation’s very best places to care for children and the top\-ranked pediatric hospital in Washington and the Pacific Northwest.
As a Magnet designated institution, we recognize the importance of hiring and developing great talent to provide best\-in\-class care to the patients and families we serve. Our organizational DNA takes form in our core values: Compassion, Excellence, Integrity, Collaboration, Equity and Innovation. Whether it’s delivering frontline care to our patients in a kind and caring manner, practicing the highest standards of quality and safety, or being relentlessly curious as we work towards eradicating childhood diseases, these values are the fabric of our culture and community. The future starts here.
**Our Commitment**
Seattle Children’s welcomes people of all experiences, backgrounds, and thoughts as this is what drives our spirit of inquiry and allows us to better connect with our patients and families. Our organization recruits, employs, trains, compensates, and promotes based on merit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people who work at Seattle Children’s are members of a community that seeks to respect and celebrate all the qualities that make each of us unique. Each of us is empowered to be ourselves.
Seattle Children’s is proud to be an Equal Opportunity Workplace and Affirmative Action Employer.</t>
        </is>
      </c>
    </row>
    <row r="29">
      <c r="A29" t="inlineStr">
        <is>
          <t>in-7dc35b2e5a3254dc</t>
        </is>
      </c>
      <c r="B29" t="inlineStr">
        <is>
          <t>Data Engineer, Denied Party Screening, AWS Compliance &amp; Security Assurance</t>
        </is>
      </c>
      <c r="C29" t="inlineStr">
        <is>
          <t>Amazon.com</t>
        </is>
      </c>
      <c r="D29" t="inlineStr">
        <is>
          <t>indeed</t>
        </is>
      </c>
      <c r="E29" t="inlineStr"/>
      <c r="F29" t="inlineStr"/>
      <c r="G29" t="inlineStr">
        <is>
          <t>Dallas, TX, US</t>
        </is>
      </c>
      <c r="H29" s="1" t="n">
        <v>46029</v>
      </c>
      <c r="I29"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30">
      <c r="A30" t="inlineStr">
        <is>
          <t>in-fe1d5011a2d1ea3b</t>
        </is>
      </c>
      <c r="B30" t="inlineStr">
        <is>
          <t>Data Engineer, Denied Party Screening, AWS Compliance &amp; Security Assurance</t>
        </is>
      </c>
      <c r="C30" t="inlineStr">
        <is>
          <t>Amazon.com</t>
        </is>
      </c>
      <c r="D30" t="inlineStr">
        <is>
          <t>indeed</t>
        </is>
      </c>
      <c r="E30" t="inlineStr"/>
      <c r="F30" t="inlineStr"/>
      <c r="G30" t="inlineStr">
        <is>
          <t>Seattle, WA, US</t>
        </is>
      </c>
      <c r="H30" s="1" t="n">
        <v>46029</v>
      </c>
      <c r="I30"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31">
      <c r="A31" t="inlineStr">
        <is>
          <t>in-3109ea59c7552b63</t>
        </is>
      </c>
      <c r="B31" t="inlineStr">
        <is>
          <t>Agentic AI and Data Engineer</t>
        </is>
      </c>
      <c r="C31" t="inlineStr">
        <is>
          <t>Booz Allen Hamilton</t>
        </is>
      </c>
      <c r="D31" t="inlineStr">
        <is>
          <t>indeed</t>
        </is>
      </c>
      <c r="E31" t="inlineStr"/>
      <c r="F31" t="inlineStr"/>
      <c r="G31" t="inlineStr">
        <is>
          <t>Honolulu, HI, US</t>
        </is>
      </c>
      <c r="H31" s="1" t="n">
        <v>46079</v>
      </c>
      <c r="I31" t="inlineStr">
        <is>
          <t>Agentic AI and Data Engineer**The Opportunity:**
As an experienced engineer, you know how to design, develop, and deliver production\-grade agentic AI systems that demonstrate the practical value of generative AI, large language models (LLMs), and autonomous workflows. This role combines deep technical expertise with strong product and consulting skills to design AI applications that leverage prompting, retrieval\-augmented generation (RAG), agentic orchestration, evaluation pipelines, and human\-in\-the\-loop systems to deliver measurable impact.
You will architect modular, reusable AI application patterns, integrate multiple model providers such as cloud\-hosted, local, and hybrid, and apply modern GenAI stack capabilities, including structured prompting, tool use, workflow orchestration, and multi\-modal reasoning. You will design solutions deployable across various contexts, from cloud\-hosted platforms to portable, self\-contained builds, optimizing for latency, cost efficiency, observability, and safety. You will rapidly prototype and iterate using AI\-assisted development tools, validating hypotheses through eval\-driven development and continuous experimentation.
In this role, you’ll define the direction of mission\-critical agentic systems by selecting and combining prompting strategies, RAG architectures, agentic workflows, and fine\-tuned or foundation models as appropriate. You’ll be part of a large community of AI and ML engineers across the company, collaborating with data engineers, data scientists, solutions architects, and product owners to deliver world\-class solutions.
**What You’ll Do:**
* Design adaptable agentic AI architectures that support multiple model providers, tool ecosystems, modalities, and deployment modes.
* Build modular and reusable components for prompting, retrieval, orchestration, tool execution, memory management, and evaluation to enable rapid development of new AI capabilities.
* Integrate LLMs, embeddings, RAG pipelines, structured outputs, and long\-context or memory mechanisms into production\-ready systems.
* Apply advanced prompting techniques such as few\-shot, chain\-of\-thought, tool\-calling, and function\-calling, orchestration frameworks such as LangChain or equivalent, and agentic architectures such as MCP, A2A, or similar patterns, to enable goal\-directed autonomy with guardrails, observability, and human oversight, including planning, tool use, delegation, and recovery from failure.
* Design and implement evaluation frameworks, both offline and online, to measure correctness, robustness, safety, and business impact of AI systems.
* Optimize models and workflows for cost, latency, reliability, and scalability, using systematic benchmarking and experimentation.
* Develop data pipelines for ingestion, cleaning, chunking, embedding, indexing, and continuous refresh of structured and unstructured data for RAG and memory systems.
* Combine text, audio, vision, and other modalities in unified processing workflows, including document understanding, transcription, summarization, and cross\-modal reasoning.
* Leverage vector databases, hybrid search, reranking, and retrieval optimization techniques to enhance grounding and reduce hallucination in RAG systems.
* Incorporate guardrails, safety filters, access controls, and monitoring mechanisms to ensure responsible and secure deployment of agentic AI systems.
* Deploy AI services securely and at scale on AWS or equivalent cloud platforms.
* Use containerizing, including in Docker or Kubernetes, or serverless approaches for flexible deployment.
* Apply CI/CD and eval\-driven development best practices for AI systems, including automated testing of prompts and workflows, versioning of prompts and agents, and safe rollout of model updates.
* Use asynchronous programming and event\-driven patterns to support scalable, long\-running, or multi\-agent workflows.
* Leverage modern build and packaging workflows to deliver optimized, portable application artifacts.
* Use AI assistance tools to accelerate development, debugging, and system design while maintaining engineering rigor and code quality.
* Collaborate with clients to identify high\-value AI opportunities and define solution requirements.
* Present AI capabilities and technical solutions to both technical and non\-technical stakeholders.
* Lead workshops and prototyping sessions to accelerate adoption.
* Provide guidance on responsible AI practices, ethics, and compliance.
Join us. The world can’t wait.
**You Have:**
* 5\+ years of experience with software engineering
* 2\+ years of experience in AI or ML\-focused roles
* Experience with an object\-oriented programming language such as Python, and applying it to AI/ML solution development
* Experience designing and implementing production\-grade generative or agentic AI applications using LLMs, LAMs, and LVMs, applying prompting techniques and structured outputs to improve reliability and determinism, and building secure and scalable deployments on cloud platforms such as AWS
* Experience with AI orchestration frameworks such as LangChain, agent workflows, tool integration, and multi\-provider model integration
* Experience with RAG architectures, evaluation methodologies, experimentation workflows, and asynchronous or event\-driven programming patterns
* Knowledge of data processing techniques for AI, including text, audio, and multi\-modal
* Ability to obtain a Secret clearance
* Bachelor’s degree in a CS or Engineering field
* AWS Machine Learning, Data Engineer, or Solutions Architect Certification
**Nice If You Have:**
* Experience with agent frameworks, interoperability standards, and multi\-agent patterns such as MCP, A2A, LangGraph, or equivalent
* Experience with model fine\-tuning, prompt tuning, domain adaptation, or reinforcement learning from human or AI feedback
* Experience designing evaluation suites or safety testing frameworks for AI systems, and integrating AI systems with external tools, APIs, or enterprise systems via tool\-calling or computer\-use patterns
* Experience delivering AI solutions in client\-facing consulting engagements
* Experience with modern front\-end libraries and frameworks for component\-based UI development, including React, and with workflows such as build pipelines, automated testing, and code quality tooling
* Experience with in\-browser or edge AI execution and performance optimization techniques, as well as modern build and packaging approaches for portable or offline\-capable applications
* Experience with developer productivity tools such as Cursor and Windsurf
* Knowledge of AI ethics, compliance requirements, and responsible AI practices
* Secret clearance
* Master’s degree in CS, AI, or a related field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2">
      <c r="A32" t="inlineStr">
        <is>
          <t>in-cedfb48574d9954f</t>
        </is>
      </c>
      <c r="B32" t="inlineStr">
        <is>
          <t>Data Engineer</t>
        </is>
      </c>
      <c r="C32" t="inlineStr">
        <is>
          <t>IBR (Imagine Believe Realize)</t>
        </is>
      </c>
      <c r="D32" t="inlineStr">
        <is>
          <t>indeed</t>
        </is>
      </c>
      <c r="E32" t="inlineStr"/>
      <c r="F32" t="inlineStr"/>
      <c r="G32" t="inlineStr">
        <is>
          <t>Remote, US</t>
        </is>
      </c>
      <c r="H32" s="1" t="n">
        <v>46080</v>
      </c>
      <c r="I32" t="inlineStr">
        <is>
          <t>At Imagine Believe Realize, LLC we are driven by innovation, transformation and a relentless pursuit of excellence. As an industry leader delivering impactful results, we thrive on solving complex technical challenges and developing cutting\-edge solutions that empower our customers and advance critical missions.
IBR is a fast\-growing company fueled by passion, curiosity, and innovative thinking – where every team member has the opportunity to continuously learn, unlock their full potential, and redefine what is possible in engineering and technology. If you are inspired by innovation, eager to make a difference, and ready to bring your creativity and expertise to a mission\-focused team, we invite you to join us and together, we will shape the future. Let’s Make It Real!
**The Data Engineer must be able to meet the key criteria below:**
**Location:** 100% remote
**Years' Experience:** 5\+ years professional data engineering experience
**Education:** Bachelors in IT related field
**Security Clearance:** Must currently hold an active Secret security clearance as mandated by the government program.
**Employment Type:** Full Time
**Work Schedules:** IBR promotes work\-life balance by offering flexible scheduling options. Standard business hours are aligned to the Eastern Time Zone.
**Key Skills:**
* 5\+ years of IT experience focusing on enterprise data architecture and management to include data flow charts, diagrams, and other technical documentation.
* Experience with Databricks, Structured Streaming, Delta Lake concepts, and Delta Live Tables required
* Python development experience required
* Experience with ETL and ELT tools such as SSIS, Pentaho, and/or Data Migration Services, and the ability to incorporate Python as required.
* Advanced level SQL experience (Joins, Aggregation, Windowing functions, Common Table Expressions, RDBMS schema design, Postgres performance optimization)
* Proficiency using Git for version control, including repository management, branching, merging, and pull requests
* Active CompTIA Security\+ certification preferred. If selected, must be able to obtain a CompTIA Security\+ certification prior to begin supporting the program.
**Overview**
Do you want to help build a portfolio of next\-generation data collection systems and enterprise portals? As a Data Engineer at IBR, you will support the Agile based engineering of robust, secure, and scalable enterprise web portal solutions hosted in AWS. This position will work closely with the solutions delivery team to support the operations team performing Deployment, Systems Integration Testing, and Operations \&amp; Maintenance activities.
**Responsibilities**
* Plan, create, and maintain data architectures, ensuring alignment with business requirements
* Obtain data, formulate dataset processes, and store optimized data
* Identify problems and inefficiencies and apply solutions
* Determine tasks where manual participation can be eliminated with automation.
* Identify and optimize data bottlenecks, leveraging automation where possible
* Create and manage data lifecycle policies (retention, backups/restore, etc)
* In\-depth knowledge for creating, maintaining, and managing ETL/ELT pipelines
* Create, maintain, and manage data transformations
* Maintain/update documentation
* Create, maintain, and manage data pipeline schedules
* Monitor data pipelines
* Create, maintain, and manage data quality gates (Great Expectations) to ensure high data quality
* Support AI/ML teams with optimizing feature engineering code
* Expertise in Spark/Python/Databricks, Data Lake and SQL
* Create, maintain, and manage Spark Structured Steaming jobs, including using the newer Delta Live Tables and/or DBT
* Research existing data in the data lake to determine best sources for data
* Create, manage, and maintain ksqlDB and Kafka Streams queries/code
* Data driven testing for data quality
* Maintain and update Python\-based data processing scripts executed on AWS Lambdas
* Unit tests for all the Spark, Python data processing and Lambda codes
* Maintain PCIS Reporting Database data lake with optimizations and maintenance (performance tuning, etc)
* Streamlining data processing experience including formalizing concepts of how to handle lake data, defining windows, and how window definitions impact data freshness.
**Qualifications**
* 5\+ years of IT experience focusing on enterprise data architecture and management
* Must have an active Secret security clearance
* Bachelor degree required
* CompTIA Security\+ certification preferred. If selected, must be able to obtain a CompTIA Security\+ certification prior to begin supporting the program.
* Experience in Conceptual/Logical/Physical Data Modeling \&amp; expertise in Relational and Dimensional Data Modeling
* Experience with Databricks and Python Development, Structured Streaming, Delta Lake concepts, and Delta Live Tables required
* Additional experience with Spark, Spark SQL, Spark DataFrames and DataSets, and PySpark
* Data Lake concepts such as time travel and schema evolution and optimization
* Structured Streaming and Delta Live Tables with Databricks a bonus
* Knowledge of Python (Python 3\.X) for CI/CD pipelines required
* Familiarity with Pytest and Unittest a bonus
* Experience leading and architecting enterprise\-wide initiatives specifically system integration, data migration, transformation, data warehouse build, data mart build, and data lakes implementation / support
* Advanced level understanding of streaming data pipelines and how they differ from batch systems
* Formalize concepts of how to handle late data, defining windows, and data freshness
* Advanced understanding of ETL and ELT and ETL/ELT tools such as SSIS, Pentaho, Data Migration Service etc
* Understanding of concepts and implementation strategies for different incremental data loads such as tumbling window, sliding window, high watermark, etc.
* Familiarity and/or expertise with Great Expectations or other data quality/data validation frameworks a bonus
* Understanding of streaming data pipelines and batch systems
* Familiarity with concepts such as late data, defining windows, and how window definitions impact data freshness
* Advanced level SQL experience (Joins, Aggregation, Windowing functions, Common Table Expressions, RDBMS schema design, Postgres performance optimization)
* Indexing and partitioning strategy experience
* Debug, troubleshoot, design and implement solutions to complex technical issues
* Experience with large\-scale, high\-performance enterprise big data application deployment and solution
* Understanding how to create DAGs to define workflows
* Familiarity with CI/CD pipelines, containerization, and pipeline orchestration tools such as Airflow, Prefect, etc a bonus but not required
* Architecture experience in AWS environment a bonus
* Familiarity working with Kinesis and/or Lambda specifically with how to push and pull data, how to use AWS tools to view data in Kinesis streams, and for processing massive data at scale a bonus
* Experience with Docker, Jenkins, and CloudWatch
* Ability to write and maintain Jenkinsfiles for supporting CI/CD pipelines
* Experience working with AWS Lambdas for configuration and optimization
* Experience working with DynamoDB to query and write data
* Experience with S3
* Experience working with JSON and defining JSON Schemas a bonus
* Experience setting up and management Confluent/Kafka topics and ensuring performance using Kafka a bonus
* Familiarity with Schema Registry, message formats such as Avro, ORC, etc.
* Understanding how to manage ksqlDB SQL files and migrations and Kafka Streams
* Ability to thrive in a team\-based environment
* Experience briefing the benefits and constraints of technology solutions to technology partners, stakeholders, team members, and senior level of management
* Proficiency using Git for version control, including repository management, branching, merging, and pull requests
* Repository setup and management
* Branching strategies (feature, develop, main)
* Merging and resolving conflicts
* Creating and reviewing pull requests
* Commit best practices (clear messages, atomic commits)
* Tagging and release management
**Application Deadline:**
Applications will be reviewed as received and accepted on a continuous basis until the position is filled. Early application is strongly encouraged.
**Physical Demands and Work Environment**
This role primarily involves sedentary work, in a workplace and/or home office environment. There are some physical demands associated with the role, including:
* Extended periods of sitting and working at a computer workstation.
* Occasional lifting and carrying of equipment or materials weighing up to 20 pounds.
* Occasional travel to client sites or meetings may be required.
* Work may need to be performed in a fast\-paced environment requiring quick decision making.
* Flexible work arrangements may be available based on business needs.
* Will be exposed to a wide variety of clients in differing functions, personalities, and abilities.
**Benefits and Compensation Information**  
Imagine Believe Realize, LLC (IBR) is focused on delivering software and systems engineering solutions to government and commercial clients. Our talent acquisition strategy is designed for career\-minded professionals that value continuous learning and growth. We strive to enhance our team members’ ability to thrive in the workplace by creating a proper work/life balance and first\-class benefits package that includes:
* Nationwide medical, dental, and vision insurance
* 3 weeks of Paid Time Off and 11 Paid Federal Holidays
* 401k matching
* Life Insurance, Short\-Term Disability, and Long\-Term Disability at no cost to our employees
* Supplemental insurance options
* Flexible spending accounts and Dependent Care spending accounts
* Wellness incentives
* Reimbursement for professional development and certifications
* Access to training assistance opportunities to support career growth and progression
* Hybrid and Remote work opportunities to support work\-life balance
The expected salary range for this position is $120,000 – $145,000 USD annually. This is a good\-faith estimate and not a salary guarantee as compensation may vary based on factors such as experience, education, skills, associated role responsibilities, applicable contractual requirements, and geographic location.
**Apply Today**
If you are ready to grow your career and make an impact, then we encourage you to apply today by submitting an application. We welcome you to explore additional job opportunities listed on our careers page https://teamibr.applicantstack.com/x/openings.
Applicants who require alternative assistance with the application or interview process may request reasonable accommodations by contacting us using the contact information provided below:
info@teamibr.com  
407\.459\.1830
**Compliance and Regulatory Statements**
**Equal Employment Opportunity (EEO) Statement**
Imagine Believe Realize, LLC is proud to be an Equal Opportunity Employer. All qualified applicants will receive consideration for employment without regard to legally protected characteristics such as race, ethnicity, color, religion, sex, sexual orientation, gender identity, gender expression, creed, age, national origin, disability (including pregnancy, childbirth, or related medical conditions), marital status, veteran status, or any other applicable legally protected class in accordance with federal, state, and local laws.
**Affirmative Action**
As a federal contractor, Imagine Believe Realize, LLC takes affirmative action to employ and advance in employment qualified minorities, women, protected veterans, and individuals with disabilities.
**Individuals with Disabilities**
Imagine Believe Realize, LLC is committed to providing equal opportunity to qualified individuals with disabilities and to making reasonable accommodations to enable them to apply for positions and perform their jobs. If you require an accommodation during the application or interview process, please contact Human Resources at info@teamibr.com.
**Protected Veterans (VEVRAA)**
Imagine Believe Realize, LLC actively seeks to employ and advance qualified protected veterans in compliance with the Vietnam Era Veterans’ Readjustment Assistance Act (VEVRAA).
**Pay Transparency Nondiscrimination Provision**
Imagine Believe Realize, LLC will not discharge or otherwise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**Right to Work / Employment Eligibility**
In compliance with federal law, all persons hired will be required to verify identity and eligibility to work in the United States and to complete the required employment eligibility verification form (Form I\-9\).
Job Type: Full\-time
Pay: $120,000\.00 \- $145,000\.00 per year
Benefits:
* 401(k) matching
* Dental insurance
* Employee assistance program
* Flexible schedule
* Flexible spending account
* Health insurance
* Health savings account
* Life insurance
* Paid time off
* Parental leave
* Professional development assistance
* Referral program
* Vision insurance
Work Location: Remote</t>
        </is>
      </c>
    </row>
    <row r="33">
      <c r="A33" t="inlineStr">
        <is>
          <t>in-f17e8e0a1dc510cf</t>
        </is>
      </c>
      <c r="B33" t="inlineStr">
        <is>
          <t>Sr. Data Engineer</t>
        </is>
      </c>
      <c r="C33" t="inlineStr">
        <is>
          <t>Linde</t>
        </is>
      </c>
      <c r="D33" t="inlineStr">
        <is>
          <t>indeed</t>
        </is>
      </c>
      <c r="E33" t="inlineStr"/>
      <c r="F33" t="inlineStr"/>
      <c r="G33" t="inlineStr">
        <is>
          <t>Tonawanda, NY, US</t>
        </is>
      </c>
      <c r="H33" s="1" t="n">
        <v>46079</v>
      </c>
      <c r="I33" t="inlineStr">
        <is>
          <t>**Sr. Data Engineer**
* 26000435
 **Position Qualification Summary:**
The Senior Data Engineer will join the Americas IT software and architecture team. This business\-centric IT team enables business\-focused development of cutting‑edge solutions and integrates global/regional IT initiatives into the business.
In this senior role, we are seeking an experienced Data Engineer with deep hands‑on expertise in Apache Spark, Microsoft Fabric, and cloud‑scale data architecture. You will lead the design of robust data pipelines, optimize large\-scale data architectures, and drive data‑driven decision‑making across the organization.
The Senior Data Engineer is expected to work independently, collaborate with business and IT leaders, guide junior engineers, and architect solutions from the ground up based on complex business requirements.
 **Key Responsibilities:**
* Design and Develop Enterprise Data Pipelines: Architect, build, and maintain scalable, distributed data pipelines leveraging Apache Spark and Microsoft Fabric to process large structured and unstructured datasets.
* Data Integration Leadership: Integrate data from diverse internal and external systems, ensuring reliability, lineage, and consistency across the enterprise.
* Performance Optimization: Lead optimization of ETL/ELT workloads for large\-scale analytics, improving cost efficiency, throughput, and reliability.
* Data Quality \&amp; Governance: Define and implement standards for data quality, metadata management, cataloging, lineage, and governance compliance.
* Cross‑Functional Collaboration: Partner with data scientists, analysts, architects, and IT teams to define requirements, deliver insights, and integrate analytical models.
* Documentation: Develop and maintain in‑depth documentation for pipeline architectures, workflows, schemas, and operational processes.
* Continuous Innovation: Evaluate emerging technologies and introduce modern data engineering practices such as lakehouse patterns, delta formats, automation, and real‑time processing.
* Troubleshooting \&amp; Reliability: Lead resolution of complex data pipeline failures, ensuring platform stability and enterprise‑grade reliability.
* Security \&amp; Compliance: Enforce enterprise data security, privacy, and access governance policies.
 **Qualifications:**
**Basic:**
* Bachelor’s or Master’s degree in Computer Science, Engineering, Information Systems, or related field.
* 7\+ years of professional experience in data engineering, data architecture, or large‑scale data platform development.
* Expertise in Apache Spark for large‑scale batch and streaming workloads.
* Deep hands‑on experience with Microsoft Fabric, including Data Engineering, Data Factory, Data Pipelines, and Lakehouse implementations.
* Advanced proficiency in SQL, Python, and/or Scala.
* Hands‑on expertise with Microsoft Azure (preferred), AWS, or GCP cloud data services.
* Strong understanding of distributed systems, lakehouse patterns, and data modeling.
* Proven experience designing and optimizing complex ETL/ELT workflows.
* Strong communication skills, leadership capability, and technical mentorship experience.
 **Preferred:**
* Professional certifications in Azure Data Engineering, Apache Spark, or Microsoft Fabric.
* Experience with real‑time streaming technologies such as Kafka or Azure Event Hubs.
* Knowledge of DevOps practices including CI/CD, Infrastructure as Code, and automated testing.
* Experience with visualization tools such as Power BI or Tableau.
 **About Linde:**
Linde is a leading global industrial gases and engineering company with 2025 sales of $34 billion. We live our mission of making our world more productive every day by providing high\-quality solutions, technologies and services which are making our customers more successful and helping to sustain and protect our planet.
 **Culture:**
At Linde, we strive to create a work environment that treats all employees with respect, supports new thoughts and ideas, encourages growth and development, celebrates our differences, and embraces inclusion. Linde is committed to remaining an employer of choice for the diverse, ever\-increasing pool of global talent.
For more information about the company and its products and services, please visit www.linde.com.
 **Salary:**
Pay commensurate with experience. Open to salary range $108,225 \- $158,730\.
 **Benefits:**
Linde Gases US offers competitive compensation and an outstanding benefits package. Enjoy access to health, dental, disability, and life insurance, paid holidays and vacation, 401(k) matching, pension benefits, an employee discount program, and opportunities for educational and professional growth. Additional compensation may vary depending on the position and organizational level. Build your future with us while making an impact every day!
 *All qualified applicants will receive consideration for employment without regard to race, color, religion, sex, national origin, age, disability, protected veteran status, pregnancy, sexual orientation, gender identity or expression, or any other reason prohibited by applicable law.*
*\#LI\-PL1*
**Primary Location** New York\-TONAWANDA**Schedule** Full\-time**Job** IT**Unposting Date** Ongoing</t>
        </is>
      </c>
    </row>
    <row r="34">
      <c r="A34" t="inlineStr">
        <is>
          <t>in-78011a5d6c324570</t>
        </is>
      </c>
      <c r="B34" t="inlineStr">
        <is>
          <t>Senior Analytics Engineer</t>
        </is>
      </c>
      <c r="C34" t="inlineStr">
        <is>
          <t>Guardian Bikes</t>
        </is>
      </c>
      <c r="D34" t="inlineStr">
        <is>
          <t>indeed</t>
        </is>
      </c>
      <c r="E34" t="inlineStr"/>
      <c r="F34" t="inlineStr"/>
      <c r="G34" t="inlineStr">
        <is>
          <t>US</t>
        </is>
      </c>
      <c r="H34" s="1" t="n">
        <v>46079</v>
      </c>
      <c r="I34" t="inlineStr">
        <is>
          <t>Syscend (the platform behind Guardian Bikes) is building a vertically integrated, AI\-driven manufacturing and  
commerce company. We design, manufacture, fulfill, and sell our products directly from our U.S. factory floor  
to the customer door.  
Our Indianapolis Center of Excellence for Data \&amp; Operational Systems is where we architect the intelligence  
and transactional backbone that powers the entire platform.
Our competitive advantage is not just physical integration \- data integration.
We are building a unified intelligence layer across manufacturing, supply chain, fulfillment, marketing,  
finance, and customer experience \- structured so that AI systems can reason across the entire value stream.  
This role is foundational to that vision.
This role will be based in our new Indianapolis technology office and will be one of the foundational hires  
shaping how Syscend structures and leverages data long term.
We are hiring our first Analytics Engineer under our VP of Data \&amp; Technology to architect and build the core  
data models that will power decision\-making and AI systems across Syscend.
You will design and implement the company's unified analytical data layer \- transforming raw operational  
data from ERP, WMS, OMS, manufacturing systems, marketing platforms, and finance systems into clean, well\-  
modeled, well\-documented, AI\-ready datasets.
Unified Analytical Data Layer
* Design canonical data models that reconcile data across ERP, WMS, OMS, eCommerce, marketing, finance,
and factory systems  
* Integrate data from warehouses and cloud storage, SaaS platforms, APIs, and local files (Excel/Google
Sheets) as needed  
* Define clear entity relationships (orders, inventory, SKUs, customers, production batches, etc.)
* Build durable transformation pipelines using modern ELT practices (dbt or equivalent)
* Establish modeling standards that scale with company growth
AI\-Ready Data Architecture
* Structure data to be machine\-interpretable and semantically clear
* Develop consistent naming conventions and ontology standards
* Ensure clean feature\-layer readiness for ML use cases
* Partner with the VP of Data to enable LLM\-based querying and reasoning across the warehouse
* Design downstream BI/dashboards, AI agents, copilots, and forecasting systems
Data Governance, Quality \&amp; Cost Discipline
Implement lineage tracking, documentation, and testing standards to support auditing, collaboration, and  
troubleshooting  
* Build validation frameworks and data contracts
* Establish version control and change management discipline
* Design for durability, flexibility, and security across the data ecosystem
* Monitor and manage warehouse and infrastructure costs; continually improve efficiency and
performance
Business Impact
* Collaborate cross\-functionally to identify high\-leverage analytical opportunities
* Develop the semantic layer in Looker (or equivalent BI platform)
* Support advanced use cases including: production productivity analysis, inventory optimization,
marketing ROI and attribution, customer cohort and LTV modeling, forecasting and financial modeling
Core Technical Skills  
* Strong SQL fluency (window functions, performance optimization, complex joins)
* Deep experience with modern data modeling (dimensional modeling, star schemas, event modeling,
medallion architecture)  
* Experience with dbt or similar transformation frameworks
* Experience with BigQuery, Snowflake, or similar cloud warehouses
* Strong understanding of data lineage, testing, and documentation practices
* Experience with version control and basic software engineering principles (Git/GitHub)
AI\-Native Mindset  
* Familiarity with LLM tools (ChatGPT, Claude, Gemini, Cursor, etc.)
* Understanding of how structured data enables ML and AI systems
* Interest in designing systems that are interpretable by both humans and machines
* Exposure to feature engineering or ML pipelines is a plus
Bonus / Preferred Experience  
* Python for data workflows
* Building API\-based data ingestion pipelines
* ERP / WMS / supply chain data environments
* Manufacturing or operations analytics
* SaaS APIs and data pipeline architecture
* Fundamental literacy in statistical analysis and test design</t>
        </is>
      </c>
    </row>
    <row r="35">
      <c r="A35" t="inlineStr">
        <is>
          <t>in-077646f27b283919</t>
        </is>
      </c>
      <c r="B35" t="inlineStr">
        <is>
          <t>Associate Data Engineer (Privacy Impact Assessments)</t>
        </is>
      </c>
      <c r="C35" t="inlineStr">
        <is>
          <t>Truist</t>
        </is>
      </c>
      <c r="D35" t="inlineStr">
        <is>
          <t>indeed</t>
        </is>
      </c>
      <c r="E35" t="inlineStr"/>
      <c r="F35" t="inlineStr"/>
      <c r="G35" t="inlineStr">
        <is>
          <t>Charlotte, NC, US</t>
        </is>
      </c>
      <c r="H35" s="1" t="n">
        <v>46079</v>
      </c>
      <c r="I3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\*\*\*This role is 5 days a week in the office, Atlanta preferred or Charlotte \*\*\*  
\*\*\*For this opportunity, Truist will not sponsor now or in the future an applicant for work visa status or employment authorization, nor will we offer any immigration\-related support for this position (including, but not limited to H\-1B, F\-1 OPT, F\-1 STEM OPT, F\-1 CPT, J\-1, TN\-1 or TN\-2, E\-3, O\-1, or future sponsorship for U.S. lawful permanent residence status.)\*\*\*  
We are seeking an Associate Data Engineer to join the Privacy Engineering team to support executing controls over a wide range of data assets, including applications, analytical models, and business intelligence reports.
This role is critical in expanding the team’s capacity to meet rising demand for Privacy Impact Assessments (PIAs) and related activities.  
The Associate Data Engineer will collaborate with subject matter experts, data asset owners, and stakeholders across multiple business units to ensure our organization maintains strong alignment with privacy regulations and internal risk management standards.**ESSENTIAL DUTIES AND RESPONSIBILITIES**  
Following is a summary of the essential functions for this job. Other duties may be performed, both major and minor, which are not mentioned below. Specific activities may change from time to time.
**Privacy Control Execution \&amp; Automation**
* Support the execution of existing privacy engineering controls and define new as needed.
* Assist in the automation and streamlining of Privacy Impact Assessment (PIA) processes for various data assets.
* Partner with senior data engineers to develop scalable solutions that improve control efficiency, tracking, and reporting.
**Privacy Impact Assessment Management**
* Facilitate end\-to\-end PIA engagements with multiple business units across the company.
* Gather, analyze, and validate data asset information needed for compliance reviews.
* Support documentation, workflow routing, and follow\-up activities for PIA completion.
**Cross\-Functional Collaboration**
* Work closely with Compliance, Legal, Risk, and other governance partners to interpret requirements and ensure consistent application of privacy standards.
* Engage with business and technical owners of applications, models, and reporting assets to collect information and drive necessary remediation actions.
* Support communication, coordination, and education efforts related to privacy obligations.
 **Required Qualifications:**  
The requirements listed below are representative of the knowledge, skill and/or ability required. Reasonable accommodations may be made to enable individuals with disabilities to perform the essential functions.
* Bachelor's degree and two years of experience in systems engineering or administration or equivalent education and related training or experience.
* Basic knowledge of SQL, relational databases, ETL/ELT architecture and concepts, data integration concepts and big data concepts.
* Previous experience in planning and managing IT projects
 **OTHER JOB REQUIREMENTS / WORKING CONDITIONS**
**Sitting**  
Constantly (More than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36">
      <c r="A36" t="inlineStr">
        <is>
          <t>in-7367ab10603e0d05</t>
        </is>
      </c>
      <c r="B36" t="inlineStr">
        <is>
          <t>Real Estate Data Engineer</t>
        </is>
      </c>
      <c r="C36" t="inlineStr">
        <is>
          <t>Bridgestone Americas</t>
        </is>
      </c>
      <c r="D36" t="inlineStr">
        <is>
          <t>indeed</t>
        </is>
      </c>
      <c r="E36" t="inlineStr"/>
      <c r="F36" t="inlineStr"/>
      <c r="G36" t="inlineStr">
        <is>
          <t>Nashville, TN, US</t>
        </is>
      </c>
      <c r="H36" s="1" t="n">
        <v>46079</v>
      </c>
      <c r="I36"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Data \&amp; Analytics**Position Summary**
====================
The Data Engineer will focus on developing, implementing, and optimizing the data infrastructure for new and existing retail stores in North America, and managing the systems utilized across the BSRO Real Estate department. This role involves building and maintaining databases, data pipelines, and tools necessary for research projects, including models for new store development and store remodel refresh selection. This role also acts as the system administrator for Lucernex, Kalibrate, and Service Channel, managing all aspects of system and user management. The Data Engineer will ensure the integrity, accuracy, and efficiency of data used in managing sales transfers upon store closures. By providing robust data solutions, the Data Engineer will contribute to the company's growth and operational excellence, supporting Bridgestone West Retail's success and innovation.**Responsibilities**
====================
**Data Integrity \&amp; Infrastructure**
* Develop, implement, and optimize data infrastructure to support market planning and strategy, leveraging demand\-driven market intelligence and advanced sales forecasting models.
* Enhance and maintain data infrastructure and end‑to‑end data workflows to support accurate and efficient monthly Real Estate spend reporting and forecasting, including ROU, CAPEX, OPEX, and Rent.
* Build and maintain databases, data pipelines, and tools to facilitate the analysis of consumer behavior, demographics, and competitive landscape data, contributing to growth strategies.
* Provide technical support for research on competitive and market intelligence, including data integration and analysis; occasional domestic travel to key locations as needed.
* Leverage innovative new technologies and approaches to renovate, extend, and transform the existing core data assets, including SQL\-based, NoSQL\-based, and Cloud\-based data platforms.
**Data Modeling \&amp; Reporting**
* Assist in gathering, processing, and analyzing data for the site selection process, considering factors such as growth strategy, market demand, demographics, traffic patterns, retail synergy, competition, and local regulations.
* Build custom reporting via underlying data sets leveraging database coding language (SQL\-based, NoSQL, etc.) and display complex data insights in easily digestible formats leveraging PowerBI, Tableau, etc.
* Assist in preparing data\-driven presentations for the Real Estate Research and Strategy portion of Capital Meetings with senior leadership.
* Own and manage updates / refinement of existing executive Real Estate dashboards related to existing store metrics, characteristics, performance, etc.
**Systems Administration \&amp; Management**
* Manage, inclusive of day\-to\-day operations and necessary updates, Lucernex (LX), Kalibrate (KLI), Service Channel, Crystal Reports, and SharePoint software applications for the Real Estate department. In addition to supporting the day\-to\-day needs of the software (systems interface, data backup, user adds / removals, update security settings, mass updating of system info (Sales, Fixed Assets, Regional realignments, user management, password resets) the Data Engineer is the SME and will provide feedback on system capabilities and structure along with offering solutions for opportunities as they arise.
* Responsible for creation of new sites, projects, and programs within Lucernex to support ongoing Real Estate department operations.
**Additional General Responsibilities**
* Collaborate with internal teams, including operations, finance, legal, IT, marketing, and accounting, to ensure a seamless transition of data from development to the operational phase, as well as external partners and consultants.
* Leverage enterprise standards for data domains and data solutions, focusing on simplified integration and streamlined operational and analytical uses.
* Perform regular systems and vendor compliance audits in partnership with Bridgestone IT.
**Minimum Qualifications**
==========================
* Bachelor’s degree in computer science or in a STEM major.
* 5\+ years working in a corporate setting with experience in retail and / or real estate
* Experience working with solutions using elastic architectures (preferably Microsoft Azure and Google Cloud Platform).
* Any direct experience with a variety of SQL, NoSQL and Big Data Platforms.
* Systems Administrator experience, preferably with Lucernex, Kalibrate, Service Channel, or similar real estate systems
* Demonstrated strategic prowess, coupled with strong analytical and planning skills.
* Ability to translate business requirements and specifications into reports, insights, and dashboards with minimal direction or oversight.
* Elevated level of proficiency with Microsoft Word, Excel, PowerPoint, and PowerBI.
* Minimal Domestic travel as needed to visit prospective markets and / or existing stores (5\-10%)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row>
    <row r="37">
      <c r="A37" t="inlineStr">
        <is>
          <t>in-62ce9b6abb86fb42</t>
        </is>
      </c>
      <c r="B37" t="inlineStr">
        <is>
          <t>Data Engineer</t>
        </is>
      </c>
      <c r="C37" t="inlineStr"/>
      <c r="D37" t="inlineStr">
        <is>
          <t>indeed</t>
        </is>
      </c>
      <c r="E37" t="inlineStr"/>
      <c r="F37" t="inlineStr"/>
      <c r="G37" t="inlineStr">
        <is>
          <t>Columbia, MD, US</t>
        </is>
      </c>
      <c r="H37" s="1" t="n">
        <v>46079</v>
      </c>
      <c r="I37" t="inlineStr">
        <is>
          <t>Job Description
Data Engineer – TS/SCI w/ Poly
**Location:** Columbia, MD
**Compensation Range:** $200,000 – $250,000 (annualized USD)
**Clearance Required:** Must be a U.S. citizen with an active TS/SCI security clearance with polygraph
Description
We are seeking a highly skilled Data Engineer to support a brand\-new, high\-priority infrastructure analytics initiative. This team is responsible for aggregating data from multiple sources to provide a comprehensive view of requested and deployed infrastructure, proactively identifying discrepancies, and enabling continuous improvement of infrastructure deployment best practices.
The team’s application will be used by subject matter experts to investigate, define, and refine deployment standards and governance rules. This role focuses on designing, implementing, and supporting schemas across multiple database technologies to answer complex infrastructure\-related questions. The ideal candidate thrives in a fast\-paced, collaborative environment and is comfortable engaging with stakeholders across the organization.
Responsibilities
Design schemas and data models across OLAP (ClickHouse), graph (Neo4j), and document (Elastic) databases
Optimize queries and data structures for performance and scalability
Collaborate with analytics engineers to ensure data structures effectively support operational needs
Implement governance rules to ensure data quality, consistency, and compliance
Aggregate and reconcile infrastructure data from multiple sources
Work cross\-functionally to iterate quickly and refine data\-driven solutions
Skills Requirements
Proven experience with OLAP, graph, and document database technologies
Strong background in schema design, query optimization, and analytics support
Ability to translate analytical questions into scalable database design solutions
Experience working with large\-scale or distributed data systems
Strong problem\-solving and stakeholder communication skills
Nice to Haves
Experience analyzing cybersecurity\-related datasets (e.g., network traffic, OS events)
Knowledge of end\-to\-end signal collection and analysis systems
General software engineering experience (DevOps, web applications, ETL, etc.)
Familiarity with Git and GitLab
Experience with Atlassian tools such as Jira and Confluence
Education \&amp; Experience Requirement
12 years of relevant experience with a Bachelor’s degree
OR
4 additional years of relevant experience may be substituted in lieu of a Bachelor’s degree
Compensation \&amp; Employment Policy
Salary is determined by multiple factors, including location, education, experience, skills, and organizational requirements. The projected compensation range for this position is $200,000 – $250,000 (annualized USD).
Benefits Overview
At Intezra, Inc., we offer a comprehensive benefits package designed to support long\-term career growth and work\-life balance:
Three CareFirst medical plans available; Intezra pays up to 100% of healthcare premiums and up to 100% of deductibles (based on plan selection) for employees and dependents
Intezra pays 100% for CareFirst Dental and Vision plans for employees and dependents
**401(k):** 15% company contribution (no match required)
**PTO:** 160 hours, increasing with seniority
12 Floating Holidays
4 Code Red Days
EEO Statement
Intezra, Inc. provides equal employment opportunities to all employees and applicants and prohibits discrimination and harassment of any kind without regard to race, color, religion, age, sex, national origin, disability status, genetics, pregnancy, protected veteran status, sexual orientation, gender identity or expression, or any other characteristic protected by federal, state, or local laws.
,
About intezra
Intezra Inc. is a small business prime contractor for all realms of cyber and AI/ML development, from tactical\-level tools and capabilities to enterprise\-level infrastructure and operations. Our leadership team and staff have helped solve the most complex challenges for the intelligence community for over 15 years.</t>
        </is>
      </c>
    </row>
    <row r="38">
      <c r="A38" t="inlineStr">
        <is>
          <t>in-0f39474e07389a32</t>
        </is>
      </c>
      <c r="B38" t="inlineStr">
        <is>
          <t>Senior Data Engineer, Business Intelligence</t>
        </is>
      </c>
      <c r="C38" t="inlineStr">
        <is>
          <t>Klaviyo</t>
        </is>
      </c>
      <c r="D38" t="inlineStr">
        <is>
          <t>indeed</t>
        </is>
      </c>
      <c r="E38" t="inlineStr"/>
      <c r="F38" t="inlineStr"/>
      <c r="G38" t="inlineStr">
        <is>
          <t>Boston, MA, US</t>
        </is>
      </c>
      <c r="H38" s="1" t="n">
        <v>46079</v>
      </c>
      <c r="I38"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Data is at the heart of every decision made at Klaviyo, and we're looking for a Senior Data Engineer to join our Business Intelligence (BI) team. BI at Klaviyo collaborates across all departments to provide a platform that powers all internal data, analytic, and reporting needs. Our mission is to champion data\-driven value creation, and you will own creating and maintaining the internal data infrastructure that powers Klaviyo's business. This role in particular will significantly contribute to the infrastructure, pipelines, and security/compliance aspects of our internal analytics platform while driving architectural innovation and mentoring the team.
**How You'll Make a Difference**
As a Senior Data Engineer, you will shape the scalability, reliability, and cost\-efficiency of our data platform. You'll lead architectural decisions, establish engineering best practices, and mentor other engineers while partnering closely with analytics, engineering, and business stakeholders.
Your work will directly influence data\-driven decision\-making across the organization by ensuring our data systems are performant, observable, and built to scale.
**What You'll Do (Responsibilities)**
**Accelerating Engineering with AI**
* Transform workflows by putting AI at the center, building smarter systems and ways of working from the ground up for example, using AI to generate tests, detect anomalies, summarize data issues, or accelerate analysis.
**Data Architecture \&amp; Optimization**
* Design, develop, and maintain scalable dbt models and pipelines, including advanced incremental and merge strategies.
* Architect solutions for attribution models, event data pipelines, and analytics at scale.
* Lead performance optimization efforts across Snowflake and related data systems.
* Define and enforce best practices for query performance, warehouse management, and cost control.
**Pipeline \&amp; Platform Ownership**
* Own end\-to\-end data pipelines, ensuring reliability, scalability, and observability.
* Lead complex DAG orchestration with Airflow/MWAA.
* Oversee Spark/EMR cluster management, job optimization, and large\-scale backfills.
* Implement monitoring, alerting, and automated recovery strategies for production systems.
**Infrastructure \&amp; DevOps Leadership**
* Architect infrastructure\-as\-code solutions using Terraform for Snowflake and AWS resources.
* Oversee integration of AWS services (S3, EMR, Secrets Manager, CloudWatch) into the data platform.
* Guide CI/CD pipeline design and improvements using GitHub Actions and CodeBuild.
* Promote containerization best practices with Docker for scalable deployments.
**Cost \&amp; Performance Management**
* Monitor Snowflake and EMR usage to proactively optimize costs.
* Analyze query performance and warehouse efficiency.
* Troubleshoot and resolve pipeline and infrastructure performance issues.
**Leadership \&amp; Mentorship**
* Mentor and coach junior and mid\-level data engineers through code reviews and technical guidance.
* Establish and enforce coding standards, testing practices, and CI/CD processes.
* Serve as technical lead for cross\-functional data initiatives.
* Advocate for reliability, performance, and cost optimization across the data engineering function.
**Who You Are (Qualifications)**
* 5\+ years of data engineering experience, including demonstrated technical leadership.
* Expert\-level proficiency in dbt, including advanced modeling, testing frameworks, incremental strategies, and performance tuning.
* Deep expertise in SQL and Snowflake, including query optimization, warehouse sizing, and cost governance.
* Strong Python skills for data processing, API integrations, and internal tooling.
* Experience architecting data lakehouse solutions.
* Hands\-on experience designing and operating Apache Iceberg\-based data lake architectures on Amazon EMR.
* Proven experience operating production systems with a strong focus on reliability and cost efficiency.
* Demonstrated experience leveraging AI to improve personal and team workflows.
* Strong problem\-solving skills and an operational mindset focused on SLAs and production stability.
* Ability to align technical decisions with business priorities.
* You've already experimented with AI in work or personal projects, and you're excited to dive in and learn fast. You're hungry to responsibly explore new AI tools and workflows, finding ways to make your work smarter and more efficient.
**Nice to Haves**
* Expertise in Spark/EMR performance optimization and scaling strategies.
* Advanced Terraform usage across multi\-environment infrastructure.
* Extensive experience with Airflow/MWAA orchestration at scale.
* Strong Docker and container orchestration experience.
* Experience architecting AI\-driven workflows, including multi\-agent systems, concurrent execution models, and tool\-augmented agents.
* Domain experience in:
* + Marketing attribution modeling and analytics data flows
	+ Event data ingestion, transformation, and large\-scale aggregation
	+ Data warehouse governance, optimization, and cost modeling
	+ BI infrastructure and operational excellence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application.***You can find our Job Applicant Privacy Notice* *here* *and* *here* *(FR).*</t>
        </is>
      </c>
    </row>
    <row r="39">
      <c r="A39" t="inlineStr">
        <is>
          <t>in-a943d3f7eb00aebe</t>
        </is>
      </c>
      <c r="B39" t="inlineStr">
        <is>
          <t>Senior Data Engineer - Vice President</t>
        </is>
      </c>
      <c r="C39" t="inlineStr">
        <is>
          <t>Sumitomo Group</t>
        </is>
      </c>
      <c r="D39" t="inlineStr">
        <is>
          <t>indeed</t>
        </is>
      </c>
      <c r="E39" t="inlineStr"/>
      <c r="F39" t="inlineStr"/>
      <c r="G39" t="inlineStr">
        <is>
          <t>Charlotte, NC, US</t>
        </is>
      </c>
      <c r="H39" s="1" t="n">
        <v>46079</v>
      </c>
      <c r="I39"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**Role Description**
--------------------
The VP, Senior Data Engineer, is a critical role within the Information Security department and will report to the Director, Information Security Data Operations for the SMBC Americas Division.
This VP role will be responsible for designing, developing \&amp; deploying cloud data solutions for ISDAD. This
is part of the overall cyber data initiative focusing on building out the security and risk data platform for Information Security. This individual will be responsible for developing the data feeds and will be a part of the larger development effort of building out a Cybersecurity Data Lakehouse (CyberDW).
The goal of the CyberDW is to centralize the ISDAD data as well as establish effective data governance around the data sources and its data lineage. This role will collaborate with the developers, data owners, governance leads and business analysts within the Information Technology (IT) department as well as other stakeholders aligned with the applications owned by ISDAD.
This role will be aligned with the Continuous Controls Monitoring program. KCIs (Key Control Indicators) and Data Quality (DQ) rules will be created to continuously assess and report on the effectiveness of ISDAD’s internal controls as part of the firm’s GRC Risk Management and CDO Data Governance frameworks.
**Role Objectives**
-------------------
* Design, develop, testing \&amp; support of cloud data solutions for the CyberDW catalogue focusing on data ingestion, data quality, data tuning and performance of upstream cybersecurity data sources.
* Indirect leadership and mentorship of junior team members. Able to lead data feed development efforts and design initiatives. Participate in development meetings to align development priorities and objectives, assign tasks, and share experiences and challenges with applications under development.
* Consult with other technology and development teams as needed to coordinate on the integration of applications with the larger company software ecosystem.
* Capture and document metadata for identified Key Data Elements (KDEs) to ensure accuracy and completeness for Data Quality rules and processing of daily datasets.
* Work with the data architecture team to align KDEs to logical data models, develop physical data structures, and document physical data names, definitions, and data types.
* Partner with the data owners and stakeholders to create technical requirements and DQ rules around the data elements needed in the CyberDW. Partner with the Business Management team and Data Owners to understand what critical metrics and data fields are needed for Metric Dashboards.
* Establish CyberDW views to encapsulate the data so that it is fit for downstream consumption. Ensure that the data aligns with DQ rules established on that metadata, so it is fit for daily use. Utilize IBM TWS production job scheduling system and adhere to standards around the daily scheduling and batch monitoring of production jobs.
* Identify and resolve DQ issues including inaccuracies and incomplete information. Enhance data quality efforts by implementing improved procedures and processes.
**Qualifications and Skills**
-----------------------------
* Bachelor’s degree in Computer Science, Information Security, Data Management, or related field
* 10\+ years’ experience in IT development, data governance, data architecture or related roles, preferably in a highly regulated environment such as financial services.
* 5\+ years’ experience in Azure Databricks, Azure Data Factory, Azure Functions, Azure Data Lake storage, Azure Event Grid, Azure Log Analytics, Azure Monitor, Unity catalog repository configuration
* Proficient in data management \&amp; data modeling tools (e.g., Collibra DQIM/DQE, IBM Infosphere DA).
* Strong knowledge of CI/CD and DevOps tooling (i.e., Git, Jenkins, Azure DevOps)
* Proficient in SQL Server, Oracle / PL\-SQL, T\-SQL and SQL stored procedures
* Proficient in Python, Java or similar high\-level server\-side languages
* Strong knowledge of enterprise Information Security data (i.e., Phishing, Identity Management, Privileged Access, Cloud Security, Incident Response, Vulnerability Management, Threat Detection).
* Data knowledge of PaaS/SaaS products (i.e., ServiceNow, Crowdstrike, MS Purview, Proofpoint, WIZ.IO, JIRA, SharePoint, Azure Active Directory, SAI360\). Knowledge of Microsoft Sentinel for security information and event management (SIEM) is a plus.
* Understanding of information security frameworks and security controls (i.e., NIST, CIS, CRI Profile) and regulatory compliance (i.e., NYSDFS, GDPR, CCPA).
* Experience with REST API web services and microservice architecture. Strong understanding of ETL/ELT. Knowledge of IBM Tivoli Workload Scheduler a plus.
* Exposure to PowerBI for data visualization and reporting is a plus.
* Problem solving and analytical skills, with an initiative\-taking and results oriented approach.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40">
      <c r="A40" t="inlineStr">
        <is>
          <t>in-abb67fdf477a53e4</t>
        </is>
      </c>
      <c r="B40" t="inlineStr">
        <is>
          <t>RHTP Data Engineer</t>
        </is>
      </c>
      <c r="C40" t="inlineStr">
        <is>
          <t>State of Montana</t>
        </is>
      </c>
      <c r="D40" t="inlineStr">
        <is>
          <t>indeed</t>
        </is>
      </c>
      <c r="E40" t="inlineStr"/>
      <c r="F40" t="inlineStr"/>
      <c r="G40" t="inlineStr">
        <is>
          <t>MT, US</t>
        </is>
      </c>
      <c r="H40" s="1" t="n">
        <v>46079</v>
      </c>
      <c r="I40" t="inlineStr">
        <is>
          <t>**RHTP Data Engineer** **\-** **(****26140436****)** **To be considered for this position you must complete the state application and attach all required documents through the Montana State Careers site at****www.statecareers.mt.gov****.**
 **The Montana Department of Public Health and Human Services (DPHHS) has a career opportunity within the Rural Health Transformation Program.**
The Data Infrastructure \&amp; Management Engineer serves as the data engineering and data quality lead for the Rural Health Transformation Program (RHTP) and acts as an extension of the Department’s Data Management Office (DMO). This position designs, develops, and maintains the data foundations necessary for RHTP monitoring, evaluation, and reporting. The analyst builds and manages data pipelines; integrates data from claims, electronic health records, public health systems, workforce sources, and social determinant platforms; and enforces shared data standards and quality controls in close collaborations with the central DMO and IT. The role ensures RHTP has reliable, well\-documented, and compliant data assets that meet Centers for Medicare \&amp; Medicaid Services (CMS) requirements and support evidence\-based decision\-making across Montana’s rural health systems. The incumbent participates in department\-wide governance communities of practice, helping reduce duplication, promote shared methods, and improve data quality across programs.
 **Why Join DPHHS**
Our mission at DPHHS is serving Montanans in their communities to improve health, safety, well\-being, and empower independence. By joining the RHTP team, you’ll help shape the future of rural health care in Montana. These positions offer impactful work improving access and equity for rural communities, competitive salaries and benefits (including health coverage, retirement plans, paid leave, and eligibility for Public Service Loan Forgiveness), hybrid work options, and opportunities to collaborate statewide.
 **Qualifications for this Career Opportunity**
* Knowledge of data integration methods, ETL processes, and data pipeline architecture.
* Knowledge of health data privacy and security requirements, including HIPPA, data use agreements, and protected health information billing.
* Ability to diagnose and troubleshoot data quality issues and work collaboratively with technical and non\-technical stakeholders to resolve them.
* **Preferred:**
* Experience working with healthcare\-related datasets such as Medicare or Medicaid claims, electronic health records, clinical registries, or public health surveillance data.
* Experience with specific ETL tools or platforms (e.g., Informatica, Talend, SSIS, Alteryx) or data warehouse technologies.
* Familiarity with cloud\-based data platforms and services (e.g., AWS, Azure, Google Cloud).
* Meet minimum qualifications:
	+ Bachelor’s degree in computer science, Mathematics, Statistics, Economics, or related field.
	+ Three years of progressively responsible experience in data engineering, database management, ETL development, or data integration in a health care, insurance, government or similar setting.
	+ Other combinations of directly related education and experience may be considered on a case\-by\-case basis.
 **How to Apply**
To be considered for a DPHHS position, submit the following required documents with your application on the State of Montana Careers website. When submitting the required documents, you must check the "relevant document" box to ensure your attachments are uploaded correctly to your application for this position.
* Cover Letter
* Resume
* References
Successful applicants will be subject to background checks relevant to the position and must pass reference checks before an offer will be extended. DPHHS is an equal opportunity employer. Women, minorities, and people with disabilities are encouraged to apply. For a copy of the full job description or if you need a reasonable accommodation in the application or hiring process, contact DPHHS Human Resources listed below.
 **Additional Information**
This position may be eligible for partial telework within the state of Montana. Specific conditions will be provided by the supervisor and must adhere to state policy.
This position is federally funded through September 30, 2030\.
**Applicant Pool Statement****:** If another department vacancy occurs in this job title within six months, the same applicant pool may be used for the selection.
**Training Assignment****:** Not Applicable  
**Salary: $** 88,878\.00 \- 88,878\.00 Yearly  
**Telework Eligibility****:** Telework Eligible (Full\-time telework is not available. Telework schedule must be supervisor approved.)
**Benefits Package Eligibility****:** Health Insurance, Paid Leave \&amp; Holidays, Retirement Plan  
**Number of Openings****:** 1
**Employee Status****:** Regular
**Schedule****:** Full\-Time
**Job Type****:** Standard
**Shift****:** Day Job
**Travel****:** No  
**Primary Location****:** Helena
**Other Locations****:** Billings, Missoula, Kalispell, Butte, Bozeman, Great Falls
**Agency****:** Department of Public Health \&amp; Human Services
**Union****:** 000 \- None  
**Posting Date****:** Feb 27, 2026, 9:34:29 AM
**Closing Date (based on your computer's timezone)**: Mar 10, 2026, 12:59:00 AM
**Required Application Materials****:** Cover Letter, Resume, References  
**Contact Name****:** Human Resources \| **Contact Email****:** hhshumanresources@mt.gov \| **Contact Phone****:** 406\-444\-3136</t>
        </is>
      </c>
    </row>
    <row r="41">
      <c r="A41" t="inlineStr">
        <is>
          <t>in-b1048ac2a929a355</t>
        </is>
      </c>
      <c r="B41" t="inlineStr">
        <is>
          <t>Data Platform Engineer</t>
        </is>
      </c>
      <c r="C41" t="inlineStr">
        <is>
          <t>Realign</t>
        </is>
      </c>
      <c r="D41" t="inlineStr">
        <is>
          <t>indeed</t>
        </is>
      </c>
      <c r="E41" t="inlineStr"/>
      <c r="F41" t="inlineStr"/>
      <c r="G41" t="inlineStr">
        <is>
          <t>Parsippany-Troy Hills, NJ, US</t>
        </is>
      </c>
      <c r="H41" s="1" t="n">
        <v>46079</v>
      </c>
      <c r="I41" t="inlineStr">
        <is>
          <t>Parsippany, New Jersey 07005 Posted February 27th, 2026
 Looking for more job opportunities? Click here!
Job Type: Full Time
Job Category: IT
Job Description
**Role** : Data Platform Engineer  
**Location** : Parsippany, NJ  
**FTE ONLY**
**Job Description****Must Have Technical/Functional Skills**
7\+ years of Total IT experience, including 5\+ years of experience in data platform engineering
Strong hands\-on experience with AWS services such as RDS, Redshift, DMS, and Lambda
Proficiency with Infrastructure\-as\-Code tools including Terraform and AWS CloudFormation
Experience with IBM CDC replication \&amp; proficiency with Kafka
Strong experience in Couchbase cluster management
Capable of performing version upgrades, security patching, and performance tuning.
Experience building and maintaining Jenkins\-based CI/CD pipelines
Experience in integrating applications with third party encryption tools like voltage
AWS IAM services experience.
DBA experience with SQL/NoSQL databases
Operating Systems: 2\+ years of experience in Linux/Unix environment
Experience with scripting languages: Python/Shell
Good communication skills, client\-facing role
**Roles \&amp; Responsibilities**
Design, deploy, and manage scalable data platforms in AWS, including RDS, Redshift, DMS, and
Lambda\-based data solutions
Administer and optimize Couchbase clusters, including version upgrades, patching, performance tuning,
and high\-availability configurations.
Support and enhance OCI cloud data services as part of a broader multi\-cloud strategy
Manage database services including RDS, Redshift, and associated data migration/replication pipelines
Maintain CI/CD pipelines leveraging Jenkins for data platform deployments
Implement and maintain Infrastructure\-as\-Code solutions using Terraform and AWS CloudFormation
Develop and maintain robust data replication pipelines using IBM CDC and Kafka.
Troubleshoot networking and distributed system issues impacting data services
Generic Managerial Skills, If any
Excellent communication and problem\-solving skills
Ability to work independently and in a team environment
Required Skills
CLOUD SECURITY ENGINEER
 DEVOPS ENGINEER
 DEVOPS SECURITY ENGINEER
 SENIOR EMAIL SECURITY ENGINEER</t>
        </is>
      </c>
    </row>
    <row r="42">
      <c r="A42" t="inlineStr">
        <is>
          <t>in-a70a867c47799368</t>
        </is>
      </c>
      <c r="B42" t="inlineStr">
        <is>
          <t>Senior Data Engineer - ETL/SQL/Matillion</t>
        </is>
      </c>
      <c r="C42" t="inlineStr">
        <is>
          <t>Enterprise Mobility</t>
        </is>
      </c>
      <c r="D42" t="inlineStr">
        <is>
          <t>indeed</t>
        </is>
      </c>
      <c r="E42" t="inlineStr"/>
      <c r="F42" t="inlineStr"/>
      <c r="G42" t="inlineStr">
        <is>
          <t>St. Louis, MO, US</t>
        </is>
      </c>
      <c r="H42" s="1" t="n">
        <v>46079</v>
      </c>
      <c r="I42" t="inlineStr">
        <is>
          <t>### **Overview**
As we continue to build our team in support of our vision to the be the world’s best and most trusted mobility company, Enterprise Fleet Management, an affiliate of Enterprise Mobility is excited to announce the opening of a **Senior Data Engineer (Engineer 2, Data)**.  
The Information Technology (IT) department of Enterprise Fleet Management builds and implements powerful solutions that help to drive and support the operations of our business spread across the US and Canada. Here, you will be part of a team that creates and delivers leading\-edge technologies and expansive systems that impact every aspect of our growing businesses. We provide the resources to enable and develop our innovative I.T. professionals in a variety of career paths.  
Being a member of EFM IT offers all the advantages of a smaller shop including the opportunity to shape a more progressive architecture. Professionals who effectively navigate change and readily wear many hats will find this an opportunity to maximize skill diversity and build broad IT experience.  
This position offers the opportunity to work fully remote from your home residence in one of our approved states.  
Enterprise Fleet Management offers a comprehensive healthcare package, 401k matching \&amp; profit sharing, paid time off, great discounts, and organizational growth potential. **Company Overview**
Enterprise Fleet Management is a privately held, full\-service fleet management business for companies, government agencies and organizations with medium\-sized fleets. With more than 50 fully staffed offices nationwide, our team of experts can assemble a customized or full\-service fleet management program that is just right for each business. With a North American fleet of 730,000 vehicles and growing at over 7 percent, the opportunity with Enterprise Fleet Management is tremendous. Our business continues to thrive, and we remain committed to the investment in and the development of our people. We do the right thing by our customers and employees every time and in every situation. Not only is that great for business (as seen in our global growth and success) it’s also great for employees.### **Responsibilities**
The Data Services team supports a modern suite of cloud\-based technologies—including Looker, Snowflake, Atlan, and Matillion—hosted in AWS. These tools form the foundation of EFM’s data ecosystem, enabling smarter decision\-making and scalable growth across the organization.  
As an **Engineer 2 (Data),** you’ll design, build, and maintain robust data pipelines and integration solutions that ensure seamless data flow across systems. You’ll develop and optimize scalable ETL/ELT processes—driving innovation and pushing the business forward.
Passionate about data? Join our team to collaborate, innovate, and deliver high\-quality, reliable solutions that power smarter decisions. **Knowledge, Skills, \&amp; Abilities:*** Ability to create and maintain source\-to\-target mapping and detailed ELT documentation
* Skilled in data analysis, mapping, and troubleshooting across all stages of the ELT process
* Ability to provide accurate estimates for ELT tasks and recommend process improvements
* Strong problem\-solving skills and ability to work in a team\-oriented, fast\-paced environment
* Excellent verbal and written communication skills
* Must be able to both collaborate in a team\-oriented environment and work independently with direction
* Willingness to participate in production on\-call support rotation for ETL processing
* Knowledge of CI/CD pipelines and DevOps tools (e.g., GitHub Actions, Azure DevOps)
 *Equal Opportunity Employer/Disability/Veterans*### **Qualifications**
**Required**:* Must be presently authorized to work in the U.S. without a requirement for work authorization sponsorship by our company for this position now or in the future
* Must currently reside in one of the following states: AL, AZ, FL, GA, ID, IL (excludes Cook County), IA, IN, KS, KY, LA, MD, MI, MO, NV, NM, NC, OH, OK, PA, SC, TN, TX, UT, VA, WV, WI
* Must be able to work a schedule within U.S. Central Standard Time core business hours.
* 3\+ years of hands\-on experience with ETL for data integration and transformation
* 3\+ years of experience writing and tuning complex SQLs, stored procedures, triggers, functions, and error trapping
* 3\+ years of experience in full lifecycle development and end\-to\-end testing and data validation
* Experience with Matillion platform
* Strong experience with AWS services, including Lambda functions and data pipeline orchestration
* Proven experience implementing Change Data Capture (CDC) strategies
* Must be committed to incorporating security into all decisions and daily job responsibilities
**Preferred**:* Bachelor’s degree in computer science, Computer Information Systems, Management Information Systems, Engineering, or related field
* Experience with unit testing for ETL/ELT pipelines and data quality frameworks
* Strong ability to write complex queries and optimize for large\-scale datasets
* Experience with job optimization, and integration with CI/CD pipelines
* Ability to mentor junior engineers and lead small projects
* Experience in Agile/Scrum environments and familiarity with DevOps principles</t>
        </is>
      </c>
    </row>
    <row r="43">
      <c r="A43" t="inlineStr">
        <is>
          <t>in-0b30c7e8de15bdeb</t>
        </is>
      </c>
      <c r="B43" t="inlineStr">
        <is>
          <t>Data Engineer</t>
        </is>
      </c>
      <c r="C43" t="inlineStr">
        <is>
          <t>RogueSearch</t>
        </is>
      </c>
      <c r="D43" t="inlineStr">
        <is>
          <t>indeed</t>
        </is>
      </c>
      <c r="E43" t="inlineStr"/>
      <c r="F43" t="inlineStr"/>
      <c r="G43" t="inlineStr">
        <is>
          <t>Remote, US</t>
        </is>
      </c>
      <c r="H43" s="1" t="n">
        <v>46079</v>
      </c>
      <c r="I43" t="inlineStr">
        <is>
          <t>Remote (US)
Full\-time
Engineering**Job Summary**
---------------
We are seeking a skilled and innovative Data Engineer to design, build, and maintain scalable data pipelines and platforms that empower analytics and data\-driven decision\-making across the organization. In this role, you will collaborate closely with analysts, data scientists, and software engineers to collect data from diverse sources, transform it into high\-quality datasets, and ensure it is secure, well\-documented, and easy to use.**Key Responsibilities**
------------------------
Design, build, and maintain batch and/or streaming data pipelines to ingest, transform, and load data from various internal and external systems into data warehouses, data lakes, or lakehouses.
Develop and optimize data models, schemas, and storage layouts to support analytics, reporting, and machine learning use cases.
Implement data quality checks, monitoring, and alerting to ensure the accuracy, completeness, and timeliness of critical datasets.
Collaborate with data scientists, application developers, analysts, and business stakeholders to understand data requirements and deliver well\-documented datasets and tables.
Manage and tune data infrastructure components, including databases, warehouses, orchestration tools, and distributed processing frameworks.
Apply security and governance best practices, including access controls, data lineage, and compliance with privacy regulations.
Contribute to engineering standards, documentation, and reusable tooling to improve the reliability and productivity of the data platform.**Required Qualifications**
---------------------------
Bachelor's degree in Computer Science, Engineering, Information Systems, or a related field (or equivalent practical experience).
Proficiency in at least one programming language commonly used in data engineering (e.g., Python, Java, or Scala).
Strong SQL skills and hands\-on experience with relational databases and/or cloud data warehouses.
Experience building and operating ETL/ELT pipelines using modern data tools or orchestration frameworks.
Solid understanding of data modeling, data warehousing concepts, and performance optimization techniques.
Familiarity with at least one major cloud platform (e.g., AWS, Azure, GCP) and its data services.**Preferred Skills**
--------------------
Experience with big data or distributed processing technologies (e.g., Spark, Flink, Kafka, or similar).
Knowledge of BI/analytics tools and how engineers support dashboards and reporting.
Exposure to machine learning workflows and how data pipelines support model training and serving.
Experience working with an application development team and a software development life cycle (SDLC).
Use of modern AI tools and frameworks to increase productivity.</t>
        </is>
      </c>
    </row>
    <row r="44">
      <c r="A44" t="inlineStr">
        <is>
          <t>in-7d5b809827a8aaa7</t>
        </is>
      </c>
      <c r="B44" t="inlineStr">
        <is>
          <t>Data Engineer- Enterprise Integration and Analytics</t>
        </is>
      </c>
      <c r="C44" t="inlineStr">
        <is>
          <t>Lipari Foods</t>
        </is>
      </c>
      <c r="D44" t="inlineStr">
        <is>
          <t>indeed</t>
        </is>
      </c>
      <c r="E44" t="inlineStr"/>
      <c r="F44" t="inlineStr"/>
      <c r="G44" t="inlineStr">
        <is>
          <t>Warren, MI, US</t>
        </is>
      </c>
      <c r="H44" s="1" t="n">
        <v>46079</v>
      </c>
      <c r="I44" t="inlineStr">
        <is>
          <t>Lipari Foods is investing in a modern, scalable data platform to support enterprise decision\-making, operational intelligence, customer insights, and future AI\-driven capabilities. As a Data **Engineer – Enterprise Integration \&amp; Analytics**, you will play a critical role in designing and building the data pipelines and integration layer that connect our core business systems to analytics, reporting, and advanced insights across the organization.
This role sits at the intersection of **enterprise systems, data engineering, and analytics**. It is ideal for a technically strong, hands\-on engineer who enjoys working across complex systems, ensuring data reliability, and enabling the business through trusted, well\-structured data.
**What You’ll Do**
**Data Integration \&amp; Pipeline Development**
* Design, build, and maintain scalable data pipelines that ingest data from enterprise systems including ERP, warehouse, transportation, eCommerce, CRM, and external partner platforms.
* Develop batch, incremental, and near\-real\-time data ingestion processes using modern ETL/ELT approaches.
* Build and maintain connectors leveraging APIs, databases, SaaS platforms, and flat file exchanges.
**Enterprise Data Platform Engineering**
* Land raw data into centralized storage environments (data lake / warehouse / lakehouse).
* Build transformation pipelines to support analytics, reporting, and downstream BI use cases.
* Support historical backfills, change data capture (CDC), and reconciliation processes.
* Implement metadata, lineage, and documentation to support transparency and reuse.
**Data Quality, Reliability \&amp; Performance**
* Monitor pipeline health, data, freshness, and ingestion failures.
* Implement data validation, reconciliation, and error\-handling strategies.
* Manage schema changes and upstream system modifications with minimal disruption.
* Optimize data workflows for performance, scalability, and cost efficiency.
**Security, Governance \&amp; Collaboration**
* Apply secure connectivity, credential management, and encryption best practices.
* Support data governance initiatives, access controls, and audit requirements.
* Partner with IT, analytics, and business stakeholders to translate data needs into technical solutions.
* Document architectures, pipelines, and standards to support long\-term scalability.
**What You Bring**
* Bachelor’s degree in Computer Science, Information Systems, Engineering, or equivalent experience.
* 4–6\+ years of experience in data engineering, ETL/ELT, or enterprise data integration roles.
* Strong SQL skills and experience with data modeling for analytics.
* Experience integrating data from ERP, logistics, warehouse, or supply chain systems.
* Hands\-on experience working with APIs, databases, SaaS platforms, and file\-based integrations.
* Familiarity with cloud data platforms and modern data architecture concepts.
* Experience with version control, documentation, and structured development practices.
* Strong problem\-solving skills and ability to work across technical and non\-technical teams.
**Company Profile:**
Headquartered in Warren, Michigan, Lipari Foods is a leading independent distributor built around global and specialty foods. With a customer\-first mindset, they serve customers through 67 depots across 32 states and growing. Lipari brings the world’s most craveable flavors to shelf with an end\-to\-end approach that combines exclusive and owned brands, retail services, innovative tools, and dependable delivery across 10 categories including deli, bakery, frozen/dairy, specialty grocery, international specialty, meat/seafood, packaging, confections, foodservice/prepared foods, and convenience.
Lipari Foods LLC is proud to be an Equal Opportunity Employer.</t>
        </is>
      </c>
    </row>
    <row r="45">
      <c r="A45" t="inlineStr">
        <is>
          <t>in-0212cfdc5a2493f3</t>
        </is>
      </c>
      <c r="B45" t="inlineStr">
        <is>
          <t>Senior Data Engineer/Scientist</t>
        </is>
      </c>
      <c r="C45" t="inlineStr">
        <is>
          <t>Zendar</t>
        </is>
      </c>
      <c r="D45" t="inlineStr">
        <is>
          <t>indeed</t>
        </is>
      </c>
      <c r="E45" t="inlineStr"/>
      <c r="F45" t="inlineStr"/>
      <c r="G45" t="inlineStr">
        <is>
          <t>Berkeley, CA, US</t>
        </is>
      </c>
      <c r="H45" s="1" t="n">
        <v>46053</v>
      </c>
      <c r="I45" t="inlineStr">
        <is>
          <t>Are you tired of your good old corporate job, working on one project for half a year? Is your passion for making great infrastructure being kept in a box labeled “for later”? Do you enjoy working with smart people and do you want to make their developer experience great?
Zendar is looking for an experienced Data Engineer who understands data management, ML model training workflows and their optimization, and is excited to wear multiple hats to make sure engineers stay productive and infrastructure supports them. Our team is a testament of the ability to unite engineers of different backgrounds over a common vision. We do not shy away from reality and its limitations but we also dream big.
You don't have to fit in a box. We are not looking for a superhero. But we might be looking for you!
**About Zendar:**
=================
Zendar is building perception for physical AI—giving engineers a strong foundation for creating world\-class robotics applications. At Zendar, you'll work on perception foundation models that enable robots to understand and interact with their environments across a wide range of industries.  
Zendar pioneered RF perception that delivers a vision\-like, semantically segmented understanding of the environment—running on embedded automotive systems using only radar data. This RF perception forms the backbone of Zendar's next\-generation foundation models, which are built around early fusion of RF and vision data.  
This architecture inverts the traditional perception stack. Instead of treating RF signals as secondary, Zendar's models combine vision's high angular resolution with RF's strong temporal and spatial understanding at the earliest stages of perception. The result is a system that sees farther, remains robust to occlusion and adverse weather, and operates far more efficiently than vision\-only or lidar\-based approaches.
See a demo of Zendar's foundational RF perception (https://youtu.be/MUxE2T2Qe8g?si\=WKsm\_\_4t3VrC6Shi)  
At Zendar, you'll work at the cutting edge of autonomous mobility and robotics—advancing foundation models that will power the next generation of physical AI systems. You'll work with large\-scale, real\-world, multi\-modal datasets composed of synchronized and calibrated radar, camera, and lidar data collected across multiple continents.  
Our team brings together deep expertise across hardware, signal processing, machine learning, and software engineering, with decades of experience in sensing and perception. We are a global team with offices in Berkeley, Lindau (Germany), and Paris (France). Zendar is well\-funded by leading Tier\-1 venture capital firms and has established strong industry partnerships.  
Although AI is central to what we build, our hiring process is intentionally human: every résumé is reviewed by a real person.
**Your Role:**
==============
To support our growing team, we're looking for a **Senior Data Engineer** to elevate our processes and technologies to the next level. If you are excited about designing and managing the complex signal processing data engineering pipelines, we'd love to hear from you!
We have a rapidly growing corpus of driving data, encompassing tens of thousands of kilometers of real\-world driving on three continents, and a total data size of multiple petabytes. We add to that on a daily basis with data coming from our fleet of data collection vehicles. The Data team is responsible for indexing, processing, and categorizing all this data so that we make it frictionless to use it to test, train, and improve our driving models. Your responsibilities will focus on developing ETL data pipelines to guarantee data quality and to extract rich insights about the data that are available for downstream use. Some examples of data insights include categorizing driving behaviors, environments, and road user types. Our ETL pipelines are not your typical pipelines \- they are robotics tasks such as vehicle calibration, driving behavior analysis, and video understanding models.
You will be based in our Berkeley site but join a Data Engineering team which is distributed between Berkeley and Europe. As the 6th member of the Data team and the 3rd in Berkeley, you will have a lot of visibility and responsibility within the team. This type of environment is perfect for someone who is comfortable managing multiple responsibilities simultaneously, enjoys interacting frequently with other engineers, and is opinionated about what to prioritize and how to build things.
**Key Responsibilities:**
-------------------------
### **ML Data Management:**
* Maintain and grow a robust and reliable data lake in GCP for our proprietary training and evaluation data.
* Ensure robust data quality control with carefully designed algorithms.
* Grow our data lookup capabilities for data selection for labeling and model training.
* Own data quality algorithms and actively monitor data corruption in the datalake
### **Support for ML Engineers:**
* Serve as liaison to support Berkeley, Paris \&amp; German office ML engineers (Human annotation processing, data calibration, data upload issues)
### **Setting and Maintaining Infrastructure Standards:**
* Be a go\-to resource for solving infrastructure\-related challenges, fostering a culture of ownership and accountability in the team.
**What We Look For:**
=====================
* 5\+ years in Data Science, MLOps or similar
* Strong algorithmic and optimization skills, especially in statistics and signal processing.
* Deep experience with cloud computing platforms (GCP or other), production\-grade database design/deployment and Cloud\-native ML workflow.
* Broad knowledge of data engineering and MLOps tools (Lambda, Kubernetes, Terraform).
* Proficiency with Python and SQL queries.
* A proactive approach to solving problems and willingness to take on new challenges as they arise.
* Somebody with solid opinions based on experience, yet open\-minded and flexible to find the best solution for the situation.
* Ability to work from the office in Berkeley at least from Tuesday to Thursday.
**Bonus Points:**
-----------------
* Prior experience in ADAS or sensor data processing pipelines (radar, lidar).
* Familiarity with Google BigQuery and related data visualization tools.
* Experience with production\-grade serverless batch/streaming applications.
* Hands\-on experience in the management of large datalakes (\&gt;1PB).
* NoSQL database design/deployment experience.
* A track record of excelling in ambiguous or evolving roles.
**What You Would Work On:**
===========================
* When sorting through 1000s of hours of data, understanding what is in our training data is critical! Leveraging existing camera object detection models and automating data labeling is the logical next step, significantly reducing manual effort and streamlining the data pipeline. As the research requirements change, the camera model integration needs to seamlessly adjust as well.
* Sensors and vehicle calibrations can drift unexpectedly, which if undetected significantly harms the quality of results. We need to automatically identify calibration drifts and correct them before data is consumed, so that data users can have high trust in the quality of the data they work with.
* Enriching our ground truth data with KPIs designed by the Product and push them to production.
* Our signal processing pipelines are using hundreds/thousands of VM hours, the monitoring of their performance can be tricky, enhancing our tooling is essential to select the next candidate for cost optimisation.
**What We Offer:**
==================
* Opportunity to make an impact at a young, venture\-backed company in an emerging market
* Competitive salary ranging from $150,000 to $190,000 annually depending on experience
* Performance based Bonus
* Benefits including medical, dental, and vision insurance, flexible PTO, and equity
* Hybrid work model: in office 3 days per week from Tuesday to Thursday, the rest… work from wherever!
* Daily catered lunch and a stocked fridge (when working out of the Berkeley, CA office)
*Zendar is committed to creating a diverse environment where talented people come to do their best work. We are proud to be an equal opportunity employer. All qualified applicants will receive consideration for employment without regard to race, color, religion, gender, gender identity or expression, sexual orientation, national origin, genetics, disability, age, or veteran status.*  
*Zendar participates in E\-Verify*</t>
        </is>
      </c>
    </row>
    <row r="46">
      <c r="A46" t="inlineStr">
        <is>
          <t>in-4e9dca4a8d15edee</t>
        </is>
      </c>
      <c r="B46" t="inlineStr">
        <is>
          <t>Data Engineer (Quantexa)</t>
        </is>
      </c>
      <c r="C46" t="inlineStr">
        <is>
          <t>Tricon IT Solutions</t>
        </is>
      </c>
      <c r="D46" t="inlineStr">
        <is>
          <t>indeed</t>
        </is>
      </c>
      <c r="E46" t="inlineStr"/>
      <c r="F46" t="inlineStr"/>
      <c r="G46" t="inlineStr">
        <is>
          <t>Columbus, OH, US</t>
        </is>
      </c>
      <c r="H46" s="1" t="n">
        <v>46080</v>
      </c>
      <c r="I46" t="inlineStr">
        <is>
          <t>**Role:** Data Engineer (Quantexa)
**Location:** Columbus, OH (5 Days Onsite)
**Duration:** 12 Months Contract
**Pay Rate:** $80/Hr. (Open for right candidate)
* A Data Engineer with Quantexa is responsible for designing, building, and optimizing data pipelines and integration processes that support Quantexa’s Contextual Decision Intelligence platform.
* Building and deploying solutions on the Quantexa platform.
* The role involves ingesting, transforming, and modeling large datasets; developing entity resolution and network analytics solutions; and ensuring data quality and scalability.
* The engineer works closely with data scientists and business teams to implement end\-to\-end data workflows, deploy Quantexa models, and support analytics use cases
Job Type: Contract
Pay: Up to $80\.00 per hour
Work Location: In person</t>
        </is>
      </c>
    </row>
    <row r="47">
      <c r="A47" t="inlineStr">
        <is>
          <t>in-a2177631da7fc910</t>
        </is>
      </c>
      <c r="B47" t="inlineStr">
        <is>
          <t>Sr. Manager, Content Promotion &amp; Distribution Data Engineering</t>
        </is>
      </c>
      <c r="C47" t="inlineStr">
        <is>
          <t>Netflix</t>
        </is>
      </c>
      <c r="D47" t="inlineStr">
        <is>
          <t>indeed</t>
        </is>
      </c>
      <c r="E47" t="inlineStr"/>
      <c r="F47" t="inlineStr"/>
      <c r="G47" t="inlineStr">
        <is>
          <t>Los Angeles, CA, US</t>
        </is>
      </c>
      <c r="H47" s="1" t="n">
        <v>46079</v>
      </c>
      <c r="I47"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Content Promotion \&amp; Distribution Data Engineering team helps enable and inform how we launch, promote, and distribute Netflix content across surfaces, channels, and markets. When a Netflix member opens our app, visits a partner device, or encounters our campaigns off\-service, we have a few precious moments to help them choose a story that is right for them at that moment in time. Presenting compelling evidence — artwork, trailers, synopses, notifications, and marketing assets — that authentically represent each title and resonate with the member is essential to this effort. We also work to ensure these experiences scale globally across languages, devices, and distribution channels.
Data and insights are at the heart of how we make these decisions. Our role in Data Engineering is to make this possible: to provide robust, scalable, and well\-modeled tabular and multi‑modal data foundations that power analytics, experimentation, and machine learning across the Content Promotion \&amp; Distribution ecosystem.
We are looking for a seasoned leader to manage our Content Promotion \&amp; Distribution Data Engineering team.
**The Team:**
-------------
* Owns core analytical data models and pipelines that power reporting, decision\-support, and experimentation
* Builds and operates multi‑modal data foundations (e.g., text, metadata, image, video, and audio) for ML and GenAI model development and evaluation
* Partners closely with Content Promotion and Distribution DSE , AI and Data Platform , Content Engineering to build and steward complex data and media pipelines, and to set best practices for data storage, access, and usage by analytics engineers, data scientists, and software/ML engineers.
**As a leader in this space, you will…**
----------------------------------------
* Hire, lead, and develop a stunning team of Data and ML Engineers across a heterogeneous skill set (data, software, and ML engineering).
* Own the end\-to\-end data foundations for Content Promotion \&amp; Distribution, spanning:
	+ Traditional data engineering craft: batch/streaming pipelines, data modeling, data warehousing, data quality, and reliability for analytics and experimentation.
	+ Multi‑modal, ML‑ready data: media, text, and rich metadata pipelines that prepare data for training and serving ML and GenAI models.
* Partner with cross\-functional leaders across Content Promotion \&amp; Distribution DSE, AI ML Platform, Content Engineering, Studio Algo, and Marketing to ideate, prioritize, and execute on high\-impact data products and tools.
* Steer deeply impactful work on foundational data and media products that support Netflix’s Content Promotion \&amp; Distribution, spanning agentic solutions, multimodal media understanding, and generation. :
	+ Title launch management and promotional planning
	+ Analytics and optimization for promotional media
	+ Content media and ML foundations, including scalable access to media assets
	+ Emerging GenAI/ML use cases in promotion and creative automation (e.g., Synthetic voice, machine translation, etc.)
* Provide technical vision and strategy for how we model, store, transform, and serve both structured and multi‑modal data to power analytics, experimentation, and ML at scale.
* Balance near\-term and long\-term needs , from ongoing support of stakeholder quarterly goals to multi\-year investments in infrastructure and “paved paths” for ML/GenAI research and productionization.
* Set and raise the technical bar for data engineering craft in this space, including:
	+ Scalable and interpretable analytical data models
	+ Reliable batch and streaming pipelines
	+ Well\-governed, discoverable, and reusable ML feature and media datasets
* Drive alignment in ambiguity by clarifying trade\-offs, making principled decisions, and bringing diverse partners along a shared roadmap.
* Grow and mentor the team through thoughtful observation, coaching, and courageous, honest feedback; help engineers navigate career development across data, software, and ML engineering paths.
* Build both software and social glue across a wide network of stakeholders—VPs, Directors, Managers, and ICs—enabling decisions that affect hundreds of millions of members and major content and marketing investments.
**This role may be for you if…**
--------------------------------
* You have been leading data engineering teams for 7\+ years , including managing managers and larger, heterogeneous teams (data, software, ML engineers) or shared\-resource teams.
* You have a proven track record leading innovative, influential data engineering work in complex business domains, ideally involving multimodal media data marketing/promotion, content/media, experimentation, and or ML/AI\-driven products.
* You are comfortable owning the technical quality of both:
	+ Analytics\-focused data engineering (ETL/ELT, modeling, warehousing, data quality), and
	+ ML\-focused data engineering (feature pipelines, media and multi‑modal data preparation, training/serving data sets), even if you are not writing production code every day.
* You are a crisp communicator who develops strong relationships with a wide variety of stakeholders—technical and non\-technical—and can drive alignment across Director/Manager\-level partners.
* You are deeply invested in creating an inclusive team environment and helping each team member grow; you care about psychological safety, diversity of perspectives, and clear, actionable feedback.
* You have experience leading a team of shared resources , effectively prioritizing and sequencing work across multiple domains and stakeholder groups.
* You are an experienced partner for ML Platform, Content Engineering, and Data Platform teams; you can advocate from a data engineering perspective and align on shared components and standards.
* You have deep technical expertise in one or more aspects of data engineering, such as:
	+ Media or other large\-scale, multi‑modal asset processing pipelines
	+ Building ML\- and experimentation\-ready data products
	+ Data warehousing and dimensional/semantic data modeling
	+ Batch and streaming data processing
	+ Media or other large\-scale, multi‑modal asset processing pipelines
	+ Building ML\- and experimentation\-ready data products
* You’re comfortable with a collection of Big Data and cloud\-based tech (e.g., S3 or similar object storage, Spark or other distributed processing frameworks, modern data warehouses, workflow orchestration), and are able to make sound architecture and infrastructure tradeoffs.
You are curious, reflective, humble, and impact\-oriented ; you seek feedback, learn from mistakes, and can pivot when things aren’t working.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$525,000\.00 \- $950,000\.00\.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48">
      <c r="A48" t="inlineStr">
        <is>
          <t>in-eed16d28c472ffad</t>
        </is>
      </c>
      <c r="B48" t="inlineStr">
        <is>
          <t>AI Enablement Data Engineer</t>
        </is>
      </c>
      <c r="C48" t="inlineStr">
        <is>
          <t>IDEXX Laboratories</t>
        </is>
      </c>
      <c r="D48" t="inlineStr">
        <is>
          <t>indeed</t>
        </is>
      </c>
      <c r="E48">
        <f>HYPERLINK("https://www.indeed.com/viewjob?jk=eed16d28c472ffad", "https://www.indeed.com/viewjob?jk=eed16d28c472ffad")</f>
        <v/>
      </c>
      <c r="F48">
        <f>HYPERLINK("https://careers.idexx.com/us/en/job/J-051573/AI-Enablement-Data-Engineer?utm_source=indeed&amp;utm_medium=phenom-feeds", "https://careers.idexx.com/us/en/job/J-051573/AI-Enablement-Data-Engineer?utm_source=indeed&amp;utm_medium=phenom-feeds")</f>
        <v/>
      </c>
      <c r="G48" t="inlineStr">
        <is>
          <t>Westbrook, ME, US</t>
        </is>
      </c>
      <c r="H48" s="2" t="n">
        <v>46079</v>
      </c>
      <c r="I48" t="inlineStr">
        <is>
          <t>As an AI Enablement Data Engineer in the Data and AI Centre Of Excellence (DAICOE) , you will be embedded within mixed project teams and be responsible for building robust, fault\-tolerant data pipelines that collect, assemble, transform, and aggregate unorganized data distributed into modern data platforms. You will take full ownership of planning, decision\-making, and execution of end\-to\-end data pipeline development, quickly embedding within project teams with minimal support required.
You will compile and install database systems, write complex queries and data tests using dbt, SQL, and Python, scale solutions across distributed platforms, and implement disaster recovery systems. You will build the groundwork for data consumers (software or human) to easily retrieve needed data for evaluations and experiments. You will support operational data use cases such as moving large volumes of data across applications via operational data stores, data hubs, and data lakes, and build private/segregated data pipelines between specific applications.
**Our technology stack:** Databricks, dbt Core, GitHub, Python, SQL, Spark, Snowflake, Iceberg, AWS, and PySpark
**What you'll do:**  
Lead data engineering efforts on one primary project while supporting planning, decision\-making, or execution on 1\-2 additional project teams, providing backup coverage and cross\-project collaboration as needed.
Take ownership of planning, decision\-making, and execution for end\-to\-end data pipeline development as the data engineering lead for your primary project team, adhering to established technical standards and best practices set by data engineering leadership while driving continuous improvement and innovation.
Build and maintain sophisticated data pipelines using dbt Core, SQL, and Python on Databricks.
Implement measures to ensure data accuracy and accessibility, constantly monitoring and refining the performance of data management systems.
Monitor structural performance and utilization, identify problems, and implement solutions independently.
Define, design, and implement data management, storage, backup, and recovery solutions that ensure high performance of the organization's enterprise data.
Design automated software deployment functionality that allows efficient management of data applications across distributed platforms.
Define standards for how data will be stored, consumed, integrated, and managed, understanding structural and business requirements across project contexts.
Lead the creation of standards, best practices, and new processes for operational integration of new technology solutions within your project context.
Ensures environments are compliant with defined standards and operational procedures.
Collaborate with data engineering technical leads and management to align project work with broader organizational objectives and technical standards.
Quickly embed within new project teams with minimal ramp\-up time, establishing yourself as the technical owner of the data engineering stack.
Collaborate closely with embedded project team members including ML engineers, data scientists, product owners, and other technical staff to deliver data solutions aligned with project objectives.
Participate in planning and decision\-making across multiple project lines simultaneously while maintaining execution excellence.
Complete complex problem tickets including bug fixes, design modifications, and enhancements based on customer requirements, often requiring architectural consideration.
Completes problem tickets including bug fixes, design modification and enhancement based on customer requirements.
**What you need to succeed:**  
Master’s degree or combination of education and experience preferred. Bachelor’s degree in engineering, analytics, statistics, computer science, information systems, or related field is required.
4\-6 years of experience in data engineering, with demonstrated ability to own end\-to\-end data pipeline development.
Expert proficiency in SQL and Python programming.
Strong experience with dbt (dbt Core or dbt Cloud) for data transformation, testing, and documentation.
Deep understanding of data warehousing concepts, solutions, and architectural patterns.
Proven experience with modern distributed data platforms such as Databricks, Snowflake, or equivalent data warehouse technologies.
Expertise in Apache Spark for distributed data processing.
Extensive experience building distributed and cloud\-based data pipelines (AWS, Azure, or GCP).
Experience with CI/CD practices for data pipelines and infrastructure as code.
Demonstrated ability to quickly embed within new teams and take ownership of technical decision\-making with minimal support.
Proven track record of balancing multiple projects and priorities simultaneously while maintaining high\-quality delivery.
Excellent collaboration and communication skills with ability to lead technical discussions in cross\-functional embedded teams.
Strong organization and time management skills with ability to independently prioritize and manage complex workloads.
Ability to function independently in a fast\-paced, high\-energy environment with changing requirements.
Strong commitment to data quality, system functionality, and user satisfaction in rapidly growing and changing environments.
Demonstrated initiative in resolving complex problems and balancing conflicting requirements in partnership with project stakeholders.
Familiarity with Agile and Scrum methodologies.
Applicants must be authorized to work for ANY employer in the U.S. We are unable to sponsor or take over sponsorship of an employment visa for this role.
Why IDEXX?
We’re proud of the work we do, because our work matters. An innovation leader in every industry we serve, our team members help pet owners worldwide keep their companion animals healthy and happy, ensure safe drinking water for billions, and help farmers protect livestock and poultry from disease.
We have customers in over 175 countries and a collaborative global workforce. Our culture is one that embraces challenges and encourages learning and discovery. At IDEXX, you’ll be supported by competitive compensation, incentives, and benefits while enjoying purposeful work that drives improvement.
Knowing our work has a meaningful impact on the health and well\-being of pets and people is what motivates us every day. If meaningful work and a sense of purpose are at the top of your list, you’ll find it here.
Let’s pursue what matters together.
**About the job location:**  
If you’re thinking about relocating for this role, here are a few things to know about living in Maine (often called “Vacationland”). The Westbrook, ME area provides great access to active downtown areas and the outdoors, with the coast and numerous mountains and hiking trails nearby. You’ll also find a number of large companies like ours in the area, creating a vibrant work culture.
**You can learn more on the Portland tourism website:** https://www.visitportland.com/visit/resources/moving\-to\-maine/
IDEXX values a diverse workforce and workplace and strongly encourages women, people of color, LGBTQ\+ individuals, people with disabilities, members of ethnic minorities, foreign\-born residents, and veterans to apply.
IDEXX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While we appreciate our staffing partners, we are unable to accept unsolicited agency resumes.
\#LI\-CAG</t>
        </is>
      </c>
    </row>
    <row r="49">
      <c r="A49" t="inlineStr">
        <is>
          <t>in-86a35b352ed2af92</t>
        </is>
      </c>
      <c r="B49" t="inlineStr">
        <is>
          <t>Databricks Senior Data Engineer</t>
        </is>
      </c>
      <c r="C49" t="inlineStr">
        <is>
          <t>OZ Digital</t>
        </is>
      </c>
      <c r="D49" t="inlineStr">
        <is>
          <t>indeed</t>
        </is>
      </c>
      <c r="E49">
        <f>HYPERLINK("https://www.indeed.com/viewjob?jk=86a35b352ed2af92", "https://www.indeed.com/viewjob?jk=86a35b352ed2af92")</f>
        <v/>
      </c>
      <c r="F49">
        <f>HYPERLINK("https://apply.workable.com/j/CED1BFBA32", "https://apply.workable.com/j/CED1BFBA32")</f>
        <v/>
      </c>
      <c r="G49" t="inlineStr">
        <is>
          <t>Boca Raton, FL, US</t>
        </is>
      </c>
      <c r="H49" s="2" t="n">
        <v>46080</v>
      </c>
      <c r="I49" t="inlineStr">
        <is>
          <t>**OZ – Databricks Senior Data Engineer**
**Note: Only applications from U.S. citizens or lawful permanent residents (Green Card Holders) will be considered.**
We believe work should be innately rewarding and a team\-building venture. Working with our teammates and clients should be an enjoyable journey where we can learn, grow as professionals, and achieve amazing results. Our core values revolve around this philosophy. We are relentlessly committed to helping our clients achieve their business goals, leapfrog the competition, and become leaders in their industry. What drives us forward is the culture of creativity combined with a disciplined approach, passion for learning \&amp; innovation, and a ‘can\-do’ attitude!
**What We're Looking For:**
We are seeking a highly experienced Databricks professional with deep expertise in data engineering, distributed computing, and cloud\-based data platforms. The ideal candidate is both an architect and a hands\-on engineer who can design scalable data solutions while actively contributing to development, optimization, and deployment.
This role requires strong technical leadership, a deep understanding of modern data architectures, and the ability to implement best practices in DataOps, performance optimization, and data governance.
Experience with modern AI/GenAI\-enabled data platforms and real\-time data processing environments is highly desirable.
**Position Overview:**
The Databricks Senior Data Engineer will play a critical role in designing, implementing, and optimizing enterprise\-scale data platforms using the Databricks Lakehouse architecture. This role combines architecture leadership with hands\-on engineering, focusing on building scalable, secure, and high\-performance data pipelines and platforms. The ideal candidate will establish coding standards, define data architecture frameworks such as the Medallion Architecture, and guide the end\-to\-end development lifecycle of modern data solutions.
This individual will collaborate with cross\-functional stakeholders including data engineers, BI developers, analysts, and business leaders to deliver robust data platforms that enable advanced analytics, reporting, and AI\-driven decision\-making.
**Key Responsibilities:**
* **Architecture \&amp; Design:** Architect and design scalable, reliable data platforms and complex ETL/ELT and streaming workflows for the Databricks Lakehouse Platform (Delta Lake, Spark).
* **Hands\-On Development:** Write, test, and optimize code in Python, PySpark, and SQL for data ingestion, transformation, and processing.
* **DataOps \&amp; Automation:** Implement CI/CD, monitoring, and automation (e.g., with Azure DevOps, DBX) for data pipelines.
* **Stakeholder Collaboration:** Work with BI developers, analysts, and business users to define requirements and deliver data\-driven solutions.
* **Performance Optimization:** Tune delta tables, Spark jobs, and SQL queries for maximum efficiency and scalability.
* **GenAI Applications Development:** It is a big plus to have experience in GenAI application development
**What You’re Looking For:**
Join a fast\-growing organization that thrives on innovation and collaboration. You’ll work alongside talented, motivated colleagues in a global environment, helping clients solve their most critical business challenges. At OZ, your contributions matter – you’ll have the chance to be a key player in our growth and success. If you’re driven, bold, and eager to push boundaries, we invite you to join a company where you can truly make a difference.
**About Us:**
OZ is a 28\-year\-old global technology consulting, services, and solutions leader specializing in creating business\-focused solutions for our clients by leveraging disruptive digital technologies and innovation.
OZ is committed to creating a continuum between work and life by allowing people to work remotely. We offer competitive compensation and a comprehensive benefits package. You’ll enjoy our work style within an incredible culture. We’ll give you the tools you need to succeed so you can grow and develop with us and become part of a team that lives by its core values.
 **Requirements**  
* 8\+ years of experience in data engineering, with strong hands\-on expertise in Databricks and Apache Spark.
* Proven experience designing and implementing scalable ETL/ELT pipelines in cloud environments.
* Strong programming skills in Python and SQL; experience with PySpark required.
* Hands\-on experience with Databricks Lakehouse, Delta Lake, and distributed data processing.
* Experience working with cloud platforms such as Microsoft Azure, AWS, or GCP (Azure preferred).
* Experience with CI/CD pipelines, Git, and DevOps practices for data engineering.
* Strong understanding of data architecture, data modeling, and performance optimization.
* Experience working with cross\-functional teams to deliver enterprise data solutions.
* Tackles complex data challenges, ensuring data quality and reliable delivery.
 **Qualifications:**
* Bachelor’s degree in Computer Science, Information Technology, Engineering, or a related field.
* Experience designing enterprise\-scale data platforms and modern data architectures.
* Experience with data integration tools such as Azure Data Factory or similar platforms.
* Familiarity with cloud data warehouses such as Databricks, Snowflake, or Azure Fabric.
* Experience supporting analytics, reporting, or AI/ML workloads is highly desirable.
* Databricks, Azure, or cloud certifications are preferred.
* Strong problem\-solving, communication, and technical leadership skills.
 **Technical Proficiency in:**
* Databricks, Apache Spark, PySpark, Delta Lake
* Python, SQL, Scala (preferred)
* Cloud platforms: Azure (preferred), AWS, or GCP
* Azure Data Factory, Kafka, and modern data integration tools
* Data warehousing: Databricks, Snowflake, or Azure Fabric
* DevOps tools: Git, Azure DevOps, CI/CD pipelines
* Data architecture, ETL/ELT design, and performance optimization</t>
        </is>
      </c>
    </row>
    <row r="50">
      <c r="A50" t="inlineStr">
        <is>
          <t>in-1d77d1daa9987953</t>
        </is>
      </c>
      <c r="B50" t="inlineStr">
        <is>
          <t>FAA Data Engineer - Multiple Openings - Mid to Senior Level</t>
        </is>
      </c>
      <c r="C50" t="inlineStr"/>
      <c r="D50" t="inlineStr">
        <is>
          <t>indeed</t>
        </is>
      </c>
      <c r="E50">
        <f>HYPERLINK("https://www.indeed.com/viewjob?jk=1d77d1daa9987953", "https://www.indeed.com/viewjob?jk=1d77d1daa9987953")</f>
        <v/>
      </c>
      <c r="F50">
        <f>HYPERLINK("https://strategicinnovationgroup.isolvedhire.com/jobs/1716148-148121.html", "https://strategicinnovationgroup.isolvedhire.com/jobs/1716148-148121.html")</f>
        <v/>
      </c>
      <c r="G50" t="inlineStr">
        <is>
          <t>Arlington, VA, US</t>
        </is>
      </c>
      <c r="H50" s="2" t="n">
        <v>46080</v>
      </c>
      <c r="I50" t="inlineStr">
        <is>
          <t>**FAA Data Engineer \- Multiple Openings \- Mid to Senior Level**
Strategic Innovation Group (SIG) seeks an experienced Data Analyst with Alteryx experience to join our team. The ideal candidate will have a strong background in data analysis, with hands\-on experience in working with BI reporting and visualization.
**Salary: $150K \- $200K**
SIG is a fast\-growing 8(a) government contractor based in Arlington, Virginia. We offer a broad range of technical expertise and experience in AI Engineering Services, Data Engineering Services, Enterprise Architecture and Professional Services. At SIG, our people are our mission. Come join our team! A successful candidate will be offered the following:
* Great work/life balance
* Eligibility for performance\-based participation in cash bonuses
* Excellent benefits, including health, dental, vision, generous PTO, a 401(k) with match, life insurance, short\- and long\-term disability, and a health savings account (HSA)
* Remote work with preferrence given to DC\-Metro Area
**ESSENTIAL DUTIES AND RESPONSIBILITIES**
The essential functions include, but are not limited to, the following:
* Build worksheets, dashboards and data sources in Tableau Desktop
* Daily data validation and reconciliation
* Utilize Presto to connect Postgres DB to Tableau Online for reporting data
* Run Alteryx workflows to alter, clean and consolidate data to be loaded from SplashBI, Oracle DB, Denodo, csv, xslx and txt files into Postgres database
* Validation of Alteryx workflows that facilitate loading DELPHI data into EIM
* Configure Alteryx server to schedule workflows, allow for coordination within team in Collections so all team members can share, allow others to run and view workflows loaded to the Collections
* Work with FAA Alteryx and Tableau Admin teams to look for ways to make Alteryx and Tableau more efficient and better use of resources
**REQUIRED EXPERIENCE/QUALIFICATIONS**
* Bachelor's or master's degree in relevant degrees
* \+ years of experience with SQL queries (Oracle SQL, PL/SQL, Postgres, MYSQL, etc)
**PREFERRED EXPERIENCE/QUALIFICATIONS**
* Current Public Trust clearance or higher.
* Experience with Denodo, Starburst EIM SQL, and Oracle EBS is desirable
* Knowledge of maintaining CMMI ML3 for development is a plus
**SPECIAL REQUIREMENTS/SECURITY CLEARANCE**
* Must be able to obtain and maintain a Public Trust clearance.
The company is an Equal Opportunity Employer, drug\-free workplace, and complies with ADA regulations as applicable.</t>
        </is>
      </c>
    </row>
    <row r="51">
      <c r="A51" t="inlineStr">
        <is>
          <t>in-cb7745c912153769</t>
        </is>
      </c>
      <c r="B51" t="inlineStr">
        <is>
          <t>Data Engineer</t>
        </is>
      </c>
      <c r="C51" t="inlineStr"/>
      <c r="D51" t="inlineStr">
        <is>
          <t>indeed</t>
        </is>
      </c>
      <c r="E51">
        <f>HYPERLINK("https://www.indeed.com/viewjob?jk=cb7745c912153769", "https://www.indeed.com/viewjob?jk=cb7745c912153769")</f>
        <v/>
      </c>
      <c r="F51">
        <f>HYPERLINK("http://www.indeed.com/job/data-engineer-cb7745c912153769", "http://www.indeed.com/job/data-engineer-cb7745c912153769")</f>
        <v/>
      </c>
      <c r="G51" t="inlineStr">
        <is>
          <t>Dayton, OH, US</t>
        </is>
      </c>
      <c r="H51" s="2" t="n">
        <v>46080</v>
      </c>
      <c r="I51" t="inlineStr">
        <is>
          <t>Tangram Flex is seeking a **Data Engineer** with 5 years of experience to join our growing team supporting Department of Defense (DoD) programs in the Dayton, Ohio area. The ideal candidate will blend software engineering and analytical expertise to design, build, and maintain data pipelines and analytics solutions that enhance mission\-critical insights and operational effectiveness.
**What We Do:** At Tangram Flex, we provide engineering products, solutions, and services that enable innovators to design, develop, verify, and deliver software advancements to critical systems faster. By transforming how our nation solves complex software challenges, our work accelerates innovation that strengthens national security.
POSITION DESCRIPTION /
As a Data Engineer, you will play a crucial role in supporting the design, development, implementation and sustainment of complex systems. Working with teams onsite at WPAFB, office and remotely in the Dayton area.
JOB RESPONSIBILITIES /
*Primary Responsibilities:*
* Design, develop, and maintain scalable ETL pipelines to extract, transform, and load data from diverse sources.
* Build and optimize PostgreSQL relational database structures and ensure data integrity across systems.
* Develop and maintain data integration scripts and automation workflows using Python and SQLAlchemy.
* Implement pipeline automation and version control workflows using GitLab CI/CD.
* Collaborate with analysts, data scientists, and stakeholders to define data requirements and ensure timely, accurate delivery.
* Conduct performance tuning, data modeling, and query optimization to support analytics and visualization needs.
* Maintain compliance with DoD data security policies and handle classified data in accordance with clearance requirements.
DESIRED SKILLS \&amp; EXPERIENCE /
*Required:*
* Bachelor’s degree in Computer Science, Data Engineering, or a related field (or equivalent experience).
* **Possess a current/or recent (within the last 12 months) U.S. Government Security Clearance/Department of Defense Clearance.**
* 5\+ years of professional experience in data engineering, analytics, or software development.
* Strong proficiency in **Python**, including libraries such as **SQLAlchemy and Pandas**.
* Experience working with **ETL processes, PostgreSQL, and relational database design.**
* Familiarity with **GitLab for version control, CI/CD, and pipeline automation**.
* Proven ability to work with cross\-functional teams in a mission\-driven environment.
* Ability to interface with customers from both a technical and programmatic context.
* Strong communication, interpersonal and organizational skills.
* Hybrid/On\-site \- Minimum 2 Days in person at WPAFB \-Every Monday
*Preferred :*
* Experience supporting DoD or federal government data initiatives.
* Knowledge of data warehousing and data modeling techniques.
* Familiarity with cloud\-based environments (e.g., AWS GovCloud, Azure Government).
*Physical Requirements:* 
* Ability to travel by air, car, or other transportation methods.
* Prolonged periods of sitting at a desk and working on a computer (up to 8 hours/day).
* Ability to lift and carry lightweight items (e.g., laptops, demo equipment, marketing materials) up to 25 lbs.
* Frequent use of hands and fingers for typing, using a mouse, writing, and handling equipment.
* Visual acuity to read detailed technical documents, view computer screens, and operate software systems.
* Auditory ability to participate in meetings, customer demos, and conference calls, including in potentially noisy environments (e.g., trade shows or military facilities).
* Mobility to move between office spaces, customer sites, conference venues, and manufacturing or lab environments.
* Flexibility to adapt to varying work environments (e.g., corporate offices, government buildings, industrial or lab spaces)*.*
We are committed to staying rooted in our core value of Team First. For that reason, we've designed a highly competitive benefits program and supportive work environment to engage employees and their families.
* Hybrid work options
* Flexible Working Hours, 10 paid holidays, and generous Paid Time Off
* Employer Paid Medical, Dental, Vision and Short and Long Term Disability Insurance
* Access to group rating plans for Life Insurance
* Employer contribution to Health Savings Account
* Competitive 401K employer match
* A work environment and culture that fosters transparency, collaboration and well\-being.
Tangram Flex is an Equal Opportunity Employer, and provides reasonable accommodation for qualified individuals with disabilities and disabled veterans in its application procedures and in accordance with federal law. All qualified candidates will receive consideration for employment based on business needs, job requirements, and individual qualifications.
EEO/AA Vet/Disabled Employer/ and E\-Verify
Pay: From $100,000\.00 per year
Benefits:
* 401(k)
* 401(k) matching
* Dental insurance
* Flexible schedule
* Health insurance
* Health savings account
* Life insurance
* Paid time off
* Parental leave
* Professional development assistance
* Vision insurance
Work Location: Hybrid remote in Dayton, OH 45402</t>
        </is>
      </c>
    </row>
    <row r="52">
      <c r="A52" t="inlineStr">
        <is>
          <t>in-54ef3179473f5fe6</t>
        </is>
      </c>
      <c r="B52" t="inlineStr">
        <is>
          <t>Data Engineer</t>
        </is>
      </c>
      <c r="C52" t="inlineStr">
        <is>
          <t>Pantheon Data</t>
        </is>
      </c>
      <c r="D52" t="inlineStr">
        <is>
          <t>indeed</t>
        </is>
      </c>
      <c r="E52">
        <f>HYPERLINK("https://www.indeed.com/viewjob?jk=54ef3179473f5fe6", "https://www.indeed.com/viewjob?jk=54ef3179473f5fe6")</f>
        <v/>
      </c>
      <c r="F52">
        <f>HYPERLINK("https://pantheondata.isolvedhire.com/jobs/1716113-6763.html", "https://pantheondata.isolvedhire.com/jobs/1716113-6763.html")</f>
        <v/>
      </c>
      <c r="G52" t="inlineStr">
        <is>
          <t>Falls Church, VA, US</t>
        </is>
      </c>
      <c r="H52" s="2" t="n">
        <v>46080</v>
      </c>
      <c r="I52" t="inlineStr">
        <is>
          <t>**Company Overview**
Pantheon Data (a Kenific Holding company) is a private, small business based in the Washington, DC, area. Pantheon Data was founded in 2011, initially providing acquisition and supply chain management services to the US Coast Guard. Our service offerings have grown in the past ten years, including infrastructure resiliency, contact center operations, information technology, software engineering, program management, strategic communications, engineering, and cybersecurity. We have also grown our customer base to include commercial clients. The company has used this experience to expand our service offerings to other agencies within the Department of Homeland Security (DHS), the Department of Defense (DoD), and other Federal Civilian Agencies.
**DHA Overview**
The Defense Health Agency (DHA) is a joint, integrated Combat Support Agency that enables the Army, Navy, and Air Force medical services to provide a medically ready force and a ready medical force to Combatant Commands during peacetime and wartime. Established to enhance the delivery of integrated, affordable, and high\-quality health services, the DHA supports Military Health System (MHS) beneficiaries and drives the integration of clinical and business processes across the MHS. The agency plays a pivotal role in ensuring military personnel and their families receive comprehensive healthcare, thus maintaining operational readiness and overall force health protection.
**Position Overview**
Pantheon Data is seeking a **Data Engineer** with a strong background in designing and implementing data\-centric technical solutions to support the Defense Health Agency (DHA). The ideal candidate will have hands\-on experience with data integration, migration, and transformation pipelines, preferably in healthcare or federal environments, and a willingness to quickly adapt and learn new technologies. This role will directly support DHA's modernization initiatives by migrating and integrating data from legacy health IT systems into secure, cloud\-first architectures. The Data Engineer must be able to communicate clearly with both technical peers and non\-technical stakeholders, such as program managers and clinical staff, to ensure data solutions meet mission objectives.
**Responsibilities**
* Conduct data profiling, quality assessments, and validation of relational databases (e.g., SQL Server, Oracle, PostgreSQL) to define mapping rules and support DHA data governance.
* Design and develop ETL pipelines to support data integration and migration from legacy systems (including health and HR systems) into modern platforms such as Salesforce, AWS GovCloud, and Advana\-aligned data environments.
* Support the development of authoritative data repositories and data lakes to enable interoperability and analytics across DHA's enterprise health IT ecosystem.
* Work collaboratively within a growing engineering team to build and sustain scalable, secure, and resilient technical solutions that support DHA's enterprise data strategy.
* Partner with technical leads and program stakeholders to design and deliver solutions that align with DHA's mission, exceed customer expectations, and comply with DoD standards (HIPAA, FedRAMP, DoD IL).
**Required Skills and Experience**
* 5 years professional, hands\-on experience in a data engineering role.
* Bachelor's degree in Computer Science or a related field.
* Expert\-level SQL, relational databases.
* Experience with ETL or data migration.
* Excellent verbal communication skills with the ability to interact clearly and succinctly in peer review and design sessions.
* Willing to learn/contribute meaningfully across technical areas of our projects.
* Working knowledge of CI/CD methodology and related tools for database development.
* Working knowledge of Agile Scrum methodology.
* Detail\-oriented, self\-motivated, and organized
* Ability to work effectively remotely in cross\-functional teams.
* Ability to meet deadlines and produce quality work.
* Proficient in Microsoft Suite software including Outlook, Word, Excel, SharePoint, and PowerPoint.
**Preferred Skills and Experience**
* Strong experience with Python.
* Experience integrating data from SalesForce.
* Experience writing ETL source\-target documentation.
* Experience with legacy ETL tools such as Informatica and SSIS.
* Experience with cloud\-based ETL tools such as DBT and Airflow.
* AWS (Amazon Web Services) and/or Microsoft Azure. Certification(s) a plus.
* Experience with cloud\-hosted databases, either AWS or Azure.
* Experience using big data technologies (Hadoop, Hive, HBase, Spark, EMR, etc.)
* Experience with AI/ML a plus.
**Clearance Requirements**
U.S. Citizenship with the ability to obtain and maintain a DoD Secret clearance.
**Work Location:** Hybrid \- 7700 Arlington Boulevard, Suite 5101, Falls Church, VA, 22042
* Our company prioritizes the benefits of flexibility and collaboration, whether that happens in person or remotely.
* If the position is remote or hybrid, you may periodically work from a Pantheon Data office location or client site.
* If this position is assigned to a Pantheon Data office location or client site, you'll work with colleagues and clients in person, as needed for specific client requirements.
**Compensation**
The salary range for this position is $115,000 \- $130,000\. This is not, however, a guarantee of compensation or salary. Rather, salary will be set based on experience, geographic location and possibly contractual requirements and could fall outside of this range.
**Benefits Overview**
We are always looking for good people! Pantheon Data is committed to providing its employees with competitive salaries and benefits in order to increase employee satisfaction and productivity.In addition to our benefits, we also offer SmartBenefits through the Washington Metro Area Transportation Authority, where you specify an amount of your pre\-tax wages be paid directly to your SmarTrip account. In some cases, tuition assistance may be available for continuing education expenses and certifications related to their position. Additional details may be found at https://pantheon\-data.com/careers/
**Pantheon Data Important Information**
All qualified applicants will be considered for employment without regard to disability, status as a protected veteran, or any other status protected by applicable federal, state, local, or international law.
As part of the application process, you are expected to be on camera during interviews and assessments. We reserve the right to take your picture to verify your identity and prevent fraud.
If you require reasonable accommodation in completing this application, interviewing, completing any pre\-employment testing, or otherwise participating in the employee selection process, please direct your inquiries to our Talent Team at Recruiting@pantheon\-data.com or by phone (571\) 363\-4020\.
This company uses E\-Verify to confirm each employee's work authorization. For more information, click here E\-Verify Participation Poster</t>
        </is>
      </c>
    </row>
    <row r="53">
      <c r="A53" t="inlineStr">
        <is>
          <t>in-89d69e074834d3c5</t>
        </is>
      </c>
      <c r="B53" t="inlineStr">
        <is>
          <t>Data Engineer</t>
        </is>
      </c>
      <c r="C53" t="inlineStr">
        <is>
          <t>Halvik</t>
        </is>
      </c>
      <c r="D53" t="inlineStr">
        <is>
          <t>indeed</t>
        </is>
      </c>
      <c r="E53">
        <f>HYPERLINK("https://www.indeed.com/viewjob?jk=89d69e074834d3c5", "https://www.indeed.com/viewjob?jk=89d69e074834d3c5")</f>
        <v/>
      </c>
      <c r="F53">
        <f>HYPERLINK("https://halvik.isolvedhire.com/jobs/1716111-338778.html", "https://halvik.isolvedhire.com/jobs/1716111-338778.html")</f>
        <v/>
      </c>
      <c r="G53" t="inlineStr">
        <is>
          <t>Washington, DC, US</t>
        </is>
      </c>
      <c r="H53" s="2" t="n">
        <v>46080</v>
      </c>
      <c r="I53" t="inlineStr">
        <is>
          <t>**Halvik Corp** delivers a wide range of services to 13 executive agencies and 15 independent agencies. Halvik is a highly successful WOB business with more than 50 prime contracts and 500\+ professionals delivering Digital Services, Advanced Analytics, Artificial Intelligence/Machine Learning, Cyber Security and Cutting Edge Technology across the US Government. Be a part of something special!
Join the data revolution where you'll design and build the infrastructure that transforms raw data into  
actionable insights! This position offers an incredible opportunity to work with big data technologies,  
cloud\-scale processing systems, and modern ETL frameworks that power data\-driven decision making.  
You'll learn to orchestrate complex data workflows while working with cutting\-edge tools like Apache  
Spark, Kafka, Airflow, and cloud data platforms that handle petabytes of information.
Responsibilities:  
* Design and implement robust ETL/ELT pipelines using modern frameworks
* Work with big data technologies (Spark, Kafka) and streaming data
* Master cloud data platforms (Snowflake, Databricks, Redshift, Synapse)
* Develop scalable database solutions using Postgres and other RDBMS
* Optimize database performance and design scalable data architectures
* Implement data quality monitoring and automated testing frameworks
Requirements:  
* Graduate with a degree in Computer Science, Data Science, Engineering, or related field and 3\+ years of experience as a Data Engineer
* Must be a US citizen OR have lived continuously in the US for the past 3 years (US citizenship
preferred)  
* Strong SQL skills and database experience (coursework, projects, or internships)
* Demonstrated experience with ETL processes, data manipulation, or database management
* Programming experience in Python, Java, Scala, or similar languages
* Portfolio showcasing data projects or database work
Preferred Qualifications:  
* Experience with cloud platforms (AWS, Azure, GCP)
* Familiarity with big data tools (Spark, Kafka, etc.)
* Understanding of data warehousing concepts
* Experience with version control and collaborative development
Halvik's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*Halvik Corp is an* *equal opportunity employer. All qualified applicants will receive consideration for employment without regard to race, color, religion, sex, sexual orientation, gender identity, national origin, disability or veteran status.*</t>
        </is>
      </c>
    </row>
    <row r="54">
      <c r="A54" t="inlineStr">
        <is>
          <t>in-4e9dca4a8d15edee</t>
        </is>
      </c>
      <c r="B54" t="inlineStr">
        <is>
          <t>Data Engineer (Quantexa)</t>
        </is>
      </c>
      <c r="C54" t="inlineStr">
        <is>
          <t>Tricon IT Solutions</t>
        </is>
      </c>
      <c r="D54" t="inlineStr">
        <is>
          <t>indeed</t>
        </is>
      </c>
      <c r="E54">
        <f>HYPERLINK("https://www.indeed.com/viewjob?jk=4e9dca4a8d15edee", "https://www.indeed.com/viewjob?jk=4e9dca4a8d15edee")</f>
        <v/>
      </c>
      <c r="F54">
        <f>HYPERLINK("http://www.indeed.com/job/data-engineer-quantexa-4e9dca4a8d15edee", "http://www.indeed.com/job/data-engineer-quantexa-4e9dca4a8d15edee")</f>
        <v/>
      </c>
      <c r="G54" t="inlineStr">
        <is>
          <t>Columbus, OH, US</t>
        </is>
      </c>
      <c r="H54" s="2" t="n">
        <v>46080</v>
      </c>
      <c r="I54" t="inlineStr">
        <is>
          <t>**Role:** Data Engineer (Quantexa)
**Location:** Columbus, OH (5 Days Onsite)
**Duration:** 12 Months Contract
**Pay Rate:** $80/Hr. (Open for right candidate)
* A Data Engineer with Quantexa is responsible for designing, building, and optimizing data pipelines and integration processes that support Quantexa’s Contextual Decision Intelligence platform.
* Building and deploying solutions on the Quantexa platform.
* The role involves ingesting, transforming, and modeling large datasets; developing entity resolution and network analytics solutions; and ensuring data quality and scalability.
* The engineer works closely with data scientists and business teams to implement end\-to\-end data workflows, deploy Quantexa models, and support analytics use cases
Job Type: Contract
Pay: Up to $80\.00 per hour
Work Location: In person</t>
        </is>
      </c>
    </row>
    <row r="55">
      <c r="A55" t="inlineStr">
        <is>
          <t>in-cedfb48574d9954f</t>
        </is>
      </c>
      <c r="B55" t="inlineStr">
        <is>
          <t>Data Engineer</t>
        </is>
      </c>
      <c r="C55" t="inlineStr">
        <is>
          <t>IBR (Imagine Believe Realize)</t>
        </is>
      </c>
      <c r="D55" t="inlineStr">
        <is>
          <t>indeed</t>
        </is>
      </c>
      <c r="E55">
        <f>HYPERLINK("https://www.indeed.com/viewjob?jk=cedfb48574d9954f", "https://www.indeed.com/viewjob?jk=cedfb48574d9954f")</f>
        <v/>
      </c>
      <c r="F55">
        <f>HYPERLINK("http://www.indeed.com/job/data-engineer-cedfb48574d9954f", "http://www.indeed.com/job/data-engineer-cedfb48574d9954f")</f>
        <v/>
      </c>
      <c r="G55" t="inlineStr">
        <is>
          <t>Remote, US</t>
        </is>
      </c>
      <c r="H55" s="2" t="n">
        <v>46080</v>
      </c>
      <c r="I55" t="inlineStr">
        <is>
          <t>At Imagine Believe Realize, LLC we are driven by innovation, transformation and a relentless pursuit of excellence. As an industry leader delivering impactful results, we thrive on solving complex technical challenges and developing cutting\-edge solutions that empower our customers and advance critical missions.
IBR is a fast\-growing company fueled by passion, curiosity, and innovative thinking – where every team member has the opportunity to continuously learn, unlock their full potential, and redefine what is possible in engineering and technology. If you are inspired by innovation, eager to make a difference, and ready to bring your creativity and expertise to a mission\-focused team, we invite you to join us and together, we will shape the future. Let’s Make It Real!
**The Data Engineer must be able to meet the key criteria below:**
**Location:** 100% remote
**Years' Experience:** 5\+ years professional data engineering experience
**Education:** Bachelors in IT related field
**Security Clearance:** Must currently hold an active Secret security clearance as mandated by the government program.
**Employment Type:** Full Time
**Work Schedules:** IBR promotes work\-life balance by offering flexible scheduling options. Standard business hours are aligned to the Eastern Time Zone.
**Key Skills:**
* 5\+ years of IT experience focusing on enterprise data architecture and management to include data flow charts, diagrams, and other technical documentation.
* Experience with Databricks, Structured Streaming, Delta Lake concepts, and Delta Live Tables required
* Python development experience required
* Experience with ETL and ELT tools such as SSIS, Pentaho, and/or Data Migration Services, and the ability to incorporate Python as required.
* Advanced level SQL experience (Joins, Aggregation, Windowing functions, Common Table Expressions, RDBMS schema design, Postgres performance optimization)
* Proficiency using Git for version control, including repository management, branching, merging, and pull requests
* Active CompTIA Security\+ certification preferred. If selected, must be able to obtain a CompTIA Security\+ certification prior to begin supporting the program.
**Overview**
Do you want to help build a portfolio of next\-generation data collection systems and enterprise portals? As a Data Engineer at IBR, you will support the Agile based engineering of robust, secure, and scalable enterprise web portal solutions hosted in AWS. This position will work closely with the solutions delivery team to support the operations team performing Deployment, Systems Integration Testing, and Operations \&amp; Maintenance activities.
**Responsibilities**
* Plan, create, and maintain data architectures, ensuring alignment with business requirements
* Obtain data, formulate dataset processes, and store optimized data
* Identify problems and inefficiencies and apply solutions
* Determine tasks where manual participation can be eliminated with automation.
* Identify and optimize data bottlenecks, leveraging automation where possible
* Create and manage data lifecycle policies (retention, backups/restore, etc)
* In\-depth knowledge for creating, maintaining, and managing ETL/ELT pipelines
* Create, maintain, and manage data transformations
* Maintain/update documentation
* Create, maintain, and manage data pipeline schedules
* Monitor data pipelines
* Create, maintain, and manage data quality gates (Great Expectations) to ensure high data quality
* Support AI/ML teams with optimizing feature engineering code
* Expertise in Spark/Python/Databricks, Data Lake and SQL
* Create, maintain, and manage Spark Structured Steaming jobs, including using the newer Delta Live Tables and/or DBT
* Research existing data in the data lake to determine best sources for data
* Create, manage, and maintain ksqlDB and Kafka Streams queries/code
* Data driven testing for data quality
* Maintain and update Python\-based data processing scripts executed on AWS Lambdas
* Unit tests for all the Spark, Python data processing and Lambda codes
* Maintain PCIS Reporting Database data lake with optimizations and maintenance (performance tuning, etc)
* Streamlining data processing experience including formalizing concepts of how to handle lake data, defining windows, and how window definitions impact data freshness.
**Qualifications**
* 5\+ years of IT experience focusing on enterprise data architecture and management
* Must have an active Secret security clearance
* Bachelor degree required
* CompTIA Security\+ certification preferred. If selected, must be able to obtain a CompTIA Security\+ certification prior to begin supporting the program.
* Experience in Conceptual/Logical/Physical Data Modeling \&amp; expertise in Relational and Dimensional Data Modeling
* Experience with Databricks and Python Development, Structured Streaming, Delta Lake concepts, and Delta Live Tables required
* Additional experience with Spark, Spark SQL, Spark DataFrames and DataSets, and PySpark
* Data Lake concepts such as time travel and schema evolution and optimization
* Structured Streaming and Delta Live Tables with Databricks a bonus
* Knowledge of Python (Python 3\.X) for CI/CD pipelines required
* Familiarity with Pytest and Unittest a bonus
* Experience leading and architecting enterprise\-wide initiatives specifically system integration, data migration, transformation, data warehouse build, data mart build, and data lakes implementation / support
* Advanced level understanding of streaming data pipelines and how they differ from batch systems
* Formalize concepts of how to handle late data, defining windows, and data freshness
* Advanced understanding of ETL and ELT and ETL/ELT tools such as SSIS, Pentaho, Data Migration Service etc
* Understanding of concepts and implementation strategies for different incremental data loads such as tumbling window, sliding window, high watermark, etc.
* Familiarity and/or expertise with Great Expectations or other data quality/data validation frameworks a bonus
* Understanding of streaming data pipelines and batch systems
* Familiarity with concepts such as late data, defining windows, and how window definitions impact data freshness
* Advanced level SQL experience (Joins, Aggregation, Windowing functions, Common Table Expressions, RDBMS schema design, Postgres performance optimization)
* Indexing and partitioning strategy experience
* Debug, troubleshoot, design and implement solutions to complex technical issues
* Experience with large\-scale, high\-performance enterprise big data application deployment and solution
* Understanding how to create DAGs to define workflows
* Familiarity with CI/CD pipelines, containerization, and pipeline orchestration tools such as Airflow, Prefect, etc a bonus but not required
* Architecture experience in AWS environment a bonus
* Familiarity working with Kinesis and/or Lambda specifically with how to push and pull data, how to use AWS tools to view data in Kinesis streams, and for processing massive data at scale a bonus
* Experience with Docker, Jenkins, and CloudWatch
* Ability to write and maintain Jenkinsfiles for supporting CI/CD pipelines
* Experience working with AWS Lambdas for configuration and optimization
* Experience working with DynamoDB to query and write data
* Experience with S3
* Experience working with JSON and defining JSON Schemas a bonus
* Experience setting up and management Confluent/Kafka topics and ensuring performance using Kafka a bonus
* Familiarity with Schema Registry, message formats such as Avro, ORC, etc.
* Understanding how to manage ksqlDB SQL files and migrations and Kafka Streams
* Ability to thrive in a team\-based environment
* Experience briefing the benefits and constraints of technology solutions to technology partners, stakeholders, team members, and senior level of management
* Proficiency using Git for version control, including repository management, branching, merging, and pull requests
* Repository setup and management
* Branching strategies (feature, develop, main)
* Merging and resolving conflicts
* Creating and reviewing pull requests
* Commit best practices (clear messages, atomic commits)
* Tagging and release management
**Application Deadline:**
Applications will be reviewed as received and accepted on a continuous basis until the position is filled. Early application is strongly encouraged.
**Physical Demands and Work Environment**
This role primarily involves sedentary work, in a workplace and/or home office environment. There are some physical demands associated with the role, including:
* Extended periods of sitting and working at a computer workstation.
* Occasional lifting and carrying of equipment or materials weighing up to 20 pounds.
* Occasional travel to client sites or meetings may be required.
* Work may need to be performed in a fast\-paced environment requiring quick decision making.
* Flexible work arrangements may be available based on business needs.
* Will be exposed to a wide variety of clients in differing functions, personalities, and abilities.
**Benefits and Compensation Information**  
Imagine Believe Realize, LLC (IBR) is focused on delivering software and systems engineering solutions to government and commercial clients. Our talent acquisition strategy is designed for career\-minded professionals that value continuous learning and growth. We strive to enhance our team members’ ability to thrive in the workplace by creating a proper work/life balance and first\-class benefits package that includes:
* Nationwide medical, dental, and vision insurance
* 3 weeks of Paid Time Off and 11 Paid Federal Holidays
* 401k matching
* Life Insurance, Short\-Term Disability, and Long\-Term Disability at no cost to our employees
* Supplemental insurance options
* Flexible spending accounts and Dependent Care spending accounts
* Wellness incentives
* Reimbursement for professional development and certifications
* Access to training assistance opportunities to support career growth and progression
* Hybrid and Remote work opportunities to support work\-life balance
The expected salary range for this position is $120,000 – $145,000 USD annually. This is a good\-faith estimate and not a salary guarantee as compensation may vary based on factors such as experience, education, skills, associated role responsibilities, applicable contractual requirements, and geographic location.
**Apply Today**
If you are ready to grow your career and make an impact, then we encourage you to apply today by submitting an application. We welcome you to explore additional job opportunities listed on our careers page https://teamibr.applicantstack.com/x/openings.
Applicants who require alternative assistance with the application or interview process may request reasonable accommodations by contacting us using the contact information provided below:
info@teamibr.com  
407\.459\.1830
**Compliance and Regulatory Statements**
**Equal Employment Opportunity (EEO) Statement**
Imagine Believe Realize, LLC is proud to be an Equal Opportunity Employer. All qualified applicants will receive consideration for employment without regard to legally protected characteristics such as race, ethnicity, color, religion, sex, sexual orientation, gender identity, gender expression, creed, age, national origin, disability (including pregnancy, childbirth, or related medical conditions), marital status, veteran status, or any other applicable legally protected class in accordance with federal, state, and local laws.
**Affirmative Action**
As a federal contractor, Imagine Believe Realize, LLC takes affirmative action to employ and advance in employment qualified minorities, women, protected veterans, and individuals with disabilities.
**Individuals with Disabilities**
Imagine Believe Realize, LLC is committed to providing equal opportunity to qualified individuals with disabilities and to making reasonable accommodations to enable them to apply for positions and perform their jobs. If you require an accommodation during the application or interview process, please contact Human Resources at info@teamibr.com.
**Protected Veterans (VEVRAA)**
Imagine Believe Realize, LLC actively seeks to employ and advance qualified protected veterans in compliance with the Vietnam Era Veterans’ Readjustment Assistance Act (VEVRAA).
**Pay Transparency Nondiscrimination Provision**
Imagine Believe Realize, LLC will not discharge or otherwise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**Right to Work / Employment Eligibility**
In compliance with federal law, all persons hired will be required to verify identity and eligibility to work in the United States and to complete the required employment eligibility verification form (Form I\-9\).
Job Type: Full\-time
Pay: $120,000\.00 \- $145,000\.00 per year
Benefits:
* 401(k) matching
* Dental insurance
* Employee assistance program
* Flexible schedule
* Flexible spending account
* Health insurance
* Health savings account
* Life insurance
* Paid time off
* Parental leave
* Professional development assistance
* Referral program
* Vision insurance
Work Location: Remote</t>
        </is>
      </c>
    </row>
    <row r="56">
      <c r="A56" t="inlineStr">
        <is>
          <t>in-991ff35a7c2f8bc5</t>
        </is>
      </c>
      <c r="B56" t="inlineStr">
        <is>
          <t>Data Engineer</t>
        </is>
      </c>
      <c r="C56" t="inlineStr">
        <is>
          <t>SoFi</t>
        </is>
      </c>
      <c r="D56" t="inlineStr">
        <is>
          <t>indeed</t>
        </is>
      </c>
      <c r="E56">
        <f>HYPERLINK("https://www.indeed.com/viewjob?jk=991ff35a7c2f8bc5", "https://www.indeed.com/viewjob?jk=991ff35a7c2f8bc5")</f>
        <v/>
      </c>
      <c r="F56">
        <f>HYPERLINK("https://grnh.se/1po5rvrm3us", "https://grnh.se/1po5rvrm3us")</f>
        <v/>
      </c>
      <c r="G56" t="inlineStr">
        <is>
          <t>Frisco, TX, US</t>
        </is>
      </c>
      <c r="H56" s="2" t="n">
        <v>46079</v>
      </c>
      <c r="I56"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**Team**
SoFi is seeking an experienced and motivated Data Engineer to drive high standard technical solutions for the Data Products team within the SIPS (Spend, Invest, Protect, Save) division \- supporting all SoFi Financial Services. The mission of the SIPS Data Engineering team is to support Data Engineering and reporting for SoFi's Financial Services products. As a technical leader you will lead the vision and strategy to build foundational and critical data models which are highly leveraged across SoFi for analytical, reporting, and machine learning use\-cases. Our goal is to empower consumers to make data driven decisions and effectively measure their results by providing high quality, high availability data, and democratized data.
**Role**
A talented, enthusiastic, detail\-oriented, and experienced Data Engineer who knows how to take on big data challenges in an agile way. This includes big data design and analysis, data modeling, and development, deployment, and operations of big data pipelines. Leads development of some of the most critical data pipelines and data sets, and expands self\-service data knowledge and capabilities. This role requires you to live at the cross section of data and engineering. You should have a deep understanding of data, analytical techniques, and how to connect insights to the business, and you have practical experience in insisting on the highest standards on operations in ETL and big data pipelines.
**What you'll do**
* Design and develop robust data models and pipelines to support data ingestion, processing, storage, and retrieval. Evaluate and select appropriate technologies, frameworks, and tools to build scalable and reliable data infrastructure.
* Optimize data engineering systems and processes to handle large\-scale data sets efficiently. Design solutions that can scale horizontally and vertically.
* Collaborate with cross\-functional teams, such as data scientists, software engineers, and business stakeholders, to understand data requirements and deliver solutions that meet business needs. Effectively communicate complex technical concepts to non\-technical stakeholders.
* Optimize data engineering systems and processes to handle large\-scale data sets efficiently. Design solutions that can scale horizontally and vertically,
* Enforce data governance policies and practices to maintain data integrity, security, and compliance with relevant regulations. Collaborate with data governance and security teams to implement robust data protection mechanisms and access controls.
**What you'll need**
* A bachelor's degree in Computer Science, Data Science, Engineering, or a related field;
* 2\-5 years of experience in data engineering and analytics technical strategy.
* Proficiency in data engineering tech stack; Snowflake / PostgreSQL / Python / SQL / GitLab / AWS / Airflow/ DBT and others..
* Proficiency in relational database platforms and cloud database platforms such as Snowflake, Redshift, or GCP
* Experience leveraging AI tools in data workflows; Cursor / Claude Code / Co Pilot
* Strong in Python and/or another data centric language.
* Thorough knowledge of data modeling, database design, data architecture principles, and data operations.
* Strong analytical and problem\-solving abilities, with the capability to simplify complex issues into actionable plans.
* Experience in the Fintech industry is advantageous.
* This role includes a travel requirement of up to 10–15%.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57">
      <c r="A57" t="inlineStr">
        <is>
          <t>in-8b899c29e2338bfc</t>
        </is>
      </c>
      <c r="B57" t="inlineStr">
        <is>
          <t>Senior Data Engineer</t>
        </is>
      </c>
      <c r="C57" t="inlineStr">
        <is>
          <t>SoFi</t>
        </is>
      </c>
      <c r="D57" t="inlineStr">
        <is>
          <t>indeed</t>
        </is>
      </c>
      <c r="E57">
        <f>HYPERLINK("https://www.indeed.com/viewjob?jk=8b899c29e2338bfc", "https://www.indeed.com/viewjob?jk=8b899c29e2338bfc")</f>
        <v/>
      </c>
      <c r="F57">
        <f>HYPERLINK("https://grnh.se/t910ac5c3us", "https://grnh.se/t910ac5c3us")</f>
        <v/>
      </c>
      <c r="G57" t="inlineStr">
        <is>
          <t>Frisco, TX, US</t>
        </is>
      </c>
      <c r="H57" s="2" t="n">
        <v>46079</v>
      </c>
      <c r="I57"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**Team**
SoFi is seeking an experienced and motivated Senior Data Engineer to drive high standard technical solutions for the Data Products team within the SIPS (Spend, Invest, Protect, Save) division \- supporting all SoFi Financial Services. The mission of the SIPS Data Engineering team is to support Data Engineering and reporting for SoFi's Financial Services products. As a technical leader you will lead the vision and strategy to build foundational and critical data models which are highly leveraged across SoFi for analytical, reporting, and machine learning use\-cases. Our goal is to empower consumers to make data driven decisions and effectively measure their results by providing high quality, high availability data, and democratized data.
**Role**
A talented, enthusiastic, detail\-oriented, and experienced Data Engineer who knows how to take on big data challenges in an agile way. This includes big data design and analysis, data modeling, and development, deployment, and operations of big data pipelines. Leads development of some of the most critical data pipelines and data sets, and expands self\-service data knowledge and capabilities. This role requires you to live at the cross section of data and engineering. You should have a deep understanding of data, analytical techniques, and how to connect insights to the business, and you have practical experience in insisting on the highest standards on operations in ETL and big data pipelines.
**What you'll do**
* Design and develop robust data models and pipelines to support data ingestion, processing, storage, and retrieval. Evaluate and select appropriate technologies, frameworks, and tools to build scalable and reliable data infrastructure.
* Optimize data engineering systems and processes to handle large\-scale data sets efficiently. Design solutions that can scale horizontally and vertically.
* Collaborate with cross\-functional teams, such as data scientists, software engineers, and business stakeholders, to understand data requirements and deliver solutions that meet business needs. Effectively communicate complex technical concepts to non\-technical stakeholders.
* Optimize data engineering systems and processes to handle large\-scale data sets efficiently. Design solutions that can scale horizontally and vertically,
* Enforce data governance policies and practices to maintain data integrity, security, and compliance with relevant regulations. Collaborate with data governance and security teams to implement robust data protection mechanisms and access controls.
**What you'll need**
* A bachelor's degree in Computer Science, Data Science, Engineering, or a related field;
* 5\-7 years of experience in data engineering and analytics technical strategy.
* Proficiency in data engineering tech stack; Snowflake / PostgreSQL / Python / SQL / GitLab / AWS / Airflow/ DBT and others..
* Proficiency in relational database platforms and cloud database platforms such as Snowflake, Redshift, or GCP
* Experience leveraging AI tools in data workflows; Cursor / Claude Code / Co Pilot
* Strong in Python and/or another data centric language.
* Thorough knowledge of data modeling, database design, data architecture principles, and data operations.
* Strong analytical and problem\-solving abilities, with the capability to simplify complex issues into actionable plans.
* Experience in the Fintech industry is advantageous.
* This role includes a travel requirement of up to 10–15%.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58">
      <c r="A58" t="inlineStr">
        <is>
          <t>in-ec27c4fa8782043e</t>
        </is>
      </c>
      <c r="B58" t="inlineStr">
        <is>
          <t>Data Engineer</t>
        </is>
      </c>
      <c r="C58" t="inlineStr">
        <is>
          <t>Health-E Commerce</t>
        </is>
      </c>
      <c r="D58" t="inlineStr">
        <is>
          <t>indeed</t>
        </is>
      </c>
      <c r="E58">
        <f>HYPERLINK("https://www.indeed.com/viewjob?jk=ec27c4fa8782043e", "https://www.indeed.com/viewjob?jk=ec27c4fa8782043e")</f>
        <v/>
      </c>
      <c r="F58">
        <f>HYPERLINK("https://grnh.se/b3rnmlra2us", "https://grnh.se/b3rnmlra2us")</f>
        <v/>
      </c>
      <c r="G58" t="inlineStr">
        <is>
          <t>Remote, US</t>
        </is>
      </c>
      <c r="H58" s="2" t="n">
        <v>46079</v>
      </c>
      <c r="I58" t="inlineStr">
        <is>
          <t>### **About the Role:**
Health\-E Commerce is seeking a Data Engineer to drive the evolution of our modern data platform. As a key member of our centralized Data \&amp; Analytics team, you will oversee the design, development, and optimization of data pipelines and infrastructure that power analytics, reporting, and machine learning across the organization.
Reporting directly to the Lead of Data Engineering, you will have a direct impact on day 1 for all of our major data pipelines supporting a broad array of use cases. You'll collaborate closely with Analytics Engineers, Data Scientists, and cross\-functional stakeholders in Marketing, Sales, Finance, and Product to ensure our data systems are scalable, reliable, and aligned with business goals.
### **Specific responsibilities:**
* Build and scale our data engineering stack, including ETL/ELT pipelines, transformation workflows, and compute infrastructure across cloud platforms.
* Own the ingestion and integration of new data sources, ensuring they are modeled for downstream analytics, reporting, and machine learning use cases.
* Partner with Analytics and Business teams to define requirements and deliver a robust internal data mart that supports self\-service reporting and advanced analytics.
* Collaborate with Data Science to deploy and maintain machine learning models in production, including MLOps, monitoring, and governance.
* Implement and enforce data quality, observability, and governance standards across all pipelines and data assets.
* Drive innovation and efficiency by identifying opportunities to improve data architecture, tooling, and team processes.
* Support strategic initiatives through data\-driven insights, ad hoc analysis, and cross\-functional collaboration
### **What you'll need:**
* Bachelor's degree in Computer Science, Engineering, Mathematics, or a related field.
* Minimum 1\-4 years of relevant experience in data engineering, software engineering, or analytics
* Strong SQL and Python proficiency
* Experience working in cloud data platforms (e.g., Azure Synapse, Snowflake, BigQuery, Databricks, Microsoft Fabric). Azure data stack highly preferred.
* Experience with analytics and BI platforms (PowerBI or similar)
* Strong background in relational databases, ETL tools, scripting languages (Powershell or similar)
* Proficiency with Git or other collaborative development workflows (e.g., pull requests, code reviews), working in an agile development environment
* Experience with orchestration tools like Apache Airflow, Prefect, or Azure Data Factory for managing complex data workflows preferred
* Demonstrated ability to build processes that support data transformation, structures, accuracy checking, and workload management
* Understanding of statistical data modeling and supporting infrastructure preferred
* Strong communication and stakeholder management skills, with the ability to translate business needs into technical solutions.
* A passion for data, curiosity for solving complex problems, and a drive to create business impact through technology.
* Experience in the e\-commerce, marketing or digital health sectors is a big plus
### **Compensation, Benefits, \&amp; Additional Details:**
Health\-E Commerce's compensation philosophy is grounded in market data and internal equity to ensure fairness and consistency across the team. Individuals new to the company should generally expect offers to fall between the entry point and midpoint of the salary range. Our goal is to provide an offer that supports growth potential within the role and allows for future salary progression.
* Compensation: $105,000 \- 140,000
* Discretionary Annual Bonus Eligibility: Up to 10%
* Medical, Dental, Vision, and 401K with a company match
* Dependent Care, FSA \&amp; HSA accounts
* Paid Parental \&amp; Bonding Leave
* Flexible PTO \&amp; office closure on all major holidays
* Monthly wellness \&amp; internet reimbursements
* Professional development including certification support \&amp; leadership coaching
* Mental Health resources
* 100% remote within the United States
* Must be able to work EST hours
Candidate Privacy Notice</t>
        </is>
      </c>
    </row>
    <row r="59">
      <c r="A59" t="inlineStr">
        <is>
          <t>in-f979b379434a110b</t>
        </is>
      </c>
      <c r="B59" t="inlineStr">
        <is>
          <t>IT Data Engineer</t>
        </is>
      </c>
      <c r="C59" t="inlineStr">
        <is>
          <t>Nebraska Public Power District</t>
        </is>
      </c>
      <c r="D59" t="inlineStr">
        <is>
          <t>indeed</t>
        </is>
      </c>
      <c r="E59">
        <f>HYPERLINK("https://www.indeed.com/viewjob?jk=f979b379434a110b", "https://www.indeed.com/viewjob?jk=f979b379434a110b")</f>
        <v/>
      </c>
      <c r="F59">
        <f>HYPERLINK("https://jobs.nppd.com/job/Columbus-IT-Data-Engineer-NE-68602-0499/1368897700/", "https://jobs.nppd.com/job/Columbus-IT-Data-Engineer-NE-68602-0499/1368897700/")</f>
        <v/>
      </c>
      <c r="G59" t="inlineStr">
        <is>
          <t>Columbus, NE, US</t>
        </is>
      </c>
      <c r="H59" s="2" t="n">
        <v>46079</v>
      </c>
      <c r="I59" t="inlineStr">
        <is>
          <t>**Location \- State of Nebraska: Columbus, Norfolk, or Plattsmouth**  
**Employment Type:** Full\-time
**Posting Date:** 2/27/2026  
**Closing Date:** 3/22/2026
**Are you hard\-working and eager to make a meaningful impact in the ever\-emerging energy industry? Come join us!**
By joining the Nebraska Public Power District team, you’re becoming part of a close\-knit community that embodies the values and traditions of the state. More than generating and delivering power, we empower our employees to thrive both personally and professionally. With safety at the helm, we have created a supportive and inclusive work environment that fosters innovation and growth. Here, you’re not just an employee; you're a valued member of a family that respects and supports each other.
Our power grid has been consistently ranked one of the most reliable and resilient, but our reputation for excellence extends beyond our customer service to our employee satisfaction. Many of our team members have built lifelong careers here, advancing through the ranks thanks to our robust training programs and opportunities for professional development. With us, you’ll find a place where your efforts are recognized and rewarded, where you’re making a deep impact on the communities around you, and where you can truly power a career that you can be proud of.
Get to know us more here
**Position Summary**
--------------------
This position is accountable for implementing, developing within, maintaining, and configuring 3rd party applications, extract transform load (ETL) programs, custom code, database design, data warehousing, complex data queries and view development, data modeling, query performance, vendor management, licensing management, database security, database backups, database upgrades and patching, and reporting and analytics required to support the District’s business processes. The incumbent will participate in the full project life cycle process including gathering requirements, system design, implementation, integration, testing, deployment, updates, security, and support of the data landscapes. NPPD’s core business systems are primarily comprised of SAP and Microsoft products. Incumbent will primarily develop using SAP products and some Microsoft products. The incumbent must work closely with our business unit customers and technology teams to ensure business requirements are implemented and meet customer expectations. Incumbent is also expected to educate systems users, and coordinate with vendors as part of support and manage projects to successful completion. The incumbent will learn from teammates the details, procedures, and processes necessary to support this workload as well as independent discovery.
**Education, Training and Experience**
--------------------------------------
**Technical Analyst:** Bachelor's degree in Computer Science, Information Technology, or a related field (OR) Associate degree and a minimum of three (3\) years technical IT experience, including specific experience as listed below (OR) High school diploma/GED and a minimum of five (5\) years technical IT experience, including specific experience as listed below.
**Systems Analyst:** Bachelor's degree in Computer Science, Information Technology, or a related field and a minimum of four (4\) years technical IT experience as listed below (OR) Associate degree and a minimum of six (6\) years technical IT experience including specific experience as listed below (OR) a high school diploma/GED and a minimum of eight (8\) years technical IT experience including specific experience as listed below.
**Senior Systems Analyst:** Bachelor's degree in Computer Science, Information Technology, or a related field and a minimum of eight (8\) years technical IT experience as listed below (OR) Associate degree and a minimum of ten (10\) years technical IT experience including specific experience as listed below (OR) a high school diploma/GED and a minimum of twelve (12\) years technical IT experience including specific experience as listed below.
**Experience**
* Ability to work independently and in cooperation with others on multiple activities with flexibility to manage competing demands and changing priorities.
* Excellent communication, interpersonal, and organizational skills.
* Excellent analytical problem\-solving skills.
* Must be customer\-service oriented and adaptable to ongoing change.
**Ideal Technical Skills \&amp; Primary Supported Products**
--------------------------------------------------------
The incumbent will become one of the technical solution owners for the technologies used in this process. The incumbent is not required to be knowledgeable on all preferred technical skills or supported products listed at date of hire.
**Preferred Technical Skills**
* Database Updates/Patching
* Database Backups (via VEEAM)
* Database Security
* Data Modeling
* Database Design
* Data Extract, Transform, Load (ETL) Development
* Data Warehousing
* Reporting and/or Analytics Development
* API Consumption
**Primary Team Supported Products**
* Microsoft SQL Server
* PostgreSQL
* Microsoft SQL Server Integration Services (SSIS)
* SAP Business Warehouse (BW) on HANA
* SAP DataSphere
* SAP Business Data Cloud (BDC)
* S/4 HANA
* SAP Analytics Cloud
* SAP Analysis for Office
* SAP Information Steward
* BigId
**Licenses and/or Certifications**
----------------------------------
Security Clearance: Incumbent may be required to satisfy any existing and future District security clearance or background check requirements for access to key NPPD locations and/or supporting sensitive business applications.
Obtain and maintain intermediate to advanced technical certification aligned with key business system platform(s) used at the District (e.g. SAP, Microsoft Certifications, and Security related best practices) as applicable.
**Essential Duties \&amp; Responsibilities**
----------------------------------------
**Technical Analyst:**
Analyze, design, develop, configure, maintain, troubleshoot, and provide direction and support for complex systems, applications and databases in support of the District's computing environment. Provide technical architecture recommendations and apply best practices in system design, development, and testing. Collaborate with/advise/coach other ET/Corporate Security and business unit analysts to ensure understanding of business and technical work processes, tools, and best practices.
Evaluate, create, document, and test complex system\-related interfaces and integration.
Maintains efficient and effective management of vendor contract service relationships pertaining to technical services.
Provide 24/7 system support, as needed.
**Systems Analyst:**
In addition to being proficient in all duties of the Technical Analyst, the Systems Analyst will also be responsible for the following duties:
Lead special task groups, trouble\-shooting efforts, and integration and/or improvement project teams.
Lead the development and implementation of training and communications plans/materials.
Lead the development and implementation of training and communications plans/materials.
**Essential Duties \&amp; Responsibilities (Continued)**
----------------------------------------------------
**Senior Systems Analyst:**
In addition to being proficient in all duties of the Technical and Systems Analyst, the Senior Systems Analyst will also be responsible for the following duties:
Proven understanding of key NPPD business unit activities and successful application of ET/Corporate Security technical solution design, development, and responsive customer support and service.
Work closely with ET/Corporate Security management to oversee and lead resolution of complex technical challenges and new business system initiatives.
***Accountable for other duties as assigned.***
-----------------------------------------------
**Core Competencies**
---------------------
Customer Focus
Employees \&amp; Teamwork/Diversity \&amp; Inclusion
Integrity/Excellence
Public Service/Environmental Stewardship
Safety  
**Salary Information** *\-* Nebraska Public Power District offers a competitive starting salary with opportunities for growth. In addition to the base salary range listed below, NPPD employees may also be eligible for our Annual Incentive Program (AIP) that may supplement total compensation at a level above and beyond the stated salary range. Successful applicants will be provided more information regarding the incentive program at the time of an interview.
**Technical Analyst \- Pay Grade** \- 12 Monthly
**Typical Pay Grade Starting Salary Range**: $6,477\.00 \- $8,096\.00
**Systems Analyst \- Pay Grade** \- 14 Monthly
**Typical Pay Grade Starting Salary Range**: $8,218\.00 \- $10,478\.00
**Senior Systems Analyst \- Pay Grade** \- 15 Monthly
**Typical Pay Grade Starting Salary Range**: $9,430\.00 \- $12,023\.00
**Travel Required:** Up to 25% (With no or minimal overnight stays, less than 3 per month, typically within state of Nebraska) *Travel required may fluctuate by business need. This is an estimate and will be discussed further with candidates that receive an interview.*
Nebraska Public Power District offers a competitive starting salary and an excellent benefits package including medical and dental insurance, 401K retirement plan, paid holidays, paid vacation, paid medical, training opportunities and more.
If you are an individual with a disability and would like to request a reasonable accommodation as part of the employment selection process, please contact Human Resources at Nebraska Public Power District.
***Nebraska Public Power District is an Equal Opportunity Employer***
We are an Equal Opportunity Employer who values the contributions of its diverse work force. We are only legally able to hire persons who are 1\) a United States citizen or national, 2\) a lawful permanent resident of the United States, or 3\) an alien legally authorized to work in the United States.
**Benefits**
------------
Customers around the state know what to expect from NPPD — quality, reliability and performance excellence. Our values also extend to the way we take care of our employees and their families. We remain on the leading edge by providing competitive benefits that respond to the diverse lifestyles of our people in an ever\-changing world.
**Salary**
----------
Nebraska Public Power District offers a competitive starting salary with opportunities for growth. In addition to the base salary listed in posting, NPPD employees may also be eligible for our Annual Incentive Program (AIP) that may supplement total compensation at a level above and beyond the stated salary range.
**Retirement Savings**
----------------------
NPPD employees may participate in two retirement plan options – a 401(k) plan and a 457(b) plan. Both plans allow for pre\-tax or Roth contributions. After the first six months of employment, the 401(k) plan includes a generous matching contribution from NPPD. The five\-year vesting period begins on an employee’s hire date. Our retired employees are eligible for retiree healthcare benefits as well as a life benefit paid out to designated beneficiaries upon their passing.
**Health \&amp; Wellness**
----------------------
At NPPD, we care about the health and wellness of our employees. We offer new teammates two competitive hospital / medical plan options to fit their lifestyle and family needs. We also make an annual contribution to employee Health Savings Accounts, which can be used to offset out\-of\-pocket expenses. Employees and their spouse are invited to participate in a variety of wellness initiatives offered throughout the year as a way to enhance their wellness, reduce health risks and promote healthy lifestyles.
**Other Benefits**
------------------
Employees earn vacation on a schedule commensurate with their years of service. We also offer paid holidays as well as personal and family medical leave, including birth mother recovery leave and parental child bonding leave. All full\-time employees receive a life insurance policy equivalent to two times the participant's annual salary at no cost to the employee. NPPD also offers dental and vision insurance as well as personal accident, accidental death and dismemberment, critical illness, hospital indemnity, long\-term care, pre\-paid legal/identity theft, and short\-and long\-term disability insurance plans. Additional benefits include college tuition reimbursement, relocation assistance and complimentary access to an Employee Assistance Program.
Apply now »</t>
        </is>
      </c>
    </row>
    <row r="60">
      <c r="A60" t="inlineStr">
        <is>
          <t>in-ba485f3b26852488</t>
        </is>
      </c>
      <c r="B60" t="inlineStr">
        <is>
          <t>GTM Analytics Engineer</t>
        </is>
      </c>
      <c r="C60" t="inlineStr">
        <is>
          <t>Gusto</t>
        </is>
      </c>
      <c r="D60" t="inlineStr">
        <is>
          <t>indeed</t>
        </is>
      </c>
      <c r="E60">
        <f>HYPERLINK("https://www.indeed.com/viewjob?jk=ba485f3b26852488", "https://www.indeed.com/viewjob?jk=ba485f3b26852488")</f>
        <v/>
      </c>
      <c r="F60">
        <f>HYPERLINK("https://grnh.se/3cgonl2e1us", "https://grnh.se/3cgonl2e1us")</f>
        <v/>
      </c>
      <c r="G60" t="inlineStr">
        <is>
          <t>New York, NY, US</t>
        </is>
      </c>
      <c r="H60" s="2" t="n">
        <v>46079</v>
      </c>
      <c r="I60"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The Revenue Operations team at Gusto is a full\-stack team responsible for data, analytics, and operational excellence in pursuit of scaling our revenue growth. The Go\-To\-Market Analytics team is one functional area, responsible for defining and owning the metrics for scaling our Sales teams.
Gusto is looking for a Revenue Analytics Engineer to build and maintain foundational data infrastructure that is crucial to growing and scaling our Sales efforts. In this role, you will partner with our GTM analysts to scope and deliver data products for an audience ranging from company and revenue leadership to operational and frontline sales. In doing so, you will own significant portions of our sales data from end\-to\-end, focusing on the transformation, design, and visualization workflows. In addition, you will establish best practices for systems design and workflows to maximize usefulness of AI at scale.
This role will report to the Head of Go\-To\-Market analytics, and partner closely with Data Science, Data Platform, and Business Technology teams.
**Here's what you'll do day\-to\-day:**
* Establish relationships with internal stakeholders to determine business needs, scoping and delivering solutions through data products
* Design, build, and maintain data pipelines and dashboards to automate "keep the lights on" work out of manually\-managed processes
* Build a data foundation by incorporating business logic into raw data tables, laying the groundwork to enable value\-add insights
* Create a dynamic reporting environment based on stakeholder needs
* Identify data discrepancies and set best practices for data logic to create a clean and well\-documented environment
* Collaborate with broader data organization as steward to the definition and process management of core Gusto metrics
**Here's what we're looking for:**
* Education or work experience in Engineering or Computer Science, or a related technical field
* 7\+ years of experience in an analytics engineering, business intelligence, or technical data analytics role
* Experience with SQL and ETL optimization techniques, especially within cloud\-based data warehouses like Redshift, Snowflake, etc.
* Command\-line experience and familiarity with version control collaboration tools (git)
* Experience with data pipeline management technologies with dependency checking, such as Airflow, as well as schema design and data modeling tools (dbt)
* Experience with data visualization technologies, e.g., Tableau, Looker, Sigma, Mode, Hex
* Experience with Python and data ingestion tools
* Ability to problem\-solve open\-ended problems and project manage dependencies and timelines to optimal outcomes
* Ability to demonstrate tools, business intuition, and attention to detail for data validation and QA
Our cash compensation amount for this role is targeted at $138,000\-156,000 in Denver \&amp; most remote locations, and $168,000\-189,000 in New York \&amp; San Francisco Bay Area.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61">
      <c r="A61" t="inlineStr">
        <is>
          <t>in-84d7248fd221324e</t>
        </is>
      </c>
      <c r="B61" t="inlineStr">
        <is>
          <t>Data Engineering Manager</t>
        </is>
      </c>
      <c r="C61" t="inlineStr">
        <is>
          <t>Team Velocity Marketing</t>
        </is>
      </c>
      <c r="D61" t="inlineStr">
        <is>
          <t>indeed</t>
        </is>
      </c>
      <c r="E61">
        <f>HYPERLINK("https://www.indeed.com/viewjob?jk=84d7248fd221324e", "https://www.indeed.com/viewjob?jk=84d7248fd221324e")</f>
        <v/>
      </c>
      <c r="F61">
        <f>HYPERLINK("https://teamvelocitymarketing.hrmdirect.com/employment/view.php?req=3651643&amp;jbsrc=1014&amp;location=15630c06-deee-36d2-54d6-95a36ce44af4", "https://teamvelocitymarketing.hrmdirect.com/employment/view.php?req=3651643&amp;jbsrc=1014&amp;location=15630c06-deee-36d2-54d6-95a36ce44af4")</f>
        <v/>
      </c>
      <c r="G61" t="inlineStr">
        <is>
          <t>Pittsburgh, PA, US</t>
        </is>
      </c>
      <c r="H61" s="2" t="n">
        <v>46079</v>
      </c>
      <c r="I61" t="inlineStr">
        <is>
          <t>Team Velocity is seeking a **Data Engineering Manager** to lead the design, development, and optimization of our data infrastructure across Snowflake and Microsoft SQL Server environments. This role reports to the VP of Engineering and blends technical leadership with project planning, architecture, and day\-to\-day management of engineering tasks in Jira.  
The ideal candidate is a technically strong, detail\-oriented leader who enjoys mentoring engineers, improving system reliability and scalability, and collaborating across teams to evolve Team Velocity’s data ecosystem that powers analytics, AI, and marketing systems for hundreds of automotive clients.
***This is a full\-time, salaried, remote position. Candidate must reside within the Continental U.S. Eastern or Central time zones highly preferred, but all welcome to apply who can support 8:30AM\-5:30PM (EST) business hours.***  
**Responsibilities**
* Lead and mentor a team of data engineers responsible for building, optimizing, and maintaining scalable data pipelines and warehouse solutions in Snowflake and Microsoft SQL Server
* Conduct code reviews and enforce engineering best practices for maintainability, security, and performance
* Manage data\-engineering projects and sprints in Jira, including backlog grooming, sprint planning, and progress tracking
* Oversee capacity planning, resource allocation, and delivery timelines to ensure alignment with business priorities
* Collaborate with architecture and DevOps teams to design and document data system architectures, schemas, and integration patterns
* Drive cross\-team collaboration with analytics, AI, and application development groups to ensure data availability, quality, and scalability
* Develop and maintain comprehensive documentation for data flows, ETL processes, and architecture diagrams
* Support initiatives focused on data quality, observability, and governance (GDPR, SOC2, CASL compliance)
* Contribute to the evolution of Team Velocity’s Composable CDP and AI\-driven marketing data stack
**Required Skills \&amp; Experience**
* Bachelor’s or Master’s degree in Computer Science, Data Engineering, or related field
* 7\+ years of professional experience in data engineering, including 2\+ years in a leadership or management capacity
* Hands\-on experience with Snowflake (warehousing, partitioning, Snowpipe, Snowpark, etc.) and Microsoft SQL Server (T\-SQL, stored procedures, query optimization)
* Strong understanding of modern data architectures, event ingestion, ETL/ELT frameworks, and data modeling
* Experience with data orchestration and transformation tools such as SSIS, Matillion ETL, or similar
* Proficiency with Jira for project management, sprint tracking, and agile delivery workflows
* Solid knowledge of version control systems (Git/GitHub) and CI/CD pipelines for data workflows
* Excellent written and verbal communication skills, including documentation and technical presentation
* Proven ability to lead cross\-functional initiatives, mentor engineers, and balance technical depth with delivery timelines
**Preferred Qualifications**
* Experience in automotive digital marketing, SaaS, or data\-driven advertising environments
* Familiarity with AI/ML pipelines, reverse ETL, and customer data platform (CDP) architectures
* Knowledge of data security and compliance frameworks (GDPR, SOC 2, etc.)
**Compensation**  
This is a full\-time, salaried, remote position. Compensation is commensurate with experience. Benefits include medical, dental, vision, unlimited paid leave, 401(k) matching, wellness programs, and more.
**Next Steps**  
If you meet these requirements and are interested in applying for this role, please complete the online application and include a current resume with contact information. Eastern and Central Time Zones highly preferred. No phone calls please.
**About Team Velocity**  
Team Velocity is a full\-service marketing agency serving the automotive industry, providing integrated marketing solutions to OEMs and dealerships nationwide. We leverage our proprietary Apollo® technology platform to predict consumer behavior, personalize marketing campaigns, and help dealerships drive more sales and service revenue. Our team members are driven, creative, and collaborative, enjoying a unique culture where innovation and client success are paramount.
Join us in revolutionizing automotive marketing and technology through powerful, data\-driven insights, continuous improvement, and an unwavering commitment to reliability.</t>
        </is>
      </c>
    </row>
    <row r="62">
      <c r="A62" t="inlineStr">
        <is>
          <t>in-c3a560849767ea22</t>
        </is>
      </c>
      <c r="B62" t="inlineStr">
        <is>
          <t>Data Engineering Manager</t>
        </is>
      </c>
      <c r="C62" t="inlineStr">
        <is>
          <t>Team Velocity Marketing</t>
        </is>
      </c>
      <c r="D62" t="inlineStr">
        <is>
          <t>indeed</t>
        </is>
      </c>
      <c r="E62">
        <f>HYPERLINK("https://www.indeed.com/viewjob?jk=c3a560849767ea22", "https://www.indeed.com/viewjob?jk=c3a560849767ea22")</f>
        <v/>
      </c>
      <c r="F62">
        <f>HYPERLINK("https://teamvelocitymarketing.hrmdirect.com/employment/view.php?req=3651643&amp;jbsrc=1014&amp;location=506bda20-2571-cc19-13d0-8e49e8aed471", "https://teamvelocitymarketing.hrmdirect.com/employment/view.php?req=3651643&amp;jbsrc=1014&amp;location=506bda20-2571-cc19-13d0-8e49e8aed471")</f>
        <v/>
      </c>
      <c r="G62" t="inlineStr">
        <is>
          <t>Washington, DC, US</t>
        </is>
      </c>
      <c r="H62" s="2" t="n">
        <v>46079</v>
      </c>
      <c r="I62" t="inlineStr">
        <is>
          <t>Team Velocity is seeking a **Data Engineering Manager** to lead the design, development, and optimization of our data infrastructure across Snowflake and Microsoft SQL Server environments. This role reports to the VP of Engineering and blends technical leadership with project planning, architecture, and day\-to\-day management of engineering tasks in Jira.  
The ideal candidate is a technically strong, detail\-oriented leader who enjoys mentoring engineers, improving system reliability and scalability, and collaborating across teams to evolve Team Velocity’s data ecosystem that powers analytics, AI, and marketing systems for hundreds of automotive clients.
***This is a full\-time, salaried, remote position. Candidate must reside within the Continental U.S. Eastern or Central time zones highly preferred, but all welcome to apply who can support 8:30AM\-5:30PM (EST) business hours.***  
**Responsibilities**
* Lead and mentor a team of data engineers responsible for building, optimizing, and maintaining scalable data pipelines and warehouse solutions in Snowflake and Microsoft SQL Server
* Conduct code reviews and enforce engineering best practices for maintainability, security, and performance
* Manage data\-engineering projects and sprints in Jira, including backlog grooming, sprint planning, and progress tracking
* Oversee capacity planning, resource allocation, and delivery timelines to ensure alignment with business priorities
* Collaborate with architecture and DevOps teams to design and document data system architectures, schemas, and integration patterns
* Drive cross\-team collaboration with analytics, AI, and application development groups to ensure data availability, quality, and scalability
* Develop and maintain comprehensive documentation for data flows, ETL processes, and architecture diagrams
* Support initiatives focused on data quality, observability, and governance (GDPR, SOC2, CASL compliance)
* Contribute to the evolution of Team Velocity’s Composable CDP and AI\-driven marketing data stack
**Required Skills \&amp; Experience**
* Bachelor’s or Master’s degree in Computer Science, Data Engineering, or related field
* 7\+ years of professional experience in data engineering, including 2\+ years in a leadership or management capacity
* Hands\-on experience with Snowflake (warehousing, partitioning, Snowpipe, Snowpark, etc.) and Microsoft SQL Server (T\-SQL, stored procedures, query optimization)
* Strong understanding of modern data architectures, event ingestion, ETL/ELT frameworks, and data modeling
* Experience with data orchestration and transformation tools such as SSIS, Matillion ETL, or similar
* Proficiency with Jira for project management, sprint tracking, and agile delivery workflows
* Solid knowledge of version control systems (Git/GitHub) and CI/CD pipelines for data workflows
* Excellent written and verbal communication skills, including documentation and technical presentation
* Proven ability to lead cross\-functional initiatives, mentor engineers, and balance technical depth with delivery timelines
**Preferred Qualifications**
* Experience in automotive digital marketing, SaaS, or data\-driven advertising environments
* Familiarity with AI/ML pipelines, reverse ETL, and customer data platform (CDP) architectures
* Knowledge of data security and compliance frameworks (GDPR, SOC 2, etc.)
**Compensation**  
This is a full\-time, salaried, remote position. Compensation is commensurate with experience. Benefits include medical, dental, vision, unlimited paid leave, 401(k) matching, wellness programs, and more.
**Next Steps**  
If you meet these requirements and are interested in applying for this role, please complete the online application and include a current resume with contact information. Eastern and Central Time Zones highly preferred. No phone calls please.
**About Team Velocity**  
Team Velocity is a full\-service marketing agency serving the automotive industry, providing integrated marketing solutions to OEMs and dealerships nationwide. We leverage our proprietary Apollo® technology platform to predict consumer behavior, personalize marketing campaigns, and help dealerships drive more sales and service revenue. Our team members are driven, creative, and collaborative, enjoying a unique culture where innovation and client success are paramount.
Join us in revolutionizing automotive marketing and technology through powerful, data\-driven insights, continuous improvement, and an unwavering commitment to reliability.</t>
        </is>
      </c>
    </row>
    <row r="63">
      <c r="A63" t="inlineStr">
        <is>
          <t>in-59aedd0e49d50be7</t>
        </is>
      </c>
      <c r="B63" t="inlineStr">
        <is>
          <t>Data Engineering Manager</t>
        </is>
      </c>
      <c r="C63" t="inlineStr">
        <is>
          <t>Team Velocity Marketing</t>
        </is>
      </c>
      <c r="D63" t="inlineStr">
        <is>
          <t>indeed</t>
        </is>
      </c>
      <c r="E63">
        <f>HYPERLINK("https://www.indeed.com/viewjob?jk=59aedd0e49d50be7", "https://www.indeed.com/viewjob?jk=59aedd0e49d50be7")</f>
        <v/>
      </c>
      <c r="F63">
        <f>HYPERLINK("https://teamvelocitymarketing.hrmdirect.com/employment/view.php?req=3651643&amp;jbsrc=1014&amp;location=57737724-13a4-9405-cfde-4284d2ff24dd", "https://teamvelocitymarketing.hrmdirect.com/employment/view.php?req=3651643&amp;jbsrc=1014&amp;location=57737724-13a4-9405-cfde-4284d2ff24dd")</f>
        <v/>
      </c>
      <c r="G63" t="inlineStr">
        <is>
          <t>Atlanta, GA, US</t>
        </is>
      </c>
      <c r="H63" s="2" t="n">
        <v>46079</v>
      </c>
      <c r="I63" t="inlineStr">
        <is>
          <t>Team Velocity is seeking a **Data Engineering Manager** to lead the design, development, and optimization of our data infrastructure across Snowflake and Microsoft SQL Server environments. This role reports to the VP of Engineering and blends technical leadership with project planning, architecture, and day\-to\-day management of engineering tasks in Jira.  
The ideal candidate is a technically strong, detail\-oriented leader who enjoys mentoring engineers, improving system reliability and scalability, and collaborating across teams to evolve Team Velocity’s data ecosystem that powers analytics, AI, and marketing systems for hundreds of automotive clients.
***This is a full\-time, salaried, remote position. Candidate must reside within the Continental U.S. Eastern or Central time zones highly preferred, but all welcome to apply who can support 8:30AM\-5:30PM (EST) business hours.***  
**Responsibilities**
* Lead and mentor a team of data engineers responsible for building, optimizing, and maintaining scalable data pipelines and warehouse solutions in Snowflake and Microsoft SQL Server
* Conduct code reviews and enforce engineering best practices for maintainability, security, and performance
* Manage data\-engineering projects and sprints in Jira, including backlog grooming, sprint planning, and progress tracking
* Oversee capacity planning, resource allocation, and delivery timelines to ensure alignment with business priorities
* Collaborate with architecture and DevOps teams to design and document data system architectures, schemas, and integration patterns
* Drive cross\-team collaboration with analytics, AI, and application development groups to ensure data availability, quality, and scalability
* Develop and maintain comprehensive documentation for data flows, ETL processes, and architecture diagrams
* Support initiatives focused on data quality, observability, and governance (GDPR, SOC2, CASL compliance)
* Contribute to the evolution of Team Velocity’s Composable CDP and AI\-driven marketing data stack
**Required Skills \&amp; Experience**
* Bachelor’s or Master’s degree in Computer Science, Data Engineering, or related field
* 7\+ years of professional experience in data engineering, including 2\+ years in a leadership or management capacity
* Hands\-on experience with Snowflake (warehousing, partitioning, Snowpipe, Snowpark, etc.) and Microsoft SQL Server (T\-SQL, stored procedures, query optimization)
* Strong understanding of modern data architectures, event ingestion, ETL/ELT frameworks, and data modeling
* Experience with data orchestration and transformation tools such as SSIS, Matillion ETL, or similar
* Proficiency with Jira for project management, sprint tracking, and agile delivery workflows
* Solid knowledge of version control systems (Git/GitHub) and CI/CD pipelines for data workflows
* Excellent written and verbal communication skills, including documentation and technical presentation
* Proven ability to lead cross\-functional initiatives, mentor engineers, and balance technical depth with delivery timelines
**Preferred Qualifications**
* Experience in automotive digital marketing, SaaS, or data\-driven advertising environments
* Familiarity with AI/ML pipelines, reverse ETL, and customer data platform (CDP) architectures
* Knowledge of data security and compliance frameworks (GDPR, SOC 2, etc.)
**Compensation**  
This is a full\-time, salaried, remote position. Compensation is commensurate with experience. Benefits include medical, dental, vision, unlimited paid leave, 401(k) matching, wellness programs, and more.
**Next Steps**  
If you meet these requirements and are interested in applying for this role, please complete the online application and include a current resume with contact information. Eastern and Central Time Zones highly preferred. No phone calls please.
**About Team Velocity**  
Team Velocity is a full\-service marketing agency serving the automotive industry, providing integrated marketing solutions to OEMs and dealerships nationwide. We leverage our proprietary Apollo® technology platform to predict consumer behavior, personalize marketing campaigns, and help dealerships drive more sales and service revenue. Our team members are driven, creative, and collaborative, enjoying a unique culture where innovation and client success are paramount.
Join us in revolutionizing automotive marketing and technology through powerful, data\-driven insights, continuous improvement, and an unwavering commitment to reliability.</t>
        </is>
      </c>
    </row>
    <row r="64">
      <c r="A64" t="inlineStr">
        <is>
          <t>in-9eac70b0dfe6cd99</t>
        </is>
      </c>
      <c r="B64" t="inlineStr">
        <is>
          <t>Data Engineering Manager</t>
        </is>
      </c>
      <c r="C64" t="inlineStr">
        <is>
          <t>Team Velocity Marketing</t>
        </is>
      </c>
      <c r="D64" t="inlineStr">
        <is>
          <t>indeed</t>
        </is>
      </c>
      <c r="E64">
        <f>HYPERLINK("https://www.indeed.com/viewjob?jk=9eac70b0dfe6cd99", "https://www.indeed.com/viewjob?jk=9eac70b0dfe6cd99")</f>
        <v/>
      </c>
      <c r="F64">
        <f>HYPERLINK("https://teamvelocitymarketing.hrmdirect.com/employment/view.php?req=3651643&amp;jbsrc=1014&amp;location=f2d8d7ca-0fa6-2936-2743-5fd2e2c1b749", "https://teamvelocitymarketing.hrmdirect.com/employment/view.php?req=3651643&amp;jbsrc=1014&amp;location=f2d8d7ca-0fa6-2936-2743-5fd2e2c1b749")</f>
        <v/>
      </c>
      <c r="G64" t="inlineStr">
        <is>
          <t>Philadelphia, PA, US</t>
        </is>
      </c>
      <c r="H64" s="2" t="n">
        <v>46079</v>
      </c>
      <c r="I64" t="inlineStr">
        <is>
          <t>Team Velocity is seeking a **Data Engineering Manager** to lead the design, development, and optimization of our data infrastructure across Snowflake and Microsoft SQL Server environments. This role reports to the VP of Engineering and blends technical leadership with project planning, architecture, and day\-to\-day management of engineering tasks in Jira.  
The ideal candidate is a technically strong, detail\-oriented leader who enjoys mentoring engineers, improving system reliability and scalability, and collaborating across teams to evolve Team Velocity’s data ecosystem that powers analytics, AI, and marketing systems for hundreds of automotive clients.
***This is a full\-time, salaried, remote position. Candidate must reside within the Continental U.S. Eastern or Central time zones highly preferred, but all welcome to apply who can support 8:30AM\-5:30PM (EST) business hours.***  
**Responsibilities**
* Lead and mentor a team of data engineers responsible for building, optimizing, and maintaining scalable data pipelines and warehouse solutions in Snowflake and Microsoft SQL Server
* Conduct code reviews and enforce engineering best practices for maintainability, security, and performance
* Manage data\-engineering projects and sprints in Jira, including backlog grooming, sprint planning, and progress tracking
* Oversee capacity planning, resource allocation, and delivery timelines to ensure alignment with business priorities
* Collaborate with architecture and DevOps teams to design and document data system architectures, schemas, and integration patterns
* Drive cross\-team collaboration with analytics, AI, and application development groups to ensure data availability, quality, and scalability
* Develop and maintain comprehensive documentation for data flows, ETL processes, and architecture diagrams
* Support initiatives focused on data quality, observability, and governance (GDPR, SOC2, CASL compliance)
* Contribute to the evolution of Team Velocity’s Composable CDP and AI\-driven marketing data stack
**Required Skills \&amp; Experience**
* Bachelor’s or Master’s degree in Computer Science, Data Engineering, or related field
* 7\+ years of professional experience in data engineering, including 2\+ years in a leadership or management capacity
* Hands\-on experience with Snowflake (warehousing, partitioning, Snowpipe, Snowpark, etc.) and Microsoft SQL Server (T\-SQL, stored procedures, query optimization)
* Strong understanding of modern data architectures, event ingestion, ETL/ELT frameworks, and data modeling
* Experience with data orchestration and transformation tools such as SSIS, Matillion ETL, or similar
* Proficiency with Jira for project management, sprint tracking, and agile delivery workflows
* Solid knowledge of version control systems (Git/GitHub) and CI/CD pipelines for data workflows
* Excellent written and verbal communication skills, including documentation and technical presentation
* Proven ability to lead cross\-functional initiatives, mentor engineers, and balance technical depth with delivery timelines
**Preferred Qualifications**
* Experience in automotive digital marketing, SaaS, or data\-driven advertising environments
* Familiarity with AI/ML pipelines, reverse ETL, and customer data platform (CDP) architectures
* Knowledge of data security and compliance frameworks (GDPR, SOC 2, etc.)
**Compensation**  
This is a full\-time, salaried, remote position. Compensation is commensurate with experience. Benefits include medical, dental, vision, unlimited paid leave, 401(k) matching, wellness programs, and more.
**Next Steps**  
If you meet these requirements and are interested in applying for this role, please complete the online application and include a current resume with contact information. Eastern and Central Time Zones highly preferred. No phone calls please.
**About Team Velocity**  
Team Velocity is a full\-service marketing agency serving the automotive industry, providing integrated marketing solutions to OEMs and dealerships nationwide. We leverage our proprietary Apollo® technology platform to predict consumer behavior, personalize marketing campaigns, and help dealerships drive more sales and service revenue. Our team members are driven, creative, and collaborative, enjoying a unique culture where innovation and client success are paramount.
Join us in revolutionizing automotive marketing and technology through powerful, data\-driven insights, continuous improvement, and an unwavering commitment to reliability.</t>
        </is>
      </c>
    </row>
    <row r="65">
      <c r="A65" t="inlineStr">
        <is>
          <t>in-296ff3bb433054c1</t>
        </is>
      </c>
      <c r="B65" t="inlineStr">
        <is>
          <t>Data Engineering Manager</t>
        </is>
      </c>
      <c r="C65" t="inlineStr">
        <is>
          <t>Team Velocity Marketing</t>
        </is>
      </c>
      <c r="D65" t="inlineStr">
        <is>
          <t>indeed</t>
        </is>
      </c>
      <c r="E65">
        <f>HYPERLINK("https://www.indeed.com/viewjob?jk=296ff3bb433054c1", "https://www.indeed.com/viewjob?jk=296ff3bb433054c1")</f>
        <v/>
      </c>
      <c r="F65">
        <f>HYPERLINK("https://teamvelocitymarketing.hrmdirect.com/employment/view.php?req=3651643&amp;jbsrc=1014&amp;location=a9a23f0c-d72a-62a0-3cc3-de60ff6e7dbb", "https://teamvelocitymarketing.hrmdirect.com/employment/view.php?req=3651643&amp;jbsrc=1014&amp;location=a9a23f0c-d72a-62a0-3cc3-de60ff6e7dbb")</f>
        <v/>
      </c>
      <c r="G65" t="inlineStr">
        <is>
          <t>Charlotte, NC, US</t>
        </is>
      </c>
      <c r="H65" s="2" t="n">
        <v>46079</v>
      </c>
      <c r="I65" t="inlineStr">
        <is>
          <t>Team Velocity is seeking a **Data Engineering Manager** to lead the design, development, and optimization of our data infrastructure across Snowflake and Microsoft SQL Server environments. This role reports to the VP of Engineering and blends technical leadership with project planning, architecture, and day\-to\-day management of engineering tasks in Jira.  
The ideal candidate is a technically strong, detail\-oriented leader who enjoys mentoring engineers, improving system reliability and scalability, and collaborating across teams to evolve Team Velocity’s data ecosystem that powers analytics, AI, and marketing systems for hundreds of automotive clients.
***This is a full\-time, salaried, remote position. Candidate must reside within the Continental U.S. Eastern or Central time zones highly preferred, but all welcome to apply who can support 8:30AM\-5:30PM (EST) business hours.***  
**Responsibilities**
* Lead and mentor a team of data engineers responsible for building, optimizing, and maintaining scalable data pipelines and warehouse solutions in Snowflake and Microsoft SQL Server
* Conduct code reviews and enforce engineering best practices for maintainability, security, and performance
* Manage data\-engineering projects and sprints in Jira, including backlog grooming, sprint planning, and progress tracking
* Oversee capacity planning, resource allocation, and delivery timelines to ensure alignment with business priorities
* Collaborate with architecture and DevOps teams to design and document data system architectures, schemas, and integration patterns
* Drive cross\-team collaboration with analytics, AI, and application development groups to ensure data availability, quality, and scalability
* Develop and maintain comprehensive documentation for data flows, ETL processes, and architecture diagrams
* Support initiatives focused on data quality, observability, and governance (GDPR, SOC2, CASL compliance)
* Contribute to the evolution of Team Velocity’s Composable CDP and AI\-driven marketing data stack
**Required Skills \&amp; Experience**
* Bachelor’s or Master’s degree in Computer Science, Data Engineering, or related field
* 7\+ years of professional experience in data engineering, including 2\+ years in a leadership or management capacity
* Hands\-on experience with Snowflake (warehousing, partitioning, Snowpipe, Snowpark, etc.) and Microsoft SQL Server (T\-SQL, stored procedures, query optimization)
* Strong understanding of modern data architectures, event ingestion, ETL/ELT frameworks, and data modeling
* Experience with data orchestration and transformation tools such as SSIS, Matillion ETL, or similar
* Proficiency with Jira for project management, sprint tracking, and agile delivery workflows
* Solid knowledge of version control systems (Git/GitHub) and CI/CD pipelines for data workflows
* Excellent written and verbal communication skills, including documentation and technical presentation
* Proven ability to lead cross\-functional initiatives, mentor engineers, and balance technical depth with delivery timelines
**Preferred Qualifications**
* Experience in automotive digital marketing, SaaS, or data\-driven advertising environments
* Familiarity with AI/ML pipelines, reverse ETL, and customer data platform (CDP) architectures
* Knowledge of data security and compliance frameworks (GDPR, SOC 2, etc.)
**Compensation**  
This is a full\-time, salaried, remote position. Compensation is commensurate with experience. Benefits include medical, dental, vision, unlimited paid leave, 401(k) matching, wellness programs, and more.
**Next Steps**  
If you meet these requirements and are interested in applying for this role, please complete the online application and include a current resume with contact information. Eastern and Central Time Zones highly preferred. No phone calls please.
**About Team Velocity**  
Team Velocity is a full\-service marketing agency serving the automotive industry, providing integrated marketing solutions to OEMs and dealerships nationwide. We leverage our proprietary Apollo® technology platform to predict consumer behavior, personalize marketing campaigns, and help dealerships drive more sales and service revenue. Our team members are driven, creative, and collaborative, enjoying a unique culture where innovation and client success are paramount.
Join us in revolutionizing automotive marketing and technology through powerful, data\-driven insights, continuous improvement, and an unwavering commitment to reliability.</t>
        </is>
      </c>
    </row>
    <row r="66">
      <c r="A66" t="inlineStr">
        <is>
          <t>in-61e3afcef81dd3db</t>
        </is>
      </c>
      <c r="B66" t="inlineStr">
        <is>
          <t>Data Engineering Manager</t>
        </is>
      </c>
      <c r="C66" t="inlineStr">
        <is>
          <t>Team Velocity Marketing</t>
        </is>
      </c>
      <c r="D66" t="inlineStr">
        <is>
          <t>indeed</t>
        </is>
      </c>
      <c r="E66">
        <f>HYPERLINK("https://www.indeed.com/viewjob?jk=61e3afcef81dd3db", "https://www.indeed.com/viewjob?jk=61e3afcef81dd3db")</f>
        <v/>
      </c>
      <c r="F66">
        <f>HYPERLINK("https://teamvelocitymarketing.hrmdirect.com/employment/view.php?req=3651643&amp;jbsrc=1014&amp;location=8f02ef68-f15a-d1f8-ef49-cc0fd1b9b531", "https://teamvelocitymarketing.hrmdirect.com/employment/view.php?req=3651643&amp;jbsrc=1014&amp;location=8f02ef68-f15a-d1f8-ef49-cc0fd1b9b531")</f>
        <v/>
      </c>
      <c r="G66" t="inlineStr">
        <is>
          <t>Austin, TX, US</t>
        </is>
      </c>
      <c r="H66" s="2" t="n">
        <v>46079</v>
      </c>
      <c r="I66" t="inlineStr">
        <is>
          <t>Team Velocity is seeking a **Data Engineering Manager** to lead the design, development, and optimization of our data infrastructure across Snowflake and Microsoft SQL Server environments. This role reports to the VP of Engineering and blends technical leadership with project planning, architecture, and day\-to\-day management of engineering tasks in Jira.  
The ideal candidate is a technically strong, detail\-oriented leader who enjoys mentoring engineers, improving system reliability and scalability, and collaborating across teams to evolve Team Velocity’s data ecosystem that powers analytics, AI, and marketing systems for hundreds of automotive clients.
***This is a full\-time, salaried, remote position. Candidate must reside within the Continental U.S. Eastern or Central time zones highly preferred, but all welcome to apply who can support 8:30AM\-5:30PM (EST) business hours.***  
**Responsibilities**
* Lead and mentor a team of data engineers responsible for building, optimizing, and maintaining scalable data pipelines and warehouse solutions in Snowflake and Microsoft SQL Server
* Conduct code reviews and enforce engineering best practices for maintainability, security, and performance
* Manage data\-engineering projects and sprints in Jira, including backlog grooming, sprint planning, and progress tracking
* Oversee capacity planning, resource allocation, and delivery timelines to ensure alignment with business priorities
* Collaborate with architecture and DevOps teams to design and document data system architectures, schemas, and integration patterns
* Drive cross\-team collaboration with analytics, AI, and application development groups to ensure data availability, quality, and scalability
* Develop and maintain comprehensive documentation for data flows, ETL processes, and architecture diagrams
* Support initiatives focused on data quality, observability, and governance (GDPR, SOC2, CASL compliance)
* Contribute to the evolution of Team Velocity’s Composable CDP and AI\-driven marketing data stack
**Required Skills \&amp; Experience**
* Bachelor’s or Master’s degree in Computer Science, Data Engineering, or related field
* 7\+ years of professional experience in data engineering, including 2\+ years in a leadership or management capacity
* Hands\-on experience with Snowflake (warehousing, partitioning, Snowpipe, Snowpark, etc.) and Microsoft SQL Server (T\-SQL, stored procedures, query optimization)
* Strong understanding of modern data architectures, event ingestion, ETL/ELT frameworks, and data modeling
* Experience with data orchestration and transformation tools such as SSIS, Matillion ETL, or similar
* Proficiency with Jira for project management, sprint tracking, and agile delivery workflows
* Solid knowledge of version control systems (Git/GitHub) and CI/CD pipelines for data workflows
* Excellent written and verbal communication skills, including documentation and technical presentation
* Proven ability to lead cross\-functional initiatives, mentor engineers, and balance technical depth with delivery timelines
**Preferred Qualifications**
* Experience in automotive digital marketing, SaaS, or data\-driven advertising environments
* Familiarity with AI/ML pipelines, reverse ETL, and customer data platform (CDP) architectures
* Knowledge of data security and compliance frameworks (GDPR, SOC 2, etc.)
**Compensation**  
This is a full\-time, salaried, remote position. Compensation is commensurate with experience. Benefits include medical, dental, vision, unlimited paid leave, 401(k) matching, wellness programs, and more.
**Next Steps**  
If you meet these requirements and are interested in applying for this role, please complete the online application and include a current resume with contact information. Eastern and Central Time Zones highly preferred. No phone calls please.
**About Team Velocity**  
Team Velocity is a full\-service marketing agency serving the automotive industry, providing integrated marketing solutions to OEMs and dealerships nationwide. We leverage our proprietary Apollo® technology platform to predict consumer behavior, personalize marketing campaigns, and help dealerships drive more sales and service revenue. Our team members are driven, creative, and collaborative, enjoying a unique culture where innovation and client success are paramount.
Join us in revolutionizing automotive marketing and technology through powerful, data\-driven insights, continuous improvement, and an unwavering commitment to reliability.</t>
        </is>
      </c>
    </row>
    <row r="67">
      <c r="A67" t="inlineStr">
        <is>
          <t>in-cb56ae4300ed2cd0</t>
        </is>
      </c>
      <c r="B67" t="inlineStr">
        <is>
          <t>Data Engineering Manager</t>
        </is>
      </c>
      <c r="C67" t="inlineStr">
        <is>
          <t>Team Velocity Marketing</t>
        </is>
      </c>
      <c r="D67" t="inlineStr">
        <is>
          <t>indeed</t>
        </is>
      </c>
      <c r="E67">
        <f>HYPERLINK("https://www.indeed.com/viewjob?jk=cb56ae4300ed2cd0", "https://www.indeed.com/viewjob?jk=cb56ae4300ed2cd0")</f>
        <v/>
      </c>
      <c r="F67">
        <f>HYPERLINK("https://teamvelocitymarketing.hrmdirect.com/employment/view.php?req=3651643&amp;jbsrc=1014&amp;location=a1b7a5ac-6ec6-2141-8fbb-5f203b60b970", "https://teamvelocitymarketing.hrmdirect.com/employment/view.php?req=3651643&amp;jbsrc=1014&amp;location=a1b7a5ac-6ec6-2141-8fbb-5f203b60b970")</f>
        <v/>
      </c>
      <c r="G67" t="inlineStr">
        <is>
          <t>Charleston, SC, US</t>
        </is>
      </c>
      <c r="H67" s="2" t="n">
        <v>46079</v>
      </c>
      <c r="I67" t="inlineStr">
        <is>
          <t>Team Velocity is seeking a **Data Engineering Manager** to lead the design, development, and optimization of our data infrastructure across Snowflake and Microsoft SQL Server environments. This role reports to the VP of Engineering and blends technical leadership with project planning, architecture, and day\-to\-day management of engineering tasks in Jira.  
The ideal candidate is a technically strong, detail\-oriented leader who enjoys mentoring engineers, improving system reliability and scalability, and collaborating across teams to evolve Team Velocity’s data ecosystem that powers analytics, AI, and marketing systems for hundreds of automotive clients.
***This is a full\-time, salaried, remote position. Candidate must reside within the Continental U.S. Eastern or Central time zones highly preferred, but all welcome to apply who can support 8:30AM\-5:30PM (EST) business hours.***  
**Responsibilities**
* Lead and mentor a team of data engineers responsible for building, optimizing, and maintaining scalable data pipelines and warehouse solutions in Snowflake and Microsoft SQL Server
* Conduct code reviews and enforce engineering best practices for maintainability, security, and performance
* Manage data\-engineering projects and sprints in Jira, including backlog grooming, sprint planning, and progress tracking
* Oversee capacity planning, resource allocation, and delivery timelines to ensure alignment with business priorities
* Collaborate with architecture and DevOps teams to design and document data system architectures, schemas, and integration patterns
* Drive cross\-team collaboration with analytics, AI, and application development groups to ensure data availability, quality, and scalability
* Develop and maintain comprehensive documentation for data flows, ETL processes, and architecture diagrams
* Support initiatives focused on data quality, observability, and governance (GDPR, SOC2, CASL compliance)
* Contribute to the evolution of Team Velocity’s Composable CDP and AI\-driven marketing data stack
**Required Skills \&amp; Experience**
* Bachelor’s or Master’s degree in Computer Science, Data Engineering, or related field
* 7\+ years of professional experience in data engineering, including 2\+ years in a leadership or management capacity
* Hands\-on experience with Snowflake (warehousing, partitioning, Snowpipe, Snowpark, etc.) and Microsoft SQL Server (T\-SQL, stored procedures, query optimization)
* Strong understanding of modern data architectures, event ingestion, ETL/ELT frameworks, and data modeling
* Experience with data orchestration and transformation tools such as SSIS, Matillion ETL, or similar
* Proficiency with Jira for project management, sprint tracking, and agile delivery workflows
* Solid knowledge of version control systems (Git/GitHub) and CI/CD pipelines for data workflows
* Excellent written and verbal communication skills, including documentation and technical presentation
* Proven ability to lead cross\-functional initiatives, mentor engineers, and balance technical depth with delivery timelines
**Preferred Qualifications**
* Experience in automotive digital marketing, SaaS, or data\-driven advertising environments
* Familiarity with AI/ML pipelines, reverse ETL, and customer data platform (CDP) architectures
* Knowledge of data security and compliance frameworks (GDPR, SOC 2, etc.)
**Compensation**  
This is a full\-time, salaried, remote position. Compensation is commensurate with experience. Benefits include medical, dental, vision, unlimited paid leave, 401(k) matching, wellness programs, and more.
**Next Steps**  
If you meet these requirements and are interested in applying for this role, please complete the online application and include a current resume with contact information. Eastern and Central Time Zones highly preferred. No phone calls please.
**About Team Velocity**  
Team Velocity is a full\-service marketing agency serving the automotive industry, providing integrated marketing solutions to OEMs and dealerships nationwide. We leverage our proprietary Apollo® technology platform to predict consumer behavior, personalize marketing campaigns, and help dealerships drive more sales and service revenue. Our team members are driven, creative, and collaborative, enjoying a unique culture where innovation and client success are paramount.
Join us in revolutionizing automotive marketing and technology through powerful, data\-driven insights, continuous improvement, and an unwavering commitment to reliability.</t>
        </is>
      </c>
    </row>
    <row r="68">
      <c r="A68" t="inlineStr">
        <is>
          <t>in-230397b7381f0a21</t>
        </is>
      </c>
      <c r="B68" t="inlineStr">
        <is>
          <t>Data Engineering Manager</t>
        </is>
      </c>
      <c r="C68" t="inlineStr">
        <is>
          <t>Team Velocity Marketing</t>
        </is>
      </c>
      <c r="D68" t="inlineStr">
        <is>
          <t>indeed</t>
        </is>
      </c>
      <c r="E68">
        <f>HYPERLINK("https://www.indeed.com/viewjob?jk=230397b7381f0a21", "https://www.indeed.com/viewjob?jk=230397b7381f0a21")</f>
        <v/>
      </c>
      <c r="F68">
        <f>HYPERLINK("https://teamvelocitymarketing.hrmdirect.com/employment/view.php?req=3651643&amp;jbsrc=1014&amp;location=81630be2-dd5a-9d59-1daa-742d43218167", "https://teamvelocitymarketing.hrmdirect.com/employment/view.php?req=3651643&amp;jbsrc=1014&amp;location=81630be2-dd5a-9d59-1daa-742d43218167")</f>
        <v/>
      </c>
      <c r="G68" t="inlineStr">
        <is>
          <t>Herndon, VA, US</t>
        </is>
      </c>
      <c r="H68" s="2" t="n">
        <v>46079</v>
      </c>
      <c r="I68" t="inlineStr">
        <is>
          <t>Team Velocity is seeking a **Data Engineering Manager** to lead the design, development, and optimization of our data infrastructure across Snowflake and Microsoft SQL Server environments. This role reports to the VP of Engineering and blends technical leadership with project planning, architecture, and day\-to\-day management of engineering tasks in Jira.  
The ideal candidate is a technically strong, detail\-oriented leader who enjoys mentoring engineers, improving system reliability and scalability, and collaborating across teams to evolve Team Velocity’s data ecosystem that powers analytics, AI, and marketing systems for hundreds of automotive clients.
***This is a full\-time, salaried, remote position. Candidate must reside within the Continental U.S. Eastern or Central time zones highly preferred, but all welcome to apply who can support 8:30AM\-5:30PM (EST) business hours.***  
**Responsibilities**
* Lead and mentor a team of data engineers responsible for building, optimizing, and maintaining scalable data pipelines and warehouse solutions in Snowflake and Microsoft SQL Server
* Conduct code reviews and enforce engineering best practices for maintainability, security, and performance
* Manage data\-engineering projects and sprints in Jira, including backlog grooming, sprint planning, and progress tracking
* Oversee capacity planning, resource allocation, and delivery timelines to ensure alignment with business priorities
* Collaborate with architecture and DevOps teams to design and document data system architectures, schemas, and integration patterns
* Drive cross\-team collaboration with analytics, AI, and application development groups to ensure data availability, quality, and scalability
* Develop and maintain comprehensive documentation for data flows, ETL processes, and architecture diagrams
* Support initiatives focused on data quality, observability, and governance (GDPR, SOC2, CASL compliance)
* Contribute to the evolution of Team Velocity’s Composable CDP and AI\-driven marketing data stack
**Required Skills \&amp; Experience**
* Bachelor’s or Master’s degree in Computer Science, Data Engineering, or related field
* 7\+ years of professional experience in data engineering, including 2\+ years in a leadership or management capacity
* Hands\-on experience with Snowflake (warehousing, partitioning, Snowpipe, Snowpark, etc.) and Microsoft SQL Server (T\-SQL, stored procedures, query optimization)
* Strong understanding of modern data architectures, event ingestion, ETL/ELT frameworks, and data modeling
* Experience with data orchestration and transformation tools such as SSIS, Matillion ETL, or similar
* Proficiency with Jira for project management, sprint tracking, and agile delivery workflows
* Solid knowledge of version control systems (Git/GitHub) and CI/CD pipelines for data workflows
* Excellent written and verbal communication skills, including documentation and technical presentation
* Proven ability to lead cross\-functional initiatives, mentor engineers, and balance technical depth with delivery timelines
**Preferred Qualifications**
* Experience in automotive digital marketing, SaaS, or data\-driven advertising environments
* Familiarity with AI/ML pipelines, reverse ETL, and customer data platform (CDP) architectures
* Knowledge of data security and compliance frameworks (GDPR, SOC 2, etc.)
**Compensation**  
This is a full\-time, salaried, remote position. Compensation is commensurate with experience. Benefits include medical, dental, vision, unlimited paid leave, 401(k) matching, wellness programs, and more.
**Next Steps**  
If you meet these requirements and are interested in applying for this role, please complete the online application and include a current resume with contact information. Eastern and Central Time Zones highly preferred. No phone calls please.
**About Team Velocity**  
Team Velocity is a full\-service marketing agency serving the automotive industry, providing integrated marketing solutions to OEMs and dealerships nationwide. We leverage our proprietary Apollo® technology platform to predict consumer behavior, personalize marketing campaigns, and help dealerships drive more sales and service revenue. Our team members are driven, creative, and collaborative, enjoying a unique culture where innovation and client success are paramount.
Join us in revolutionizing automotive marketing and technology through powerful, data\-driven insights, continuous improvement, and an unwavering commitment to reliability.</t>
        </is>
      </c>
    </row>
    <row r="69">
      <c r="A69" t="inlineStr">
        <is>
          <t>in-61728375caaae19b</t>
        </is>
      </c>
      <c r="B69" t="inlineStr">
        <is>
          <t>Data Engineering Manager</t>
        </is>
      </c>
      <c r="C69" t="inlineStr">
        <is>
          <t>Team Velocity Marketing</t>
        </is>
      </c>
      <c r="D69" t="inlineStr">
        <is>
          <t>indeed</t>
        </is>
      </c>
      <c r="E69">
        <f>HYPERLINK("https://www.indeed.com/viewjob?jk=61728375caaae19b", "https://www.indeed.com/viewjob?jk=61728375caaae19b")</f>
        <v/>
      </c>
      <c r="F69">
        <f>HYPERLINK("https://teamvelocitymarketing.hrmdirect.com/employment/view.php?req=3651643&amp;jbsrc=1014&amp;location=174e7650-d404-a726-9847-19a50ebc0976", "https://teamvelocitymarketing.hrmdirect.com/employment/view.php?req=3651643&amp;jbsrc=1014&amp;location=174e7650-d404-a726-9847-19a50ebc0976")</f>
        <v/>
      </c>
      <c r="G69" t="inlineStr">
        <is>
          <t>Chicago, IL, US</t>
        </is>
      </c>
      <c r="H69" s="2" t="n">
        <v>46079</v>
      </c>
      <c r="I69" t="inlineStr">
        <is>
          <t>Team Velocity is seeking a **Data Engineering Manager** to lead the design, development, and optimization of our data infrastructure across Snowflake and Microsoft SQL Server environments. This role reports to the VP of Engineering and blends technical leadership with project planning, architecture, and day\-to\-day management of engineering tasks in Jira.  
The ideal candidate is a technically strong, detail\-oriented leader who enjoys mentoring engineers, improving system reliability and scalability, and collaborating across teams to evolve Team Velocity’s data ecosystem that powers analytics, AI, and marketing systems for hundreds of automotive clients.
***This is a full\-time, salaried, remote position. Candidate must reside within the Continental U.S. Eastern or Central time zones highly preferred, but all welcome to apply who can support 8:30AM\-5:30PM (EST) business hours.***  
**Responsibilities**
* Lead and mentor a team of data engineers responsible for building, optimizing, and maintaining scalable data pipelines and warehouse solutions in Snowflake and Microsoft SQL Server
* Conduct code reviews and enforce engineering best practices for maintainability, security, and performance
* Manage data\-engineering projects and sprints in Jira, including backlog grooming, sprint planning, and progress tracking
* Oversee capacity planning, resource allocation, and delivery timelines to ensure alignment with business priorities
* Collaborate with architecture and DevOps teams to design and document data system architectures, schemas, and integration patterns
* Drive cross\-team collaboration with analytics, AI, and application development groups to ensure data availability, quality, and scalability
* Develop and maintain comprehensive documentation for data flows, ETL processes, and architecture diagrams
* Support initiatives focused on data quality, observability, and governance (GDPR, SOC2, CASL compliance)
* Contribute to the evolution of Team Velocity’s Composable CDP and AI\-driven marketing data stack
**Required Skills \&amp; Experience**
* Bachelor’s or Master’s degree in Computer Science, Data Engineering, or related field
* 7\+ years of professional experience in data engineering, including 2\+ years in a leadership or management capacity
* Hands\-on experience with Snowflake (warehousing, partitioning, Snowpipe, Snowpark, etc.) and Microsoft SQL Server (T\-SQL, stored procedures, query optimization)
* Strong understanding of modern data architectures, event ingestion, ETL/ELT frameworks, and data modeling
* Experience with data orchestration and transformation tools such as SSIS, Matillion ETL, or similar
* Proficiency with Jira for project management, sprint tracking, and agile delivery workflows
* Solid knowledge of version control systems (Git/GitHub) and CI/CD pipelines for data workflows
* Excellent written and verbal communication skills, including documentation and technical presentation
* Proven ability to lead cross\-functional initiatives, mentor engineers, and balance technical depth with delivery timelines
**Preferred Qualifications**
* Experience in automotive digital marketing, SaaS, or data\-driven advertising environments
* Familiarity with AI/ML pipelines, reverse ETL, and customer data platform (CDP) architectures
* Knowledge of data security and compliance frameworks (GDPR, SOC 2, etc.)
**Compensation**  
This is a full\-time, salaried, remote position. Compensation is commensurate with experience. Benefits include medical, dental, vision, unlimited paid leave, 401(k) matching, wellness programs, and more.
**Next Steps**  
If you meet these requirements and are interested in applying for this role, please complete the online application and include a current resume with contact information. Eastern and Central Time Zones highly preferred. No phone calls please.
**About Team Velocity**  
Team Velocity is a full\-service marketing agency serving the automotive industry, providing integrated marketing solutions to OEMs and dealerships nationwide. We leverage our proprietary Apollo® technology platform to predict consumer behavior, personalize marketing campaigns, and help dealerships drive more sales and service revenue. Our team members are driven, creative, and collaborative, enjoying a unique culture where innovation and client success are paramount.
Join us in revolutionizing automotive marketing and technology through powerful, data\-driven insights, continuous improvement, and an unwavering commitment to reliability.</t>
        </is>
      </c>
    </row>
    <row r="70">
      <c r="A70" t="inlineStr">
        <is>
          <t>in-a2177631da7fc910</t>
        </is>
      </c>
      <c r="B70" t="inlineStr">
        <is>
          <t>Sr. Manager, Content Promotion &amp; Distribution Data Engineering</t>
        </is>
      </c>
      <c r="C70" t="inlineStr">
        <is>
          <t>Netflix</t>
        </is>
      </c>
      <c r="D70" t="inlineStr">
        <is>
          <t>indeed</t>
        </is>
      </c>
      <c r="E70">
        <f>HYPERLINK("https://www.indeed.com/viewjob?jk=a2177631da7fc910", "https://www.indeed.com/viewjob?jk=a2177631da7fc910")</f>
        <v/>
      </c>
      <c r="F70">
        <f>HYPERLINK("https://explore.jobs.netflix.net/careers/job/790314514999", "https://explore.jobs.netflix.net/careers/job/790314514999")</f>
        <v/>
      </c>
      <c r="G70" t="inlineStr">
        <is>
          <t>Los Angeles, CA, US</t>
        </is>
      </c>
      <c r="H70" s="2" t="n">
        <v>46079</v>
      </c>
      <c r="I70"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Content Promotion \&amp; Distribution Data Engineering team helps enable and inform how we launch, promote, and distribute Netflix content across surfaces, channels, and markets. When a Netflix member opens our app, visits a partner device, or encounters our campaigns off\-service, we have a few precious moments to help them choose a story that is right for them at that moment in time. Presenting compelling evidence — artwork, trailers, synopses, notifications, and marketing assets — that authentically represent each title and resonate with the member is essential to this effort. We also work to ensure these experiences scale globally across languages, devices, and distribution channels.
Data and insights are at the heart of how we make these decisions. Our role in Data Engineering is to make this possible: to provide robust, scalable, and well\-modeled tabular and multi‑modal data foundations that power analytics, experimentation, and machine learning across the Content Promotion \&amp; Distribution ecosystem.
We are looking for a seasoned leader to manage our Content Promotion \&amp; Distribution Data Engineering team.
**The Team:**
-------------
* Owns core analytical data models and pipelines that power reporting, decision\-support, and experimentation
* Builds and operates multi‑modal data foundations (e.g., text, metadata, image, video, and audio) for ML and GenAI model development and evaluation
* Partners closely with Content Promotion and Distribution DSE , AI and Data Platform , Content Engineering to build and steward complex data and media pipelines, and to set best practices for data storage, access, and usage by analytics engineers, data scientists, and software/ML engineers.
**As a leader in this space, you will…**
----------------------------------------
* Hire, lead, and develop a stunning team of Data and ML Engineers across a heterogeneous skill set (data, software, and ML engineering).
* Own the end\-to\-end data foundations for Content Promotion \&amp; Distribution, spanning:
	+ Traditional data engineering craft: batch/streaming pipelines, data modeling, data warehousing, data quality, and reliability for analytics and experimentation.
	+ Multi‑modal, ML‑ready data: media, text, and rich metadata pipelines that prepare data for training and serving ML and GenAI models.
* Partner with cross\-functional leaders across Content Promotion \&amp; Distribution DSE, AI ML Platform, Content Engineering, Studio Algo, and Marketing to ideate, prioritize, and execute on high\-impact data products and tools.
* Steer deeply impactful work on foundational data and media products that support Netflix’s Content Promotion \&amp; Distribution, spanning agentic solutions, multimodal media understanding, and generation. :
	+ Title launch management and promotional planning
	+ Analytics and optimization for promotional media
	+ Content media and ML foundations, including scalable access to media assets
	+ Emerging GenAI/ML use cases in promotion and creative automation (e.g., Synthetic voice, machine translation, etc.)
* Provide technical vision and strategy for how we model, store, transform, and serve both structured and multi‑modal data to power analytics, experimentation, and ML at scale.
* Balance near\-term and long\-term needs , from ongoing support of stakeholder quarterly goals to multi\-year investments in infrastructure and “paved paths” for ML/GenAI research and productionization.
* Set and raise the technical bar for data engineering craft in this space, including:
	+ Scalable and interpretable analytical data models
	+ Reliable batch and streaming pipelines
	+ Well\-governed, discoverable, and reusable ML feature and media datasets
* Drive alignment in ambiguity by clarifying trade\-offs, making principled decisions, and bringing diverse partners along a shared roadmap.
* Grow and mentor the team through thoughtful observation, coaching, and courageous, honest feedback; help engineers navigate career development across data, software, and ML engineering paths.
* Build both software and social glue across a wide network of stakeholders—VPs, Directors, Managers, and ICs—enabling decisions that affect hundreds of millions of members and major content and marketing investments.
**This role may be for you if…**
--------------------------------
* You have been leading data engineering teams for 7\+ years , including managing managers and larger, heterogeneous teams (data, software, ML engineers) or shared\-resource teams.
* You have a proven track record leading innovative, influential data engineering work in complex business domains, ideally involving multimodal media data marketing/promotion, content/media, experimentation, and or ML/AI\-driven products.
* You are comfortable owning the technical quality of both:
	+ Analytics\-focused data engineering (ETL/ELT, modeling, warehousing, data quality), and
	+ ML\-focused data engineering (feature pipelines, media and multi‑modal data preparation, training/serving data sets), even if you are not writing production code every day.
* You are a crisp communicator who develops strong relationships with a wide variety of stakeholders—technical and non\-technical—and can drive alignment across Director/Manager\-level partners.
* You are deeply invested in creating an inclusive team environment and helping each team member grow; you care about psychological safety, diversity of perspectives, and clear, actionable feedback.
* You have experience leading a team of shared resources , effectively prioritizing and sequencing work across multiple domains and stakeholder groups.
* You are an experienced partner for ML Platform, Content Engineering, and Data Platform teams; you can advocate from a data engineering perspective and align on shared components and standards.
* You have deep technical expertise in one or more aspects of data engineering, such as:
	+ Media or other large\-scale, multi‑modal asset processing pipelines
	+ Building ML\- and experimentation\-ready data products
	+ Data warehousing and dimensional/semantic data modeling
	+ Batch and streaming data processing
	+ Media or other large\-scale, multi‑modal asset processing pipelines
	+ Building ML\- and experimentation\-ready data products
* You’re comfortable with a collection of Big Data and cloud\-based tech (e.g., S3 or similar object storage, Spark or other distributed processing frameworks, modern data warehouses, workflow orchestration), and are able to make sound architecture and infrastructure tradeoffs.
You are curious, reflective, humble, and impact\-oriented ; you seek feedback, learn from mistakes, and can pivot when things aren’t working.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$525,000\.00 \- $950,000\.00\.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71">
      <c r="A71" t="inlineStr">
        <is>
          <t>in-e10431e0f06104fe</t>
        </is>
      </c>
      <c r="B71" t="inlineStr">
        <is>
          <t>Starburst Data Engineer</t>
        </is>
      </c>
      <c r="C71" t="inlineStr">
        <is>
          <t>Sprezzatura Management Consulting</t>
        </is>
      </c>
      <c r="D71" t="inlineStr">
        <is>
          <t>indeed</t>
        </is>
      </c>
      <c r="E71">
        <f>HYPERLINK("https://www.indeed.com/viewjob?jk=e10431e0f06104fe", "https://www.indeed.com/viewjob?jk=e10431e0f06104fe")</f>
        <v/>
      </c>
      <c r="F71">
        <f>HYPERLINK("https://workforcenow.adp.com/mascsr/default/mdf/recruitment/recruitment.html?cid=1e214623-c126-4ee7-a61f-d40253fd1123&amp;ccId=19000101_000001&amp;jobId=17611&amp;source=IN&amp;lang=en_US", "https://workforcenow.adp.com/mascsr/default/mdf/recruitment/recruitment.html?cid=1e214623-c126-4ee7-a61f-d40253fd1123&amp;ccId=19000101_000001&amp;jobId=17611&amp;source=IN&amp;lang=en_US")</f>
        <v/>
      </c>
      <c r="G71" t="inlineStr">
        <is>
          <t>Arlington, VA, US</t>
        </is>
      </c>
      <c r="H71" s="2" t="n">
        <v>46079</v>
      </c>
      <c r="I71" t="inlineStr">
        <is>
          <t>Job Title: Starburst Software Engineer
Location: Hybrid (Arlington, VA)  
Other Consideration: Authorized to work in the United States and ability to obtain Public\-Trust Clearance
**POSITION SUMMARY**:  
Starburst Engineers build scalable, high\-performance data infrastructure and user\-facing features that power Starburst Galaxy and the Starburst Enterprise Platform (SEP). Engineers work closely with the creators to deliver cutting\-edge solutions for data access, governance, and analytics across hybrid and multi\-cloud environments. This role involves collaborating with various stakeholders to understand data requirements and develop solutions.
 **RESPONSIBILITIES:**
* Develop and maintain backend services and APIs for Starburst's data platform.
* Build features related to identify and access management. (IAM), data governance, and query optimization.
* Collaborate with UX, product, and security teams to deliver intuitive and secure user experiences.
* Contribute to CI/CD pipelines, observability tools, and platform reliability.
* Participate in code reviews, architecture discussions, and cross\-functional planning.
* Support product systems and troubleshoot performance issues in distributed environments.
**QUALIFICATIONS**
* Bachelor’s degree in computer science, Information Technology, or a related field. (Master's degree preferred)
* 8\+ Years of experience working in a cloud\-based platform like Snowflake, Denodo, Trino, or Databrick with direct Starburst experience the preferred
* Familiarity with Azure Cloud Services and DevOps Practices
* Prior experience building distributed systems or working with cloud\-native architectures
* Familiarity with authentication and authorization frameworks
* Experience with CI/CD tools, containerization, and infrastructure automation
* Understanding of data platforms
* Excellent time management and organizational skills
* Commitment to professional growth and learning
* Adaptability and openness to new ideas
 **WORKING CONDITIONS**  
Standard Business hours are Monday through Friday (list any particular schedule). Occasional extended or weekend hours may be required based on operational needs.  
**BENEFITS**  
Sprezzatura offers a comprehensive and flexible benefit package to include:  
* Medical, Dental, and Vision
* Health Saving Account(when enrolled ineligible plan) with Company contribution
* Company paid Life, Accidental Death, Short\-term \&amp; Long\-term Disability
* Voluntary Accident, Hospital Indemnity, \&amp; Critical Care Insurance
* Voluntary Medical \&amp; Dependent Care Flexible Spending Accounts
* Accrued Paid Time Off \&amp; Company Paid Holidays
* 401(k) Retirement Plan with Company match
**WORK AUTHORIZATION**  
Sprezzatura participates in E\-Verify and will provide the federal government with your I\-9 information to confirm that you are authorized to work in the U.S. **Sprezzatura** is a mission\-driven, Service\-Disabled Veteran\-Owned Small Business (SDVOSB) that thrives at the intersection of technology, innovation, and impact. We specialize in secure, scalable, and human\-centered digital solutions that accelerate government transformation. Our work spans DevSecOps, health IT modernization, intelligent automation, benefits delivery, and digital communications. We partner with agencies ready to evolve—delivering not just strategy, but measurable execution. Rooted in operational excellence and driven by curiosity, we help our clients navigate complexity with clarity—turning ambitious ideas into real\-world outcomes. No buzzwords. Just impact. **EEO STATEMENT**  
Sprezzatura is an Equal Opportunity Employer. We do not discriminate on the basis of race, color, religion, sex (including pregnancy, sexual orientation, and gender identity), national origin, age, disability, genetic information, protected veteran status, or any other legally protected characteristic. Applicants have the right to discuss, disclose, or inquire about compensation without retaliation. Reasonable accommodations are available for qualified individuals with disabilities.  
This job description is not intended to be an employment contact and does not guarantee employment for any specific duration.</t>
        </is>
      </c>
    </row>
    <row r="72">
      <c r="A72" t="inlineStr">
        <is>
          <t>in-b0c1626248a551c6</t>
        </is>
      </c>
      <c r="B72" t="inlineStr">
        <is>
          <t>Data Engineer</t>
        </is>
      </c>
      <c r="C72" t="inlineStr">
        <is>
          <t>BRIDGEWAY</t>
        </is>
      </c>
      <c r="D72" t="inlineStr">
        <is>
          <t>indeed</t>
        </is>
      </c>
      <c r="E72">
        <f>HYPERLINK("https://www.indeed.com/viewjob?jk=b0c1626248a551c6", "https://www.indeed.com/viewjob?jk=b0c1626248a551c6")</f>
        <v/>
      </c>
      <c r="F72">
        <f>HYPERLINK("https://workforcenow.adp.com/mascsr/default/mdf/recruitment/recruitment.html?cid=cbf86a2e-a0da-4774-8d63-e2091fa84032&amp;ccId=19000101_000001&amp;jobId=581499&amp;source=IN&amp;lang=en_US", "https://workforcenow.adp.com/mascsr/default/mdf/recruitment/recruitment.html?cid=cbf86a2e-a0da-4774-8d63-e2091fa84032&amp;ccId=19000101_000001&amp;jobId=581499&amp;source=IN&amp;lang=en_US")</f>
        <v/>
      </c>
      <c r="G72" t="inlineStr">
        <is>
          <t>Coraopolis, PA, US</t>
        </is>
      </c>
      <c r="H72" s="2" t="n">
        <v>46079</v>
      </c>
      <c r="I72" t="inlineStr">
        <is>
          <t>**About Bridgeway**
Bridgeway is a rapidly growing Pittsburgh based company that is already among the country’s largest specialty transportation providers. Join an exciting and dynamic work environment where Team Members work together to deliver world class support to our customers, drivers, agents and carriers. With over a half a million loads annually, and a legacy of service to customers in critical industries, Bridgeway has a history of solving the country’s toughest transportation problems. Join our Team and become the Future of Freight!
**About the Position**
As a key member of the IT Transformation team, you will help build and scale the data foundation that powers our logistics operations and AI initiatives. This role is responsible for designing reliable data pipelines, integrating data from multiple operational systems (TMS, CRM, carrier platforms, market data), and delivering clean, trusted datasets for analytics, automation, and AI initiatives
**What You’ll Do:**
* Build and maintain ETL/ELT pipelines from TMS, CRM, EDI, and third\-party freight data sources
* Develop and optimize cloud\-based data architecture
* Create reliable data models for pricing, margin, operational reporting, and AI use cases
* Improve data quality, automation, and performance
* Build curated data layers for Power BI and other reporting tools; creating reusable data models and views
* Partner with analysts and business teams to define data requirements
* Support forecasting and pricing models
* Prepare and structure data for machine learning and AI initiatives
 **What We’re Looking For:**
* 5\+ years of data engineering experience
* Strong SQL and Python skills
* Experience with cloud platforms (AWS, Azure, or GCP)
* Hands\-on experience with tools like Airflow, dbt, or Fivetran
* Strong problem\-solving and troubleshooting skills
* Bonus: Experience in logistics, freight brokerage, or supply chain
**What Success Looks Like**
* Reliable pipelines with minimal downtime or manual intervention
* Clean, trusted operational data available in near real time
* Faster reporting and decision cycles for operations and pricing
* Reduced manual data work across teams
* A scalable data foundation ready for automation and AI</t>
        </is>
      </c>
    </row>
    <row r="73">
      <c r="A73" t="inlineStr">
        <is>
          <t>in-45209938e4fcc8e5</t>
        </is>
      </c>
      <c r="B73" t="inlineStr">
        <is>
          <t>Senior Data Engineer</t>
        </is>
      </c>
      <c r="C73" t="inlineStr">
        <is>
          <t>Eshipping</t>
        </is>
      </c>
      <c r="D73" t="inlineStr">
        <is>
          <t>indeed</t>
        </is>
      </c>
      <c r="E73">
        <f>HYPERLINK("https://www.indeed.com/viewjob?jk=45209938e4fcc8e5", "https://www.indeed.com/viewjob?jk=45209938e4fcc8e5")</f>
        <v/>
      </c>
      <c r="F73">
        <f>HYPERLINK("https://workforcenow.adp.com/mascsr/default/mdf/recruitment/recruitment.html?cid=80f3338e-b3db-4742-9e99-b4c561758c22&amp;ccId=19000101_000001&amp;jobId=575906&amp;source=IN&amp;lang=en_US", "https://workforcenow.adp.com/mascsr/default/mdf/recruitment/recruitment.html?cid=80f3338e-b3db-4742-9e99-b4c561758c22&amp;ccId=19000101_000001&amp;jobId=575906&amp;source=IN&amp;lang=en_US")</f>
        <v/>
      </c>
      <c r="G73" t="inlineStr">
        <is>
          <t>TX, US</t>
        </is>
      </c>
      <c r="H73" s="2" t="n">
        <v>46079</v>
      </c>
      <c r="I73" t="inlineStr">
        <is>
          <t>**Position Summary**
eShipping is building a modern, high\-impact, scalable data warehouse platform processing hundreds millions of datapoints multi\-tenant logistics operations. This platform will serve SaaS products, customer reporting and AI drive data interaction.
In the role of Senior Data Engineer, you will design, build, and operate data pipelines and data models that support analytics, reporting, and emerging AI use cases. You will work across Python, Pandas, PySpark, Delta Lake, and relational SQL systems, contributing to a unified data platform that serving internal teams and external customers. This role is for someone who moves fast, takes ownership end\-to\-end, and wants to see their work directly reduce costs and increase operational efficiency.
**Essential Duties and Responsibilities**
*Duties include but are not limited to the following:*
* Design and maintain multiple datasources in to a DeltaLake using PySpark and other Python based libraries.
* Build and operate schemas including view interface for external systems and users
* Scale, migrate and batch load existing customer data
* Communicate progress, and ship independently breaking down problems into atomic pull requests.
**Specific Requirements**
* 5\+ years of data engineering experience with production database, datalakes, and API sources
* Strong Python — idiomatic, testable, production\-quality code
* Pandas proficiency for data transformation, deduplication, and joins at scale
* PySpark for distributed processing of large freight datasets
* Delta Lake — hands\-on experience with table management, compaction, time travel, and schema enforcement
* SQL fluency — complex queries, upserts, views, performance best practices
* Experience with multi\-tenant data architectures and referential integrity patterns
* Ability to own and breakdown features from design through testing and production deployment
**Required Skills and Abilities**
To perform this job successfully, an individual must be able to perform each essential duty satisfactorily. The requirements listed below are representative of the knowledge, skills, and/or ability required. Reasonable accommodation may be made to enable individuals with disabilities to perform the essential functions.
* Self\-directed: you identify what needs to be done and do it; you don't wait to be told
* Ownership mindset: you treat production data quality as your responsibility establishing provenance for data streams
* Bias toward action: you resist over\-engineering and choose the minimum viable solution that actually works
* Collaborative under pressure: you communicate clearly when blocked and help teammates get unblocked too
* Curious about AI: you think about how clean, structured data becomes the foundation for intelligent automation and LLM training.
**Physical Demands and Work Environment**
The physical demands and work environment characteristics described here are representative of those that must be met by an employee to successfully perform the essential functions of this job. Reasonable accommodation may be made to enable individuals with disabilities to perform the essential functions. This description reflects management’s assignment of essential functions; it does not proscribe or restrict the tasks that may be assigned.
* Physical Demands: While performing the duties of this job, the employee is regularly required to remain in a stationary position for at least 50% of the time. The employee needs to occasionally move about inside the office to access file cabinets, office machinery, etc. The general level of physical activity would be defined as sedentary. The employee is regularly required to operate a computer and other office productivity machinery, such as a calculator, telephone, copy machine, and printer. Some movements of the hands, arms, and wrists may involve repetitive motions. Specific vision abilities required by this job include the ability to detect, determine, perceive, identify, recognize, judge, observe, inspect, estimate, and assess various activities and surroundings.
* Cognitive/Mental Requirements: While performing the duties of this job, the employee is regularly required to comprehend and use basic language, either written or spoken, to communicate simple and complex information, ideas, and information. The employee is also required to use logic to define problems, collect information, establish facts, draw valid conclusions, interpret information, and deal with abstract variables for unique or unfamiliar situations. The employee must use problem\-solving skills to formulate and apply appropriate courses of action for routine or familiar situations. The employee may be required to perform numerical operations including basic counting, adding, subtracting, multiplying, and dividing or more complex quantitative calculations.
* Work Environment: While performing the duties of this job, the employee is inside a central heat and air\-conditioned office building. The noise level in the work environment is minimal.
*Please note this job description is not designed to cover or contain a comprehensive listing of activities, duties or responsibilities that are required of an employee. Duties, responsibilities, and activities may change at any time with or without notice.*
*eShipping LLC is an equal opportunity employer.*</t>
        </is>
      </c>
    </row>
    <row r="74">
      <c r="A74" t="inlineStr">
        <is>
          <t>in-97f10647a0ef1a52</t>
        </is>
      </c>
      <c r="B74" t="inlineStr">
        <is>
          <t>Senior Data Engineer</t>
        </is>
      </c>
      <c r="C74" t="inlineStr">
        <is>
          <t>Eshipping</t>
        </is>
      </c>
      <c r="D74" t="inlineStr">
        <is>
          <t>indeed</t>
        </is>
      </c>
      <c r="E74">
        <f>HYPERLINK("https://www.indeed.com/viewjob?jk=97f10647a0ef1a52", "https://www.indeed.com/viewjob?jk=97f10647a0ef1a52")</f>
        <v/>
      </c>
      <c r="F74">
        <f>HYPERLINK("https://workforcenow.adp.com/mascsr/default/mdf/recruitment/recruitment.html?cid=80f3338e-b3db-4742-9e99-b4c561758c22&amp;ccId=19000101_000001&amp;jobId=575906&amp;source=IN&amp;lang=en_US", "https://workforcenow.adp.com/mascsr/default/mdf/recruitment/recruitment.html?cid=80f3338e-b3db-4742-9e99-b4c561758c22&amp;ccId=19000101_000001&amp;jobId=575906&amp;source=IN&amp;lang=en_US")</f>
        <v/>
      </c>
      <c r="G74" t="inlineStr">
        <is>
          <t>Kansas City, MO, US</t>
        </is>
      </c>
      <c r="H74" s="2" t="n">
        <v>46079</v>
      </c>
      <c r="I74" t="inlineStr">
        <is>
          <t>**Position Summary**
eShipping is building a modern, high\-impact, scalable data warehouse platform processing hundreds millions of datapoints multi\-tenant logistics operations. This platform will serve SaaS products, customer reporting and AI drive data interaction.
In the role of Senior Data Engineer, you will design, build, and operate data pipelines and data models that support analytics, reporting, and emerging AI use cases. You will work across Python, Pandas, PySpark, Delta Lake, and relational SQL systems, contributing to a unified data platform that serving internal teams and external customers. This role is for someone who moves fast, takes ownership end\-to\-end, and wants to see their work directly reduce costs and increase operational efficiency.
**Essential Duties and Responsibilities**
*Duties include but are not limited to the following:*
* Design and maintain multiple datasources in to a DeltaLake using PySpark and other Python based libraries.
* Build and operate schemas including view interface for external systems and users
* Scale, migrate and batch load existing customer data
* Communicate progress, and ship independently breaking down problems into atomic pull requests.
**Specific Requirements**
* 5\+ years of data engineering experience with production database, datalakes, and API sources
* Strong Python — idiomatic, testable, production\-quality code
* Pandas proficiency for data transformation, deduplication, and joins at scale
* PySpark for distributed processing of large freight datasets
* Delta Lake — hands\-on experience with table management, compaction, time travel, and schema enforcement
* SQL fluency — complex queries, upserts, views, performance best practices
* Experience with multi\-tenant data architectures and referential integrity patterns
* Ability to own and breakdown features from design through testing and production deployment
**Required Skills and Abilities**
To perform this job successfully, an individual must be able to perform each essential duty satisfactorily. The requirements listed below are representative of the knowledge, skills, and/or ability required. Reasonable accommodation may be made to enable individuals with disabilities to perform the essential functions.
* Self\-directed: you identify what needs to be done and do it; you don't wait to be told
* Ownership mindset: you treat production data quality as your responsibility establishing provenance for data streams
* Bias toward action: you resist over\-engineering and choose the minimum viable solution that actually works
* Collaborative under pressure: you communicate clearly when blocked and help teammates get unblocked too
* Curious about AI: you think about how clean, structured data becomes the foundation for intelligent automation and LLM training.
**Physical Demands and Work Environment**
The physical demands and work environment characteristics described here are representative of those that must be met by an employee to successfully perform the essential functions of this job. Reasonable accommodation may be made to enable individuals with disabilities to perform the essential functions. This description reflects management’s assignment of essential functions; it does not proscribe or restrict the tasks that may be assigned.
* Physical Demands: While performing the duties of this job, the employee is regularly required to remain in a stationary position for at least 50% of the time. The employee needs to occasionally move about inside the office to access file cabinets, office machinery, etc. The general level of physical activity would be defined as sedentary. The employee is regularly required to operate a computer and other office productivity machinery, such as a calculator, telephone, copy machine, and printer. Some movements of the hands, arms, and wrists may involve repetitive motions. Specific vision abilities required by this job include the ability to detect, determine, perceive, identify, recognize, judge, observe, inspect, estimate, and assess various activities and surroundings.
* Cognitive/Mental Requirements: While performing the duties of this job, the employee is regularly required to comprehend and use basic language, either written or spoken, to communicate simple and complex information, ideas, and information. The employee is also required to use logic to define problems, collect information, establish facts, draw valid conclusions, interpret information, and deal with abstract variables for unique or unfamiliar situations. The employee must use problem\-solving skills to formulate and apply appropriate courses of action for routine or familiar situations. The employee may be required to perform numerical operations including basic counting, adding, subtracting, multiplying, and dividing or more complex quantitative calculations.
* Work Environment: While performing the duties of this job, the employee is inside a central heat and air\-conditioned office building. The noise level in the work environment is minimal.
*Please note this job description is not designed to cover or contain a comprehensive listing of activities, duties or responsibilities that are required of an employee. Duties, responsibilities, and activities may change at any time with or without notice.*
*eShipping LLC is an equal opportunity employer.*</t>
        </is>
      </c>
    </row>
    <row r="75">
      <c r="A75" t="inlineStr">
        <is>
          <t>in-9b370e2dd8b7e77d</t>
        </is>
      </c>
      <c r="B75" t="inlineStr">
        <is>
          <t>Data Engineer II</t>
        </is>
      </c>
      <c r="C75" t="inlineStr">
        <is>
          <t>AttainX,Inc</t>
        </is>
      </c>
      <c r="D75" t="inlineStr">
        <is>
          <t>indeed</t>
        </is>
      </c>
      <c r="E75">
        <f>HYPERLINK("https://www.indeed.com/viewjob?jk=9b370e2dd8b7e77d", "https://www.indeed.com/viewjob?jk=9b370e2dd8b7e77d")</f>
        <v/>
      </c>
      <c r="F75">
        <f>HYPERLINK("https://workforcenow.adp.com/mascsr/default/mdf/recruitment/recruitment.html?cid=ad333ea2-8bdb-4f34-a4b4-928a2644de1c&amp;ccId=19000101_000001&amp;jobId=575905&amp;source=IN&amp;lang=en_US", "https://workforcenow.adp.com/mascsr/default/mdf/recruitment/recruitment.html?cid=ad333ea2-8bdb-4f34-a4b4-928a2644de1c&amp;ccId=19000101_000001&amp;jobId=575905&amp;source=IN&amp;lang=en_US")</f>
        <v/>
      </c>
      <c r="G75" t="inlineStr">
        <is>
          <t>Herndon, VA, US</t>
        </is>
      </c>
      <c r="H75" s="2" t="n">
        <v>46079</v>
      </c>
      <c r="I75" t="inlineStr">
        <is>
          <t>**Job Title**: Data Engineer 2
**Location**: Remote
**Security Clearance**: USDA Public Trust
The Data Engineer 2 is responsible for the design, development, optimization, and administration of database solutions and data pipelines supporting the USDA Natural Resources Conservation Service (NRCS) IT ecosystem. This role requires deep expertise in SQL Server database engineering, data modeling, ETL/ELT development, business intelligence reporting, and database administration across a complex portfolio of interdependent FPAC applications. The Data Engineer 2 provides Tier 3 technical support for data\-related production issues, drives database performance optimization, supports cloud migration of data services to AWS, and contributes to the modernization of legacy monolithic database architectures. The role operates with significant autonomy across multiple application domains and serves as a subject matter expert on NRCS data structures, schemas, and cross\-system data dependencies.
**Required Qualifications:**
**Experience:**
* Ten (10\) or more years of professional experience in database engineering, data architecture, or database administration with SQL Server.
* Five (5\) or more years of experience with ETL/ELT development using SSIS, SQL Agent, or equivalent tools.
* Five (5\) or more years of experience with business intelligence development including SSRS, SSAS, or Power BI.
* Three (3\) or more years of experience with logical and physical data modeling usingPowerDesigner, Erwin, or equivalent tools.
* Three (3\) or more years of experience supporting federal IT programs or government agency environments.
* Experience with database performance tuning, query optimization, replication, and capacity management.
* Experience with CI/CD pipelines and automated deployment of database changes.
**Education:**
* Bachelor’s degree in Computer Science, Information Technology, or a related field, or equivalent professional experience.
* Master’s degree in Computer Science or a related field is preferred.
**Security Requirements:**
* Must be able to obtain and maintain an USDA security background investigation (FBI fingerprint check and eQIP).
* Must comply with all NIST, USDA, and HSPD–12 security training and reporting requirements.
* Must complete mandatory training: Information Security Awareness (annually) and Section 508 (within 45 days of assignment).
**Technical Skills:**
* SQL Server (2016\+): stored procedures, views, functions, triggers, query optimization, replication, backup/restore
* SSIS (SQL Server Integration Services), SQL Agent jobs, ETL/ELT pipeline development
* SSRS (SQL Server Reporting Services), SSAS (SQL Server Analysis Services), Power BI
* Data modeling: PowerDesigner, Erwin Data Modeler, star/snowflake schema design
* Database versioning: Liquibase
* AWS services: RDS, S3, and related data services
* Source control: Git, TFS/Azure DevOps
* Security scanning: SonarQube, Fortify SCA
* Agile/SAFe methodologies; Jira, Confluence
**Preferred Qualifications:**
* Experience with USDA NRCS or FPAC systems and databases (e.g., CD, CART, Registry, Easements, NPAD, Protracts, NOIS, GDAC).
* Experience with Databricks or AWS Data Lake architectures.
* Experience with Tableau or MicroStrategy in addition to Power BI/SSRS.
* AWS certifications (Cloud Practitioner, Database Specialty, or equivalent).
* Experience with Oracle, PostgreSQL, or other RDBMS platforms in addition to SQL Server.
* Experience with Redgate or equivalent database DevOps tooling.
* Experience with NIST SP 800–53, FISMA, FedRAMP compliance frameworks.
* Experience with Section 508 accessibility testing.
* ITIL certification or demonstrated experience with ITIL service management processes.
* Experience with geospatial data services and FPAC GeoBranch architecture.
**Key Responsibilities:**
* Database Design and Development
* Design, develop, and maintain database solutions for FPAC applications including CD, CART, Registry, Easements, IDEA, PRS, ROOT, FSA Compliance, POINTS, TechReg, TSPR, PRS Goals, Funds Ledger, CCG, zRoles, and additional systems as assigned.
* Build and maintain logical and physical data models using PowerDesigner, Erwin Data Modeler, or equivalent tools; maintain current documentation of schemas, entity relationships, and cross\-system dependencies.
* Design and implement stored procedures, views, functions, triggers, and complex SQL queries optimized for performance and maintainability.
* Manage schema changes using Liquibase and Government\-approved versioning tools; synchronize changes across development, test, QA, and production environments.
* Implement service\-layer data access patterns and support elimination of direct cross\-database queries and business logic in stored procedures where directed by Government architects.
* Support decomposition of the monolithic database architecture (e.g., NPAD) by identifying and documenting cross\-database dependencies, table replication patterns, and tightly coupled business logic.
* DM\&amp;E Feature Development Support
* Design and implement database components for authorized Development, Modernization, and Enhancement (DM\&amp;E) work, including schema changes, stored procedures, data migrations, and reporting objects for NOIS, GDAC, and other approved feature development.
* Collaborate with development teams on data architecture decisions for new features, ensuring alignment with FPAC standards and the Technical Guidance Framework (TGF).
* Support Geospatial Data Catalog (GDAC) and National Office Information System (NOIS) enhancement work by providing database engineering expertise for authorized feature tickets.
* ETL/ELT and Data Pipeline Development
* Design, develop, and maintain ETL/ELT pipelines using SSIS, SQL Agent jobs, and related tooling to support data integration across FPAC systems.
* Support data migration activities including pipeline development and integration with FPAC’s centralized AWS Data Lake strategy (Databricks).
* Create and maintain SQL Agent jobs for ETL execution, database housekeeping, and automated maintenance tasks.
* Migrate legacy DTS packages to SSIS where applicable; modernize ETL processes to align with current FPAC pipeline standards.
* Support ad hoc data extract and reporting requests from the data lake.
* Business Intelligence and Reporting
* Design, develop, and maintain SSRS reports, SSAS cubes, and Power BI dashboards for stakeholder reporting and operational metrics.
* Create performance attributes, metrics, and facts using multi\-dimensional SSAS cubes structured in star and snowflake schemas.
* Support data analysis and reporting requirements across application domains; produce data extracts and reports as requested by Government stakeholders.
* Database Administration and Operations
* Perform database administration tasks including backup/restore, replication setup and monitoring, performance tuning, index optimization, and capacity management.
* Optimize SQL queries and database structures to improve application performance and reduce operational overhead.
* Provide Tier 3 technical support for data\-related production issues, including root cause analysis, defect resolution, and emergency workarounds.
* Triage and resolve database defects, batch job failures, and data integrity issues without introducing new vulnerabilities or technical debt.
* Develop and maintain application\-level health checks and operability indicators for database components to enable enterprise monitoring integration.
* Establish and maintain an on\-call support rotation, escalation paths, and coordination procedures with Government stakeholders for data\-related incidents.
* AWS Cloud Migration Support
* Support migration of database workloads from on\-premises DISC data center to AWS, including coordination of cutover activities, environment validation, and post\-migration issue resolution.
* Implement database\-level changes required to maintain operability during and after cloud migration, including configuration for AWS RDS, S3, and related services.
* Validate database functionality in AWS environments; troubleshoot and resolve migration\-related data issues including replication, connectivity, and performance.
* Data Management and Governance
* Align database solutions with the Government’s data architecture and governance practices, including registration of schemas, interfaces, and metadata in AWS Data Zone.
* Maintain data lineage and stewardship information for supported databases and data pipelines; report changes that affect downstream systems.
* Implement data quality controls, validation procedures, and reconciliation processes for critical data assets.
* Support schema and metadata synchronization across environments using Liquibase and Government\-approved tooling.
* Coordinate data administration activities with Government data stewards and cross\-functional teams.
* Security and Compliance
* Implement secure database practices in alignment with NIST SP 800–53, USDA security standards, FISMA, and Zero Trust principles.
* Remove deprecated or non\-compliant authorization dependencies and role references (e.g., zRoles) as part of sustainment activities to support least\-privilege access and continuous ATO compliance.
* Remediate security vulnerabilities within defined SLAs (e.g., 14 days for critical/high) using Government\-approved tools and processes.
* Ensure database solutions meet Section 508 accessibility requirements where applicable and comply with the Privacy Act, FedRAMP, and Supply Chain Risk Management (SCRM) requirements.
* Ensure all work products, services, fixes, and deliverables meet or exceed the Acceptable Quality Levels (AQLs) defined in the applicable contract attachments.
* Release and Deployment Management
* Ensure all database changes pass automated testing, security scans, and FPAC SonarQube thresholds prior to production deployment.
* Deploy database changes through FPAC\-approved CI/CD pipelines; actively contribute to continuous integration and delivery pipeline for rapid and reliable deployments.
* Automate unit testing of stored procedures and database components to improve quality and reduce regression risk.
* Develop and maintain automated deployment scripts for database changes; implement rollback procedures and test them prior to production releases.
* Disaster Recovery and Continuity of Operations
* Develop and maintain database\-specific disaster recovery runbooks, including validated restore procedures, dependency mapping, and configuration baselines.
* Define and document Recovery Time Objective (RTO) and Recovery Point Objective (RPO) targets for supported databases; align recovery procedures accordingly, subject to Government approval.
* Participate in planned and unplanned DR/COOP exercises; test failover, replication, and restore procedures at agreed intervals and capture results in after\-action reports.
* Technical Leadership and Mentoring
* Provide technical guidance and mentorship to team members on database engineering, data modeling, and SQL Server best practices.
* Lead code reviews and design sessions for database solutions across assigned application domains.
* Participate in risk identification and mitigation activities; contribute to the risk and issue log in the Government\-designated tool, including data architecture dependencies, technical debt, and compliance gaps.
* Support ITIL\-aligned incident, problem, and change management processes consistent with FPAC standards.
* Provide knowledge transfer sessions to Government personnel and incoming vendors during transitions.
* Maintain troubleshooting playbooks, runbooks, and knowledge articles in Government\-designated repositories.
* Modernization Assessment
* Contribute to the comprehensive inventory of supported database systems and components, including technology stack, dependencies, replication patterns, and operational status.
* Evaluate modernization options (refactor, re\-platform, replace, retire) for database components using structured scoring models based on technical debt, compliance risk, cost to maintain, and business impact.
* Propose strategies to decouple tightly coupled database architectures, including elimination of cross\-database dependencies, table replication, and embedded business logic in stored procedures.
* Support Transition Package development including architecture decision documentation, modernization roadmap, and knowledge transfer materials.
* **Work Location and Schedule**
* Remote work is approved. Contractor personnel must have access to the internet and Government network and be available to federal PMs, COs, CORs, and TPOCs during core hours (9:00 AM to 3:00 PM EST).
* Normal duty hours are 6:00 AM to 6:00 PM EST, Monday through Friday, excluding federal holidays.
* After\-hours and weekend work may be required to support production releases.
* Travel within fifty (50\) miles of the Contractor’s facilities may be required with COR approval.
**About Us:**
AttainX Inc. is a Women Owned Small Business (WOSB), Economically Disadvantaged WOSB (EDWOSB), CMMC Level 2, CMMI Level 3, ISO 9001:2015 certified QMS and Silver Level SAFe Partner. For more than 15 years, AttainX, Inc. has delivered emergent technologies, software products, and high\-quality services that meet the needs of our Federal Government customers.
The last 4 years have shown significant company growth as we have increased our contracts portfolio and hold the “Best in Class” contract vehicles, GSA MAS and OASIS Small Business and 8(a) Pools 1, 2 and 3\. In addition, we are prime on several Agency Specific IDIQs and BPAs with the National Oceanic and Atmospheric Administration, Department of Energy, Navy, Health and Human Service, USCIS and the Defense Intelligence Agency.
AttainX is dedicated to quality and best practices for the services we provide. We understand our people are the key ingredient to ensuring our customers Mission and Goals are met with excellence.
**Benefits:**
Competitive compensation and benefits packages including paid vacation, medical, dental, vision, matching 401K plan, tuition/training reimbursement, and Long \&amp; Short\-Term Disability.
**EEO Commitment:**
AttainX is an equal employment opportunity employer, committed to providing a workplace free from discrimination based on Title VII of the Civil Rights Act, VEVRAA and Section 503, or other status protected by applicable federal, state, local, or international law. These protections also extend to applicants.
**Accommodations:**
Individuals with a disability who would like to request a reasonable workplace accommodation may send an email to Human Resources indicating the specifics of the assistance needed.
**Physical Demands:**
Sitting and working on a computer for long, continuous periods each day; effective communications by telephone, email, and face\-to\-face; standing, walking, and sitting; handling and feeling objects or controls; reaching; talking and hearing; lifting and/or moving up to 10 pounds; and specific vision abilities including close vision, distance vision, color vision, peripheral vision, depth perception, and the ability to adjust and focus.</t>
        </is>
      </c>
    </row>
    <row r="76">
      <c r="A76" t="inlineStr">
        <is>
          <t>in-f3243a1a96eec559</t>
        </is>
      </c>
      <c r="B76" t="inlineStr">
        <is>
          <t>Principal Data Platform Engineer V</t>
        </is>
      </c>
      <c r="C76" t="inlineStr">
        <is>
          <t>Nationwide Marketing Group</t>
        </is>
      </c>
      <c r="D76" t="inlineStr">
        <is>
          <t>indeed</t>
        </is>
      </c>
      <c r="E76">
        <f>HYPERLINK("https://www.indeed.com/viewjob?jk=f3243a1a96eec559", "https://www.indeed.com/viewjob?jk=f3243a1a96eec559")</f>
        <v/>
      </c>
      <c r="F76">
        <f>HYPERLINK("https://workforcenow.adp.com/mascsr/default/mdf/recruitment/recruitment.html?cid=b6aadc0e-fe97-45b4-b61a-9e027010dd8d&amp;ccId=19000101_000001&amp;jobId=668340&amp;source=IN&amp;lang=en_US", "https://workforcenow.adp.com/mascsr/default/mdf/recruitment/recruitment.html?cid=b6aadc0e-fe97-45b4-b61a-9e027010dd8d&amp;ccId=19000101_000001&amp;jobId=668340&amp;source=IN&amp;lang=en_US")</f>
        <v/>
      </c>
      <c r="G76" t="inlineStr">
        <is>
          <t>Remote, US</t>
        </is>
      </c>
      <c r="H76" s="2" t="n">
        <v>46079</v>
      </c>
      <c r="I76" t="inlineStr">
        <is>
          <t>**About NMG:**
Nationwide Marketing Group works on behalf of thousands of independent appliance, furniture, bedding, electronics, specialty electronics, custom installation, and rent\-to\-own dealers, helping them grow their businesses and thrive on their own terms. With more than 5,000 members operating some 14,000 storefronts, Nationwide Marketing Group is the largest buying, marketing, and business support organization of its kind, representing billions in combined annual sales across the membership. For more than 50 years, we have remained committed to the independent channel, empowering members with the scale, sophistication, and efficiencies they need to compete while delivering the business intelligence, tools, and resources required to win in a changing marketplace. To learn more, visit nationwidegroup.org or our Nationwide Marketing Group LinkedIn page.
**Why You Want to Work Here:**
------------------------------
At Nationwide Marketing Group, we believe our strength comes from the diversity of our people and the communities we serve. We’re committed to building teams where every individual feels valued, included, and supported to do their best work. Different voices and perspectives do more than broaden our thinking. They help us serve our members better.
But culture at NMG goes beyond our commitment to diversity and inclusion. We’re a community built on collaboration, respect, and a shared drive to help independent businesses thrive. You’ll join a team that celebrates wins together, tackles challenges head\-on, and invests in both professional and personal growth.
NMG is proud to be an equal opportunity employer. We do not discriminate based on race, color, sex, age, national origin, religion, sexual orientation, gender identity or expression, veteran status, disability, or any other protected characteristic. If you need reasonable accommodations during the hiring process, let us know and we’ll make sure you have the support you need.
**What We’ll Do For You:**
--------------------------
* Competitive base pay and performance bonus, dependent on role
* Medical, dental, and vision benefits with low\-cost coverage options
* Employer paid basic life and AD\&amp;D
* Employer paid short\-term and long\-term disability
* MetLife supplemental insurance options
* Matching 401(k) with 100 percent vesting
* Open PTO policy, paid holidays, and ten weeks of paid parental leave
* Business casual work environment
* Rewards and recognition platform where you can earn points and redeem for merchandise
* Discounts on electronics, cell phones, travel, wellness, health and auto, pet insurance, and more
 **Job Location:** Open to all U.S. remote candidates
**Job Summary:**
Nationwide Marketing Group (NMG) is seeking a Principal Data Platform Engineer to own the technical vision, architecture, and evolution of the enterprise data platform. This senior\-level individual contributor role is responsible for designing, building, and operating scalable, secure, and cost\-efficient data lake and data warehouse solutions that support analytics, product, and operational use cases across the organization.
In this role, the Principal Data Platform Engineer serves as both architect and hands\-on builder, setting platform standards while remaining deeply engaged in implementation and production support. The role partners closely with analytics, product, and business teams to translate data needs into durable platform capabilities, while mentoring data engineers and establishing best practices that enable reliable, self\-service data consumption at scale.
 **Job Responsibilities:**
* Owns the technical vision and architecture of the enterprise data platform, including data lake and data warehouse design.
* Owns cost, performance, and capacity optimization for the data platform, including BigQuery query efficiency, storage lifecycle management, and workload isolation.
* Designs and implements data ingestion, transformation, and modeling patterns, including dimensional modeling and slowly changing dimensions.
* Designs and enforces data security, access controls, and governance standards, including IAM, data classification, retention, and auditing.
* Defines and maintains data contracts, schemas, and interface standards to enable scalable, multi\-team data production and consumption.
* Leads migrations from legacy data systems to modern, cloud\-native GCP architectures while maintaining operational stability.
* Builds and operates ETL/ELT pipelines using managed tools (e.g., Fivetran or similar) and custom transformation logic.
* Establishes DataOps practices, including data quality metrics, monitoring, alerting, and incident response.
* Builds self\-service tooling, templates, and reference implementations that enable analytics and product teams to onboard with minimal friction.
* Ensures the data platform reliably supports mission\-critical analytics and operational workflows.
* Translates ideal\-state architectures into phased, executable roadmaps aligned with business priorities.
* Acts as the primary technical partner to analytics, product, and business stakeholders.
* Provides technical mentorship, design guidance, and code\-level support to data engineers.
* Remains hands\-on across design reviews, complex implementations, and production issue resolution.
 **Job Competencies:**
* Data Platform Architecture: Designs scalable, secure, and cost\-efficient data platforms aligned to business and analytics needs.
* Cloud Data Engineering: Applies deep expertise in cloud\-native data services to build reliable, production\-grade systems.
* Data Governance \&amp; Security: Implements governance, access control, and compliance standards as integrated platform capabilities.
* Cost \&amp; Performance Optimization: Continuously optimizes data workloads for efficiency, reliability, and sustainability.
* Technical Leadership: Guides architectural decisions, mentors engineers, and influences technical direction across teams.
* Stakeholder Partnership: Translates complex technical concepts into clear guidance for analytics, product, and business partners.
* Operational Excellence: Establishes monitoring, quality controls, and incident response practices for dependable data operations.
* Problem Solving: Navigates ambiguity and complex technical challenges to deliver practical, durable solutions.
 **Basic Qualifications:**
* Bachelor’s Degree in Computer Science, Computer Engineering, Software Engineering, Data Engineering, Information Systems, or Information Technology or related disciplines
* Minimum 10 years of professional experience in software, data, or platform engineering roles.
* Minimum of 6 years of hands\-on experience building, operating, or leading data engineering or data platform solutions in production environments.
* Demonstrated expertise in modern data platforms and engineering practices, including DevOps and DataOps methodologies.
* Hands\-on experience designing, implementing, and operating enterprise\-scale data warehouses and data lakes.
* Practical experience implementing operational observability, including metrics, logging, monitoring, and alerting for data systems.
* Experience operating in small, fast\-moving, or high\-growth organizations where ownership and adaptability are required.
* Demonstrated ability to lead technical design reviews, conduct code reviews, and make architectural decisions that impact multiple teams.
* Proven experience leading or owning migrations from legacy data systems to modern, cloud\-based data platforms.
 **Preferred Qualifications:**
* Advanced, hands\-on experience with Google Cloud Platform services, including BigQuery and Dataproc, in production environments.
* Experience designing, operating, and optimizing relational and non\-relational databases, including PostgreSQL, MySQL, and MongoDB.
* Proficiency in at least one scripting or programming language commonly used in data platforms (e.g., Python, JavaScript).
* Experience establishing and evolving DataOps practices to support reliable, scalable, production\-grade data platforms.
* Experience working with Kubernetes and containerized applications (e.g., Google Kubernetes Engine).
* Familiarity with GraphQL\-based data access patterns and APIs.
* Experience building or maintaining CI/CD pipelines (e.g., GitHub Actions or similar).
* Working knowledge of Spring Core and Spring Boot in data or platform\-adjacent services.
* Familiarity with Hasura or comparable data access or API orchestration frameworks.
 **Work Environment:**
Must be able to read, write, and communicate both verbally and in written form to express and exchange ideas. While performing the responsibilities of this job, the employee must be able to access all components of the workstation and other office equipment. Frequent typing, writing, bending, and twisting. Must be able to lift up to 10 pounds.
General office environment with moderate noise. This position is mostly sedentary, involves sitting most of the time, but may involve walking or standing for brief periods of time. A busy environment with many unscheduled interruptions. Frequent computer use at workstation for extended periods of time. Public contact position requiring appropriate business apparel.</t>
        </is>
      </c>
    </row>
    <row r="77">
      <c r="A77" t="inlineStr">
        <is>
          <t>in-82219781b73f94dd</t>
        </is>
      </c>
      <c r="B77" t="inlineStr">
        <is>
          <t>Principal GTM Data Engineer &amp; Architect</t>
        </is>
      </c>
      <c r="C77" t="inlineStr">
        <is>
          <t>Tempo Software</t>
        </is>
      </c>
      <c r="D77" t="inlineStr">
        <is>
          <t>indeed</t>
        </is>
      </c>
      <c r="E77">
        <f>HYPERLINK("https://www.indeed.com/viewjob?jk=82219781b73f94dd", "https://www.indeed.com/viewjob?jk=82219781b73f94dd")</f>
        <v/>
      </c>
      <c r="F77">
        <f>HYPERLINK("https://jobs.ashbyhq.com/tempo-io/f96da0e1-b86c-41bc-9bc8-9f15d89e9e8b", "https://jobs.ashbyhq.com/tempo-io/f96da0e1-b86c-41bc-9bc8-9f15d89e9e8b")</f>
        <v/>
      </c>
      <c r="G77" t="inlineStr">
        <is>
          <t>US</t>
        </is>
      </c>
      <c r="H77" s="2" t="n">
        <v>46079</v>
      </c>
      <c r="I77" t="inlineStr">
        <is>
          <t>**Location**
------------
United States
**Employment Type**
-------------------
Full time
**Location Type**
-----------------
Remote
**Department**
--------------
Marketing
With over 30,000 customers, including a third of Fortune 500 companies, Tempo is trusted by organizations across the globe to make their workflows work better.
We create a suite of integrated solutions for time management, resource planning, budget management, roadmapping, program management, reporting and more. We create the tech that enables the modern team to deliver – for every step from first vision to value.
Since our beginning in 2007 as a project to make a time\-tracking tool to help a client – Tempo has expanded to become the \#1 time management add\-on for Jira, and we have developed and acquired a multitude of tools to become one of the most trusted names in the Atlassian ecosystem.
We want everyone to work better – but we also want to be a tech company with a heart. Join us as we continuously innovate our award\-winning products, create new solutions, and help the world work smarter, not harder.
**About the role:**
We’re building the revenue engine on clean, structured, AI\-ready data, and we’re looking for a senior data leader to architect and launch our GTM data practice.
You’ll design and implement the unified GTM data spine that powers segmentation, targeting, ABM, ecosystem intelligence, forecasting inputs, and AI\-driven revenue workflows.
This role differs from general BI and Data roles. It is focused specifically on GTM systems, revenue modeling, signal activation, and predictive intelligence. You’ll be our primary GTM data leader building the system hands\-on while managing external partners as we scale.
**What you’ll do:**
Build the GTM Data Foundation
* Architect and implement the unified GTM data spine across CRM, marketing automation, product telemetry, billing, enrichment providers, partner data, and the warehouse.
* Establish identity resolution, deduplication, and source\-of\-truth logic across systems.
* Define canonical schemas that we’ll use to operate the business, enable AI across teams and drive results..
* Build scalable ELT/ETL pipelines and orchestration workflows tailored to revenue activation.
* Implement governance, lineage, access control, and quality monitoring for GTM data assets.
* Partner closely with the BI / enterprise data team to align on shared infrastructure while owning GTM\-specific models and activation layers.
### **Drive Revenue Intelligence \&amp; Modeling**
* Develop and productionize segmentation and scoring models (ICP scoring, ABM prioritization, expansion propensity, trial health, pipeline likelihood).
* Apply statistical and machine learning techniques to improve scoring, targeting, routing, and revenue predictability.
* Design experimentation and measurement frameworks for GTM programs.
* Operationalize predictive outputs directly into GTM systems via agents, reverse ETL, or custom integration (Salesforce workflows, outbound automation, lifecycle programs, ABM platforms, partner programs).
### **Build Ecosystem \&amp; Prospect Intelligence**
* Architect customer and prospect intelligence systems integrating first\-party, enrichment, and ecosystem signals.
* Develop frameworks for ecosystem intelligence (partner influence, marketplace signals, derived demand).
* Enable real\-time or near\-real\-time signal activation to sales and marketing teams.
* Design structured data systems that power future AI\-driven revenue workflows.
### **Lead the Practice**
* Manage and direct external agency/consulting partners executing against the GTM data roadmap.
* Establish architectural standards and technical review processes.
* Define the build vs. buy strategy for GTM data systems.
* Develop the long\-term roadmap for in\-house data capability.
**Who you are:**
* 10\+ years of experience in data engineering, analytics engineering, revenue data, or related leadership roles.
* Demonstrated experience standing up a GTM or revenue data function from the ground up.
* Deep hands\-on expertise with modern data stack tools (cloud warehouse, transformation layer, orchestration, reverse ETL).
* Advanced proficiency in SQL and Python.
* Experience applying data science techniques in a GTM or revenue context.
* Experience architecting data systems that power automation and AI workflows.
* Strong understanding of CRM and marketing automation data models.
**Why Join Tempo?**
* **Impact**: Work on meaningful products that empower enterprise users and improve productivity.
* **Innovation**: Be part of a culture that values creativity and innovation, with opportunities to make a real impact.
* **Collaboration**: Join a supportive, collaborative UX team that values openness, communication, and a continuous learning environment.
* **Growth**: Opportunities for professional development, including conferences, courses, and mentorship.
**What's In It For You (Org\-wide) \-**
* Remote First work environment
* Unlimited vacation in most of our locations!!
* Great benefits including health, dental, vision and savings plan.
* Perks such as training reimbursement, WFH reimbursement, and more.
* Diverse and dynamic teams with challenging and exciting work.
* An opportunity to have a real impact on our business.
* A great range of social activities (both in person and virtual).
* Optional in person meet\-ups and the ability to travel to our international offices
* Employee referral program
* And so much more!
*Note: As our hiring teams are global, please submit your resume in English only*
Apply today to join the Tempo team and help shape the future of enterprise productivity software.
***Join us at Tempo Software, where we proudly foster an equal opportunity workplace. We are committed to creating an inclusive culture where all qualified applicants will receive consideration for employment without regard to race, color, religion, gender, gender identity or expression, sexual orientation, national origin, genetics, disability, age, or veteran status.***</t>
        </is>
      </c>
    </row>
    <row r="78">
      <c r="A78" t="inlineStr">
        <is>
          <t>in-2aa97bcb9debb40e</t>
        </is>
      </c>
      <c r="B78" t="inlineStr">
        <is>
          <t>Senior Data Engineer</t>
        </is>
      </c>
      <c r="C78" t="inlineStr">
        <is>
          <t>National Association of Boards of Pharmacy (NABP)</t>
        </is>
      </c>
      <c r="D78" t="inlineStr">
        <is>
          <t>indeed</t>
        </is>
      </c>
      <c r="E78">
        <f>HYPERLINK("https://www.indeed.com/viewjob?jk=2aa97bcb9debb40e", "https://www.indeed.com/viewjob?jk=2aa97bcb9debb40e")</f>
        <v/>
      </c>
      <c r="F78">
        <f>HYPERLINK("https://nabp.pharmacy/about/careers/employment-opportunities/#senior-data-engineer", "https://nabp.pharmacy/about/careers/employment-opportunities/#senior-data-engineer")</f>
        <v/>
      </c>
      <c r="G78" t="inlineStr">
        <is>
          <t>Model, CO, US</t>
        </is>
      </c>
      <c r="H78" s="2" t="n">
        <v>46079</v>
      </c>
      <c r="I78" t="inlineStr">
        <is>
          <t>NABP is a 501(c)3 nonprofit that aims to ensure the public’s health and safety through working with its member state boards of pharmacy. The Association is an equal opportunity employer.
We offer rewarding opportunities for professionals from a variety of backgrounds, including pharmacy\-focused, information technology, communications, and more.
**Senior Data Engineer** **Apply**
----------------------------------
**Status:** Exempt  
**Location:** Hybrid work model  
**Salary:** $150,000 – $165,000
As the Senior Data Engineer, you will play a key role in building and scaling reliable data pipelines and data models that turn raw data into trusted, actionable insights. You will partner closely with engineering and business stakeholders to identify gaps, design scalable solutions, and ensure data quality, security, and compliance through strong governance practices. Alongside hands\-on coding, you will lead team members in designing and delivering data solutions.
### **Job Description**
**General Responsibilities**
* Architects, develops, and deploys cloud\-based products.
* Ensures data integrity and availability, providing expert consultation on data\-related inquiries.
* Analyzes data, processes, and systems to identify gaps, clarify requirements, and propose scalable solutions.
* Strong understanding of modern data platforms such as data warehousing, acquisition/ingestion, modeling, transformation, and consumption.
* Experience with databases and data movement technologies such as Databricks, AWS Redshift, Data Build Tools (DBT), and Data Vault (or equivalent).
* Proven ability to collaborate with both senior and junior technical staff, translate findings into designs, and drive implementation.
* Builds and maintains robust data transformation pipelines using Python and SQL.
* Designs and implements efficient data models and schemas to support analytics and reporting use cases.
* Partners with data engineers, architects, and analysts to gather requirements and deliver high\-quality solutions.
* Strong verbal and written communication skills, including the ability to work with stakeholders at all levels.
* Develops and optimizes DBT models to transform raw data into trusted, actionable datasets.
* Demonstrates excellent problem solving using data and technology to drive statistical and root\-cause analysis to support business insights and decision\-making.
* Builds, tests, and maintains end\-to\-end database and pipeline architectures (reliability, monitoring, and performance).
* Ensures compliance with data governance, privacy, and security policies.
* Defines data quality strategies and incorporates robust testing into day\-to\-day work.
### **Job Requirements**
* Bachelors or master’s degree and/or equivalent professional experience in information systems, computer science. 5–8 or more years of experience in data engineering.
* Extensive experience with cloud computing.
* Proficiency in SQL and Python for data processing, query optimization, and reporting.
* Strong hands\-on experience with DBT, including core features (models, tests, macros, snapshots/incremental patterns, deployments), data orchestration tools like Airflow, and Data warehouses like Snowflake, Redshift, or equivalent.
* 1\+ year of production DBT experience preferred.
* Strong experience with designing and enhancing data models, warehouses, and/or data lakes.
* Expertise in ETL/ELT concepts, orchestration, and end\-to\-end pipeline maintenance.
* Strong communicator and collaborator with a clear ownership mindset; able to work independently.
* Proven ability to mentor engineers, providing technical guidance and code reviews and supporting career growth.
* Champion agile practices that provide a foundation for iterative product development.
### **Health Care Benefits**
* Medical insurance *(BCBS IL PPO)*
* Dental insurance *(MetLife)*
* Vision insurance *(MetLife)*
* Health Reimbursement Account for medical insurance *(Flexible Benefits)*
* Short\-term and long\-term disability *(MetLife)*
### **Added Compensation Benefits**
* 401(k) match and discretionary contribution *(Principal Financial)*
* Life insurance and supplemental life insurance *(MetLife)*
* Annual opportunity in NABP’s incentive compensation policy for qualifying employees
### **Flexible Work**
* 35\-hour weekly hybrid schedule
* 3 days at home and 2 days at Headquarters in Mount Prospect, IL each week
### **Paid Time Off**
Paid time off provided for vacation, personal, and sick days
### **Professional Development**
Annual professional development training funds to participate in trainings, seminars, and workshops
#### **Apply Now**
To apply please email the following information to hr@nabp.pharmacy.
* Your resume
* Salary expectations
**No phone calls, please.**
*Employees are eligible for benefits on the first of the following month after their start date. 401k enrollment occurs quarterly. Our benefits are subject to change annually during open enrollment.*</t>
        </is>
      </c>
    </row>
    <row r="79">
      <c r="A79" t="inlineStr">
        <is>
          <t>in-f17e8e0a1dc510cf</t>
        </is>
      </c>
      <c r="B79" t="inlineStr">
        <is>
          <t>Sr. Data Engineer</t>
        </is>
      </c>
      <c r="C79" t="inlineStr">
        <is>
          <t>Linde</t>
        </is>
      </c>
      <c r="D79" t="inlineStr">
        <is>
          <t>indeed</t>
        </is>
      </c>
      <c r="E79">
        <f>HYPERLINK("https://www.indeed.com/viewjob?jk=f17e8e0a1dc510cf", "https://www.indeed.com/viewjob?jk=f17e8e0a1dc510cf")</f>
        <v/>
      </c>
      <c r="F79">
        <f>HYPERLINK("https://praxair.taleo.net/careersection/2/jobdetail.ftl?job=705737", "https://praxair.taleo.net/careersection/2/jobdetail.ftl?job=705737")</f>
        <v/>
      </c>
      <c r="G79" t="inlineStr">
        <is>
          <t>Tonawanda, NY, US</t>
        </is>
      </c>
      <c r="H79" s="2" t="n">
        <v>46079</v>
      </c>
      <c r="I79" t="inlineStr">
        <is>
          <t>**Sr. Data Engineer**
* 26000435
 **Position Qualification Summary:**
The Senior Data Engineer will join the Americas IT software and architecture team. This business\-centric IT team enables business\-focused development of cutting‑edge solutions and integrates global/regional IT initiatives into the business.
In this senior role, we are seeking an experienced Data Engineer with deep hands‑on expertise in Apache Spark, Microsoft Fabric, and cloud‑scale data architecture. You will lead the design of robust data pipelines, optimize large\-scale data architectures, and drive data‑driven decision‑making across the organization.
The Senior Data Engineer is expected to work independently, collaborate with business and IT leaders, guide junior engineers, and architect solutions from the ground up based on complex business requirements.
 **Key Responsibilities:**
* Design and Develop Enterprise Data Pipelines: Architect, build, and maintain scalable, distributed data pipelines leveraging Apache Spark and Microsoft Fabric to process large structured and unstructured datasets.
* Data Integration Leadership: Integrate data from diverse internal and external systems, ensuring reliability, lineage, and consistency across the enterprise.
* Performance Optimization: Lead optimization of ETL/ELT workloads for large\-scale analytics, improving cost efficiency, throughput, and reliability.
* Data Quality \&amp; Governance: Define and implement standards for data quality, metadata management, cataloging, lineage, and governance compliance.
* Cross‑Functional Collaboration: Partner with data scientists, analysts, architects, and IT teams to define requirements, deliver insights, and integrate analytical models.
* Documentation: Develop and maintain in‑depth documentation for pipeline architectures, workflows, schemas, and operational processes.
* Continuous Innovation: Evaluate emerging technologies and introduce modern data engineering practices such as lakehouse patterns, delta formats, automation, and real‑time processing.
* Troubleshooting \&amp; Reliability: Lead resolution of complex data pipeline failures, ensuring platform stability and enterprise‑grade reliability.
* Security \&amp; Compliance: Enforce enterprise data security, privacy, and access governance policies.
 **Qualifications:**
**Basic:**
* Bachelor’s or Master’s degree in Computer Science, Engineering, Information Systems, or related field.
* 7\+ years of professional experience in data engineering, data architecture, or large‑scale data platform development.
* Expertise in Apache Spark for large‑scale batch and streaming workloads.
* Deep hands‑on experience with Microsoft Fabric, including Data Engineering, Data Factory, Data Pipelines, and Lakehouse implementations.
* Advanced proficiency in SQL, Python, and/or Scala.
* Hands‑on expertise with Microsoft Azure (preferred), AWS, or GCP cloud data services.
* Strong understanding of distributed systems, lakehouse patterns, and data modeling.
* Proven experience designing and optimizing complex ETL/ELT workflows.
* Strong communication skills, leadership capability, and technical mentorship experience.
 **Preferred:**
* Professional certifications in Azure Data Engineering, Apache Spark, or Microsoft Fabric.
* Experience with real‑time streaming technologies such as Kafka or Azure Event Hubs.
* Knowledge of DevOps practices including CI/CD, Infrastructure as Code, and automated testing.
* Experience with visualization tools such as Power BI or Tableau.
 **About Linde:**
Linde is a leading global industrial gases and engineering company with 2025 sales of $34 billion. We live our mission of making our world more productive every day by providing high\-quality solutions, technologies and services which are making our customers more successful and helping to sustain and protect our planet.
 **Culture:**
At Linde, we strive to create a work environment that treats all employees with respect, supports new thoughts and ideas, encourages growth and development, celebrates our differences, and embraces inclusion. Linde is committed to remaining an employer of choice for the diverse, ever\-increasing pool of global talent.
For more information about the company and its products and services, please visit www.linde.com.
 **Salary:**
Pay commensurate with experience. Open to salary range $108,225 \- $158,730\.
 **Benefits:**
Linde Gases US offers competitive compensation and an outstanding benefits package. Enjoy access to health, dental, disability, and life insurance, paid holidays and vacation, 401(k) matching, pension benefits, an employee discount program, and opportunities for educational and professional growth. Additional compensation may vary depending on the position and organizational level. Build your future with us while making an impact every day!
 *All qualified applicants will receive consideration for employment without regard to race, color, religion, sex, national origin, age, disability, protected veteran status, pregnancy, sexual orientation, gender identity or expression, or any other reason prohibited by applicable law.*
*\#LI\-PL1*
**Primary Location** New York\-TONAWANDA**Schedule** Full\-time**Job** IT**Unposting Date** Ongoing</t>
        </is>
      </c>
    </row>
    <row r="80">
      <c r="A80" t="inlineStr">
        <is>
          <t>in-78011a5d6c324570</t>
        </is>
      </c>
      <c r="B80" t="inlineStr">
        <is>
          <t>Senior Analytics Engineer</t>
        </is>
      </c>
      <c r="C80" t="inlineStr">
        <is>
          <t>Guardian Bikes</t>
        </is>
      </c>
      <c r="D80" t="inlineStr">
        <is>
          <t>indeed</t>
        </is>
      </c>
      <c r="E80">
        <f>HYPERLINK("https://www.indeed.com/viewjob?jk=78011a5d6c324570", "https://www.indeed.com/viewjob?jk=78011a5d6c324570")</f>
        <v/>
      </c>
      <c r="F80">
        <f>HYPERLINK("https://www.paycomonline.net/v4/ats/web.php/jobs/ViewJobDetails?job=40274&amp;clientkey=C49BE29CE08D14D1322EEF8F70B829A5&amp;source=Indeed", "https://www.paycomonline.net/v4/ats/web.php/jobs/ViewJobDetails?job=40274&amp;clientkey=C49BE29CE08D14D1322EEF8F70B829A5&amp;source=Indeed")</f>
        <v/>
      </c>
      <c r="G80" t="inlineStr">
        <is>
          <t>US</t>
        </is>
      </c>
      <c r="H80" s="2" t="n">
        <v>46079</v>
      </c>
      <c r="I80" t="inlineStr">
        <is>
          <t>Syscend (the platform behind Guardian Bikes) is building a vertically integrated, AI\-driven manufacturing and  
commerce company. We design, manufacture, fulfill, and sell our products directly from our U.S. factory floor  
to the customer door.  
Our Indianapolis Center of Excellence for Data \&amp; Operational Systems is where we architect the intelligence  
and transactional backbone that powers the entire platform.
Our competitive advantage is not just physical integration \- data integration.
We are building a unified intelligence layer across manufacturing, supply chain, fulfillment, marketing,  
finance, and customer experience \- structured so that AI systems can reason across the entire value stream.  
This role is foundational to that vision.
This role will be based in our new Indianapolis technology office and will be one of the foundational hires  
shaping how Syscend structures and leverages data long term.
We are hiring our first Analytics Engineer under our VP of Data \&amp; Technology to architect and build the core  
data models that will power decision\-making and AI systems across Syscend.
You will design and implement the company's unified analytical data layer \- transforming raw operational  
data from ERP, WMS, OMS, manufacturing systems, marketing platforms, and finance systems into clean, well\-  
modeled, well\-documented, AI\-ready datasets.
Unified Analytical Data Layer
* Design canonical data models that reconcile data across ERP, WMS, OMS, eCommerce, marketing, finance,
and factory systems  
* Integrate data from warehouses and cloud storage, SaaS platforms, APIs, and local files (Excel/Google
Sheets) as needed  
* Define clear entity relationships (orders, inventory, SKUs, customers, production batches, etc.)
* Build durable transformation pipelines using modern ELT practices (dbt or equivalent)
* Establish modeling standards that scale with company growth
AI\-Ready Data Architecture
* Structure data to be machine\-interpretable and semantically clear
* Develop consistent naming conventions and ontology standards
* Ensure clean feature\-layer readiness for ML use cases
* Partner with the VP of Data to enable LLM\-based querying and reasoning across the warehouse
* Design downstream BI/dashboards, AI agents, copilots, and forecasting systems
Data Governance, Quality \&amp; Cost Discipline
Implement lineage tracking, documentation, and testing standards to support auditing, collaboration, and  
troubleshooting  
* Build validation frameworks and data contracts
* Establish version control and change management discipline
* Design for durability, flexibility, and security across the data ecosystem
* Monitor and manage warehouse and infrastructure costs; continually improve efficiency and
performance
Business Impact
* Collaborate cross\-functionally to identify high\-leverage analytical opportunities
* Develop the semantic layer in Looker (or equivalent BI platform)
* Support advanced use cases including: production productivity analysis, inventory optimization,
marketing ROI and attribution, customer cohort and LTV modeling, forecasting and financial modeling
Core Technical Skills  
* Strong SQL fluency (window functions, performance optimization, complex joins)
* Deep experience with modern data modeling (dimensional modeling, star schemas, event modeling,
medallion architecture)  
* Experience with dbt or similar transformation frameworks
* Experience with BigQuery, Snowflake, or similar cloud warehouses
* Strong understanding of data lineage, testing, and documentation practices
* Experience with version control and basic software engineering principles (Git/GitHub)
AI\-Native Mindset  
* Familiarity with LLM tools (ChatGPT, Claude, Gemini, Cursor, etc.)
* Understanding of how structured data enables ML and AI systems
* Interest in designing systems that are interpretable by both humans and machines
* Exposure to feature engineering or ML pipelines is a plus
Bonus / Preferred Experience  
* Python for data workflows
* Building API\-based data ingestion pipelines
* ERP / WMS / supply chain data environments
* Manufacturing or operations analytics
* SaaS APIs and data pipeline architecture
* Fundamental literacy in statistical analysis and test design</t>
        </is>
      </c>
    </row>
    <row r="81">
      <c r="A81" t="inlineStr">
        <is>
          <t>in-077646f27b283919</t>
        </is>
      </c>
      <c r="B81" t="inlineStr">
        <is>
          <t>Associate Data Engineer (Privacy Impact Assessments)</t>
        </is>
      </c>
      <c r="C81" t="inlineStr">
        <is>
          <t>Truist</t>
        </is>
      </c>
      <c r="D81" t="inlineStr">
        <is>
          <t>indeed</t>
        </is>
      </c>
      <c r="E81">
        <f>HYPERLINK("https://www.indeed.com/viewjob?jk=077646f27b283919", "https://www.indeed.com/viewjob?jk=077646f27b283919")</f>
        <v/>
      </c>
      <c r="F81">
        <f>HYPERLINK("https://careers.truist.com/us/en/job/TBJTBFUSR0111637EXTERNALENUS/Associate-Data-Engineer-Privacy-Impact-Assessments?utm_source=indeed&amp;utm_medium=phenom-feeds", "https://careers.truist.com/us/en/job/TBJTBFUSR0111637EXTERNALENUS/Associate-Data-Engineer-Privacy-Impact-Assessments?utm_source=indeed&amp;utm_medium=phenom-feeds")</f>
        <v/>
      </c>
      <c r="G81" t="inlineStr">
        <is>
          <t>Charlotte, NC, US</t>
        </is>
      </c>
      <c r="H81" s="2" t="n">
        <v>46079</v>
      </c>
      <c r="I8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\*\*\*This role is 5 days a week in the office, Atlanta preferred or Charlotte \*\*\*  
\*\*\*For this opportunity, Truist will not sponsor now or in the future an applicant for work visa status or employment authorization, nor will we offer any immigration\-related support for this position (including, but not limited to H\-1B, F\-1 OPT, F\-1 STEM OPT, F\-1 CPT, J\-1, TN\-1 or TN\-2, E\-3, O\-1, or future sponsorship for U.S. lawful permanent residence status.)\*\*\*  
We are seeking an Associate Data Engineer to join the Privacy Engineering team to support executing controls over a wide range of data assets, including applications, analytical models, and business intelligence reports.
This role is critical in expanding the team’s capacity to meet rising demand for Privacy Impact Assessments (PIAs) and related activities.  
The Associate Data Engineer will collaborate with subject matter experts, data asset owners, and stakeholders across multiple business units to ensure our organization maintains strong alignment with privacy regulations and internal risk management standards.**ESSENTIAL DUTIES AND RESPONSIBILITIES**  
Following is a summary of the essential functions for this job. Other duties may be performed, both major and minor, which are not mentioned below. Specific activities may change from time to time.
**Privacy Control Execution \&amp; Automation**
* Support the execution of existing privacy engineering controls and define new as needed.
* Assist in the automation and streamlining of Privacy Impact Assessment (PIA) processes for various data assets.
* Partner with senior data engineers to develop scalable solutions that improve control efficiency, tracking, and reporting.
**Privacy Impact Assessment Management**
* Facilitate end\-to\-end PIA engagements with multiple business units across the company.
* Gather, analyze, and validate data asset information needed for compliance reviews.
* Support documentation, workflow routing, and follow\-up activities for PIA completion.
**Cross\-Functional Collaboration**
* Work closely with Compliance, Legal, Risk, and other governance partners to interpret requirements and ensure consistent application of privacy standards.
* Engage with business and technical owners of applications, models, and reporting assets to collect information and drive necessary remediation actions.
* Support communication, coordination, and education efforts related to privacy obligations.
 **Required Qualifications:**  
The requirements listed below are representative of the knowledge, skill and/or ability required. Reasonable accommodations may be made to enable individuals with disabilities to perform the essential functions.
* Bachelor's degree and two years of experience in systems engineering or administration or equivalent education and related training or experience.
* Basic knowledge of SQL, relational databases, ETL/ELT architecture and concepts, data integration concepts and big data concepts.
* Previous experience in planning and managing IT projects
 **OTHER JOB REQUIREMENTS / WORKING CONDITIONS**
**Sitting**  
Constantly (More than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82">
      <c r="A82" t="inlineStr">
        <is>
          <t>in-3109ea59c7552b63</t>
        </is>
      </c>
      <c r="B82" t="inlineStr">
        <is>
          <t>Agentic AI and Data Engineer</t>
        </is>
      </c>
      <c r="C82" t="inlineStr">
        <is>
          <t>Booz Allen Hamilton</t>
        </is>
      </c>
      <c r="D82" t="inlineStr">
        <is>
          <t>indeed</t>
        </is>
      </c>
      <c r="E82">
        <f>HYPERLINK("https://www.indeed.com/viewjob?jk=3109ea59c7552b63", "https://www.indeed.com/viewjob?jk=3109ea59c7552b63")</f>
        <v/>
      </c>
      <c r="F82">
        <f>HYPERLINK("https://careers.boozallen.com/careers/JobDetail?jobId=121288", "https://careers.boozallen.com/careers/JobDetail?jobId=121288")</f>
        <v/>
      </c>
      <c r="G82" t="inlineStr">
        <is>
          <t>Honolulu, HI, US</t>
        </is>
      </c>
      <c r="H82" s="2" t="n">
        <v>46079</v>
      </c>
      <c r="I82" t="inlineStr">
        <is>
          <t>Agentic AI and Data Engineer**The Opportunity:**
As an experienced engineer, you know how to design, develop, and deliver production\-grade agentic AI systems that demonstrate the practical value of generative AI, large language models (LLMs), and autonomous workflows. This role combines deep technical expertise with strong product and consulting skills to design AI applications that leverage prompting, retrieval\-augmented generation (RAG), agentic orchestration, evaluation pipelines, and human\-in\-the\-loop systems to deliver measurable impact.
You will architect modular, reusable AI application patterns, integrate multiple model providers such as cloud\-hosted, local, and hybrid, and apply modern GenAI stack capabilities, including structured prompting, tool use, workflow orchestration, and multi\-modal reasoning. You will design solutions deployable across various contexts, from cloud\-hosted platforms to portable, self\-contained builds, optimizing for latency, cost efficiency, observability, and safety. You will rapidly prototype and iterate using AI\-assisted development tools, validating hypotheses through eval\-driven development and continuous experimentation.
In this role, you’ll define the direction of mission\-critical agentic systems by selecting and combining prompting strategies, RAG architectures, agentic workflows, and fine\-tuned or foundation models as appropriate. You’ll be part of a large community of AI and ML engineers across the company, collaborating with data engineers, data scientists, solutions architects, and product owners to deliver world\-class solutions.
**What You’ll Do:**
* Design adaptable agentic AI architectures that support multiple model providers, tool ecosystems, modalities, and deployment modes.
* Build modular and reusable components for prompting, retrieval, orchestration, tool execution, memory management, and evaluation to enable rapid development of new AI capabilities.
* Integrate LLMs, embeddings, RAG pipelines, structured outputs, and long\-context or memory mechanisms into production\-ready systems.
* Apply advanced prompting techniques such as few\-shot, chain\-of\-thought, tool\-calling, and function\-calling, orchestration frameworks such as LangChain or equivalent, and agentic architectures such as MCP, A2A, or similar patterns, to enable goal\-directed autonomy with guardrails, observability, and human oversight, including planning, tool use, delegation, and recovery from failure.
* Design and implement evaluation frameworks, both offline and online, to measure correctness, robustness, safety, and business impact of AI systems.
* Optimize models and workflows for cost, latency, reliability, and scalability, using systematic benchmarking and experimentation.
* Develop data pipelines for ingestion, cleaning, chunking, embedding, indexing, and continuous refresh of structured and unstructured data for RAG and memory systems.
* Combine text, audio, vision, and other modalities in unified processing workflows, including document understanding, transcription, summarization, and cross\-modal reasoning.
* Leverage vector databases, hybrid search, reranking, and retrieval optimization techniques to enhance grounding and reduce hallucination in RAG systems.
* Incorporate guardrails, safety filters, access controls, and monitoring mechanisms to ensure responsible and secure deployment of agentic AI systems.
* Deploy AI services securely and at scale on AWS or equivalent cloud platforms.
* Use containerizing, including in Docker or Kubernetes, or serverless approaches for flexible deployment.
* Apply CI/CD and eval\-driven development best practices for AI systems, including automated testing of prompts and workflows, versioning of prompts and agents, and safe rollout of model updates.
* Use asynchronous programming and event\-driven patterns to support scalable, long\-running, or multi\-agent workflows.
* Leverage modern build and packaging workflows to deliver optimized, portable application artifacts.
* Use AI assistance tools to accelerate development, debugging, and system design while maintaining engineering rigor and code quality.
* Collaborate with clients to identify high\-value AI opportunities and define solution requirements.
* Present AI capabilities and technical solutions to both technical and non\-technical stakeholders.
* Lead workshops and prototyping sessions to accelerate adoption.
* Provide guidance on responsible AI practices, ethics, and compliance.
Join us. The world can’t wait.
**You Have:**
* 5\+ years of experience with software engineering
* 2\+ years of experience in AI or ML\-focused roles
* Experience with an object\-oriented programming language such as Python, and applying it to AI/ML solution development
* Experience designing and implementing production\-grade generative or agentic AI applications using LLMs, LAMs, and LVMs, applying prompting techniques and structured outputs to improve reliability and determinism, and building secure and scalable deployments on cloud platforms such as AWS
* Experience with AI orchestration frameworks such as LangChain, agent workflows, tool integration, and multi\-provider model integration
* Experience with RAG architectures, evaluation methodologies, experimentation workflows, and asynchronous or event\-driven programming patterns
* Knowledge of data processing techniques for AI, including text, audio, and multi\-modal
* Ability to obtain a Secret clearance
* Bachelor’s degree in a CS or Engineering field
* AWS Machine Learning, Data Engineer, or Solutions Architect Certification
**Nice If You Have:**
* Experience with agent frameworks, interoperability standards, and multi\-agent patterns such as MCP, A2A, LangGraph, or equivalent
* Experience with model fine\-tuning, prompt tuning, domain adaptation, or reinforcement learning from human or AI feedback
* Experience designing evaluation suites or safety testing frameworks for AI systems, and integrating AI systems with external tools, APIs, or enterprise systems via tool\-calling or computer\-use patterns
* Experience delivering AI solutions in client\-facing consulting engagements
* Experience with modern front\-end libraries and frameworks for component\-based UI development, including React, and with workflows such as build pipelines, automated testing, and code quality tooling
* Experience with in\-browser or edge AI execution and performance optimization techniques, as well as modern build and packaging approaches for portable or offline\-capable applications
* Experience with developer productivity tools such as Cursor and Windsurf
* Knowledge of AI ethics, compliance requirements, and responsible AI practices
* Secret clearance
* Master’s degree in CS, AI, or a related field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3">
      <c r="A83" t="inlineStr">
        <is>
          <t>in-7367ab10603e0d05</t>
        </is>
      </c>
      <c r="B83" t="inlineStr">
        <is>
          <t>Real Estate Data Engineer</t>
        </is>
      </c>
      <c r="C83" t="inlineStr">
        <is>
          <t>Bridgestone Americas</t>
        </is>
      </c>
      <c r="D83" t="inlineStr">
        <is>
          <t>indeed</t>
        </is>
      </c>
      <c r="E83">
        <f>HYPERLINK("https://www.indeed.com/viewjob?jk=7367ab10603e0d05", "https://www.indeed.com/viewjob?jk=7367ab10603e0d05")</f>
        <v/>
      </c>
      <c r="F83">
        <f>HYPERLINK("https://bridgestone.wd5.myworkdayjobs.com/External/job/Bridgestone-Tower/Real-Estate-Data-Engineer_2026_04250?source=Indeed", "https://bridgestone.wd5.myworkdayjobs.com/External/job/Bridgestone-Tower/Real-Estate-Data-Engineer_2026_04250?source=Indeed")</f>
        <v/>
      </c>
      <c r="G83" t="inlineStr">
        <is>
          <t>Nashville, TN, US</t>
        </is>
      </c>
      <c r="H83" s="2" t="n">
        <v>46079</v>
      </c>
      <c r="I83"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Data \&amp; Analytics**Position Summary**
====================
The Data Engineer will focus on developing, implementing, and optimizing the data infrastructure for new and existing retail stores in North America, and managing the systems utilized across the BSRO Real Estate department. This role involves building and maintaining databases, data pipelines, and tools necessary for research projects, including models for new store development and store remodel refresh selection. This role also acts as the system administrator for Lucernex, Kalibrate, and Service Channel, managing all aspects of system and user management. The Data Engineer will ensure the integrity, accuracy, and efficiency of data used in managing sales transfers upon store closures. By providing robust data solutions, the Data Engineer will contribute to the company's growth and operational excellence, supporting Bridgestone West Retail's success and innovation.**Responsibilities**
====================
**Data Integrity \&amp; Infrastructure**
* Develop, implement, and optimize data infrastructure to support market planning and strategy, leveraging demand\-driven market intelligence and advanced sales forecasting models.
* Enhance and maintain data infrastructure and end‑to‑end data workflows to support accurate and efficient monthly Real Estate spend reporting and forecasting, including ROU, CAPEX, OPEX, and Rent.
* Build and maintain databases, data pipelines, and tools to facilitate the analysis of consumer behavior, demographics, and competitive landscape data, contributing to growth strategies.
* Provide technical support for research on competitive and market intelligence, including data integration and analysis; occasional domestic travel to key locations as needed.
* Leverage innovative new technologies and approaches to renovate, extend, and transform the existing core data assets, including SQL\-based, NoSQL\-based, and Cloud\-based data platforms.
**Data Modeling \&amp; Reporting**
* Assist in gathering, processing, and analyzing data for the site selection process, considering factors such as growth strategy, market demand, demographics, traffic patterns, retail synergy, competition, and local regulations.
* Build custom reporting via underlying data sets leveraging database coding language (SQL\-based, NoSQL, etc.) and display complex data insights in easily digestible formats leveraging PowerBI, Tableau, etc.
* Assist in preparing data\-driven presentations for the Real Estate Research and Strategy portion of Capital Meetings with senior leadership.
* Own and manage updates / refinement of existing executive Real Estate dashboards related to existing store metrics, characteristics, performance, etc.
**Systems Administration \&amp; Management**
* Manage, inclusive of day\-to\-day operations and necessary updates, Lucernex (LX), Kalibrate (KLI), Service Channel, Crystal Reports, and SharePoint software applications for the Real Estate department. In addition to supporting the day\-to\-day needs of the software (systems interface, data backup, user adds / removals, update security settings, mass updating of system info (Sales, Fixed Assets, Regional realignments, user management, password resets) the Data Engineer is the SME and will provide feedback on system capabilities and structure along with offering solutions for opportunities as they arise.
* Responsible for creation of new sites, projects, and programs within Lucernex to support ongoing Real Estate department operations.
**Additional General Responsibilities**
* Collaborate with internal teams, including operations, finance, legal, IT, marketing, and accounting, to ensure a seamless transition of data from development to the operational phase, as well as external partners and consultants.
* Leverage enterprise standards for data domains and data solutions, focusing on simplified integration and streamlined operational and analytical uses.
* Perform regular systems and vendor compliance audits in partnership with Bridgestone IT.
**Minimum Qualifications**
==========================
* Bachelor’s degree in computer science or in a STEM major.
* 5\+ years working in a corporate setting with experience in retail and / or real estate
* Experience working with solutions using elastic architectures (preferably Microsoft Azure and Google Cloud Platform).
* Any direct experience with a variety of SQL, NoSQL and Big Data Platforms.
* Systems Administrator experience, preferably with Lucernex, Kalibrate, Service Channel, or similar real estate systems
* Demonstrated strategic prowess, coupled with strong analytical and planning skills.
* Ability to translate business requirements and specifications into reports, insights, and dashboards with minimal direction or oversight.
* Elevated level of proficiency with Microsoft Word, Excel, PowerPoint, and PowerBI.
* Minimal Domestic travel as needed to visit prospective markets and / or existing stores (5\-10%)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row>
    <row r="84">
      <c r="A84" t="inlineStr">
        <is>
          <t>in-62ce9b6abb86fb42</t>
        </is>
      </c>
      <c r="B84" t="inlineStr">
        <is>
          <t>Data Engineer</t>
        </is>
      </c>
      <c r="C84" t="inlineStr"/>
      <c r="D84" t="inlineStr">
        <is>
          <t>indeed</t>
        </is>
      </c>
      <c r="E84">
        <f>HYPERLINK("https://www.indeed.com/viewjob?jk=62ce9b6abb86fb42", "https://www.indeed.com/viewjob?jk=62ce9b6abb86fb42")</f>
        <v/>
      </c>
      <c r="F84">
        <f>HYPERLINK("https://intezra-jobs.services.agileonboarding.com/jobs/details/7", "https://intezra-jobs.services.agileonboarding.com/jobs/details/7")</f>
        <v/>
      </c>
      <c r="G84" t="inlineStr">
        <is>
          <t>Columbia, MD, US</t>
        </is>
      </c>
      <c r="H84" s="2" t="n">
        <v>46079</v>
      </c>
      <c r="I84" t="inlineStr">
        <is>
          <t>Job Description
Data Engineer – TS/SCI w/ Poly
**Location:** Columbia, MD
**Compensation Range:** $200,000 – $250,000 (annualized USD)
**Clearance Required:** Must be a U.S. citizen with an active TS/SCI security clearance with polygraph
Description
We are seeking a highly skilled Data Engineer to support a brand\-new, high\-priority infrastructure analytics initiative. This team is responsible for aggregating data from multiple sources to provide a comprehensive view of requested and deployed infrastructure, proactively identifying discrepancies, and enabling continuous improvement of infrastructure deployment best practices.
The team’s application will be used by subject matter experts to investigate, define, and refine deployment standards and governance rules. This role focuses on designing, implementing, and supporting schemas across multiple database technologies to answer complex infrastructure\-related questions. The ideal candidate thrives in a fast\-paced, collaborative environment and is comfortable engaging with stakeholders across the organization.
Responsibilities
Design schemas and data models across OLAP (ClickHouse), graph (Neo4j), and document (Elastic) databases
Optimize queries and data structures for performance and scalability
Collaborate with analytics engineers to ensure data structures effectively support operational needs
Implement governance rules to ensure data quality, consistency, and compliance
Aggregate and reconcile infrastructure data from multiple sources
Work cross\-functionally to iterate quickly and refine data\-driven solutions
Skills Requirements
Proven experience with OLAP, graph, and document database technologies
Strong background in schema design, query optimization, and analytics support
Ability to translate analytical questions into scalable database design solutions
Experience working with large\-scale or distributed data systems
Strong problem\-solving and stakeholder communication skills
Nice to Haves
Experience analyzing cybersecurity\-related datasets (e.g., network traffic, OS events)
Knowledge of end\-to\-end signal collection and analysis systems
General software engineering experience (DevOps, web applications, ETL, etc.)
Familiarity with Git and GitLab
Experience with Atlassian tools such as Jira and Confluence
Education \&amp; Experience Requirement
12 years of relevant experience with a Bachelor’s degree
OR
4 additional years of relevant experience may be substituted in lieu of a Bachelor’s degree
Compensation \&amp; Employment Policy
Salary is determined by multiple factors, including location, education, experience, skills, and organizational requirements. The projected compensation range for this position is $200,000 – $250,000 (annualized USD).
Benefits Overview
At Intezra, Inc., we offer a comprehensive benefits package designed to support long\-term career growth and work\-life balance:
Three CareFirst medical plans available; Intezra pays up to 100% of healthcare premiums and up to 100% of deductibles (based on plan selection) for employees and dependents
Intezra pays 100% for CareFirst Dental and Vision plans for employees and dependents
**401(k):** 15% company contribution (no match required)
**PTO:** 160 hours, increasing with seniority
12 Floating Holidays
4 Code Red Days
EEO Statement
Intezra, Inc. provides equal employment opportunities to all employees and applicants and prohibits discrimination and harassment of any kind without regard to race, color, religion, age, sex, national origin, disability status, genetics, pregnancy, protected veteran status, sexual orientation, gender identity or expression, or any other characteristic protected by federal, state, or local laws.
,
About intezra
Intezra Inc. is a small business prime contractor for all realms of cyber and AI/ML development, from tactical\-level tools and capabilities to enterprise\-level infrastructure and operations. Our leadership team and staff have helped solve the most complex challenges for the intelligence community for over 15 years.</t>
        </is>
      </c>
    </row>
    <row r="85">
      <c r="A85" t="inlineStr">
        <is>
          <t>in-0f39474e07389a32</t>
        </is>
      </c>
      <c r="B85" t="inlineStr">
        <is>
          <t>Senior Data Engineer, Business Intelligence</t>
        </is>
      </c>
      <c r="C85" t="inlineStr">
        <is>
          <t>Klaviyo</t>
        </is>
      </c>
      <c r="D85" t="inlineStr">
        <is>
          <t>indeed</t>
        </is>
      </c>
      <c r="E85">
        <f>HYPERLINK("https://www.indeed.com/viewjob?jk=0f39474e07389a32", "https://www.indeed.com/viewjob?jk=0f39474e07389a32")</f>
        <v/>
      </c>
      <c r="F85">
        <f>HYPERLINK("https://grnh.se/63w27uv43us", "https://grnh.se/63w27uv43us")</f>
        <v/>
      </c>
      <c r="G85" t="inlineStr">
        <is>
          <t>Boston, MA, US</t>
        </is>
      </c>
      <c r="H85" s="2" t="n">
        <v>46079</v>
      </c>
      <c r="I85"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Data is at the heart of every decision made at Klaviyo, and we're looking for a Senior Data Engineer to join our Business Intelligence (BI) team. BI at Klaviyo collaborates across all departments to provide a platform that powers all internal data, analytic, and reporting needs. Our mission is to champion data\-driven value creation, and you will own creating and maintaining the internal data infrastructure that powers Klaviyo's business. This role in particular will significantly contribute to the infrastructure, pipelines, and security/compliance aspects of our internal analytics platform while driving architectural innovation and mentoring the team.
**How You'll Make a Difference**
As a Senior Data Engineer, you will shape the scalability, reliability, and cost\-efficiency of our data platform. You'll lead architectural decisions, establish engineering best practices, and mentor other engineers while partnering closely with analytics, engineering, and business stakeholders.
Your work will directly influence data\-driven decision\-making across the organization by ensuring our data systems are performant, observable, and built to scale.
**What You'll Do (Responsibilities)**
**Accelerating Engineering with AI**
* Transform workflows by putting AI at the center, building smarter systems and ways of working from the ground up for example, using AI to generate tests, detect anomalies, summarize data issues, or accelerate analysis.
**Data Architecture \&amp; Optimization**
* Design, develop, and maintain scalable dbt models and pipelines, including advanced incremental and merge strategies.
* Architect solutions for attribution models, event data pipelines, and analytics at scale.
* Lead performance optimization efforts across Snowflake and related data systems.
* Define and enforce best practices for query performance, warehouse management, and cost control.
**Pipeline \&amp; Platform Ownership**
* Own end\-to\-end data pipelines, ensuring reliability, scalability, and observability.
* Lead complex DAG orchestration with Airflow/MWAA.
* Oversee Spark/EMR cluster management, job optimization, and large\-scale backfills.
* Implement monitoring, alerting, and automated recovery strategies for production systems.
**Infrastructure \&amp; DevOps Leadership**
* Architect infrastructure\-as\-code solutions using Terraform for Snowflake and AWS resources.
* Oversee integration of AWS services (S3, EMR, Secrets Manager, CloudWatch) into the data platform.
* Guide CI/CD pipeline design and improvements using GitHub Actions and CodeBuild.
* Promote containerization best practices with Docker for scalable deployments.
**Cost \&amp; Performance Management**
* Monitor Snowflake and EMR usage to proactively optimize costs.
* Analyze query performance and warehouse efficiency.
* Troubleshoot and resolve pipeline and infrastructure performance issues.
**Leadership \&amp; Mentorship**
* Mentor and coach junior and mid\-level data engineers through code reviews and technical guidance.
* Establish and enforce coding standards, testing practices, and CI/CD processes.
* Serve as technical lead for cross\-functional data initiatives.
* Advocate for reliability, performance, and cost optimization across the data engineering function.
**Who You Are (Qualifications)**
* 5\+ years of data engineering experience, including demonstrated technical leadership.
* Expert\-level proficiency in dbt, including advanced modeling, testing frameworks, incremental strategies, and performance tuning.
* Deep expertise in SQL and Snowflake, including query optimization, warehouse sizing, and cost governance.
* Strong Python skills for data processing, API integrations, and internal tooling.
* Experience architecting data lakehouse solutions.
* Hands\-on experience designing and operating Apache Iceberg\-based data lake architectures on Amazon EMR.
* Proven experience operating production systems with a strong focus on reliability and cost efficiency.
* Demonstrated experience leveraging AI to improve personal and team workflows.
* Strong problem\-solving skills and an operational mindset focused on SLAs and production stability.
* Ability to align technical decisions with business priorities.
* You've already experimented with AI in work or personal projects, and you're excited to dive in and learn fast. You're hungry to responsibly explore new AI tools and workflows, finding ways to make your work smarter and more efficient.
**Nice to Haves**
* Expertise in Spark/EMR performance optimization and scaling strategies.
* Advanced Terraform usage across multi\-environment infrastructure.
* Extensive experience with Airflow/MWAA orchestration at scale.
* Strong Docker and container orchestration experience.
* Experience architecting AI\-driven workflows, including multi\-agent systems, concurrent execution models, and tool\-augmented agents.
* Domain experience in:
* + Marketing attribution modeling and analytics data flows
	+ Event data ingestion, transformation, and large\-scale aggregation
	+ Data warehouse governance, optimization, and cost modeling
	+ BI infrastructure and operational excellence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application.***You can find our Job Applicant Privacy Notice* *here* *and* *here* *(FR).*</t>
        </is>
      </c>
    </row>
    <row r="86">
      <c r="A86" t="inlineStr">
        <is>
          <t>in-a943d3f7eb00aebe</t>
        </is>
      </c>
      <c r="B86" t="inlineStr">
        <is>
          <t>Senior Data Engineer - Vice President</t>
        </is>
      </c>
      <c r="C86" t="inlineStr">
        <is>
          <t>Sumitomo Group</t>
        </is>
      </c>
      <c r="D86" t="inlineStr">
        <is>
          <t>indeed</t>
        </is>
      </c>
      <c r="E86">
        <f>HYPERLINK("https://www.indeed.com/viewjob?jk=a943d3f7eb00aebe", "https://www.indeed.com/viewjob?jk=a943d3f7eb00aebe")</f>
        <v/>
      </c>
      <c r="F86">
        <f>HYPERLINK("https://careers.smbcgroup.com/smbc/job/Charlotte-Senior-Data-Engineer-Vice-President-NC-28202/1360052700/?feedId=392100&amp;utm_source=Indeed&amp;utm_campaign=SMBC_Indeed", "https://careers.smbcgroup.com/smbc/job/Charlotte-Senior-Data-Engineer-Vice-President-NC-28202/1360052700/?feedId=392100&amp;utm_source=Indeed&amp;utm_campaign=SMBC_Indeed")</f>
        <v/>
      </c>
      <c r="G86" t="inlineStr">
        <is>
          <t>Charlotte, NC, US</t>
        </is>
      </c>
      <c r="H86" s="2" t="n">
        <v>46079</v>
      </c>
      <c r="I86"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**Role Description**
--------------------
The VP, Senior Data Engineer, is a critical role within the Information Security department and will report to the Director, Information Security Data Operations for the SMBC Americas Division.
This VP role will be responsible for designing, developing \&amp; deploying cloud data solutions for ISDAD. This
is part of the overall cyber data initiative focusing on building out the security and risk data platform for Information Security. This individual will be responsible for developing the data feeds and will be a part of the larger development effort of building out a Cybersecurity Data Lakehouse (CyberDW).
The goal of the CyberDW is to centralize the ISDAD data as well as establish effective data governance around the data sources and its data lineage. This role will collaborate with the developers, data owners, governance leads and business analysts within the Information Technology (IT) department as well as other stakeholders aligned with the applications owned by ISDAD.
This role will be aligned with the Continuous Controls Monitoring program. KCIs (Key Control Indicators) and Data Quality (DQ) rules will be created to continuously assess and report on the effectiveness of ISDAD’s internal controls as part of the firm’s GRC Risk Management and CDO Data Governance frameworks.
**Role Objectives**
-------------------
* Design, develop, testing \&amp; support of cloud data solutions for the CyberDW catalogue focusing on data ingestion, data quality, data tuning and performance of upstream cybersecurity data sources.
* Indirect leadership and mentorship of junior team members. Able to lead data feed development efforts and design initiatives. Participate in development meetings to align development priorities and objectives, assign tasks, and share experiences and challenges with applications under development.
* Consult with other technology and development teams as needed to coordinate on the integration of applications with the larger company software ecosystem.
* Capture and document metadata for identified Key Data Elements (KDEs) to ensure accuracy and completeness for Data Quality rules and processing of daily datasets.
* Work with the data architecture team to align KDEs to logical data models, develop physical data structures, and document physical data names, definitions, and data types.
* Partner with the data owners and stakeholders to create technical requirements and DQ rules around the data elements needed in the CyberDW. Partner with the Business Management team and Data Owners to understand what critical metrics and data fields are needed for Metric Dashboards.
* Establish CyberDW views to encapsulate the data so that it is fit for downstream consumption. Ensure that the data aligns with DQ rules established on that metadata, so it is fit for daily use. Utilize IBM TWS production job scheduling system and adhere to standards around the daily scheduling and batch monitoring of production jobs.
* Identify and resolve DQ issues including inaccuracies and incomplete information. Enhance data quality efforts by implementing improved procedures and processes.
**Qualifications and Skills**
-----------------------------
* Bachelor’s degree in Computer Science, Information Security, Data Management, or related field
* 10\+ years’ experience in IT development, data governance, data architecture or related roles, preferably in a highly regulated environment such as financial services.
* 5\+ years’ experience in Azure Databricks, Azure Data Factory, Azure Functions, Azure Data Lake storage, Azure Event Grid, Azure Log Analytics, Azure Monitor, Unity catalog repository configuration
* Proficient in data management \&amp; data modeling tools (e.g., Collibra DQIM/DQE, IBM Infosphere DA).
* Strong knowledge of CI/CD and DevOps tooling (i.e., Git, Jenkins, Azure DevOps)
* Proficient in SQL Server, Oracle / PL\-SQL, T\-SQL and SQL stored procedures
* Proficient in Python, Java or similar high\-level server\-side languages
* Strong knowledge of enterprise Information Security data (i.e., Phishing, Identity Management, Privileged Access, Cloud Security, Incident Response, Vulnerability Management, Threat Detection).
* Data knowledge of PaaS/SaaS products (i.e., ServiceNow, Crowdstrike, MS Purview, Proofpoint, WIZ.IO, JIRA, SharePoint, Azure Active Directory, SAI360\). Knowledge of Microsoft Sentinel for security information and event management (SIEM) is a plus.
* Understanding of information security frameworks and security controls (i.e., NIST, CIS, CRI Profile) and regulatory compliance (i.e., NYSDFS, GDPR, CCPA).
* Experience with REST API web services and microservice architecture. Strong understanding of ETL/ELT. Knowledge of IBM Tivoli Workload Scheduler a plus.
* Exposure to PowerBI for data visualization and reporting is a plus.
* Problem solving and analytical skills, with an initiative\-taking and results oriented approach.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87">
      <c r="A87" t="inlineStr">
        <is>
          <t>in-5fb74ee8e6535090</t>
        </is>
      </c>
      <c r="B87" t="inlineStr">
        <is>
          <t>Data Engineer II, AWS Commerce Platform-ADC</t>
        </is>
      </c>
      <c r="C87" t="inlineStr">
        <is>
          <t>Amazon Web Services</t>
        </is>
      </c>
      <c r="D87" t="inlineStr">
        <is>
          <t>indeed</t>
        </is>
      </c>
      <c r="E87">
        <f>HYPERLINK("https://www.indeed.com/viewjob?jk=5fb74ee8e6535090", "https://www.indeed.com/viewjob?jk=5fb74ee8e6535090")</f>
        <v/>
      </c>
      <c r="F87">
        <f>HYPERLINK("https://www.amazon.jobs/jobs/3191228/data-engineer-ii-aws-commerce-platformadc?cmpid=DA_INAD200785B", "https://www.amazon.jobs/jobs/3191228/data-engineer-ii-aws-commerce-platformadc?cmpid=DA_INAD200785B")</f>
        <v/>
      </c>
      <c r="G87" t="inlineStr">
        <is>
          <t>Arlington, VA, US</t>
        </is>
      </c>
      <c r="H87" s="2" t="n">
        <v>46078</v>
      </c>
      <c r="I87"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88">
      <c r="A88" t="inlineStr">
        <is>
          <t>in-19c8896e15a0361c</t>
        </is>
      </c>
      <c r="B88" t="inlineStr">
        <is>
          <t>Data Engineer II, AWS Commerce Platform-ADC</t>
        </is>
      </c>
      <c r="C88" t="inlineStr">
        <is>
          <t>Amazon Web Services</t>
        </is>
      </c>
      <c r="D88" t="inlineStr">
        <is>
          <t>indeed</t>
        </is>
      </c>
      <c r="E88">
        <f>HYPERLINK("https://www.indeed.com/viewjob?jk=19c8896e15a0361c", "https://www.indeed.com/viewjob?jk=19c8896e15a0361c")</f>
        <v/>
      </c>
      <c r="F88">
        <f>HYPERLINK("https://www.amazon.jobs/jobs/3191228/data-engineer-ii-aws-commerce-platformadc?cmpid=DA_INAD200785B", "https://www.amazon.jobs/jobs/3191228/data-engineer-ii-aws-commerce-platformadc?cmpid=DA_INAD200785B")</f>
        <v/>
      </c>
      <c r="G88" t="inlineStr">
        <is>
          <t>Seattle, WA, US</t>
        </is>
      </c>
      <c r="H88" s="2" t="n">
        <v>46078</v>
      </c>
      <c r="I88"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89">
      <c r="A89" t="inlineStr">
        <is>
          <t>in-d6f0c5754305e037</t>
        </is>
      </c>
      <c r="B89" t="inlineStr">
        <is>
          <t>Data Engineer II, AWS Commerce Platform-ADC</t>
        </is>
      </c>
      <c r="C89" t="inlineStr">
        <is>
          <t>Amazon Web Services</t>
        </is>
      </c>
      <c r="D89" t="inlineStr">
        <is>
          <t>indeed</t>
        </is>
      </c>
      <c r="E89">
        <f>HYPERLINK("https://www.indeed.com/viewjob?jk=d6f0c5754305e037", "https://www.indeed.com/viewjob?jk=d6f0c5754305e037")</f>
        <v/>
      </c>
      <c r="F89">
        <f>HYPERLINK("https://www.amazon.jobs/jobs/3191228/data-engineer-ii-aws-commerce-platformadc?cmpid=DA_INAD200785B", "https://www.amazon.jobs/jobs/3191228/data-engineer-ii-aws-commerce-platformadc?cmpid=DA_INAD200785B")</f>
        <v/>
      </c>
      <c r="G89" t="inlineStr">
        <is>
          <t>Denver, CO, US</t>
        </is>
      </c>
      <c r="H89" s="2" t="n">
        <v>46078</v>
      </c>
      <c r="I89"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90">
      <c r="A90" t="inlineStr">
        <is>
          <t>in-1353d347bdb87693</t>
        </is>
      </c>
      <c r="B90" t="inlineStr">
        <is>
          <t>Data Engineer II, AWS Commerce Platform-ADC</t>
        </is>
      </c>
      <c r="C90" t="inlineStr">
        <is>
          <t>Amazon Web Services</t>
        </is>
      </c>
      <c r="D90" t="inlineStr">
        <is>
          <t>indeed</t>
        </is>
      </c>
      <c r="E90">
        <f>HYPERLINK("https://www.indeed.com/viewjob?jk=1353d347bdb87693", "https://www.indeed.com/viewjob?jk=1353d347bdb87693")</f>
        <v/>
      </c>
      <c r="F90">
        <f>HYPERLINK("https://www.amazon.jobs/jobs/3191228/data-engineer-ii-aws-commerce-platformadc?cmpid=DA_INAD200785B", "https://www.amazon.jobs/jobs/3191228/data-engineer-ii-aws-commerce-platformadc?cmpid=DA_INAD200785B")</f>
        <v/>
      </c>
      <c r="G90" t="inlineStr">
        <is>
          <t>Jessup, MD, US</t>
        </is>
      </c>
      <c r="H90" s="2" t="n">
        <v>46078</v>
      </c>
      <c r="I90"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91">
      <c r="A91" t="inlineStr">
        <is>
          <t>in-ba824412881761db</t>
        </is>
      </c>
      <c r="B91" t="inlineStr">
        <is>
          <t>Data Engineer II, AWS Commerce Platform-ADC</t>
        </is>
      </c>
      <c r="C91" t="inlineStr">
        <is>
          <t>Amazon Web Services</t>
        </is>
      </c>
      <c r="D91" t="inlineStr">
        <is>
          <t>indeed</t>
        </is>
      </c>
      <c r="E91">
        <f>HYPERLINK("https://www.indeed.com/viewjob?jk=ba824412881761db", "https://www.indeed.com/viewjob?jk=ba824412881761db")</f>
        <v/>
      </c>
      <c r="F91">
        <f>HYPERLINK("https://www.amazon.jobs/jobs/3191228/data-engineer-ii-aws-commerce-platformadc?cmpid=DA_INAD200785B", "https://www.amazon.jobs/jobs/3191228/data-engineer-ii-aws-commerce-platformadc?cmpid=DA_INAD200785B")</f>
        <v/>
      </c>
      <c r="G91" t="inlineStr">
        <is>
          <t>Herndon, VA, US</t>
        </is>
      </c>
      <c r="H91" s="2" t="n">
        <v>46078</v>
      </c>
      <c r="I91"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92">
      <c r="A92" t="inlineStr">
        <is>
          <t>in-f04534905dd9784b</t>
        </is>
      </c>
      <c r="B92" t="inlineStr">
        <is>
          <t>Data Engineer II , UTR PLanning Tech</t>
        </is>
      </c>
      <c r="C92" t="inlineStr">
        <is>
          <t>Amazon.com</t>
        </is>
      </c>
      <c r="D92" t="inlineStr">
        <is>
          <t>indeed</t>
        </is>
      </c>
      <c r="E92">
        <f>HYPERLINK("https://www.indeed.com/viewjob?jk=f04534905dd9784b", "https://www.indeed.com/viewjob?jk=f04534905dd9784b")</f>
        <v/>
      </c>
      <c r="F92">
        <f>HYPERLINK("https://www.amazon.jobs/jobs/3186425/data-engineer-ii--utr-planning-tech?cmpid=DA_INAD200785B", "https://www.amazon.jobs/jobs/3186425/data-engineer-ii--utr-planning-tech?cmpid=DA_INAD200785B")</f>
        <v/>
      </c>
      <c r="G92" t="inlineStr">
        <is>
          <t>Bellevue, WA, US</t>
        </is>
      </c>
      <c r="H92" s="2" t="n">
        <v>46070</v>
      </c>
      <c r="I92"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93">
      <c r="A93" t="inlineStr">
        <is>
          <t>in-9c5df6d84330717d</t>
        </is>
      </c>
      <c r="B93" t="inlineStr">
        <is>
          <t>Data Engineer II , UTR PLanning Tech</t>
        </is>
      </c>
      <c r="C93" t="inlineStr">
        <is>
          <t>Amazon.com</t>
        </is>
      </c>
      <c r="D93" t="inlineStr">
        <is>
          <t>indeed</t>
        </is>
      </c>
      <c r="E93">
        <f>HYPERLINK("https://www.indeed.com/viewjob?jk=9c5df6d84330717d", "https://www.indeed.com/viewjob?jk=9c5df6d84330717d")</f>
        <v/>
      </c>
      <c r="F93">
        <f>HYPERLINK("https://www.amazon.jobs/jobs/3186425/data-engineer-ii--utr-planning-tech?cmpid=DA_INAD200785B", "https://www.amazon.jobs/jobs/3186425/data-engineer-ii--utr-planning-tech?cmpid=DA_INAD200785B")</f>
        <v/>
      </c>
      <c r="G93" t="inlineStr">
        <is>
          <t>Austin, TX, US</t>
        </is>
      </c>
      <c r="H93" s="2" t="n">
        <v>46070</v>
      </c>
      <c r="I93"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94">
      <c r="A94" t="inlineStr">
        <is>
          <t>in-9423a5b208001fc2</t>
        </is>
      </c>
      <c r="B94" t="inlineStr">
        <is>
          <t>Data Engineer II , UTR PLanning Tech</t>
        </is>
      </c>
      <c r="C94" t="inlineStr">
        <is>
          <t>Amazon.com</t>
        </is>
      </c>
      <c r="D94" t="inlineStr">
        <is>
          <t>indeed</t>
        </is>
      </c>
      <c r="E94">
        <f>HYPERLINK("https://www.indeed.com/viewjob?jk=9423a5b208001fc2", "https://www.indeed.com/viewjob?jk=9423a5b208001fc2")</f>
        <v/>
      </c>
      <c r="F94">
        <f>HYPERLINK("https://www.amazon.jobs/jobs/3186425/data-engineer-ii--utr-planning-tech?cmpid=DA_INAD200785B", "https://www.amazon.jobs/jobs/3186425/data-engineer-ii--utr-planning-tech?cmpid=DA_INAD200785B")</f>
        <v/>
      </c>
      <c r="G94" t="inlineStr">
        <is>
          <t>Nashville, TN, US</t>
        </is>
      </c>
      <c r="H94" s="2" t="n">
        <v>46070</v>
      </c>
      <c r="I94"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95">
      <c r="A95" t="inlineStr">
        <is>
          <t>in-049a982cb9a7bc6c</t>
        </is>
      </c>
      <c r="B95" t="inlineStr">
        <is>
          <t>Software Development Manager, Amazon Security Data Engineering</t>
        </is>
      </c>
      <c r="C95" t="inlineStr">
        <is>
          <t>Amazon.com</t>
        </is>
      </c>
      <c r="D95" t="inlineStr">
        <is>
          <t>indeed</t>
        </is>
      </c>
      <c r="E95">
        <f>HYPERLINK("https://www.indeed.com/viewjob?jk=049a982cb9a7bc6c", "https://www.indeed.com/viewjob?jk=049a982cb9a7bc6c")</f>
        <v/>
      </c>
      <c r="F95">
        <f>HYPERLINK("https://www.amazon.jobs/jobs/3188767/software-development-manager-amazon-security-data-engineering?cmpid=DA_INAD200785B", "https://www.amazon.jobs/jobs/3188767/software-development-manager-amazon-security-data-engineering?cmpid=DA_INAD200785B")</f>
        <v/>
      </c>
      <c r="G95" t="inlineStr">
        <is>
          <t>Herndon, VA, US</t>
        </is>
      </c>
      <c r="H95" s="2" t="n">
        <v>46063</v>
      </c>
      <c r="I95"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96">
      <c r="A96" t="inlineStr">
        <is>
          <t>in-3db24cd9b23df597</t>
        </is>
      </c>
      <c r="B96" t="inlineStr">
        <is>
          <t>Software Development Manager, Amazon Security Data Engineering</t>
        </is>
      </c>
      <c r="C96" t="inlineStr">
        <is>
          <t>Amazon.com</t>
        </is>
      </c>
      <c r="D96" t="inlineStr">
        <is>
          <t>indeed</t>
        </is>
      </c>
      <c r="E96">
        <f>HYPERLINK("https://www.indeed.com/viewjob?jk=3db24cd9b23df597", "https://www.indeed.com/viewjob?jk=3db24cd9b23df597")</f>
        <v/>
      </c>
      <c r="F96">
        <f>HYPERLINK("https://www.amazon.jobs/jobs/3188767/software-development-manager-amazon-security-data-engineering?cmpid=DA_INAD200785B", "https://www.amazon.jobs/jobs/3188767/software-development-manager-amazon-security-data-engineering?cmpid=DA_INAD200785B")</f>
        <v/>
      </c>
      <c r="G96" t="inlineStr">
        <is>
          <t>San Diego, CA, US</t>
        </is>
      </c>
      <c r="H96" s="2" t="n">
        <v>46063</v>
      </c>
      <c r="I96"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97">
      <c r="A97" t="inlineStr">
        <is>
          <t>in-0639c9c45eda66b1</t>
        </is>
      </c>
      <c r="B97" t="inlineStr">
        <is>
          <t>Data Engineer, AMZL Orbit Data Engineering</t>
        </is>
      </c>
      <c r="C97" t="inlineStr">
        <is>
          <t>Amazon.com</t>
        </is>
      </c>
      <c r="D97" t="inlineStr">
        <is>
          <t>indeed</t>
        </is>
      </c>
      <c r="E97">
        <f>HYPERLINK("https://www.indeed.com/viewjob?jk=0639c9c45eda66b1", "https://www.indeed.com/viewjob?jk=0639c9c45eda66b1")</f>
        <v/>
      </c>
      <c r="F97">
        <f>HYPERLINK("https://www.amazon.jobs/jobs/3184381/data-engineer-amzl-orbit-data-engineering?cmpid=DA_INAD200785B", "https://www.amazon.jobs/jobs/3184381/data-engineer-amzl-orbit-data-engineering?cmpid=DA_INAD200785B")</f>
        <v/>
      </c>
      <c r="G97" t="inlineStr">
        <is>
          <t>Nashville, TN, US</t>
        </is>
      </c>
      <c r="H97" s="2" t="n">
        <v>46054</v>
      </c>
      <c r="I97"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98">
      <c r="A98" t="inlineStr">
        <is>
          <t>in-3e11119ad6c4f0a9</t>
        </is>
      </c>
      <c r="B98" t="inlineStr">
        <is>
          <t>Data Engineer, AMZL Orbit Data Engineering</t>
        </is>
      </c>
      <c r="C98" t="inlineStr">
        <is>
          <t>Amazon.com</t>
        </is>
      </c>
      <c r="D98" t="inlineStr">
        <is>
          <t>indeed</t>
        </is>
      </c>
      <c r="E98">
        <f>HYPERLINK("https://www.indeed.com/viewjob?jk=3e11119ad6c4f0a9", "https://www.indeed.com/viewjob?jk=3e11119ad6c4f0a9")</f>
        <v/>
      </c>
      <c r="F98">
        <f>HYPERLINK("https://www.amazon.jobs/jobs/3184381/data-engineer-amzl-orbit-data-engineering?cmpid=DA_INAD200785B", "https://www.amazon.jobs/jobs/3184381/data-engineer-amzl-orbit-data-engineering?cmpid=DA_INAD200785B")</f>
        <v/>
      </c>
      <c r="G98" t="inlineStr">
        <is>
          <t>Austin, TX, US</t>
        </is>
      </c>
      <c r="H98" s="2" t="n">
        <v>46054</v>
      </c>
      <c r="I98"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99">
      <c r="A99" t="inlineStr">
        <is>
          <t>in-8fcb139030c3f5af</t>
        </is>
      </c>
      <c r="B99" t="inlineStr">
        <is>
          <t>Data Engineer, AMZL Orbit Data Engineering</t>
        </is>
      </c>
      <c r="C99" t="inlineStr">
        <is>
          <t>Amazon.com</t>
        </is>
      </c>
      <c r="D99" t="inlineStr">
        <is>
          <t>indeed</t>
        </is>
      </c>
      <c r="E99">
        <f>HYPERLINK("https://www.indeed.com/viewjob?jk=8fcb139030c3f5af", "https://www.indeed.com/viewjob?jk=8fcb139030c3f5af")</f>
        <v/>
      </c>
      <c r="F99">
        <f>HYPERLINK("https://www.amazon.jobs/jobs/3184381/data-engineer-amzl-orbit-data-engineering?cmpid=DA_INAD200785B", "https://www.amazon.jobs/jobs/3184381/data-engineer-amzl-orbit-data-engineering?cmpid=DA_INAD200785B")</f>
        <v/>
      </c>
      <c r="G99" t="inlineStr">
        <is>
          <t>Bellevue, WA, US</t>
        </is>
      </c>
      <c r="H99" s="2" t="n">
        <v>46054</v>
      </c>
      <c r="I99"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00">
      <c r="A100" t="inlineStr">
        <is>
          <t>in-0212cfdc5a2493f3</t>
        </is>
      </c>
      <c r="B100" t="inlineStr">
        <is>
          <t>Senior Data Engineer/Scientist</t>
        </is>
      </c>
      <c r="C100" t="inlineStr">
        <is>
          <t>Zendar</t>
        </is>
      </c>
      <c r="D100" t="inlineStr">
        <is>
          <t>indeed</t>
        </is>
      </c>
      <c r="E100">
        <f>HYPERLINK("https://www.indeed.com/viewjob?jk=0212cfdc5a2493f3", "https://www.indeed.com/viewjob?jk=0212cfdc5a2493f3")</f>
        <v/>
      </c>
      <c r="F100">
        <f>HYPERLINK("https://zendar.breezy.hr/p/13530cec0907-senior-data-engineer-scientist?source=indeed", "https://zendar.breezy.hr/p/13530cec0907-senior-data-engineer-scientist?source=indeed")</f>
        <v/>
      </c>
      <c r="G100" t="inlineStr">
        <is>
          <t>Berkeley, CA, US</t>
        </is>
      </c>
      <c r="H100" s="2" t="n">
        <v>46053</v>
      </c>
      <c r="I100" t="inlineStr">
        <is>
          <t>Are you tired of your good old corporate job, working on one project for half a year? Is your passion for making great infrastructure being kept in a box labeled “for later”? Do you enjoy working with smart people and do you want to make their developer experience great?
Zendar is looking for an experienced Data Engineer who understands data management, ML model training workflows and their optimization, and is excited to wear multiple hats to make sure engineers stay productive and infrastructure supports them. Our team is a testament of the ability to unite engineers of different backgrounds over a common vision. We do not shy away from reality and its limitations but we also dream big.
You don't have to fit in a box. We are not looking for a superhero. But we might be looking for you!
**About Zendar:**
=================
Zendar is building perception for physical AI—giving engineers a strong foundation for creating world\-class robotics applications. At Zendar, you'll work on perception foundation models that enable robots to understand and interact with their environments across a wide range of industries.  
Zendar pioneered RF perception that delivers a vision\-like, semantically segmented understanding of the environment—running on embedded automotive systems using only radar data. This RF perception forms the backbone of Zendar's next\-generation foundation models, which are built around early fusion of RF and vision data.  
This architecture inverts the traditional perception stack. Instead of treating RF signals as secondary, Zendar's models combine vision's high angular resolution with RF's strong temporal and spatial understanding at the earliest stages of perception. The result is a system that sees farther, remains robust to occlusion and adverse weather, and operates far more efficiently than vision\-only or lidar\-based approaches.
See a demo of Zendar's foundational RF perception (https://youtu.be/MUxE2T2Qe8g?si\=WKsm\_\_4t3VrC6Shi)  
At Zendar, you'll work at the cutting edge of autonomous mobility and robotics—advancing foundation models that will power the next generation of physical AI systems. You'll work with large\-scale, real\-world, multi\-modal datasets composed of synchronized and calibrated radar, camera, and lidar data collected across multiple continents.  
Our team brings together deep expertise across hardware, signal processing, machine learning, and software engineering, with decades of experience in sensing and perception. We are a global team with offices in Berkeley, Lindau (Germany), and Paris (France). Zendar is well\-funded by leading Tier\-1 venture capital firms and has established strong industry partnerships.  
Although AI is central to what we build, our hiring process is intentionally human: every résumé is reviewed by a real person.
**Your Role:**
==============
To support our growing team, we're looking for a **Senior Data Engineer** to elevate our processes and technologies to the next level. If you are excited about designing and managing the complex signal processing data engineering pipelines, we'd love to hear from you!
We have a rapidly growing corpus of driving data, encompassing tens of thousands of kilometers of real\-world driving on three continents, and a total data size of multiple petabytes. We add to that on a daily basis with data coming from our fleet of data collection vehicles. The Data team is responsible for indexing, processing, and categorizing all this data so that we make it frictionless to use it to test, train, and improve our driving models. Your responsibilities will focus on developing ETL data pipelines to guarantee data quality and to extract rich insights about the data that are available for downstream use. Some examples of data insights include categorizing driving behaviors, environments, and road user types. Our ETL pipelines are not your typical pipelines \- they are robotics tasks such as vehicle calibration, driving behavior analysis, and video understanding models.
You will be based in our Berkeley site but join a Data Engineering team which is distributed between Berkeley and Europe. As the 6th member of the Data team and the 3rd in Berkeley, you will have a lot of visibility and responsibility within the team. This type of environment is perfect for someone who is comfortable managing multiple responsibilities simultaneously, enjoys interacting frequently with other engineers, and is opinionated about what to prioritize and how to build things.
**Key Responsibilities:**
-------------------------
### **ML Data Management:**
* Maintain and grow a robust and reliable data lake in GCP for our proprietary training and evaluation data.
* Ensure robust data quality control with carefully designed algorithms.
* Grow our data lookup capabilities for data selection for labeling and model training.
* Own data quality algorithms and actively monitor data corruption in the datalake
### **Support for ML Engineers:**
* Serve as liaison to support Berkeley, Paris \&amp; German office ML engineers (Human annotation processing, data calibration, data upload issues)
### **Setting and Maintaining Infrastructure Standards:**
* Be a go\-to resource for solving infrastructure\-related challenges, fostering a culture of ownership and accountability in the team.
**What We Look For:**
=====================
* 5\+ years in Data Science, MLOps or similar
* Strong algorithmic and optimization skills, especially in statistics and signal processing.
* Deep experience with cloud computing platforms (GCP or other), production\-grade database design/deployment and Cloud\-native ML workflow.
* Broad knowledge of data engineering and MLOps tools (Lambda, Kubernetes, Terraform).
* Proficiency with Python and SQL queries.
* A proactive approach to solving problems and willingness to take on new challenges as they arise.
* Somebody with solid opinions based on experience, yet open\-minded and flexible to find the best solution for the situation.
* Ability to work from the office in Berkeley at least from Tuesday to Thursday.
**Bonus Points:**
-----------------
* Prior experience in ADAS or sensor data processing pipelines (radar, lidar).
* Familiarity with Google BigQuery and related data visualization tools.
* Experience with production\-grade serverless batch/streaming applications.
* Hands\-on experience in the management of large datalakes (\&gt;1PB).
* NoSQL database design/deployment experience.
* A track record of excelling in ambiguous or evolving roles.
**What You Would Work On:**
===========================
* When sorting through 1000s of hours of data, understanding what is in our training data is critical! Leveraging existing camera object detection models and automating data labeling is the logical next step, significantly reducing manual effort and streamlining the data pipeline. As the research requirements change, the camera model integration needs to seamlessly adjust as well.
* Sensors and vehicle calibrations can drift unexpectedly, which if undetected significantly harms the quality of results. We need to automatically identify calibration drifts and correct them before data is consumed, so that data users can have high trust in the quality of the data they work with.
* Enriching our ground truth data with KPIs designed by the Product and push them to production.
* Our signal processing pipelines are using hundreds/thousands of VM hours, the monitoring of their performance can be tricky, enhancing our tooling is essential to select the next candidate for cost optimisation.
**What We Offer:**
==================
* Opportunity to make an impact at a young, venture\-backed company in an emerging market
* Competitive salary ranging from $150,000 to $190,000 annually depending on experience
* Performance based Bonus
* Benefits including medical, dental, and vision insurance, flexible PTO, and equity
* Hybrid work model: in office 3 days per week from Tuesday to Thursday, the rest… work from wherever!
* Daily catered lunch and a stocked fridge (when working out of the Berkeley, CA office)
*Zendar is committed to creating a diverse environment where talented people come to do their best work. We are proud to be an equal opportunity employer. All qualified applicants will receive consideration for employment without regard to race, color, religion, gender, gender identity or expression, sexual orientation, national origin, genetics, disability, age, or veteran status.*  
*Zendar participates in E\-Verify*</t>
        </is>
      </c>
    </row>
    <row r="101">
      <c r="A101" t="inlineStr">
        <is>
          <t>in-f65c86b5409db3e8</t>
        </is>
      </c>
      <c r="B101" t="inlineStr">
        <is>
          <t>Data Engineer, Denied Party Screening, AWS Compliance &amp; Security Assurance</t>
        </is>
      </c>
      <c r="C101" t="inlineStr">
        <is>
          <t>Amazon.com</t>
        </is>
      </c>
      <c r="D101" t="inlineStr">
        <is>
          <t>indeed</t>
        </is>
      </c>
      <c r="E101">
        <f>HYPERLINK("https://www.indeed.com/viewjob?jk=f65c86b5409db3e8", "https://www.indeed.com/viewjob?jk=f65c86b5409db3e8")</f>
        <v/>
      </c>
      <c r="F101">
        <f>HYPERLINK("https://www.amazon.jobs/jobs/3160403/data-engineer-denied-party-screening-aws-compliance--security-assurance?cmpid=DA_INAD200785B", "https://www.amazon.jobs/jobs/3160403/data-engineer-denied-party-screening-aws-compliance--security-assurance?cmpid=DA_INAD200785B")</f>
        <v/>
      </c>
      <c r="G101" t="inlineStr">
        <is>
          <t>Seattle, WA, US</t>
        </is>
      </c>
      <c r="H101" s="2" t="n">
        <v>46029</v>
      </c>
      <c r="I101"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02">
      <c r="A102" t="inlineStr">
        <is>
          <t>in-84af2969f12249b5</t>
        </is>
      </c>
      <c r="B102" t="inlineStr">
        <is>
          <t>Data Engineer, Denied Party Screening, AWS Compliance &amp; Security Assurance</t>
        </is>
      </c>
      <c r="C102" t="inlineStr">
        <is>
          <t>Amazon.com</t>
        </is>
      </c>
      <c r="D102" t="inlineStr">
        <is>
          <t>indeed</t>
        </is>
      </c>
      <c r="E102">
        <f>HYPERLINK("https://www.indeed.com/viewjob?jk=84af2969f12249b5", "https://www.indeed.com/viewjob?jk=84af2969f12249b5")</f>
        <v/>
      </c>
      <c r="F102">
        <f>HYPERLINK("https://www.amazon.jobs/jobs/3160403/data-engineer-denied-party-screening-aws-compliance--security-assurance?cmpid=DA_INAD200785B", "https://www.amazon.jobs/jobs/3160403/data-engineer-denied-party-screening-aws-compliance--security-assurance?cmpid=DA_INAD200785B")</f>
        <v/>
      </c>
      <c r="G102" t="inlineStr">
        <is>
          <t>Dallas, TX, US</t>
        </is>
      </c>
      <c r="H102" s="2" t="n">
        <v>46029</v>
      </c>
      <c r="I102"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li-4375994406</t>
        </is>
      </c>
      <c r="B2" t="inlineStr">
        <is>
          <t>Senior Data Engineer</t>
        </is>
      </c>
      <c r="C2" t="inlineStr">
        <is>
          <t>AMroute LLC</t>
        </is>
      </c>
      <c r="D2" t="inlineStr">
        <is>
          <t>linkedin</t>
        </is>
      </c>
      <c r="E2" t="inlineStr"/>
      <c r="F2" t="inlineStr"/>
      <c r="G2" t="inlineStr">
        <is>
          <t>Piscataway, NJ</t>
        </is>
      </c>
      <c r="H2" t="inlineStr"/>
      <c r="I2" t="inlineStr">
        <is>
          <t>* Design and implement features of our TMR data model
* Oversee cloud data migration to TMR and production deployment
* Contribute to technical design discussions and architecture decisions
* Write high\-quality, testable code for chemical registration workflows
* Support and mentor junior team members
* Collaborate with scientists and other engineers to implement business requirements</t>
        </is>
      </c>
    </row>
    <row r="3">
      <c r="A3" t="inlineStr">
        <is>
          <t>li-4375946829</t>
        </is>
      </c>
      <c r="B3" t="inlineStr">
        <is>
          <t>Data Engineer</t>
        </is>
      </c>
      <c r="C3" t="inlineStr">
        <is>
          <t>The Marlin Alliance, Inc.</t>
        </is>
      </c>
      <c r="D3" t="inlineStr">
        <is>
          <t>linkedin</t>
        </is>
      </c>
      <c r="E3" t="inlineStr"/>
      <c r="F3" t="inlineStr"/>
      <c r="G3" t="inlineStr">
        <is>
          <t>San Diego, CA</t>
        </is>
      </c>
      <c r="H3" t="inlineStr"/>
      <c r="I3" t="inlineStr">
        <is>
          <t>The Marlin Alliance is seeking a forward\-thinking
 **Data Engineer** 
 in San Diego, CAto provide client support to our Navy client. This is an on\-site role and applicants must have active DoD Secret Clearance.
 Established in 2002, The Marlin Alliance is seeking to hire highly skilled individuals to support mission critical projects within the Navy. We are looking for motivated individuals to lead and support digital transformation, data science and analytics, and automation projects for variety of Navy clients. Individuals must be able to function in a fast\-paced work environment and able to adapt quickly to rapidly changing requirements and technologies. Using your comprehensive knowledge of various technologies, you will design, develop, and implement solutions to support Navy mission owners in their digital transformation journey.
**This role is on\-site in San Diego, CA and requires active TS/SCI clearance.**
**Responsibilities**
* Build and optimize robust data pipelines: ingestion, transformation, storage, and governance.
* Convert between tactical data formats, e.g., XML, JSON, GEOJSON, Cursor\-on\-Target (CoT), JREAP\-C, Link\-16\.
* Implement automation using CHRON/CRON jobs and data orchestration frameworks (Apache Airflow, Kafka, AWS Step Functions).
* Architect and maintain scalable data stores (e.g., Apache Iceberg, Elasticsearch) with schema evolution and deduplication.
* Enable real\-time data indexing and fast query performance.
* Implement MIL\-STD\-6016 (Link\-16\) and MIL\-STD\-3011 (JREAP) message handling.
* Support integration or development of Cross\-Domain Solutions (CDS) for secure, policy\-based data transfers.
* Present complex data flows and technical insights effectively to leadership and stakeholders using clear data models and visual aids.
**Required Skills And Experience**
* 5 \- 10 years' experience working as a business analyst, data analyst, data scientist, data engineer, database administrator, geospatial analyst, geospatial engineer, machine learning engineer, or software engineer
* Hands on Keyboard\- Developer Skillsets
* Fluency in Python, can code without Modern libraries.
* Experience in format conversions with some of the following: XML, JREAP\-C, COT (cursor\-on\-target), JSON, GEO JSON, UMF/UHR, text link\-16, Tapil\-J, and other Tactical Data Links.
* Experience in natural language parsing (NLP) and using regular expressions, RegEx
* Experience implementing CHRON/CRON jobs
* Experience in data pipeline orchestration, ETL, orchestration tools (e.g., Kafka, Apache Airflow, AWS Step Functions)
* Focused experience implementing and monitoring data stores i.e. (Apache Iceberg, elastic search, data lake management)
* Experience with schema evolution, dataflow and governance
* Experience with real\-time search and analytics engines for indexing and querying semi\-structured data
* Focused experience optimizing data store queries for speed and de\-duplication
* Direct experience implementing MIL\-STD\-6016 and MIL\-STD\-3011
* Can translate data between source and destination schemas
* Data modeling and PowerPoint presentations for leadership and stakeholder presentations
* Experience working with or developing Cross Domain Solutions (CDS) systems.
**Preferred Skills And Experience**
* Familiarity with DoD data architecture principles (e.g. DoDAF, CADM).
* Experience with DataOps or similar mission\-critical pipeline automation (e.g., deduplication, schema normalization).
* Any experience leveraging universal data distribution architectures within DOD operations.
**Education And Certification Requirements**
* Bachelor’s degree in Data Science, Computer Science, Engineering, or related STEM field.
**Work Environment and Mental/Physical Demands**
 The physical demands described here are representative of those that must be met by an employee to successfully perform the essential functions of this position. Reasonable accommodations may be made to enable individuals with disabilities to perform the functions, absent undue hardships.
* Must be able to perform work in a stationary position at a minimum of 50% of the time.
* Must have the ability to operate computer and other office productivity machinery consistently during work hours.
* Must have the ability to communicate and exchange information and ideas in an in\-person or virtual setting through the use of online tools and available communication mediums.
* Reasonable accommodations may be made to enable individuals with disabilities to perform essential functions of their job, absent undue hardship.
 The Employer retains the right to change or assign other duties to this position as deemed necessary
**Job Classification**
 Associate III
 $175,000 \- $225,000
**Disclaimer**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“at\-will” relationship.
 An Equal Opportunity Employer/Protected Veterans/Individuals with Disabilities</t>
        </is>
      </c>
    </row>
    <row r="4">
      <c r="A4" t="inlineStr">
        <is>
          <t>li-4377925486</t>
        </is>
      </c>
      <c r="B4" t="inlineStr">
        <is>
          <t>AI Data Analytics Engineer</t>
        </is>
      </c>
      <c r="C4" t="inlineStr">
        <is>
          <t>Tandym Group</t>
        </is>
      </c>
      <c r="D4" t="inlineStr">
        <is>
          <t>linkedin</t>
        </is>
      </c>
      <c r="E4" t="inlineStr"/>
      <c r="F4" t="inlineStr"/>
      <c r="G4" t="inlineStr">
        <is>
          <t>Stamford, CT</t>
        </is>
      </c>
      <c r="H4" t="inlineStr"/>
      <c r="I4" t="inlineStr">
        <is>
          <t>A recognized financial services organization in Stamford, Connecticut is actively seeking a new AI Data Analytics Engineer to build and maintain data foundations that power decision\-making across the firm, encompassing analytics, data engineering, and automation. Experience with AI Configuration, AI Implementation and AI Infrastructure a must.
**About the Opportunity:** 
* **Schedule:** 
 Monday to Friday
* **Hours:** 
 Standard business
* **Setting:** 
 Hybrid (Tuesday to Thursdays onsite)
**Responsibilities:** 
* Define and standardize key metrics, data definitions, and reporting logic
* Identify data gaps and recommend process improvements
* Build and maintain data pipelines from various systems
* Design and maintain analytical layers and documentation
* Develop and operate ETL/ELT workflows with rigorous validation
* Configure, fine\-tune, and optimize LLMs and advanced ML models.
* Build and manage prompt frameworks, embeddings, and vector databases.
* Translate business challenges into AI\-powered workflows.
* Work with cloud platforms (Azure, AWS, or GCP) to scale AI workloads.
* Improve reliability, performance, and governance of AI systems.
**Qualifications:** 
* Proficiency with Data Warehouses and designing datasets for analytics
* Familiarity with SQL and experience with relational databases
* Experience building and maintaining ETL/ELT workflows
* Experience integrating data via APIs
* Demonstrated ability to build dashboards and visualizations
* Familiarity with crypto markets and on\-chain analytics
* Experience with metric layers, semantic models, and documentation
**Desired Skills:** 
* Certification in Data Analytics and/or Engineering
* Advanced skills with SQL</t>
        </is>
      </c>
    </row>
    <row r="5">
      <c r="A5" t="inlineStr">
        <is>
          <t>li-4369669486</t>
        </is>
      </c>
      <c r="B5" t="inlineStr">
        <is>
          <t>AI Data Engineer</t>
        </is>
      </c>
      <c r="C5" t="inlineStr">
        <is>
          <t>Schonfeld</t>
        </is>
      </c>
      <c r="D5" t="inlineStr">
        <is>
          <t>linkedin</t>
        </is>
      </c>
      <c r="E5" t="inlineStr"/>
      <c r="F5" t="inlineStr"/>
      <c r="G5" t="inlineStr">
        <is>
          <t>New York, NY</t>
        </is>
      </c>
      <c r="H5" t="inlineStr"/>
      <c r="I5" t="inlineStr">
        <is>
          <t>**About The Role**
 Schonfeld Strategic Advisors is seeking an experienced AI Data Engineer to join our Data Engineering team. In this role, you will be responsible for designing, building, and maintaining robust data pipelines that power SchonAI, our firm's internal AI platform. You will work at the intersection of data engineering and AI, ensuring that high\-quality, timely, and relevant data flows seamlessly to our AI systems to support investment professionals across the firm.
**Key Responsibilities**
**Data Pipeline Development**
* Design and build scalable, reliable data pipelines to ingest, transform, and deliver structured and unstructured data to SchonAI using Prefect.
* Develop ETL/ELT processes for diverse data sources including market data, research documents, internal databases, and third\-party APIs.
* Implement real\-time and batch data processing workflows to meet varying latency requirements.
* Ensure data quality, consistency, and integrity across all pipelines.
**AI Data Infrastructure**
* Build and maintain data infrastructure optimized for AI/ML workloads, including vector databases and semantic search systems.
* Design data schemas and storage solutions that support efficient retrieval and processing for LLM applications.
* Implement data versioning, lineage tracking, and observability for AI training and inference pipelines.
* Optimize data delivery for low\-latency AI interactions and high\-throughput batch processing.
**Integration \&amp; Collaboration**
* Partner with AI engineers, software developers, and data scientists to understand data requirements.
* Integrate with existing firm systems including risk platforms, trading systems, portfolio management tools, and research databases.
* Collaborate with infrastructure teams on cloud architecture, security, and compliance requirements.
* Work closely with business stakeholders to prioritize data sources and pipeline enhancements.
**Data Governance \&amp; Security**
* Implement appropriate data access controls, encryption, and compliance measures.
* Ensure adherence to data governance policies and regulatory requirements.
* Monitor and maintain data pipeline performance, reliability, and cost efficiency.
* Document data flows, transformations, and dependencies.
**Required Qualifications**
**Technical Skills**
* Programming: Strong proficiency in Python; experience with SQL and at least one other language (e.g. Java, Scala, Go, Rust)
* Data Engineering: 5\+ years of experience building production data pipelines using tools like Apache Airflow, Prefect, Dagster, or similar
* Big Data Technologies: Hands\-on experience with distributed computing frameworks (Spark, Flink) and modern data platforms
* Cloud Platforms: Proficiency with AWS services (S3, Kubernetes) or equivalent GCP services
* Databases: Experience with both SQL (PostgreSQL, MySQL) and NoSQL databases (MongoDB, DynamoDB, Elasticsearch)
* AI/ML Data: Understanding of data requirements for ML/AI systems, including experience with vector databases (Pinecone, Weaviate, Qdrant) and embedding pipelines
**Preferred Experience**
* Experience building data pipelines for LLM applications or RAG (Retrieval Augmented Generation) systems
* Familiarity with financial data sources (market data, fundamental data, alternative data)
* Knowledge of data streaming technologies (Kafka, Kinesis, Pub/Sub)
* Experience of Analytics/Warehouse/OLAP DB (BigQ, SingleStore, RedShift, ClickHouse)
* Experience with containerization (Docker) and orchestration (Kubernetes)
* Understanding of MLOps practices and tools
* Experience with data quality frameworks (Great Expectations, Deequ)
**Professional Skills**
* Bachelor's or Master's degree in Computer Science, Data Engineering, or related technical field
* Strong problem\-solving skills and attention to detail
* Excellent communication skills with ability to translate technical concepts for non\-technical stakeholders
* Experience working in fast\-paced, collaborative environments
* Self\-motivated with ability to manage multiple priorities
**Who We Are**
 Schonfeld is a global multi\-manager hedge fund that strives to deliver industry\-leading risk\-adjusted returns for our investors. We leverage both internal and external portfolio manager teams around the world, seeking to capitalize on inefficiencies and opportunities within the markets. We draw from decades of experience and a significant investment in proprietary technology, infrastructure and risk analytics to invest across four main strategies: Quant, Tactical, Fundamental Equity and Discretionary Macro \&amp; Fixed Income.
**Our Culture**
 At Schonfeld, we’ll invest in you. Attracting and retaining top talent is at the heart of what we do, because we believe that exceptional outcomes begin with exceptional people. We foster a culture where talent is empowered to continually learn, innovate and pursue ambitious goals. We are teamwork\-oriented, collaborative and encourage ideas—at all levels—to be shared. As an organization committed to investing in our people, we provide learning and educational offerings and opportunities to make an impact. We encourage community through internal networks, external partnerships and service initiatives that promote inclusion and purpose beyond the firm’s walls.
 The base pay for this role is expected to be between $225k and $275k. The expected base pay range is based on information at the time this post was generated. This role may also be eligible for other forms of compensation such as a performance bonus and a competitive benefits package. Actual compensation for the successful candidate will be determined based on a variety of factors such as skills, qualifications, and experience.</t>
        </is>
      </c>
    </row>
    <row r="6">
      <c r="A6" t="inlineStr">
        <is>
          <t>li-4379039274</t>
        </is>
      </c>
      <c r="B6" t="inlineStr">
        <is>
          <t>Analytics Engineer</t>
        </is>
      </c>
      <c r="C6" t="inlineStr">
        <is>
          <t>HubSpot</t>
        </is>
      </c>
      <c r="D6" t="inlineStr">
        <is>
          <t>linkedin</t>
        </is>
      </c>
      <c r="E6" t="inlineStr"/>
      <c r="F6" t="inlineStr"/>
      <c r="G6" t="inlineStr"/>
      <c r="H6" t="inlineStr"/>
      <c r="I6" t="inlineStr">
        <is>
          <t>HubSpot’s mission is to Help Millions of Organizations Grow Better. Our Operations team supports the internal teams that power HubSpot — including HR, Recruiting, Finance, Legal, L\&amp;D, and Workforce Planning.
 Within Operations, the Data, Systems \&amp; Intelligence team builds and maintains the modern data foundation that enables effective decision\-making across our corporate functions. Flexible, well\-connected, well\-architected data are the backbone of our strategy, and our Analytics Engineers play a critical role in building and maintaining that foundation.
 We believe in the power of data to drive operational excellence. We leverage data to improve day\-to\-day efficiency, strengthen planning processes, and support long\-term strategic initiatives across HubSpot’s internal teams.
 In this role, you’ll contribute to building a scalable data foundation that powers analytics and internal reporting. Your work will support analytical and data\-driven initiatives across Company Pillar functions.
**The Role**
 As an Analytics Engineer, you’ll join the Company Pillar Data Operations team to help build and maintain a modern data foundation that supports analysis and internal data products.
 You’ll work closely with a Senior Data Engineer and a Senior Analytics Engineer on a small but impactful team. Together, you’ll translate business requirements into reliable, reusable data models and datasets that support internal reporting and analysis.
**In this Role, you’ll get to**
* Build and maintain scalable data models in dbt that support reporting and analysis across Company Pillar teams
* Develop well\-structured, reusable datasets in Snowflake
* Build and maintain reporting assets in Looker to enable self\-serve analytics
* Support internal teams by improving data definitions, reliability, and usability
* Assist with root\-cause analysis of data issues and implement sustainable fixes
* Strengthen documentation around data models, definitions, and requirements
* Grow your analytics engineering toolkit through peer collaboration and learning within HubSpot’s AE community
**We Are Looking For People Who Have**
* 1\+ years of hands\-on SQL experience
* Strong understanding of relational databases and data modeling
* Hands\-on experience using dbt to create data pipelines
* Ability to write and maintain clear technical documentation
* Strong problem\-solving skills and curiosity to learn new tools and business domains
* Experience with Snowflake, dbt, and/or Looker is a plus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$90,400—$135,600 USD
*We know the* 
*confidence gap* 
*and* 
*impostor syndrome* 
*can get in the way of meeting spectacular candidates, so please don’t hesitate to apply — we’d love to hear from you.*
***If you need accommodations or assistance due to a disability, please reach out to us using this form.***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 HubSpot Careers
* Life at HubSpot on Instagram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Refer to HubSpot's Recruiting Privacy Notice for details on data processing and your rights.*</t>
        </is>
      </c>
    </row>
    <row r="7">
      <c r="A7" t="inlineStr">
        <is>
          <t>li-4379033252</t>
        </is>
      </c>
      <c r="B7" t="inlineStr">
        <is>
          <t>Senior Data Engineer</t>
        </is>
      </c>
      <c r="C7" t="inlineStr">
        <is>
          <t>Cerberus Capital Management</t>
        </is>
      </c>
      <c r="D7" t="inlineStr">
        <is>
          <t>linkedin</t>
        </is>
      </c>
      <c r="E7" t="inlineStr"/>
      <c r="F7" t="inlineStr"/>
      <c r="G7" t="inlineStr"/>
      <c r="H7" t="inlineStr"/>
      <c r="I7" t="inlineStr">
        <is>
          <t>**About the job** 
 Cerberus Technology Solutions
**Position Title:** 
 Associate/Sr. Associate, Sr. Data Engineer, CTS
**Functional / Industry Experience:** 
 Sr. Data Engineer (5 – 10 years)
**Position Type (Core/Consultant/BOD):** 
 Core
**Time Commitment:** 
 Full\-Time
**Summary** 
 We are looking to expand our Data Engineering team to build modern, scalable data platforms for our internal investment desks and portfolio companies. You will contribute to the firm’s objectives by delivering rapid and reliable data solutions that unlock value for Cerberus desks, portfolio companies, and other businesses. You’ll do this by designing and implementing robust data architectures, pipelines, and workflows that enable advanced analytics and AI applications. You may also support initiatives such as due diligence and pricing analyses by ensuring high\-quality, timely data availability.
**Responsibilities** 
 » Design, build, and maintain scalable, cloud\-based data pipelines and architectures to support advanced analytics and machine learning initiatives.
 » Develop robust ELT/ELT workflows using tools like Snowflake, MS Fabric, dbt, ADF, Airflow, and Relational DBs like SQL Server and PostgreSQL, to transform raw data into high\-quality, analytics\-ready datasets.
 » Collaborate with data scientists, analysts, and software engineers to ensure seamless data integration and availability for predictive modeling and business intelligence.
 » Optimize data storage and processing in Azure environments for performance, reliability, and cost\-efficiency.
 » Implement best practices for data modeling, governance, and security across all platforms.
 » Troubleshoot and enhance existing pipelines to improve scalability and resilience.
**Sample Projects You Work On** 
 Financial Asset Management Pipeline: Build and manage data ingestion from third\-party APIs, model data using dbt, and support machine learning workflows for asset pricing and prediction using Azure ML Studio. This includes ELT processes, data modeling, running predictions, and storing outputs for downstream analytics.
**Your Experience** 
 We’re a small, high\-impact team with a broad remit and diverse technical backgrounds. We don’t expect any single candidate to check every box below \- if your experience overlaps strongly with what we do and you’re excited to apply your skills in a fast\-moving, real\-world environment, we’d love to hear from you.
 »
 **Strong technical foundation** 
 : Degree in a STEM field (or equivalent experience) with hands\-on experience in production environments, emphasizing performance optimization and code quality.
 »
 **Python expertise:** 
 Advanced proficiency in Python for data engineering, data wrangling and pipeline development.
 »
 **Cloud Platforms** 
 : Hands\-on experience working with Azure. AWS experience is considered, however Azure exposure is preferred.
 »
 **Data Warehousing:** 
 Proven expertise with Snowflake – schema design, performance tuning, data ingestion, and security.
 »
 **Workflow Orchestration:** 
 Production experience with Apache Airflow (Prefect, Dagster or similar), including authoring DAGs, scheduling workloads and monitoring pipeline execution.
 »
 **Data Modeling:** 
 Strong theoretical and practical understanding of relational and dimensional modeling. Proficient in dbt, including writing modular SQL transformations, building data models, and maintaining dbt projects.
 »
 **SQL Databases:** 
 Extensive experience with PostgreSQL, SQL Server (or similar), including schema design, optimization, and complex query development.
 »
 **Version Control and CI/CD:** 
 Familiarity with Git\-based workflows and continuous integration/deployment practices (experience with Azure DevOps or Github Actions) to ensure seamless code integration and deployment processes.
 »
 **Communication and problem\-solving skills:** 
 Ability to articulate complex technical concepts to technical and non\-technical stakeholders alike. Excellent problem\-solving skills with a strong analytical mindset.
 »
 **Infrastructure as Code (
 *Nice to have* 
 ):** 
 Production experience with declarative infrastructure definition – e.g. Terraform, Pulumi or similar.
**Professional Experience \&amp; Education** 
 » Bachelor's or Master's degree in Computer Science, Engineering, or a related field.
 » Relevant certification from Azure, AWS, GCP, IBM, Snowflake, dbt
**Other Requirements** 
 » Cross industry exposure and experience preferred
 » 5 days a week in\-office: We believe in the power of in\-person collaboration to drive innovation, mentorship, and velocity. This role is based in our office five days a week – ideal for those who thrive in high\-energy, team\-centric environments.
 » Global exposure: Be ready to travel! This role offers occasional cross\-continental and international travel opportunities, giving you the chance to engage with global teams, portfolio companies, and cutting\-edge tech initiatives around the world.
**Work Authorization** 
 We are unable to sponsor or transfer employment visas at this time.
**Company Description** 
 Established in 1992, Cerberus Capital Management, L.P., together with its affiliates, is one of the world's leading private investment firms. Through its team of investment and operations professionals, Cerberus specializes in providing both financial resources and operational expertise to help transform undervalued and underperforming companies into industry leaders for long\-term success and value creation. Cerberus holds controlling or significant minority interests in companies around the world.
 Cerberus Technology Solutions is an operating company and subsidiary of Cerberus Capital Management. We are a new, but growing team of AI specialists \- data scientists, software engineers, and technology strategists \- working to transform how an alternative investment firm with $65B in assets under management leverages technology and data. Our remit is broad, spanning investment operations, portfolio companies, and internal systems, giving the team the opportunity to shape the way the firm approaches analytics, automation, and decision\-making.
 We operate with the creativity and agility of a small team, tackling diverse, high\-impact challenges across the firm. While we are embedded within a global investment platform, we maintain a collaborative, innovative culture where our AI talent can experiment, learn, and have real influence on business outcomes.</t>
        </is>
      </c>
    </row>
    <row r="8">
      <c r="A8" t="inlineStr">
        <is>
          <t>li-4353260839</t>
        </is>
      </c>
      <c r="B8" t="inlineStr">
        <is>
          <t>Data Engineer, Product Analytics</t>
        </is>
      </c>
      <c r="C8" t="inlineStr">
        <is>
          <t>Meta</t>
        </is>
      </c>
      <c r="D8" t="inlineStr">
        <is>
          <t>linkedin</t>
        </is>
      </c>
      <c r="E8" t="inlineStr"/>
      <c r="F8" t="inlineStr"/>
      <c r="G8" t="inlineStr">
        <is>
          <t>Burlingame, CA</t>
        </is>
      </c>
      <c r="H8" t="inlineStr"/>
      <c r="I8"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Manage and execute data warehouse plans for a product or a group of products to solve well\-scoped problems
* Identify the data needed for a business problem and implement logging required to ensure availability of data, while working with data infrastructure to triage issues and resolve
* Collaborate with engineers, product managers and data scientists to understand data needs, representing key data insights in a meaningful way
* Build data expertise and leverage data controls to ensure privacy, security, compliance, data quality, and operations for allocated areas of ownership
* Design, build and launch new data models and visualizations in production, leveraging common development toolkits
* Independently design, build and launch new data extraction, transformation and loading processes in production, mentoring others around efficient queries
* Support existing processes running in production and implement optimized solutions with limited guidance
* Define and manage Service Level Agreements for data sets in allocated areas of ownership
 Minimum Qualifications:
* Bachelor's degree in Computer Science, Computer Engineering, relevant technical field, or equivalent practical experience
* 2\+ years of experience where the primary responsibility involves working with data. This could include roles such as data analyst, data scientist, data engineer, or similar positions
* 2\+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
      <c r="A9" t="inlineStr">
        <is>
          <t>li-4369680894</t>
        </is>
      </c>
      <c r="B9" t="inlineStr">
        <is>
          <t>Founding Senior Data Engineer - Python</t>
        </is>
      </c>
      <c r="C9" t="inlineStr">
        <is>
          <t>Talener</t>
        </is>
      </c>
      <c r="D9" t="inlineStr">
        <is>
          <t>linkedin</t>
        </is>
      </c>
      <c r="E9" t="inlineStr"/>
      <c r="F9" t="inlineStr"/>
      <c r="G9" t="inlineStr">
        <is>
          <t>New York, United States</t>
        </is>
      </c>
      <c r="H9" t="inlineStr"/>
      <c r="I9" t="inlineStr">
        <is>
          <t>Our client is a rapidly growing insurance technology start\-up, focused on revolutionizing the life insurance and annuities market. Through use of their cutting edge and AI technology, they are building an intelligent backend for insurance workflows, enabling the insurance industry to eliminate manual processes, get the most out of their data, and operate more productively and efficiently. While acting as an independent small start\-up, they are backed by a publicly\-traded organization in the space, so this offers the unique blend of a start\-up feel with stability and resources behind it.
**Job Title:** 
 Senior/Founding Data Engineer
**Location:** 
 Office in mid\-town Manhattan. Candidates must be local to the NYC metro area and comfortable working onsite 2\-3x per week. Must be eligible to work for any US employer. No sponsorship or C2C can be offered at this time.
**Required Technology And Skills**
* 5\+ years professional data engineering experience, building, maintaining, and optimizing ETL pipelines
* Expertise in Python and AWS technologies
* Experience working at both a small start\-up, as well as a larger, more structured enterprise setting
* Experience leveraging AI/ML technologies to accelerate your data engineering workflows
* Ability to work autonomously as the first data engineering hire, and helping establish best engineering practices and contributing to their data roadmap
* Experience working close with Data Scientist(s) and enabling their workflows
**Additional Skills**
* Degree in IT, Computer Science or STEM related field
* Experience in fin\-tech, insur\-tech, or working with financial data
* Experience as a Founding / 1st data engineer hire
* Experience with Typescript / Node.js
**Salary Range**
* $150,000 \- $180,000 base salary,
* Equity/bonus (Based on experience)
**Benefits And Perks**
* Hybrid work environment
* Opportunity to make large impact as the founding data engineer
* Opportunity to work with a fast\-paced, rapidly growing start\-up while also being backed by a stable, publicly traded organization
* Benefits \- health, dental, vision, PTO, 401k
 If you are interested, please apply directly for immediate consideration or reach out to Andrew Zaloom at azaloom@talener.com</t>
        </is>
      </c>
    </row>
    <row r="10">
      <c r="A10" t="inlineStr">
        <is>
          <t>li-4377696533</t>
        </is>
      </c>
      <c r="B10" t="inlineStr">
        <is>
          <t>Sr Data Engineer</t>
        </is>
      </c>
      <c r="C10" t="inlineStr">
        <is>
          <t>The Walt Disney Company</t>
        </is>
      </c>
      <c r="D10" t="inlineStr">
        <is>
          <t>linkedin</t>
        </is>
      </c>
      <c r="E10" t="inlineStr"/>
      <c r="F10" t="inlineStr"/>
      <c r="G10" t="inlineStr">
        <is>
          <t>Glendale, CA</t>
        </is>
      </c>
      <c r="H10" t="inlineStr"/>
      <c r="I10"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**Job Summary**
 The Ads Data team, part of Disney's Ad Platforms organization, is on a mission to transform the advertising landscape across TV and streaming video through the power of data and AI. We design and build innovative solutions that measure and optimize the entire advertising lifecycle — from planning and activation to measurement and insights.
 At the heart of our work is a highly collaborative, cross\-functional team that delivers end\-to\-end solutions across a wide spectrum of technologies, including machine learning, big data, microservices, and data visualization.
 We are hiring a Senior Data Engineer to design, build, and scale the data foundations that power AI adoption across Ad Technology. In this role, you will own how data flows into AI ready and optimized stores, from streaming pipelines and embedding pipelines to vector stores and monitoring systems.
 You’ll partner closely with the AI Core Engineering team to enable shared agents, registries, and developer tools with robust, reliable, real\-time data. As a Senior Engineer, you will design and implement robust data engineering solutions, mentor junior team members, and build resilient pipelines that support high\-profile AI applications. You will play a key role in developing reliable, real\-time data foundations, enabling faster and safer deployments across Disney Ad Tech.
 This role is ideal for someone who combines strong technical expertise with a passion for leadership, system design, and delivering real business impact through data platforms. If you thrive in a fast\-paced, highly collaborative environment and are excited about building the foundation for the future of advertising, we’d love to hear from you.
**Responsibilities And Duties Of The Role**
 Data Architecture \&amp; Pipeline Development
* Build and maintain high‑performance streaming and batch data pipelines that power AI applications, ensuring reliable low‑latency ingestion and high‑throughput processing.
* Implement and extend embedding generation workflows, vector store integrations, and retrieval pipelines supporting semantic search, RAG systems, and AI assistants.
* Develop and optimize scalable storage and retrieval patterns, focusing on cost‑efficient architecture and smooth production performance.
 AI Data Foundations \&amp; Integration
* Implement AI‑optimized data models and storage patterns that align with broader enterprise architecture and platform requirements.
* Integrate pipelines with shared AI platform services (agent frameworks, registries, feature stores), ensuring clean, versioned, and reliable data delivery.
* Build reusable ingestion, transformation, and data processing components that streamline adoption across engineering teams.
 Monitoring, Quality \&amp; Reliability
* Embed end‑to‑end observability into data systems, including metrics, structured logging, automated alerts, drift detection, and failure analysis.
* Implement robust data quality validation, schema evolution safeguards, and governance/compliance controls.
* Ensure deployed pipelines meet high standards for reliability, recoverability, auditability, and long‑term maintenance.
 Execution, Collaboration \&amp; Leadership
* Drive execution by owning the full development lifecycle: prototyping, implementation, testing, deployment, optimization, and documentation.
* Collaborate closely with infrastructure, ML engineering, product, and governance teams to deliver production‑ready AI capabilities.
* Lead by example through strong execution, high‑quality code, and proactive problem solving.
* Influence design direction through technical proposals and hands‑on delivery rather than formal ownership of standards.
**Required Education, Experience/Skills/Training**
**Basic Qualifications**
* 5\+ years of data engineering experience, with at least 1 year in a lead or senior technical role.
* Experience building and scaling streaming data pipelines in large\-scale, distributed environments.
* Strong skills in Python, Java and SQL with expert level skill in either Python or Java.
* Proven experience building streaming data pipelines (e.g., Kafka, Flink, Spark, Kinesis).
* Experience with embedding pipelines and vector stores (e.g., Pinecone, Weaviate, FAISS, pgvector).
* Strong knowledge of data modeling, storage optimization, and retrieval patterns for large\-scale systems.
* Hands\-on experience with workflow orchestration tools (Airflow, Dagster, etc.).
* Strong collaboration and communication skills, able to partner across AI engineering, infra, and product teams.
* Familiarity with testing, monitoring, and automation for data pipelines.
**Preferred Qualifications**
* Experience integrating AI\-ready data stores with LLM orchestration frameworks (LangChain, LangGraph, etc.).
* Knowledge of observability and monitoring stacks (Datadog, Prometheus, or equivalent).
* Background in governance and compliance practices for enterprise data platforms.
* Experience building data frameworks, registries, or accelerators adopted by multiple teams.
* Experience ensuring data security, lineage, and auditability in enterprise data environments
* Skilled at writing design documentation, driving system architecture reviews, and influencing data engineering culture.
**Experience With**
* Python, Java, Databricks, LangChain, Vector Stores(Pinecone, Weaviate, FAISS, pgvector), SQL, AWS big data tech stack (like S3, Glue, MWAA)
**Required Education**
* Bachelor or above in computer science or a related quantitative field; or equivalent practical experience demonstrating advanced technical expertise
 The hiring range for this position in Glendale, CA is $138,900 \- $186,200 per year, in San Francisco, CA is $152,100 \- $203,900 per year, in Seattle, WA is $145,400 \- $195,000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1">
      <c r="A11" t="inlineStr">
        <is>
          <t>li-4377919460</t>
        </is>
      </c>
      <c r="B11" t="inlineStr">
        <is>
          <t>Data Engineer</t>
        </is>
      </c>
      <c r="C11" t="inlineStr">
        <is>
          <t>AARATECH</t>
        </is>
      </c>
      <c r="D11" t="inlineStr">
        <is>
          <t>linkedin</t>
        </is>
      </c>
      <c r="E11" t="inlineStr"/>
      <c r="F11" t="inlineStr"/>
      <c r="G11" t="inlineStr"/>
      <c r="H11" t="inlineStr"/>
      <c r="I11"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12">
      <c r="A12" t="inlineStr">
        <is>
          <t>li-4377931044</t>
        </is>
      </c>
      <c r="B12" t="inlineStr">
        <is>
          <t>Data Engineer</t>
        </is>
      </c>
      <c r="C12" t="inlineStr">
        <is>
          <t>AARATECH</t>
        </is>
      </c>
      <c r="D12" t="inlineStr">
        <is>
          <t>linkedin</t>
        </is>
      </c>
      <c r="E12" t="inlineStr"/>
      <c r="F12" t="inlineStr"/>
      <c r="G12" t="inlineStr"/>
      <c r="H12" t="inlineStr"/>
      <c r="I12"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3">
      <c r="A13" t="inlineStr">
        <is>
          <t>li-4377661825</t>
        </is>
      </c>
      <c r="B13" t="inlineStr">
        <is>
          <t>Data Engineer</t>
        </is>
      </c>
      <c r="C13" t="inlineStr">
        <is>
          <t>JANUS Research Group</t>
        </is>
      </c>
      <c r="D13" t="inlineStr">
        <is>
          <t>linkedin</t>
        </is>
      </c>
      <c r="E13" t="inlineStr"/>
      <c r="F13" t="inlineStr"/>
      <c r="G13" t="inlineStr"/>
      <c r="H13" t="inlineStr"/>
      <c r="I13" t="inlineStr">
        <is>
          <t>**Location:** 
 Fort Bliss, TX (routine CONUS travel; OCONUS as mission dictates) or Remote (preference for Ft. Eustis, VA or Austin, TX)
**Clearance:** 
 Active Secret
**About The Role**
 Join JANUS as a
 **Data Engineer** 
 supporting Army modernization. You will design and operate secure, scalable data pipelines that integrate operational, simulation, and enterprise data into analysis\-ready formats. Your work will enable
 **real\-time dashboards, predictive analytics, and decision support products** 
 used across Army event cycles and campaign planning.
**Key Responsibilities**
* Build \&amp; Operate Pipelines: Design, implement, and optimize ETL/ELT pipelines using SQL, Python, and Azure services (Data \&amp; Storage, Databricks, Purview).
* Integrate Data Sources: Ingest and standardize diverse Army datasets into relational databases with clear lineage, metadata, and quality controls.
* Support Army Operations: Enable near\-real\-time data products that inform analytics, dashboards, and assessments supporting Army staff and decision\-makers.
* Cloud Engineering: Leverage Azure PaaS solutions to design scalable, secure data integration strategies aligned with AIMD’s enterprise architecture.
* Governance \&amp; Security: Apply OPSEC, IA, and PII safeguards across workflows; ensure compliance with Army data governance practices.
* Collaboration: Work with software development teams, stakeholders, and analysts to ensure data solutions meet mission requirements and PRS\-driven timelines.
**Qualifications** 
* Education: Bachelor’s degree in Computer Science, Information Systems, Engineering, Math, or related field. Equivalent experience may substitute.
* Clearance: Active Secret clearance required.
* Experience:
+ 3–5\+ years in data engineering, ETL, or data wrangling.
+ Hands\-on SQL and scripting/ETL (Python or similar).
+ Experience with Azure cloud services (Data \&amp; Storage, Analytics, Databricks, Purview) preferred.
+ Familiarity with DoD/Army datasets, event\-driven deliverables, or mission data environments a plus.
* Skills:
+ Strong problem\-solving and analytical skills, including data modeling and blending.
+ Effective communicator, able to document work clearly and engage with Army stakeholders.
+ Motivated team player, comfortable in fast\-paced, multi\-stakeholder environments.
**Benefits**
 401(k), Paid Time Off (PTO), Paid Holidays, Medical and Dental Plans, Life and Disability insurance, Education Assistance (and more).
 JANUS strives to provide opportunities for career growth through training and development. We also offer an attractive comprehensive benefit package to include health and welfare plans and financial products. As part of a total rewards program, employees can benefit from our referral bonus program, and other various employee awards. JANUS Research Group takes pride in our benefit package and rewards program which has earned us the certification of a
 **Great Place to Work** 
 ™
 JANUS Research Group provides reasonable accommodation so that qualified applicants with a disability may participate in the selection process. Please advise us of any accommodations you request to express interest in a position by e\-mailing: Alisha Pollard, Director of Human Resources at alisha.pollard@janusresearch.com or calling (706\) 364\-9100\. Please state your request for assistance in your message. Only reasonable accommodation requests related to applying for a specific position within JANUS Research Group will be reviewed at the e\-mail address and phone number supplied. Thank you for considering a career with JANUS Research Group.
 JANUS Research Group participates in the Electronic Employment Verification Program. Please click the E\-Verify link below for more information.
**E\-Verify**
 JANUS Research Group is an equal opportunity/ affirmative action employer. It is company policy to provide equal opportunity in all areas of employment practice without regard to race, color, religion, sex, sexual orientation, national origin, age, marital status, veteran status, citizenship, or disability.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qualified individuals without regard to race, color, religion, sex, national origin, protected veteran status or disability.**</t>
        </is>
      </c>
    </row>
    <row r="14">
      <c r="A14" t="inlineStr">
        <is>
          <t>li-4377927196</t>
        </is>
      </c>
      <c r="B14" t="inlineStr">
        <is>
          <t>Data Engineer</t>
        </is>
      </c>
      <c r="C14" t="inlineStr">
        <is>
          <t>AARATECH</t>
        </is>
      </c>
      <c r="D14" t="inlineStr">
        <is>
          <t>linkedin</t>
        </is>
      </c>
      <c r="E14" t="inlineStr"/>
      <c r="F14" t="inlineStr"/>
      <c r="G14" t="inlineStr"/>
      <c r="H14" t="inlineStr"/>
      <c r="I14"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5">
      <c r="A15" t="inlineStr">
        <is>
          <t>li-4377920240</t>
        </is>
      </c>
      <c r="B15" t="inlineStr">
        <is>
          <t>Data Engineer</t>
        </is>
      </c>
      <c r="C15" t="inlineStr">
        <is>
          <t>AARATECH</t>
        </is>
      </c>
      <c r="D15" t="inlineStr">
        <is>
          <t>linkedin</t>
        </is>
      </c>
      <c r="E15" t="inlineStr"/>
      <c r="F15" t="inlineStr"/>
      <c r="G15" t="inlineStr"/>
      <c r="H15" t="inlineStr"/>
      <c r="I15"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6">
      <c r="A16" t="inlineStr">
        <is>
          <t>li-4317704374</t>
        </is>
      </c>
      <c r="B16" t="inlineStr">
        <is>
          <t>Senior Data Engineer</t>
        </is>
      </c>
      <c r="C16" t="inlineStr">
        <is>
          <t>Finix</t>
        </is>
      </c>
      <c r="D16" t="inlineStr">
        <is>
          <t>linkedin</t>
        </is>
      </c>
      <c r="E16" t="inlineStr"/>
      <c r="F16" t="inlineStr"/>
      <c r="G16" t="inlineStr">
        <is>
          <t>San Francisco, CA</t>
        </is>
      </c>
      <c r="H16" t="inlineStr"/>
      <c r="I16" t="inlineStr">
        <is>
          <t>**About Us**
 Move money. Make money. Finix is a full\-stack acquirer processor, empowering businesses of all sizes with flexible, modern payment solutions. Processing billions of dollars annually, Finix enables SaaS, marketplace, and e\-commerce platforms to accept payments, manage payouts, and onboard merchants seamlessly. With our no\-code, low\-code, and developer\-friendly tools, businesses can get up and running in hours—not months.
 Finix has raised over $175M, including a $75M Series C led by Acrew Capital, with participation from Lightspeed Venture Partners, Leap Global, American Express Ventures, Bain Capital Ventures, Homebrew, Inspired Capital, Sequoia Capital, Visa, and others.
**About The Role**
 Finix’s reporting cluster is the source of truth for operational metrics, customer\-facing reports, billing, actionable insights, and a host of business\-critical KPIs. As a Data Engineer in the Data Engineering team, you will own the tooling, frameworks, data pipelines, integrations, databases, schemas and the data integrity of this cluster. You are critical to both Finix, and our customers, in supplying the data that underpins key operations decisions, uncovers hidden issues, and powers insight through reports, analytics, and dashboards owned and managed by the Data Engineering team. Our operations teams will depend on you to find, source, prepare and supply the right data allowing them to run Finix. Our product team will depend on you to serve the right data quickly and reliably to our customers so they can make timely business decisions. Data Analysts will rely on you to source and channel data where it needs to be and how it needs to be organized to power daily operations and decisions.
**You will**
* Enable our operations team to make data\-driven decisions based on timely, consistent, complete, and correct data, reports, and analytics
* Work closely with engineering team members to build reporting and analytics infrastructure, solving our and our customer’s analytics needs
* Delight our customers by providing leading reporting and analytics capabilities supporting their operations and accounting teams
* Be the subject matter expert in all things data pipelines, data lakes and warehouse, tooling \&amp; frameworks, integration and sourcing of data
* Design, build and maintain all code, pipelines, schemas, databases and frameworks that power Finix’s data analytics and reporting capabilities
**You are**
* Detail\-oriented, with a healthy dose of mistrust, driving you to investigate even the slightest data discrepancy
* Thrive in a fast\-paced environment around common goals and priorities but able to self\-direct and problem solve with others to make progress
* Fast learner of new languages, tools \&amp; frameworks. You are willing to go wherever necessary to accomplish your goals even if you haven’t been there before.
* Curious about new approaches and pushing the boundaries of what exists.
**You have**
* 6\+ years of experience in a Data Engineering, ETL, Data Science or related role
* Expert knowledge of SQL, data modeling, Python and frameworks such as Spark, Storm, Airflow, Glue etc. Java would also be great
* B.S in computer science, mathematics, statistics, physics, or a related data field
* Experience with BI tools such as Looker, Sisense, Superset, Tableau
 $180,000 \- $220,000 a year
 Finix is an equal opportunity employer and values diversity. We do not discriminate on the basis of race, religion, color, national origin, gender, sexual orientation, age, marital status, veteran status, disability status, or any other protected class.
 Role: Data Engineer IV
 Level: IC4
 Location: San Francisco, CA
 Our salary ranges are determined by role, level, and location. The range displayed on each job posting reflects the minimum and maximum target for new hire salaries at our headquarters in San Francisco, California. Individual pay is determined by work location, job related skills, experience, and relevant education or training.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
      <c r="A17" t="inlineStr">
        <is>
          <t>li-4377920486</t>
        </is>
      </c>
      <c r="B17" t="inlineStr">
        <is>
          <t>Data Engineer</t>
        </is>
      </c>
      <c r="C17" t="inlineStr">
        <is>
          <t>Avance Consulting</t>
        </is>
      </c>
      <c r="D17" t="inlineStr">
        <is>
          <t>linkedin</t>
        </is>
      </c>
      <c r="E17" t="inlineStr"/>
      <c r="F17" t="inlineStr"/>
      <c r="G17" t="inlineStr">
        <is>
          <t>Austin, TX</t>
        </is>
      </c>
      <c r="H17" t="inlineStr"/>
      <c r="I17" t="inlineStr">
        <is>
          <t>**Role:\- Spark and Scala Lead Developer** 
**Location:\- Cupertino, CA, Austin TX** 
**Job Type:\- FullTime** 
**Job Description:\-** 
**Required Qualifications** 
* At least 4 years of experience with Information Technology
* Strong understanding of distributed computing principles and big data technologies
* Hands on experience working with Apache Spark, Scala, Spark SQL and Starburst
* Hands on experience with Big Data systems, building ETL pipelines, data processing, and analytics tools
* Understanding of data structures, algorithms \&amp; common methods in data transformation
* Familiar with the concepts of dimensional modeling
* Sound knowledge of one programming language \- Python or Java
* Programming experience using tools such as Hadoop and Spark
* Strong proficiency in using query languages such as SQL, Hive and SparkSQL
* Experience in Scala Functional programming
**Preferred Qualifications:** 
* Experience in Kafka would be a plus
* Knowledge of data serialization formats such as Parquet, Avro, or ORC
* Familiarity with data processing and transformation techniques
* Experience with data lakes, data warehouses, and ETL processes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t>
        </is>
      </c>
    </row>
    <row r="18">
      <c r="A18" t="inlineStr">
        <is>
          <t>li-4378637850</t>
        </is>
      </c>
      <c r="B18" t="inlineStr">
        <is>
          <t>Data Engineer</t>
        </is>
      </c>
      <c r="C18" t="inlineStr">
        <is>
          <t>Venture Global LNG</t>
        </is>
      </c>
      <c r="D18" t="inlineStr">
        <is>
          <t>linkedin</t>
        </is>
      </c>
      <c r="E18" t="inlineStr"/>
      <c r="F18" t="inlineStr"/>
      <c r="G18" t="inlineStr">
        <is>
          <t>Arlington, VA</t>
        </is>
      </c>
      <c r="H18" t="inlineStr"/>
      <c r="I18" t="inlineStr">
        <is>
          <t>Venture Global LNG (“Venture Global”) is a long\-term, low\-cost provider of American\-produced liquefied natural gas. The company’s Louisiana\-based export projects service the global demand for North American natural gas and support the long\-term development of clean and reliable North American energy supplies. Using reliable, proven technology in an innovative plant design configuration, Venture Global’s modular, mid\-scale plant design will replace traditional designs as it allows for the same efficiency and operational reliability at significantly lower capital cost.
 The Data Engineer is responsible for developing, designing, and maintaining data platform solutions. The measures of an ideal candidate include communication skills, technical proficiency, collaboration, and willingness to learn new things. This new position will be based in our Arlington, VA headquarters and report to the Director of Business Intelligence. This position is structured within IT under the Vice President of Applications.
 The position will be located in Arlington, VA.
 Position Responsibilities:
 Key Responsibilities and Essential Duties:
* Build complex data solutions in an Azure Cloud environment.
* Maintain the Azure components and services.
* Develop architecture changes using infrastructure as code.
* Create data architectures diagrams for complex data modeling solutions.
* Create and maintain data dictionaries for contextualizing data from disparate sources.
* Enable end\-to\-end automation for deployment using continuous integration and continuous delivery.
* Implement data pipelines to ingest data to the platform, standardize the data, and transform the data into business facing datasets.
* Perform unit and integration testing of data pipelines.
* Perform data integration at scale with Azure Data Factory.
* Utilize Databricks to transform, curate, and organize data for use with business intelligence reporting and data analytics.
* Work with BI developers and business SMEs to translate business requirements into curated datasets suitable for analytics solutions.
* Document data pipelines for maintainability.
* Work with source system owners and business owners to incorporate business changes into data pipelines.
* Design data architecture for future platform growth including data warehousing, machine learning, streaming analytics, and data visualization.
* Assist in testing, governance, data quality, training, and documentation efforts.
* Actively engage in business stakeholder requirement workshops to understand, interpret, and translate requirements into effective technical solutions.
**Job Qualifications**
* Bachelor’s degree in Computer Science, Data Analytics, Engineering, Mathematics, Business, or related field of study.
* 2\+ years in cloud architecture and data engineering
* Extensive experience in implementing data storage solutions, managing, and developing data processing, and optimizing data solutions (Azure)
* Expertise in integrating, transforming, and consolidating data from structured and unstructured data systems suitable for analytics solutions.
* Understanding of parallel processing and data architecture patterns.
* Knowledgeable in data processing languages such as SQL, Python, or Spark.
* Experience in building secure data processing pipelines using Azure data services.
* Ability to self\-manage and make your own decisions.
* Excellent interpersonal and communications skills, with strong critical thinking and attention to detail.
* Strong work ethic with ability to effectively prioritize, meet deadlines, adapt to changing priorities and business needs, and succeed in a fast\-paced environment.
* Excellent attention to detail and the ability to efficiently summarize and prioritize information.
**Preferred Qualifications**
* Proficient in Microsoft Azure Storage Explorer, Azure DevOps, Azure Data Factory, Azure Databricks, Azure Data Lake Gen 2, Azure DevOps, Unity Catalog and Git
* Experience in coding languages primarily Python and Spark.
* Experience in agile development and sprint planning.
* Strong technical writing skills.
*Venture Global LNG is an Equal Opportunity Employer. We do not discriminate on the basis of race, religion, color, sex, gender identity, sexual orientation, age, non\-disqualifying physical or mental disability, national origin, veteran status, or any other basis covered by appropriate law.*</t>
        </is>
      </c>
    </row>
    <row r="19">
      <c r="A19" t="inlineStr">
        <is>
          <t>li-4344905231</t>
        </is>
      </c>
      <c r="B19" t="inlineStr">
        <is>
          <t>Data Engineer ll</t>
        </is>
      </c>
      <c r="C19" t="inlineStr">
        <is>
          <t>Pax8</t>
        </is>
      </c>
      <c r="D19" t="inlineStr">
        <is>
          <t>linkedin</t>
        </is>
      </c>
      <c r="E19" t="inlineStr"/>
      <c r="F19" t="inlineStr"/>
      <c r="G19" t="inlineStr"/>
      <c r="H19" t="inlineStr"/>
      <c r="I19" t="inlineStr">
        <is>
          <t>**Data Engineer II**
 📍 Location: Remote, United States
 🕒 Full\-Time \| 💼 Experienced Level
**Build the future of data at Pax8\.**
 At Pax8, we’re transforming the cloud marketplace—and data is at the heart of it. We’re looking for a Data Engineer II who thrives on solving complex challenges, mentoring others, and building scalable systems that power smarter decisions.
 🚀 What You’ll Do
* Design, build, and optimize robust data pipelines using Python and SQL.
* Transform and manage data to support diverse use cases across the business.
* Lead by example—mentor junior engineers and champion clean, testable code.
* Improve deployment processes and CI/CD pipelines.
* Collaborate on architecture and project planning for long\-term initiatives.
* Troubleshoot data issues and contribute to on\-call rotations.
 🧠 What You Bring
* 3\+ years of hands\-on data engineering experience.
* Advanced proficiency in Python and SQL.
* Experience with Apache Spark, Kafka, and orchestration tools like Airflow or Prefect.
* Familiarity with cloud platforms (AWS, Azure, GCP) and infrastructure tools (Terraform, Docker, Kubernetes).
* Strong understanding of analytical databases (Redshift, Athena, BigQuery).
* Effective problem\-solving and technical leadership skills.
* Excellent communication and a passion for innovative design.
 🎓 Education
* B.A./B.S. in a related field or equivalent experience required.
* M.S./M.A. preferred.
**Required Education \&amp; Certifications**
* B.A./B.S. in related field or equivalent work experience.
**Compensation**
* Qualified candidates can expect a salary range of $115,000\-$140,000 or more depending on experience
 Expected Closing Date: 3/28/2026
 At Pax8, we care deeply about building genuine, trust‑based relationships — starting with how we hire.
 To protect our business, our teams, and our customers, we use a range of measures throughout the recruitment process to help confirm authenticity and prevent fraud. These safeguards are designed to be fair, respectful, and proportionate, and may evolve as risks change.
 By applying, you acknowledge that we take steps to verify identity and representation during hiring. If you’re applying as your authentic self, you have nothing to worry about — we’re excited to meet you.
**Perks**
**Why Join Pax8?**
 Because here, success isn't just about numbers—it’s about
 **impact** 
 .
 It’s about being part of a team that
 **thinks bigger** 
 , empowers each other, and never loses sight of why we do what we do: to make the cloud
 **easier, more accessible, and more meaningful** 
 .
**Benefits**
**At Pax8 we believe that your Total Rewards should include a benefits package that shows how much we value our greatest assets. All FTE Pax8 people enjoy the following benefits:**
* Non\-Commissioned Bonus Plans or Variable Commission
* 401(k) plan with employer match
* Medical, Dental \&amp; Vision Insurance
* Employee Assistance Program
* Employer Paid Short \&amp; Long Term Disability, Life and AD\&amp;D Insurance
* Flexible, Open Vacation
* Paid Sick Time Off
* Extended Leave for Life events
* RTD Eco Pass (For local Colorado Employees)
* Career Development Programs
* Stock Option Eligibility
* Employee\-led Resource Groups
 Please take a moment to review our Proprietary Rights and Non\-Competition Agreement — this document outlines important information about your rights and responsibilities if you join our team.
**Pax8 is an EEOC Employer.**
**Equal Opportunities**
 Pax8 is an equal opportunities employer and welcome individuals who are in possession of the appropriate requirements to work within the country the role is based in. Offered individuals will be asked to undertake identity, security compliance and reference checks. Your privacy is important to us. Your data will be held in accordance with Data Privacy best practices and processed only in accordance with our recruiting processes.
 Job Applicant Privacy Notice</t>
        </is>
      </c>
    </row>
    <row r="20">
      <c r="A20" t="inlineStr">
        <is>
          <t>li-4377908787</t>
        </is>
      </c>
      <c r="B20" t="inlineStr">
        <is>
          <t>Data Engineer</t>
        </is>
      </c>
      <c r="C20" t="inlineStr">
        <is>
          <t>AARATECH</t>
        </is>
      </c>
      <c r="D20" t="inlineStr">
        <is>
          <t>linkedin</t>
        </is>
      </c>
      <c r="E20" t="inlineStr"/>
      <c r="F20" t="inlineStr"/>
      <c r="G20" t="inlineStr">
        <is>
          <t>New York, NY</t>
        </is>
      </c>
      <c r="H20" t="inlineStr"/>
      <c r="I20"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21">
      <c r="A21" t="inlineStr">
        <is>
          <t>li-4379018987</t>
        </is>
      </c>
      <c r="B21" t="inlineStr">
        <is>
          <t>Data Engineer</t>
        </is>
      </c>
      <c r="C21" t="inlineStr">
        <is>
          <t>CVS Health</t>
        </is>
      </c>
      <c r="D21" t="inlineStr">
        <is>
          <t>linkedin</t>
        </is>
      </c>
      <c r="E21" t="inlineStr"/>
      <c r="F21" t="inlineStr"/>
      <c r="G21" t="inlineStr">
        <is>
          <t>Wellesley Hills, MA</t>
        </is>
      </c>
      <c r="H21" t="inlineStr"/>
      <c r="I21"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If you’re eager to make a real impact in the health care industry through your own meaningful contributions, explore a role in technology with CVS Health. Our journey calls for technical innovators and data visionaries: come help us pave the way.
 At CVS Health, we possess an extensive repository of healthcare data that spans over 150 million individuals, providing an unparalleled foundation for ambitious Data Engineers. In this role, you will engage with complex business challenges, harnessing modern tools and technologies to securely store, process, transform, and enrich terabyte to petabyte scale healthcare data. Your work will underpin data\-driven business decisions and contribute to our mission of delivering industry\-best data products / software with a customer\-first mindset and team\-oriented approach.
 As a Data Engineer, you will be instrumental in designing, developing, and maintaining optimal data pipelines to assemble large and intricate datasets, catering to the business requirements of various CVS lines of business. Collaborating closely with teams, you will craft tools to provide actionable insights and integrate them with consumer touchpoints.
**As a Data Engineer, You Will**
* Build and optimize analytical data models in BigQuery. Implement partitioning, clustering, and materialized views for performance and cost efficiency. Ensure compliance with data governance, access controls, and IAM best practices.
* Develop integrations with external systems (APIs, flat files etc.) using GCP\-native or hybrid approaches. Utilize tools like Dataflow or custom Python/Java services on Cloud Functions or Cloud Run to handle transformations and ingestion logic.
* Build automated CI/CD pipeline using Cloud Build, GitHub Actions, or Jenkins for deploying data pipeline code and workflows. Set up observability using Cloud Monitoring, Cloud Logging, and Error Reporting to ensure pipeline reliability.
 As leaders in healthcare, our analytics and engineering teams deliver innovative solutions to business problems by collaborating with cross\-functional teams in a dynamic and agile environment. You will be part of a team that values collaboration and encourages innovative thinking at all levels. You will be intellectually challenged to solve problems associated with large scale complex, structured and unstructured data, that will allow you to grow your technical skills and engineering expertise.
 This role may work onsite 2 days a week in one of CVS Health's core hubs in: NYC, Hartford, CT or Wellesley, MA. Full\-time Remote candidates will also be considered.
**Required Qualifications**
* 1\+ years of experience with SQL, NoSQL
* 1\+ years of experience with Python (or a comparable scripting language)
* 1\+ years of experience with Data warehouses (such as data modeling and technical architectures) and infrastructure components
* 1\+ years of experience with ETL/ELT, and building high\-volume data pipelines
* 1\+ years of experience with reporting/analytic tools
* 1\+ years of experience with query optimization, data structures, transformation, metadata, dependency, and workload management
* 1\+ years of experience with Big data and cloud architecture
* 1\+ years of hands\-on experience building modern data pipelines within a major cloud platform (GCP)
* 1\+ years of experience with deployment/scaling of apps on containerized environment (i.e. Kubernetes, AKS)
* 1\+ years of experience with real\-time and streaming technology (i.e. Kafka, Spark Streaming)
* 1\+ year(s) of soliciting complex requirements and managing relationships with key stakeholders
**Preferred Qualifications**
* Experience with complex systems and solving challenging analytical problems
* Strong collaboration and communication skills within and across teams
* Knowledge of data visualization and reporting
* Experience in designing and building data engineering solutions in cloud environments (preferably GCP)
* Experience with Git, CI/CD pipeline, and other DevOps principles/best practices
* Experience with bash shell scripts, UNIX utilities \&amp; UNIX Commands
* Understanding of software development methodologies including waterfall and agile
* Ability to leverage multiple tools and programming languages to analyze and manipulate data sets from disparate data sources
* Knowledge of API development
* Experience with schema design and dimensional data modeling
* Google Professional Data Engineer Certification
* Knowledge of microservices and SOA
* Formal SAFe and/or agile experience. Previous healthcare experience and domain knowledge
* Experience designing, building, and maintaining data processing systems
* Experience architecting and building data warehouse and data lakes
**Education**
* Bachelor’s Degree or equivalent work experience in Computer Science, Information Systems, Data Engineering, Data Analytics, Machine Learning, or related field required
* Master’s Degree preferred
**Anticipated Weekly Hours**
 40
**Time Type**
 Full time
**Pay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03/30/2026
 Qualified applicants with arrest or conviction records will be considered for employment in accordance with all federal, state and local laws.</t>
        </is>
      </c>
    </row>
    <row r="22">
      <c r="A22" t="inlineStr">
        <is>
          <t>li-4369144916</t>
        </is>
      </c>
      <c r="B22" t="inlineStr">
        <is>
          <t>Data Engineer</t>
        </is>
      </c>
      <c r="C22" t="inlineStr">
        <is>
          <t>Slalom</t>
        </is>
      </c>
      <c r="D22" t="inlineStr">
        <is>
          <t>linkedin</t>
        </is>
      </c>
      <c r="E22" t="inlineStr"/>
      <c r="F22" t="inlineStr"/>
      <c r="G22" t="inlineStr">
        <is>
          <t>Oregon, United States</t>
        </is>
      </c>
      <c r="H22" t="inlineStr"/>
      <c r="I22"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Denver, Portland
+ Consultant: $91,000 \- $122,000
* Seattle
+ Consultant: $99,000 \- $133,000
 We will accept applicants until April 5th, 2026, or until the position is filled.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23">
      <c r="A23" t="inlineStr">
        <is>
          <t>li-4329216992</t>
        </is>
      </c>
      <c r="B23" t="inlineStr">
        <is>
          <t>(USA) Senior, Data Engineer</t>
        </is>
      </c>
      <c r="C23" t="inlineStr">
        <is>
          <t>VIZIO</t>
        </is>
      </c>
      <c r="D23" t="inlineStr">
        <is>
          <t>linkedin</t>
        </is>
      </c>
      <c r="E23" t="inlineStr"/>
      <c r="F23" t="inlineStr"/>
      <c r="G23" t="inlineStr">
        <is>
          <t>Denver, CO</t>
        </is>
      </c>
      <c r="H23" t="inlineStr"/>
      <c r="I23" t="inlineStr">
        <is>
          <t>**Position Summary...Job Description Summary**
 Are you a data enthusiast with a passion for transforming raw data into valuable insights? Join our dynamic Data Lake Engineering Team at Walmart/VIZIO as a Senior Data Engineer. You'll have the opportunity to work with cutting\-edge technologies, drive impactful data projects, and contribute to the future of data engineering at one of the world’s leading companies.
 What you'll do...About the Team:
 Our Data Lake Engineering Team operates at the heart of Walmart/VIZIO's data strategy, focusing on building scalable data solutions and pipelines. We are committed to leveraging advanced data techniques to unlock business value, drive innovation, and support decision\-making across the organization. In this role, you'll play a critical part in enhancing our data infrastructure and delivering high\-performance data solutions.
 What You’ll Do:
* Design and implement ETL processes for data integration.
* Manage and optimize data pipelines for analytics and operational use.
* Develop and maintain data models and schemas.
* Utilize SQL, Python, and big data tools to transform and analyze data.
* Collaborate with cross\-functional teams to support data\-driven projects.
* Ensure data quality and governance standards are met.
 What You’ll Bring:
* Proficiency in Python, Pyspark, SQL, and/or Scala.
* Experience with relational SQL and NoSQL databases.
* Expertise in AWS cloud services and data pipeline tools like Apache Airflow.
* Knowledge of big data tools such as Hadoop, Spark, and Kafka.
* Strong understanding of data formats like Avro, Parquet, and JSON.
* Hands\-on experience in full\-stack web development and REST APIs.
* A BS or MS in Computer Science or a similar relevant field.
* 5\+ years of experience in data engineering and cloud\-based ecosystems.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$99,000\.00 \- $198,000\.00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and 3 years' experience in software engineering or related field. Option 2: 5 years’ experience in
 software engineering or related field. Option 3: Master's degree in Computer Science and 1 year’s experience in software engineering or related
 field.
 2 years' experience in data engineering, database engineering, business intelligence, or business analytics.
**Preferred Qualifications...**
**Outlined below are the optional preferred qualifications for this position. If none are listed, there are no preferred qualifications.**
 Data engineering, database engineering, business intelligence, or business analytics, ETL tools and working with large data sets in the cloud, Master’s degree in Computer Science or related field and 3 years' experience in software engineering,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55 Madison St, Denver, CO 80206\-5419,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4">
      <c r="A24" t="inlineStr">
        <is>
          <t>li-4369150836</t>
        </is>
      </c>
      <c r="B24" t="inlineStr">
        <is>
          <t>Data Engineer</t>
        </is>
      </c>
      <c r="C24" t="inlineStr">
        <is>
          <t>Slalom</t>
        </is>
      </c>
      <c r="D24" t="inlineStr">
        <is>
          <t>linkedin</t>
        </is>
      </c>
      <c r="E24" t="inlineStr"/>
      <c r="F24" t="inlineStr"/>
      <c r="G24" t="inlineStr">
        <is>
          <t>Washington, United States</t>
        </is>
      </c>
      <c r="H24" t="inlineStr"/>
      <c r="I24"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Denver, Portland
+ Consultant: $91,000 \- $122,000
* Seattle
+ Consultant: $99,000 \- $133,000
 We will accept applicants until April 5th, 2026, or until the position is filled.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25">
      <c r="A25" t="inlineStr">
        <is>
          <t>li-4369157722</t>
        </is>
      </c>
      <c r="B25" t="inlineStr">
        <is>
          <t>Data Engineer</t>
        </is>
      </c>
      <c r="C25" t="inlineStr">
        <is>
          <t>Slalom</t>
        </is>
      </c>
      <c r="D25" t="inlineStr">
        <is>
          <t>linkedin</t>
        </is>
      </c>
      <c r="E25" t="inlineStr"/>
      <c r="F25" t="inlineStr"/>
      <c r="G25" t="inlineStr">
        <is>
          <t>Irvine, CA</t>
        </is>
      </c>
      <c r="H25" t="inlineStr"/>
      <c r="I25"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Los Angeles, Orange County, San Diegeo
+ Consultant: $99,000 \- $133,000
* Phoenix
+ Consultant: $91,000 \- $122,000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26">
      <c r="A26" t="inlineStr">
        <is>
          <t>li-4340999817</t>
        </is>
      </c>
      <c r="B26" t="inlineStr">
        <is>
          <t>Senior Data Engineer</t>
        </is>
      </c>
      <c r="C26" t="inlineStr">
        <is>
          <t>Vanna Health</t>
        </is>
      </c>
      <c r="D26" t="inlineStr">
        <is>
          <t>linkedin</t>
        </is>
      </c>
      <c r="E26" t="inlineStr"/>
      <c r="F26" t="inlineStr"/>
      <c r="G26" t="inlineStr"/>
      <c r="H26" t="inlineStr"/>
      <c r="I26" t="inlineStr">
        <is>
          <t>Salary Range: $190,000\-$210,000 per year
 Note: This is a remote position.
**About Vanna Health**
 Vanna is reimagining care and community for people living with serious mental illness (SMI).
 The current system is failing individuals with SMI, resulting in a high risk of loneliness (2\.3x), homelessness (6x), unemployment (30x), incarceration (25x), and reduced life expectancy (by 20 years). Vanna believes that no person is too ill to recover and that the solution is social, not just medical. Our mission is to empower people with SMI to flourish by finding purpose and a sense of belonging in their community.
 We are deploying community\-based care teams from diverse backgrounds that have a variety of lived experiences and know their communities inside and out. In close collaboration with existing community organizations and healthcare providers, our teams outreach and build trust with individuals to support the navigation of each individual’s personalized recovery journey.
 We are committed to providing individuals with culturally inclusive support for all races, ethnicities, religions, sexual orientations, gender identities, and other social factors, such as history of incarceration.
**About The Role**
 As Vanna continues to grow, we’re looking for a Senior Data Engineer to build and mature the data platform capabilities that are foundational to Vanna’s success across several key domains, including population evaluation and selection, member outreach and engagement, and optimization of clinical and financial outcomes for both individual members and our populations as a whole. You’ll work closely with our engineering, product, operations, and clinical teams to develop the technology that enables our community\-based teams to provide compassionate care to our members living with severe mental illness.
 This is an opportunity to join a small but growing team, where you’ll have the opportunity to develop many of our foundational data capabilities from scratch and own projects end\-to\-end. You have a growth mindset and are excited about expanding your technical skills and stepping into new responsibilities as the team and company grow.
 What you’ll work on
* Design, build, and operate cloud\-based data infrastructure, optimizing for scale, performance, and cost efficiency as the size of our data grows
* Automate data flows, and layer in monitoring, alerting, and data quality tests to ensure data is accurate and up\-to\-date
* Build interfaces that allow for exposing data and associated processing functionality directly to end users and other systems
* Design and implement production\-grade ML/AI infrastructure, and partner with data scientists to take models into production
* Build frameworks and internal self\-service tooling that helps the data team deliver value faster
**About You**
* 6\+ years of experience in data, ML, or back\-end software engineering
* Advanced Python skills
* Databricks and Spark experience strongly preferred
* Experience with analytical data stores (e.g. Delta Lake, Snowflake, BigQuery) and relational databases (e.g. Postgres, MySQL)
* Intermediate to advanced SQL knowledge (experience with dbt a big plus)
* Experience building and operating production\-grade ML/AI systems
* Familiarity with CI/CD
* Obsessive focus on end users and business impact
***Bonus points if you have:***
* Familiarity with healthcare data
* Experience with (or a desire to learn) infrastructure as code tools like Terraform or Databricks Asset Bundles
* Experience working in highly\-regulated environments
* Experience at an early\-stage startup
* Familiarity with streaming and event\-driven architectures
**Benefits**
* Full health, dental, and vision benefits
* Health Savings Account (HSA)
* Flexible Spending Account (FSA) and Dependent Care FSA
* 401K
* Unlimited PTO</t>
        </is>
      </c>
    </row>
    <row r="27">
      <c r="A27" t="inlineStr">
        <is>
          <t>li-4378773538</t>
        </is>
      </c>
      <c r="B27" t="inlineStr">
        <is>
          <t>Data Engineer | Founding Hire | NYC Healthtech Startup</t>
        </is>
      </c>
      <c r="C27" t="inlineStr">
        <is>
          <t>Benchstack Ai</t>
        </is>
      </c>
      <c r="D27" t="inlineStr">
        <is>
          <t>linkedin</t>
        </is>
      </c>
      <c r="E27" t="inlineStr"/>
      <c r="F27" t="inlineStr"/>
      <c r="G27" t="inlineStr"/>
      <c r="H27" t="inlineStr"/>
      <c r="I27" t="inlineStr">
        <is>
          <t>**Data Engineer \| Founding Hire \| NYC Healthtech Startup** 
 $150K–$175K \+ Equity \| Hybrid (Tue–Thu, Manhattan)
 We're a small, mission\-driven healthtech startup backed by top\-tier investors, and we're hiring our first Data Engineer. You'll own the entire data architecture from day one.
**What you'll do:** 
* Build and scale production\-grade data pipelines that power our core product (not internal dashboards)
* Architect high\-scale ingestion across BigQuery and Postgres
* Automate customer reporting workflows into product features
* Improve data observability, testing, and quality
**Stack:** 
 BigQuery, Postgres, dbt, Dagster
**You:** 
* 3–5 years as a Data Engineer
 **shipping customer\-facing production code**
* Strong with SQL, Python, and Dagster
* Thrive with ownership and ambiguity
* Want to be the person who builds the data layer, not inherit someone else's mess
 No visa sponsorship. Must be based in or near NYC.
 Interested? Drop me a message.</t>
        </is>
      </c>
    </row>
    <row r="28">
      <c r="A28" t="inlineStr">
        <is>
          <t>li-4377925047</t>
        </is>
      </c>
      <c r="B28" t="inlineStr">
        <is>
          <t>Data Engineer</t>
        </is>
      </c>
      <c r="C28" t="inlineStr">
        <is>
          <t>Millennium Software and Staffing Inc</t>
        </is>
      </c>
      <c r="D28" t="inlineStr">
        <is>
          <t>linkedin</t>
        </is>
      </c>
      <c r="E28" t="inlineStr"/>
      <c r="F28" t="inlineStr"/>
      <c r="G28" t="inlineStr">
        <is>
          <t>Los Angeles, CA</t>
        </is>
      </c>
      <c r="H28" t="inlineStr"/>
      <c r="I28" t="inlineStr">
        <is>
          <t>Millennium Software is looking to hire a Snowflake Data Engineer for their client based in Los Angeles, CA
**Title: Snowflake Data Engineer** 
**Location: Los Angeles, CA Hybrid** 
**Profile need to be only local and only on w2\. No c2c or non \- local** 
**Position Description:** 
* 7\+ years of experience in Data Engineering
* 3\+ years of experience with Snowflake
* 3\+ years of experience with AWS, SQL
* Need only local candidate who can commute to Los Angeles.</t>
        </is>
      </c>
    </row>
    <row r="29">
      <c r="A29" t="inlineStr">
        <is>
          <t>li-4369172109</t>
        </is>
      </c>
      <c r="B29" t="inlineStr">
        <is>
          <t>Data Engineer - Remote</t>
        </is>
      </c>
      <c r="C29" t="inlineStr">
        <is>
          <t>EP Wealth Advisors</t>
        </is>
      </c>
      <c r="D29" t="inlineStr">
        <is>
          <t>linkedin</t>
        </is>
      </c>
      <c r="E29" t="inlineStr"/>
      <c r="F29" t="inlineStr"/>
      <c r="G29" t="inlineStr"/>
      <c r="H29" t="inlineStr"/>
      <c r="I29" t="inlineStr">
        <is>
          <t>EP Wealth Advisors (EPWA) is a wealth management advisory firm with over $42\.2 billion as of December 31, 2025, serving predominately high net worth individuals. EPWA fosters an inclusive environment that offers opportunities for our associates to learn, grow and enhance their skills to take on new challenges to progress in their professional careers.
 EP Wealth Advisors is launching its first enterprise data platform initiative, a strategic effort to build a modern, cloud\-based data environment powered by Snowflake. As a Data Engineer, you will play a pivotal role in the design, development, and implementation of this platform — working in close partnership with both internal technology teams and an experienced Snowflake implementation service provider.
 This position is ideal for a data professional who thrives in a collaborative, fast\-paced environment and wants to contribute to building a foundational data infrastructure from the ground up. You will help establish best practices, design scalable pipelines, and ensure the new platform enables firmwide analytics, reporting, and data\-driven decision\-making.
**Salary Range: $120,000 \- $150,000 plus annual bonus**
**Duties And Responsibilities**
* Collaborate closely with EP Wealth’s Snowflake implementation partner to design, configure, and deploy the firm’s first enterprise data platform.
* Participate in architecture design sessions, technical planning, and milestone reviews with both internal stakeholders and external partners.
* Develop and maintain efficient, secure, and scalable ETL/ELT data pipelines to ingest data into Snowflake.
* Build and optimize Snowflake data models, schemas, and role\-based access controls.
* Define and enforce Snowflake best practices for performance optimization, cost management, and data security.
* Support environment setup, data migration, and initial production rollout activities in coordination with the implementation partner.
 Integrate data from multiple enterprise systems including CRM, portfolio management, financial planning, and custodial platforms
* Design data models and reusable ingestion frameworks that support analytics and reporting use cases.
* Contribute to the development of a unified enterprise data model and metadata framework.
* Collaborate with the implementation partner to align technical design with EP Wealth’s business strategy and compliance standards.
* Implement data validation, monitoring, and auditing to ensure data accuracy, completeness, and reliability.
* Collaborate with IT leadership to define and operationalize data governance standards.
* Troubleshoot and resolve data pipeline issues while maintaining system performance and uptime.
* Conduct query and warehouse optimization to ensure efficient Snowflake usage.
* Work closely with data analysts and technology teams to deliver accessible, well\-documented data sets.
* Participate in design reviews, sprint planning, and architectural discussions with the implementation partner.
* Identify opportunities to extend Snowflake functionality through features such as Snowpark, data sharing, or automation tools.
* Stay informed on Snowflake’s evolving ecosystem and cloud data engineering best practices.
**Qualifications**
* Bachelor’s degree in Computer Science, Information Systems, Data Engineering, or a related technical field.
* 5\+ years of data engineering experience, with direct hands\-on experience in Snowflake strongly preferred.
* Demonstrated success contributing to or co\-delivering a cloud data platform implementation alongside external partners or vendors.
* Experience building scalable data pipelines and transformations for analytics and operational reporting.
* Advanced proficiency in SQL, with deep experience in Snowflake query optimization and data modeling.
* Proficiency in Python or another scripting language for data processing and automation.
* Experience with ETL/ELT tools and orchestration platforms (DBT, Airflow, Dagster, etc.).
* Familiarity with cloud infrastructure (AWS, GCP, or Azure) and Snowflake integrations.
* Experience with enterprise data integration from CRM, portfolio management, and financial planning systems (Salesforce, Tamarac, Orion, etc.).
* Understanding of data governance, lineage, and observability tools.
* Strong understanding of Snowflake architecture, data sharing, and multi\-cluster warehouse capabilities.
* Experience defining data security and access policies in regulated environments.
* Ability to bridge technical and business needs through thoughtful data design and collaboration.
**What We Offer**
 We offer a highly competitive suite of holistic benefits designed to help our team members balance their personal and professional life commitments. These include options designed to encourage employee's health, happiness, and financial well\-being.
* 11 Paid Holidays \+ 2 floating holidays
* 3 Weeks (PTO)
* Paid Volunteer Time
* Flexible Work Schedule
* Highly subsidized Health, Dental, and Vision Plans
* 401k Retirement Account with company match contributions
* Free Mental Health services, Life Insurance, Long \&amp; Short\-Term Disability Insurance
* Flexible Spending Accounts and Health Savings Accounts
* Employee Financial Education
* Employee Educational Expense Reimbursement
* Employee Charitable Donations
* Employee Referral Incentives
* Employee Team Building Activities
* Employee Assistance Program
 EPWA is an equal opportunity employer. Prospective employees will receive consideration without discrimination because of race, creed, color, sex, gender, gender expression, gender identity, sexual orientation, age, religion, national origin, ancestry, mental disability, physical disability, medical condition, genetic information, marital status, military and veteran status, or any other basis protected by law.</t>
        </is>
      </c>
    </row>
    <row r="30">
      <c r="A30" t="inlineStr">
        <is>
          <t>li-4335399466</t>
        </is>
      </c>
      <c r="B30" t="inlineStr">
        <is>
          <t>Senior Data Engineer</t>
        </is>
      </c>
      <c r="C30" t="inlineStr">
        <is>
          <t>Genentech</t>
        </is>
      </c>
      <c r="D30" t="inlineStr">
        <is>
          <t>linkedin</t>
        </is>
      </c>
      <c r="E30" t="inlineStr"/>
      <c r="F30" t="inlineStr"/>
      <c r="G30" t="inlineStr">
        <is>
          <t>New York, NY</t>
        </is>
      </c>
      <c r="H30" t="inlineStr"/>
      <c r="I30"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At Genentech and Roche, we're at the forefront of a revolutionary transformation in drug discovery powered by AI and machine learning. Our "lab in the loop" strategy processes massive quantities of experimental data to train AI models that accelerate the discovery of new medicines. To enable this vision, we're seeking an exceptional Senior Data Engineer to be part of the team building and maintaining our next\-generation Therapeutic Molecule Registration (TMR) platform \- a foundational component of our AI\-driven drug discovery infrastructure, Lab\-in\-the\-Loop (https://www.youtube.com/watch?v\=cN1PxxQWoEc). This platform will serve as the central nervous system for managing and integrating molecular data across our global research organization, handling hundreds of billions of records and enabling unprecedented scale in virtual molecule design and testing. As the volume of AI\-generated molecular designs grows exponentially, our TMR platform must evolve to become a high\-performance, cloud\-native system capable of supporting rapid iteration cycles between computational design and experimental validation. You will be instrumental in consolidating our molecule registration systems into a single, harmonized environment, unlocking the full potential of our data and accelerating the development of life\-changing therapies. The ideal candidate has a proven record of standing up, migrating, and scaling databases with experience in chemical and/or biological registration systems. You will work on implementing scalable solutions for molecular data management and contribute to the architecture of our cloud\-native platform.
 You will work closely with our machine learning for drug development team, Genentech Research \&amp; Early Development (gRED) Drug Discovery teams including the Antibody Engineering division, and other teams across the Roche family of companies to identify, strategize, and productionalize high\-impact applications from across the drug discovery and development pipeline. Genentech provides a dynamic and challenging environment for cutting\-edge, multidisciplinary research in AI and drug discovery including access to rich sources of data, close links to top academic institutions around the world, as well as internal Genentech and Roche partners and research units.
**In this role, you will:**
* Design and implement features of our TMR data model
* Oversee cloud data migration to TMR and production deployment
* Contribute to technical design discussions and architecture decisions
* Write high\-quality, testable code for chemical registration workflows
* Support and mentor junior team members
* Collaborate with scientists and other engineers to implement business requirements
**Who You Are**
* You have 7\+ years of data engineering experience
* You have expert knowledge of Postgres SQL and experience with Oracle
* Skilled with at least one modern data toolkit (Glue, dbt, Databricks,...)
* Experience with cloud platforms (preferably AWS)
* Python programming skills
* Strong testing practices and test automation
* Understanding of CI/CD pipelines
* Experience with agile development methodologies
**Preferred**
* Open source cheminformatics experience (e.g., RDKit, chemfp, Indigo, HELM toolkit)
* Chemical database cartridge expertise
* Familiarity with biological sequence alignment
* Chemical \&amp; biological structure notation expertise
* Familiarity with chemical structure canonicalization
* Molecular structure searching algorithm expertise
* Experience with scientific software development
* Familiarity with Docker and Kubernetes
* Experience with event\-driven architectures
* Knowledge of security best practices
 Relocation benefits are available for this job posting
 The expected salary range for this position, based on the primary location of New York is $141,100 \- 262,200\.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31">
      <c r="A31" t="inlineStr">
        <is>
          <t>li-4316203467</t>
        </is>
      </c>
      <c r="B31" t="inlineStr">
        <is>
          <t>Senior Data Engineer, Data Platform</t>
        </is>
      </c>
      <c r="C31" t="inlineStr">
        <is>
          <t>TRM Labs</t>
        </is>
      </c>
      <c r="D31" t="inlineStr">
        <is>
          <t>linkedin</t>
        </is>
      </c>
      <c r="E31" t="inlineStr"/>
      <c r="F31" t="inlineStr"/>
      <c r="G31" t="inlineStr"/>
      <c r="H31" t="inlineStr"/>
      <c r="I31" t="inlineStr">
        <is>
          <t>Build a Safer World.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The Data Platform team collaborates with an experienced group of data scientists, engineers, and product managers to build highly available and scalable data infrastructure for TRM's products and services. As a Senior Data Engineer on the Data Platform team, you will be responsible for executing mission\-critical systems and data services that analyze blockchain transaction activity at petabyte scale, and ultimately work to build a safer financial system for billions of people.
**The impact you’ll have here:**
* Build highly reliable data services to integrate with dozens of blockchains.
* Develop complex ETL pipelines that transform and process petabytes of structured and unstructured data in real\-time.
* Design and architect intricate data models for optimal storage and retrieval to support sub\-second latency for querying blockchain data.
* Oversee the deployment and monitoring of large database clusters with an unwavering focus on performance and high availability.
* Collaborate across departments, partnering with data scientists, backend engineers, and product managers to design and implement novel data models that enhance TRM’s products.
**What we’re looking for:** 
* A Bachelor's degree (or equivalent) in Computer Science or a related field.
* A proven track record, with 5\+ years of hands\-on experience in architecting distributed system architecture, guiding projects from initial ideation through to successful production deployment.
* Exceptional programming skills in Python, as well as adeptness in SQL or SparkSQL.
* Versatility that spans the entire spectrum of data engineering in one or more of the following areas:
+ In\-depth experience with data stores such as Iceberg, Trino, BigQuery, and StarRocks, and Citus.
+ Proficiency in data pipeline and workflow orchestration tools like Airflow, DBT, etc.
+ Expertise in data processing technologies and streaming workflows including Spark, Kafka, and Flink.
+ Competence in deploying and monitoring infrastructure within public cloud platforms, utilizing tools such as Docker, Terraform, Kubernetes, and Datadog.
+ Proven ability in loading, querying, and transforming extensive datasets.
**About the Team:**
* The Data Platform team is the funnel between all of TRM's data world and product world. We care about all layers of stack including petabyte of data stores, pipelines, and processes.
* We have quite a big scope as a the team with new and exciting projects every quarter. As a result, we collaborate across the board with most teams at TRM.
* We believe in async communication and are also not afraid to jump on a quick huddle if that helps to move things faster. We are both scrappy when the situation demands and also process\-oriented when we need to achieve our OKRs.
* We are always looking for people who can elevate the quality our tech and our execution. If you enjoy a remote\-first and async friendly environment to achieve efficacy and efficiency at petabyte scale, our team could be a great pick for you!
* Team members are based in the US across almost all timezones! Our on\-call tends to be in EST/PST shift, whatever suits you the best.
* We do try to reserve some overlap in the day for meetings. Our north star \- no IC spends more than 3\-4 hours/week in meetings.
**Learn about TRM Speed in this position:**
* Build scalable engines to optimize routine scaling and maintenance tasks like create self\-serve automation for creating new pgbouncer, scaling disks, scaling/updating of clusters, etc.
* Enable tasks to be faster next time and reducing dependency on a single person.
* Identify ways to compress timelines using 80/20 principle. For instance, what does it take to be operational in a new environment? Identify the must have and nice to haves that are need to deploy our stack to be fully operation. Focus on must haves first to get us operational and then use future milestones to harden for customer readiness. We think in terms of weeks and not months.
* Identify first version, a.k.a., "skateboards" for projects. For instance, build an observability dashboard within a week. Gather feedback from stakeholders after to identify more needs or bells and whistles to add to the dashboard.
**About TRM's Engineering Levels:**
**Engineer:** 
 Responsible for helping to define project milestones and executing small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The following represents the expected range of compensation for this role:
* Individual pay is determined by skills, qualifications, experience, and location. The compensation details listed in this posting reflect the US base salary only.
* The estimated base salary range for this role is $190,000 \- $220,000\.
* Additionally, this role may be eligible to participate in TRM’s equity plan.
* Please note – we factor in the different costs for geographies outside the United States.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**Learn more:** 
 Interviewing at TRM: How We Hire and What Success Looks Like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And Additional Information**
 By submitting your application, you are agreeing to allow TRM to process your personal information in accordance with the TRM Privacy Policy.
 Our typical hiring cycles for specialized roles span 24 to 36 months. Accordingly, we retain your personal information for up to 36 months to evaluate your application and to consider you for current and future employment opportunities, unless you request earlier deletion or a different retention period is required or permitted by law.
 To notify TRM Labs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form.
**Learn More** 
 : Company Values \| Interviewing \| FAQs</t>
        </is>
      </c>
    </row>
    <row r="32">
      <c r="A32" t="inlineStr">
        <is>
          <t>li-4353430113</t>
        </is>
      </c>
      <c r="B32" t="inlineStr">
        <is>
          <t>Senior Data Engineer</t>
        </is>
      </c>
      <c r="C32" t="inlineStr">
        <is>
          <t>Zendesk</t>
        </is>
      </c>
      <c r="D32" t="inlineStr">
        <is>
          <t>linkedin</t>
        </is>
      </c>
      <c r="E32" t="inlineStr"/>
      <c r="F32" t="inlineStr"/>
      <c r="G32" t="inlineStr">
        <is>
          <t>Austin, TX</t>
        </is>
      </c>
      <c r="H32" t="inlineStr"/>
      <c r="I32" t="inlineStr">
        <is>
          <t>**Job Description**
 Our Enterprise Data \&amp; Analytics (EDA) is looking for an experienced Senior Data Engineer to join our growing data engineering team. You’ll work in a collaborative Agile environment using the latest engineering best practices with involvement in all aspects of the software development lifecycle.
 You will craft and develop curated data products, applying standard architectural \&amp; data modeling practices to maintain the foundation data layer serving as a single source of truth across Zendesk . You will be primarily developing Data Warehouse Solutions in BigQuery/Snowflake using technologies such as dbt, Airflow, Terraform.
**What You Get To Do Every Single Day**
* Collaborate with team members and business partners to collect business requirements, define successful analytics outcomes and design data models
* Serve as Data Model subject matter expert and data model spokesperson, demonstrated by the ability to address questions quickly and accurately
* Implement Enterprise Data Warehouse by transforming raw data into schemas and data models for various business domains using SQL \&amp; dbt
* Design, build, and maintain ELT pipelines in Enterprise Data Warehouse to ensure reliable business reporting using Airflow, Fivetran \&amp; dbt
* Optimize data warehousing processes by refining naming conventions, enhancing data modeling, and implementing best practices for data quality testing
* Build analytics solutions that provide practical insights into customer 360, finance, product, sales and other key business domains
* Build and Promote best engineering practices in areas of version control system, CI/CD, code review, pair programming
* Identify, design, and implement internal process improvements: automating manual processes, optimizing data delivery
* Work with data and analytics experts to strive for greater functionality in our data systems
**Basic Qualifications**
**What you bring to the role:**
* 5\+ years of data engineering experience building, working \&amp; maintaining data pipelines \&amp; ETL processes on big data environments
* 5\+ years of experience in Data Modeling and Data Architecture in a production environment
* 5\+ years in writing complex SQL queries
* 5\+ years of experience with Cloud columnar databases (We use Snowflake)
* 2\+ years of production experience working with dbt and designing and implementing Data Warehouse solutions
* Ability to work closely with data scientists, analysts, and other stakeholders to translate business requirements into technical solutions. Strong documentation skills for pipeline design and data flow diagrams.
* Intermediate experience with any of the programming language: Python, Go, Java, Scala, we primarily use Python
* Integration with 3rd party API SaaS applications like Salesforce, Zuora, etc
* Ensure data integrity and accuracy by conducting regular data audits, identifying and resolving data quality issues, and implementing data governance best practices.
* Experience performing root cause analysis on internal and external data and processes to answer specific business questions and identify opportunities for improvement.
**Preferred Qualifications**
* Hands\-on experience with Snowflake data platform, including administration, SQL scripting, and query performance tuning
* Good Knowledge in modern as well as classic Data Modeling \- Kimball, Innmon, etc
* Demonstrated experience in one or many business domains (Finance, Sales, Marketing)
* 3\+ completed “production\-grade” projects with dbt
* Expert knowledge in python
**What Does Our Data Stack Looks Like**
* ELT (Snowflake, Fivetran, dbt, Airflow, Kafka, HighTouch)
* BI (Tableau, Looker)
* Infrastructure (GCP, AWS, Kubernetes, Terraform, Github Actions)
 The US annualized base salary range for this position is $151,000\.00\-$227,000\.00\.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Hybrid: In this role, our hybrid experience is designed at the team level to give you a rich onsite experience packed with connection, collaboration, learning, and celebration \- while also giving you flexibility to work remotely for part of the week. This role must attend our local office for part of the week. The specific in\-office schedule is to be determined by the hiring manager.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33">
      <c r="A33" t="inlineStr">
        <is>
          <t>li-4377903991</t>
        </is>
      </c>
      <c r="B33" t="inlineStr">
        <is>
          <t>Data Engineer - AI/ML</t>
        </is>
      </c>
      <c r="C33" t="inlineStr">
        <is>
          <t>JUPITER IT SOLUTIONS LLC</t>
        </is>
      </c>
      <c r="D33" t="inlineStr">
        <is>
          <t>linkedin</t>
        </is>
      </c>
      <c r="E33" t="inlineStr"/>
      <c r="F33" t="inlineStr"/>
      <c r="G33" t="inlineStr">
        <is>
          <t>Tampa, FL</t>
        </is>
      </c>
      <c r="H33" t="inlineStr"/>
      <c r="I33" t="inlineStr">
        <is>
          <t>Urgent Hiring :: Data Engineer \-AI/ML
 Job Type : Full time (W2 Only)
 Work Authorization : USC only
 We are seeking a Data Engineer with strong AI/ML expertise to modernize and scale our Business Intelligence (BI) capabilities. This role will design and build data pipelines, deploy machine learning solutions, and operationalize intelligent analytics to drive decision\-making across the organization. The ideal candidate blends data engineering best practices with applied machine learning, MLOps, and AI.
 Key Responsibilities
 Project Responsibility: End\-to\-end data pipelines and integrations
 Technical Competencies:
 Advanced SQL optimization and complex query design
 Kafka streaming applications and connector development
 Databricks workflow development with medallion architecture
 Data governance implementation and compliance
 Performance tuning for large\-scale data processing
 Data security and privacy best practices
 Apache NiFi pipeline development for invoice and PO processing
 Integration with purpose\-built data stores (Druid, MongoDB, OpenSearch, Postgres)
 Build and maintain end\-to\-end ML pipelines for training, deployment, and monitoring of models.
 Design and optimize data architectures for large\-scale ML workloads
 Explore and implement LLM\-based solutions, RAG architectures, and generative AI for business use cases.
 Soft Skills:
 Cross\-functional collaboration with product and engineering teams
 Technical mentoring for junior data engineers
 Analytical thinking for complex data problems
 Stakeholder communication for data requirements
 Process improvement and efficiency focus
 Quality mindset for data accuracy and reliability Vendor Management:
 Direct communication with data platform vendors
 Evaluates vendor tools for specific data use cases
 Provides technical feedback on vendor product roadmaps
 Coordinates with vendors for data integration projects
 Qualifications:
 Bachelor’s/Master’s in Computer Science, Data Engineering, Statistics, or related field.
 5\+ years in data engineering; 2\+ years applying ML in production.</t>
        </is>
      </c>
    </row>
    <row r="34">
      <c r="A34" t="inlineStr">
        <is>
          <t>li-4377930059</t>
        </is>
      </c>
      <c r="B34" t="inlineStr">
        <is>
          <t>Fabric Data Engineer</t>
        </is>
      </c>
      <c r="C34" t="inlineStr">
        <is>
          <t>Precision Technologies</t>
        </is>
      </c>
      <c r="D34" t="inlineStr">
        <is>
          <t>linkedin</t>
        </is>
      </c>
      <c r="E34" t="inlineStr"/>
      <c r="F34" t="inlineStr"/>
      <c r="G34" t="inlineStr"/>
      <c r="H34" t="inlineStr"/>
      <c r="I34" t="inlineStr">
        <is>
          <t>**Title:** 
 Microsoft Fabric Data Engineer
**Location:** 
 Multiple client locations across USA (Open to relocation)
**Employment Type:** 
 Full\-time (W2 only, No C2C)
**Experience:** 
 8–10\+ Years
**Visa:** 
 All visa types accepted
**About the Role** 
 We are seeking an experienced
 **Microsoft Fabric Data Engineer** 
 to design and build scalable enterprise data platforms using Microsoft’s modern analytics ecosystem. The ideal candidate has strong experience in
 **Fabric, Azure Data Engineering, ETL pipelines, and data warehousing** 
 .
**Key Responsibilities** 
* Build and manage data pipelines using
 **Microsoft Fabric**
* Develop solutions using
 **Data Factory, Synapse, and Lakehouse architecture**
* Design and optimize
 **ETL/ELT workflows**
* Work with
 **Power BI datasets and semantic models**
* Implement scalable data ingestion from multiple sources
* Optimize performance, storage, and data governance
* Collaborate with analytics, BI, and engineering teams
**Required Skills** 
* Strong hands\-on experience with
 **Microsoft Fabric**
* Experience with
 **Azure Data Factory / Synapse Analytics**
* Knowledge of
 **Lakehouse architecture**
* Strong SQL and Python/PySpark experience
* Experience with
 **Power BI integration**
* Knowledge of
 **data modeling \&amp; performance tuning**
**Preferred** 
* Experience migrating legacy data platforms to Fabric
* Experience with large enterprise data environments
* Familiarity with DevOps \&amp; CI/CD pipelines
 email: raviteja.d@precisiontechcorp.com</t>
        </is>
      </c>
    </row>
    <row r="35">
      <c r="A35" t="inlineStr">
        <is>
          <t>li-4362810100</t>
        </is>
      </c>
      <c r="B35" t="inlineStr">
        <is>
          <t>Senior Associate: Data Engineer</t>
        </is>
      </c>
      <c r="C35" t="inlineStr">
        <is>
          <t>New York Life Insurance Company</t>
        </is>
      </c>
      <c r="D35" t="inlineStr">
        <is>
          <t>linkedin</t>
        </is>
      </c>
      <c r="E35" t="inlineStr"/>
      <c r="F35" t="inlineStr"/>
      <c r="G35" t="inlineStr">
        <is>
          <t>New York, NY</t>
        </is>
      </c>
      <c r="H35" t="inlineStr"/>
      <c r="I35" t="inlineStr">
        <is>
          <t>**Location Designation:** 
 Hybrid \- 3 days per week
 As part of Technology, you'll have the opportunity to contribute to groundbreaking initiatives that shape New York Life's digital landscape. Leverage cutting\-edge technologies like Generative AI to increase productivity, streamline processes, and create seamless experiences for clients, agents, and employees. Your expertise fuels innovation, agility, and growth — driving the company's success.
 At New York Life will join a team of analytics engineers focused on delivering clean, well\-structured, and reliable data to power various business and AI solutions across the enterprise. In this role, you will help define and uphold data and engineering standards, ensuring consistency, quality, and scalability. You will be an instrumental member of the Data and Analytics Engineering team, enabling enterprise\-wide data activation and supporting advanced analytics initiatives.
**What You’ll Do**
* Build and maintain dbt data pipelines to deliver clean, reliable, and well\-structured data for data science and analytics use cases.
* Implement real\-time data ingestion and processing using PySpark and AWS Glue.
* Apply software engineering best practices—including version control, testing, and integration—to all analytics and data development work.
* Review code changes and approve pull requests (PRs) in Git to ensure quality and consistency.
* Partner with stakeholders to explore, analyze, and source data from strategic enterprise data assets.
* Collaborate closely with data scientists on data quality, availability, and business value to support model development and analysis.
* Translate business and technical requirements into Jira stories, define milestones, and manage progress.
* Work with data stewards across New York Life to ensure alignment on data governance and standards.
* Build strong relationships with Technology (IT) teams to support tooling, data strategy, system integrations, and deployment processes.
* Communicate information and ideas effectively to diverse audiences across the organization.
**What You’ll Bring**
* 3\-7\+ years of experience with hands\-on experience building and maintaining dbt data models and transformation pipelines.
* Proficiency with AWS Glue, including ETL development, job orchestration, and catalog integration.
* Strong working knowledge of Databricks, including SQL, notebooks, and distributed data processing.
* Experience with Kafka and streaming data pipelines for real\-time ingestion and processing.
* Strong analytical thinking and problem\-solving skills, with the ability to troubleshoot complex data issues.
* Ability to work collaboratively in cross\-functional teams and communicate technical concepts to non\-technical stakeholders.
* Experience in the insurance industry or other regulated industries (preferred).
**Pay Transparency**
 Salary Range: $100,000\-$143,000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93045</t>
        </is>
      </c>
    </row>
    <row r="36">
      <c r="A36" t="inlineStr">
        <is>
          <t>li-4348334566</t>
        </is>
      </c>
      <c r="B36" t="inlineStr">
        <is>
          <t>Sr Data Platform Engineer - SQL Server Specialist</t>
        </is>
      </c>
      <c r="C36" t="inlineStr">
        <is>
          <t>PENNYMAC</t>
        </is>
      </c>
      <c r="D36" t="inlineStr">
        <is>
          <t>linkedin</t>
        </is>
      </c>
      <c r="E36" t="inlineStr"/>
      <c r="F36" t="inlineStr"/>
      <c r="G36" t="inlineStr">
        <is>
          <t>Carrollton, TX</t>
        </is>
      </c>
      <c r="H36" t="inlineStr"/>
      <c r="I36" t="inlineStr">
        <is>
          <t>**PENNYMAC**
 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Sr Data Platform Engineer \- SQL Server Specialist leads the design, optimization, and management of our enterprise data platform infrastructure, with a primary focus on advanced SQL Server implementations. This role supports critical business functions through sophisticated database platform development, including pricing analytics, trading systems, hedging models, and pooling operations, ensuring scalable, performant, and reliable data solutions across the organization. You'll leverage modern AI\-assisted development tools to accelerate development cycles while also architecting data solutions that power AI/ML initiatives across the business—from predictive analytics to intelligent automation.
**The Sr Data Platform Engineer \- SQL Server Specialist will:**
* Advanced SQL Server Expertise \- Architect, optimize, and manage complex SQL Server environments including Always On Availability Groups, Replication, Mirroring, and performance tuning at enterprise scale
* Expert T\-SQL Development \- Design and implement advanced features including stored procedures, dynamic SQL, Common Table Expressions (CTEs), window functions, and query optimization for complex data operations
* Database Architecture \&amp; Design \- Lead enterprise data modeling, dimensional modeling, and modern database design patterns in SQL Server
* High Availability \&amp; Disaster Recovery \- Design and manage SQL Server HA/DR solutions including backup strategies, failover clustering, and business continuity planning
* Strong proficiency with Python 3, Object\-Oriented Programming \&amp; Design Patterns for data pipeline development
* Solid experience with Amazon Web Services (AWS) and serverless technologies for data integration
* Strong experience with advanced SQL, query optimization, and database performance tuning
* Experience with REST APIs and data integration patterns
* Experience with Git and collaborative development workflows
* Experience with comprehensive testing strategies including unit and integration testing
* Experience with event\-driven architectures and microservices in data contexts
* Experience with Infrastructure as Code (CloudFormation, CDK, Terraform)
* Knowledge of DataOps practices (CI/CD for data pipelines, automated testing)
* Knowledge of Agile, Scrum, Jira methodologies
* Preferred: Experience with AI\-assisted development tools (Cursor, GitHub Copilot, ChatGPT, etc.) to accelerate coding and architecture design
* Preferred: Experience architecting or supporting data pipelines for AI/ML workloads, including feature engineering, data preparation, and model\-serving infrastructure
* Preferred: Experience with Snowflake, cloud data warehousing concepts, and hybrid on\-premises/cloud database strategies
**What You’ll Bring**
* Degree in Computer Science, Data Engineering, Engineering, or similar technical major
* 5\+ years of software development experience with 4\+ years of advanced SQL Server experience
* Expert\-level SQL Server skills including performance optimization, High Availability/Disaster Recovery, cost management, and enterprise\-scale implementations
* Deep understanding of relational database concepts, ETL/ELT patterns, OLTP/OLAP, and modern data architecture principles
* Extensive experience with SQL Server administration, including indexing strategies, query execution plans, and performance monitoring
* Extensive experience with databases at enterprise scale, including both relational and NoSQL technologies
* Demonstrated ability to master advanced database platform technologies such as replication, streaming, data orchestration, governance, security, monitoring, or performance optimization
* Proven track record of architecting and implementing business\-critical database solutions that improve stability, security, performance, and scalability
* Demonstrated ability to effectively communicate complex database architecture concepts to engineers, product owners, project managers, and business stakeholders
* Demonstrated experience in multi\-team collaboration and agile development practices, particularly in data\-focused environments
* Ability to collaborate across teams and design database systems that address architectural gaps and scalability challenge
* Comfort learning and adopting emerging technologies, including AI\-assisted development tools and AI\-driven data solutions
* Preferred: Financial Services and mortgage industry experience, particularly with regulatory reporting, risk management, and loan servicing data requirements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To learn more about our benefits visit: https://pennymacnews.page.link/benefits
 For residents with state required benefit information, additional information can be found at: https://www.pennymac.com/additional\-benefits\-information
**Compensation:** 
 Individual salary may vary based on multiple factors including specific role, geographic location / market data, and skills and experience as defined below:
*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$90,000 \- $150,000
**Work Model**
 OFFICE</t>
        </is>
      </c>
    </row>
    <row r="37">
      <c r="A37" t="inlineStr">
        <is>
          <t>li-4369742304</t>
        </is>
      </c>
      <c r="B37" t="inlineStr">
        <is>
          <t>Senior Data Engineer</t>
        </is>
      </c>
      <c r="C37" t="inlineStr">
        <is>
          <t>Honeywell</t>
        </is>
      </c>
      <c r="D37" t="inlineStr">
        <is>
          <t>linkedin</t>
        </is>
      </c>
      <c r="E37" t="inlineStr"/>
      <c r="F37" t="inlineStr"/>
      <c r="G37" t="inlineStr">
        <is>
          <t>Atlanta, GA</t>
        </is>
      </c>
      <c r="H37" t="inlineStr"/>
      <c r="I37" t="inlineStr">
        <is>
          <t>**Job Description**
 As a Senior Data Engineer, you will be part of a high\-performing global team delivering advanced AI and data solutions for Honeywell’s industrial customers, with a focus on IoT and real\-time data processing. In this role, you will design and implement scalable data architectures and pipelines that enable next\-generation AI capabilities, including large\-scale machine learning models, intelligent automation, and real\-time analytics. You will work closely with cross\-functional teams to transform high\-volume IoT telemetry into reliable, actionable insights that support Honeywell’s connected industrial solutions.
 You will report directly to our Data Engineering Manager and you’ll work out of our Atlanta, GA location on a Hybrid work schedule.
**Responsibilities**
**KEY RESPONSIBILITIES**
**Data Engineering \&amp; AI Pipeline Development**
* Design and implement scalable data architectures to process high\-volume IoT sensor data and telemetry streams, ensuring reliable data capture and processing for AI/ML workloads
* Build and maintain data pipelines for AI product lifecycle, including training data preparation, feature engineering, and inference data flows
* Develop and optimize RAG (Retrieval Augmented Generation) systems, including vector databases, embedding pipelines, and efficient retrieval mechanisms
* Lead the architecture and development of scalable data platforms on Databricks
* Drive the integration of GenAI capabilities into data workflows and applications
* Optimize data processing for performance, cost, and reliability at scale
* Create robust data integration solutions that combine industrial IoT data streams with enterprise data sources for AI model training and inference
**DataOps**
* Implement DataOps practices to ensure continuous integration and delivery of data pipelines powering AI solutions
* Design and maintain automated testing frameworks for data quality, data drift detection, and AI model performance monitoring
* Create self\-service data assets enabling data scientists and ML engineers to access and utilize data efficiently
* Design and maintain automated documentation for data lineage and AI model provenance
**Collaboration \&amp; Innovation**
* Partner with ML engineers and data scientists to implement efficient data workflows for model training, fine\-tuning, and deployment
* Mentor team members and provide technical leadership on complex data engineering challenges
* Establish data engineering best practices, including modular code design and reusable frameworks
* Drive projects to completion while working in an agile environment with evolving requirements in the rapidly changing AI landscape
**Qualifications**
**YOU MUST HAVE**
* Minimum 5 years of experience building production data pipelines in Databricks processing TB scale data
* Extensive experience implementing medallion architecture (Bronze/Silver/Gold) with Delta Lake, Delta Live Tables (DLT), and Lakeflow for batch and streaming pipelines from
* Event Hub or Kafka sources
* Strong hands\-on proficiency with PySpark for distributed data processing and transformation
* Strong experience working with cloud platforms such as Azure, GCP and Databricks, especially in designing and implementing AI/ML\-driven data workflows
* Proficient in CI/CD practices using Databricks Asset Bundles (DAB), Git workflows, GitHub Actions, and understanding of DataOps practices including data quality testing and observability
* Hands\-on experience building RAG applications with vector databases, LLM integration, and agentic frameworks like LangChain, LangGraph
* Natural analytical mindset with demonstrated ability to explore data, debug complex distributed systems, and optimize pipeline performance at scale
**WE VALUE**
* Experience building RAG and agentic architecture solutions and working with LLM\-powered applications
* Expertise in real\-time data processing frameworks (Apache Spark Streaming, Structured Streaming)
* Knowledge of MLOps practices and experience building data pipelines for AI model deployment
* Experience with time\-series databases and IoT data modeling patterns
* Familiarity with containerization (Docker) and orchestration (Kubernetes) for AI workloads
* Strong background in data quality implementation for AI training data
* Experience working with distributed teams and cross\-functional collaboration
* Knowledge of data security and governance practices for AI systems
* Experience working on analytics projects with Agile and Scrum Methodologies
**Benefits Of Working For Honeywell**
 In addition to a competitive salary, leading\-edge work, and developing solutions side\-by\-side with dedicated experts in their fields, Honeywell employees are eligible for a comprehensive benefits package. This package includes employer\-subsidized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click here
 The application period for the job is estimated to be 40 days from the job posting date; however, this may be shortened or extended depending on business needs and the availability of qualified candidates.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high\-growth businesses in broad\-based, attractive industrial end markets. Our products and solutions enable a safer, more comfortable, and more productive world, enhancing the quality of life of people around the globe. Learn more about Honeywell: click here
**THE BUSINESS UNIT**
 Honeywell Connected Enterprise (HCE) is the software division of Honeywell with a strategic focus on digitization, sustainability, and OT Cybersecurity SaaS offerings and solutions. HCE was established to leverage Honeywell’s domain expertise and lead the transition into a cutting\-edge industrial software company. Since our inception in 2018, HCE established the category of intelligent operations and built a new platform born out of decades of operational data and insights, uniting real\-time data across assets, people, and processes into a system of record for a 360\-degree view. This is our flagship offering \- Honeywell Forge. We are a global team of thousands of innovators with expertise spanning industrial operations, software engineering, data science, artificial intelligence, and process engineering. We are paving the way for our customers to grow responsibly. We believe the future is what we make it. As a Honeywell Futureshaper, you are a part of something bigger. You can work with highly capable people to make the world a better place and become the best you. After all, we are not imagining the future; we’re building it. To learn more, please click here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Learn more about inclusion and diversity: click here
 Due to compliance with U.S. export control laws and regulations, candidate must be a U.S. Person, which is defined as, a U.S. citizen, a U.S. permanent resident, or have protected status in the U.S. under asylum or refugee status or have the ability to obtain an export authorization.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38">
      <c r="A38" t="inlineStr">
        <is>
          <t>li-4364406249</t>
        </is>
      </c>
      <c r="B38" t="inlineStr">
        <is>
          <t>Senior Data Engineer - Remote (EST)</t>
        </is>
      </c>
      <c r="C38" t="inlineStr">
        <is>
          <t>Centro Benefits Research</t>
        </is>
      </c>
      <c r="D38" t="inlineStr">
        <is>
          <t>linkedin</t>
        </is>
      </c>
      <c r="E38" t="inlineStr"/>
      <c r="F38" t="inlineStr"/>
      <c r="G38" t="inlineStr"/>
      <c r="H38" t="inlineStr"/>
      <c r="I38" t="inlineStr">
        <is>
          <t>Does your current company inspire you to build, grow, and innovate? Is your passion for making lasting and meaningful change being realized?
 The tremendous growth in our business and increasing demand for our services means we are expanding our team in exciting ways. We have the heart of a startup and the backing of an industry leader. This means a unique career opportunity for low\-ego professionals looking for a people\-first, culture rich work family with which to change the world.
**Summary**
 We are seeking a Senior Data Engineer to architect and build cloud\-native data platforms centered around Snowflake, dbt, and modern orchestration frameworks. The role involves 60–70% data engineering and architecture and 30–40% backend, infrastructure, and systems design, including some frontend engineering to support full\-stack delivery of data\-driven features where appropriate.
**Essential Duties And Responsibilities**
* Architect and develop scalable data pipelines and models using Snowflake and dbt.
* Design and operate orchestration using Airflow, Dagster, Prefect, or similar.
* Define modeling standards, storage patterns, and performance strategies.
* Collaborate on backend APIs, services, integration layers, and limited frontend interfaces supporting data\-driven features.
* Contribute to CI/CD, environment management, and automated pipeline delivery.
* Implement quality checks, lineage, SLAs, and observability.
* Mentor engineers and drive architectural best practices.
* Participate in system design and multi\-team architectural planning.
**Qualifications, Skills And Requirements**
* 5\+ years of experience in data engineering, data architecture, or platform engineering.
* Strong experience with dbt (modeling, testing, deployment, environment strategies).
* Hands\-on experience with orchestration frameworks (Airflow, Dagster, Prefect, or similar).
* Deep expertise with data warehousing platforms; e.g. Snowflake, Redshift, etc including performance tuning and RBAC.
* Strong software engineering fundamentals in Python or Golang; advanced SQL.
* Deep understanding of distributed systems, event\-driven design, microservices, and data platform architecture.
* Experience with metadata management, lineage tools, and observability technologies (Datadog, Prometheus, OpenTelemetry).
* Strong communication skills for leading architectural discussions across technical and non\-technical teams.
**Bonus Points**
* Salesforce integration experience.
* Experience in regulated industries.
* Experience managing infrastructure with Azure, esp. AKS
 The typical base pay range for this role nationwide is $150,000 to $170,000 per year.
 Your base pay is dependent upon your skills, education, qualifications, professional experience, and location. In addition to base pay, some roles are eligible for variable compensation, commission, and/or annual bonus based on your individual performance and/or the company’s performance. We also offer eligible employees health, wellbeing, retirement, and other financial benefits, paid time off, overtime pay for non\-exempt employees, and robust learning and development programs. You will receive reimbursement of job\-related expenses per the company policy and may receive employee perks and discounts.
 To learn more, visit: www.onedigital.com/careers
 Thank you for your interest in joining the team!</t>
        </is>
      </c>
    </row>
    <row r="39">
      <c r="A39" t="inlineStr">
        <is>
          <t>li-4322164473</t>
        </is>
      </c>
      <c r="B39" t="inlineStr">
        <is>
          <t>Analytics Engineer</t>
        </is>
      </c>
      <c r="C39" t="inlineStr">
        <is>
          <t>SBA Communications</t>
        </is>
      </c>
      <c r="D39" t="inlineStr">
        <is>
          <t>linkedin</t>
        </is>
      </c>
      <c r="E39" t="inlineStr"/>
      <c r="F39" t="inlineStr"/>
      <c r="G39" t="inlineStr">
        <is>
          <t>Montgomery County, PA</t>
        </is>
      </c>
      <c r="H39" t="inlineStr"/>
      <c r="I39" t="inlineStr">
        <is>
          <t>SBA Communications is a leading independent owner and operator of wireless communications infrastructure, including towers, buildings, rooftops, DAS and small cells. We offer a competitive benefits and compensation package and are looking for team members who will thrive in our dynamic environment.
 We welcome your interest in SBA. Let us know a little about you by checking all that apply:
* You are a self\-starter.
* You are resourceful and thrive in a fast\-paced environment.
* You have a strong work ethic.
* You are passionate and driven to achieve results.
* You are a team player who enjoys working in a collaborative environment.
* You continuously challenge yourself to find innovative ways to improve.
 You may be a perfect fit. At SBA, we operate with the highest sense of integrity and commitment to quality. We focus on achievement and operate with responsiveness, timeliness and accountability. Our culture of excellence incorporates working collegially, where every team member can contribute meaningfully and make a difference.
 If you are ready to make an impact, join our team!
**Your Next Career Opportunity – Analytics Engineer – Data Analytics Center of Excellence**
 The Analytics Engineer bridges the gap between data engineering and analytics by enriching available data sources, enabling new data products, building semantic models, and improving infrastructure to support scalable and governed analytics solutions. This role is critical in enabling self\-service analytics and ensuring data quality and accessibility across SBA. The ideal candidate excels at translating complex business logic into enriched, reusable data products that empower business users to explore and analyze data independently, driving consistency and insight across the organization. This role is part of a collaborative, mission\-driven team focused on elevating data maturity and enabling enterprise\-wide analytics excellence. It also plays a foundational role in preparing enterprise data assets for consumption by AI and machine learning solutions, ensuring data is structured, enriched, and optimized for intelligent applications.
**What You Will Do – Primary Responsibilities**
* Design, build, and maintain robust semantic models and curated datasets that translate business logic into reusable, governed data products for self\-service analytics and AI consumption.
* Develop and optimize data pipelines and dataflows to support scalable and performant analytics solutions across Microsoft Fabric, Power BI, Azure, and Databricks, with an emphasis on preparing clean, structured data for AI Agentic workflows.
* Collaborate with citizen developers and business stakeholders to understand analytical requirements and ensure semantic models and data products meet usability, accuracy, and compliance standards.
* Implement and manage row\-level security (RLS) within semantic models to ensure appropriate data access and compliance with organizational policies.
* Develop and execute testing and validation strategies to ensure the accuracy, reliability, and consistency of data transformations and analytics outputs.
* Apply engineering best practices such as modular design, version control, and code documentation to analytics workflows.
* Document business logic, data transformations, and model structures in technical documentation, data dictionaries, and metadata catalogs, ensuring data lineage and feature clarity to support generative AI and predictive modeling initiatives.
* Design and implement automated data workflows and orchestration strategies to streamline model deployment, ensure timely data availability, and support scalable analytics operations.
* Support coordination with contractors and internal teams to align on data architecture, modeling standards, and delivery timelines.
* Promote adoption of self\-service analytics tools by enabling business users and ensuring data products are intuitive, well\-documented, and aligned with user needs.
* Other duties as required
**What You’ll Need – Qualifications \&amp; Requirements**
* Bachelor’s or Master’s degree in Data Engineering, Computer Science, Information Systems, a related field, or equivalent experience.
+ Minimum of 3 years of experience in analytics engineering, data modeling, or business intelligence development.
* Advanced proficiency in SQL, DAX, and Power BI, with demonstrated experience building and optimizing semantic models and dataflows.
* Hands\-on experience with Microsoft Fabric and modern data architecture principles.
* Strong understanding of data governance, row\-level security (RLS), and metadata management.
* Familiarity with CI/CD pipelines, version control systems (e.g., Git), and data orchestration tools (e.g., Azure Data Factory, dbt, or similar).
* Proven ability to translate complex business logic into scalable, reusable data products.
* Excellent communication skills and ability to collaborate with both technical and non\-technical stakeholders.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Ability to stoop, bend, kneel or crouch.
* Ability to stand, walk and sit.
* Ability to reach with hands and arms.
* Visual ability correctable to 20/20\.
* Sitting up to 90% of the day.
* Ability to respond verbally in an understandable, professional manner in person and over the telephone.
* Manual dexterity to input data into the computer and the calculator and operate the equipment listed above.
* Ability to lift up to 15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Office/ Cubicle workspace.
* Moderate noise level.</t>
        </is>
      </c>
    </row>
    <row r="40">
      <c r="A40" t="inlineStr">
        <is>
          <t>li-4369180257</t>
        </is>
      </c>
      <c r="B40" t="inlineStr">
        <is>
          <t>Senior Data Engineer</t>
        </is>
      </c>
      <c r="C40" t="inlineStr">
        <is>
          <t>Software Guidance &amp; Assistance, Inc. (SGA, Inc.)</t>
        </is>
      </c>
      <c r="D40" t="inlineStr">
        <is>
          <t>linkedin</t>
        </is>
      </c>
      <c r="E40" t="inlineStr"/>
      <c r="F40" t="inlineStr"/>
      <c r="G40" t="inlineStr">
        <is>
          <t>New York, NY</t>
        </is>
      </c>
      <c r="H40" t="inlineStr"/>
      <c r="I40" t="inlineStr">
        <is>
          <t>Software Guidance \&amp; Assistance, Inc., (SGA), is searching for a
 **Senior Data Engineer** 
 for a
 **contract** 
 assignment with one of our premier
 **Financial Services** 
 clients in
 **New York, NY** 
 .
**Responsibilities** 
 :
* Work on migrating applications from an on\-premises location to the cloud service providers.
* Develop products and services on the latest technologies through contributions in development, enhancements, testing and implementation.
* Develop, modify, extend code for building cloud infrastructure, and automate using CI/CD pipeline.
* Partners with business and peers in the pursuit of solutions that achieve business goals through an agile software development methodology.
* Perform problem analysis, data analysis, reporting, and communication.
* Work with peers across the system to define and implement best practices and standards.
* Assess applications and help determine the appropriate application infrastructure patterns.
* Use the best practices and knowledge of internal or external drivers to improve products or services.
* Design, develop, and optimize scalable ETL/ELT pipelines using ETL/ELT pipelines using Databricks and Apache Spark (PySpark and Scala).
* Build data ingestion workflows from various sources (structured, semi\-structured, and unstructured).
* Develop reusable components and frameworks for efficient data processing.
* Implement best practices for data quality, validation, and governance.
* Collaborate with data architects, analysts, and business stakeholders to understand data requirements.
* Tune Spark jobs for performance and scalability in a cloud\-based environment.
* Maintain robust data lake or Lakehouse architecture.
* Ensure high availability, security, and integrity of data pipelines and platforms.
* Support troubleshooting, debugging, and performance optimization in production workloads.
**Required** 
**Skills** 
 :
* Develop, and optimize scalable ETL/ELT pipelines using Databricks and Apache Spark (PySpark and Scala)
* Experience in developing data pipeline solutions to ingest and exploit new and existing data sources.
* Expertise in leveraging SQL, programming language like Python and ETL tools like Databricks
* Perform code reviews to ensure requirements, optimal execution patterns and adherence to established standards.
* Expertise in AWS Compute (EC2, EMR), AWS Storage (S3, EBS), AWS Databases (RDS, DynamoDB), AWS Data Integration (Glue).
* Advanced understanding of Container Orchestration services including Docker and Kubernetes, and a variety of AWS tools and services.
* Good understanding of AWS Identify and Access management, AWS Networking and AWS Monitoring tools.
* Proficiency in CI/CD and deployment automation using GITLAB pipeline.
* Proficiency in Cloud infrastructure provisioning tools e.g., Terraform.
* Proficiency in one or more programming languages e.g., Python, Scala.
* Experience in Starburst, Trino and building SQL queries in federated architecture.
* Good knowledge of Lake house architecture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41">
      <c r="A41" t="inlineStr">
        <is>
          <t>li-4378780933</t>
        </is>
      </c>
      <c r="B41" t="inlineStr">
        <is>
          <t>System Engineer- Enterprise Data Engineer</t>
        </is>
      </c>
      <c r="C41" t="inlineStr">
        <is>
          <t>Esri</t>
        </is>
      </c>
      <c r="D41" t="inlineStr">
        <is>
          <t>linkedin</t>
        </is>
      </c>
      <c r="E41" t="inlineStr"/>
      <c r="F41" t="inlineStr"/>
      <c r="G41" t="inlineStr">
        <is>
          <t>St Louis, MO</t>
        </is>
      </c>
      <c r="H41" t="inlineStr"/>
      <c r="I41" t="inlineStr">
        <is>
          <t>**Overview**
 In this position, you will partner with customers on enterprise database design and implementation strategies while applying Esri technology best practices. You will consult with customers to understand business and technical requirements, design enterprise data management strategies, and implement those strategies throughout the engagement life cycle. You will work both independently and as part of project teams to configure back\-end geospatial database management capabilities that support customer workflows utilizing ArcGIS web, desktop, and mobile applications.
 This team supports Defense and Intel clients. You will be part of a talented cross\-functional team of dynamic and passionate engineers to deliver capabilities that enable our customers to make a difference in communities around the world. You will be part of a team that influences lasting contributions for communities with the solutions you provide.
 The Professional Services division is the consulting and implementation arm of Esri. We break ground in new markets, push the technology envelope and deliver transformational solutions to high profile clients worldwide. The Professional Services organization is comprised of nearly 1,000 talented business and technical professionals who strive every day to help our users be successful.
 Esri has a Relocation Assistance Program and can provide support with relocating to the St. Louis, MO area for this position.
**Responsibilities**
* Lead strategic technical discussions with customers, guiding them through complex data architecture and database design decisions
* Design and implement robust, scalable, and secure database solutions to support mission\-critical applications
* Collaborate with cross\-functional teams during all phases of implementation including requirements, analysis, design, build/configuration, and deployment
* Configure and maintain database environments, including backup, restore, high\-availability, and disaster recovery strategies
* Monitor and tune database performance using industry\-standard tools and methodologies (such as query optimization, indexing strategies)
* Implement data security measures, access controls, and compliance standards across environments
* Automate routine database loading, maintenance, and monitoring tasks to improve efficiency
* Provide technical guidance and best practices for database design, migration, and integration projects
**Requirements**
* 8\+ years of hands\-on experience in database design, administration, and optimization for Oracle, SQL Server, PostgreSQL, or SAP HANA
* Demonstrated experience with database design principles, data loading techniques, backup and recovery solutions, performance monitoring and tuning, database maintenance, and security
* Scripting skills in SQL and Python for automation and data workflows
* Experience with cloud\-based database solutions (such as AWS RDS, Azure SQL Database)
* Basic understanding of geospatial concepts such as spatial data types, coordinate systems, and spatial indexing
* Ability to clearly communicate complex technical concepts to technical peers and non\-technical project managers or customers
* US citizenship with Active or Current (within 2 years of active) Top Secret Security Clearance with SCI eligibility
* Bachelor’s degree in computer science, mathematics, GIS, or related STEM field
**Recommended Qualifications**
* Experience with ArcGIS Enterprise geodatabases
* Knowledge of integrating GIS with other enterprise systems
* CompTIA Security \+ certification
* One or more industry\-standard IT certifications (such as Esri, Microsoft, Amazon, PostgreSQL, Oracle)
* Master's degree in computer science, mathematics, GIS or related STEM field
 Total RewardsEsri’s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$117,520 USD \- $197,600 USD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42">
      <c r="A42" t="inlineStr">
        <is>
          <t>li-4369144017</t>
        </is>
      </c>
      <c r="B42" t="inlineStr">
        <is>
          <t>Data Engineer - Senior Associate</t>
        </is>
      </c>
      <c r="C42" t="inlineStr">
        <is>
          <t>PwC</t>
        </is>
      </c>
      <c r="D42" t="inlineStr">
        <is>
          <t>linkedin</t>
        </is>
      </c>
      <c r="E42" t="inlineStr"/>
      <c r="F42" t="inlineStr"/>
      <c r="G42" t="inlineStr">
        <is>
          <t>Tampa, FL</t>
        </is>
      </c>
      <c r="H42" t="inlineStr"/>
      <c r="I42"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43">
      <c r="A43" t="inlineStr">
        <is>
          <t>li-4362443725</t>
        </is>
      </c>
      <c r="B43" t="inlineStr">
        <is>
          <t>Staff Analytics Engineer</t>
        </is>
      </c>
      <c r="C43" t="inlineStr">
        <is>
          <t>Sequel Med Tech</t>
        </is>
      </c>
      <c r="D43" t="inlineStr">
        <is>
          <t>linkedin</t>
        </is>
      </c>
      <c r="E43" t="inlineStr"/>
      <c r="F43" t="inlineStr"/>
      <c r="G43" t="inlineStr">
        <is>
          <t>Manchester, NH</t>
        </is>
      </c>
      <c r="H43" t="inlineStr"/>
      <c r="I43" t="inlineStr">
        <is>
          <t>**About Sequel**
 Sequel, headquartered in Manchester, New Hampshire, is a company developing the next generation of transformative drug\-delivery advancements starting with diabetes. Sequel’s approach is to look at diabetes management holistically to advance systems that make living with diabetes simpler and easier for all. Sequel’s flagship product, the twiist Automated Insulin Delivery (AID) System, launched in July 2025 for people with type 1 diabetes providing them with personalized diabetes management.
**Job Overview**
 Sequel Med Tech is seeking an experienced Analytics Engineer to spearhead the design, development, and implementation of our long\-term data strategy while supporting shorter\-term data needs for our digital health portfolio. As a Staff Analytics Engineer you will play a pivotal role in shaping the future of healthcare for people living with diabetes, upskilling Sequel’s broader data and reporting capabilities while also working directly with our product teams as a subject matter expert on feature design and implementation.
 We are building out Sequel’s foundational data models that drive both clinical and business decisions where quality and accuracy are critical. If you are someone that proactively identifies problems, implements solutions, and values shared ownership and accountability, then this is the job for you.
**Job Responsibilities And Essential Duties**
* Building data models and data pipelines for Snowflake using DBT and Airbyte.
* Ensuring the company’s data pipelines are efficient, well\-tested, and accurate.
* Work closely with business leaders, technical teams, customers, and other stakeholders to identify opportunities to solve healthcare problems with data and to translate those opportunities into data science questions and data engineering requirements.
* Communicate complex data insights to clinical and business leaders to inform decision\-making.
* Build clinical and business dashboards in Lightdash.
* Partner with technical teams to ensure data\-driven functionality is designed, implemented, tested, and released with proper consideration to data quality, integrity, compliance, and use.
* Ensure quality, inclusion, impartiality, and accessibility in delivered products.
* Help develop best\-in\-class data science practices to support a rapidly growing organization.
**Minimum Requirements**
* 6\+ years’ experience in data science or data engineering.
* Bachelor’s degree in Computer Science, Mathematics, Machine Learning, or related field, or combination of relevant experience and education. Masters preferred.
* Proficiency with SQL and Python with strong knowledge of data manipulation and analysis libraries.
* Experience with data transformation tools such as DBT, SQL Mesh, Airflow, etc.
* Experience with cloud data platforms such as Snowflake, Databrick, Big Query, Redshift, etc.
* Experience with engineering best practices including the use of version control.
* Ability to clearly communicate complex technical concepts to non\-technical stakeholders.
**Preferred Experience**
* Experience in healthcare, including both patient\- and clinician\-facing applications.
* Awareness of healthcare regulations and ethical considerations related to patient data.
* Knowledge of machine learning algorithms (regression, classification, clustering, etc.).
* Understanding of clinical data structures, coding systems, and healthcare terminology. Diabetes experience highly preferred.
 $175,000 \- $180,000 a year
 Sequel Med Tech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At Sequel, we believe that when you thrive, we thrive. That’s why our benefits package is designed to support you from day one. You’ll be automatically enrolled in our 401k plan, featuring a 6% company match and 100% immediate vesting. We’re committed to your well\-being and understand the unique needs of employees and families living with diabetes, so we offer capped out\-of\-pocket insulin costs and GLP\-1 coverage across all plans. You’ll have access to a variety of Meritain health insurance plans to suit your needs and can also take advantage of Flexible Spending Accounts (FSAs) or Health Savings Account (HSA). Our comprehensive benefits package includes vision and dental coverage, plus voluntary options such as long\-term disability, accident, critical illness, hospital indemnity, and even discounts for pet care. In addition, we provide employer\-paid short\-term disability and life insurance for extra peace of mind.
 We know the importance of taking time to rest and recharge. That’s why Sequel offers flexible PTO, generous paid holidays, and Flex Time options to help you balance work and life when you need it most. Our team enjoys a culture built on hard work, fun, and genuine support. At Sequel, you’re not just starting a job, you’re building a rewarding career and a brighter future. Join us, and let’s thrive together!
 Environmental/Safety/Physical Work Conditions
 Ensures environmental consciousness and safe practices are exhibited in decisions
 Use of computer and telephone equipment and other related office accessories/devices to complete assignments
 May work extended hours during peak business cycles
 Physical requirements such as lifting specific weights
 Some travelling is expected</t>
        </is>
      </c>
    </row>
    <row r="44">
      <c r="A44" t="inlineStr">
        <is>
          <t>li-4369143082</t>
        </is>
      </c>
      <c r="B44" t="inlineStr">
        <is>
          <t>Data Engineer - Senior Associate</t>
        </is>
      </c>
      <c r="C44" t="inlineStr">
        <is>
          <t>PwC</t>
        </is>
      </c>
      <c r="D44" t="inlineStr">
        <is>
          <t>linkedin</t>
        </is>
      </c>
      <c r="E44" t="inlineStr"/>
      <c r="F44" t="inlineStr"/>
      <c r="G44" t="inlineStr">
        <is>
          <t>Seattle, WA</t>
        </is>
      </c>
      <c r="H44" t="inlineStr"/>
      <c r="I44"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45">
      <c r="A45" t="inlineStr">
        <is>
          <t>li-4377922987</t>
        </is>
      </c>
      <c r="B45" t="inlineStr">
        <is>
          <t>Fulltime :: Data Engineer with AI Kubernetes</t>
        </is>
      </c>
      <c r="C45" t="inlineStr">
        <is>
          <t>Ampstek</t>
        </is>
      </c>
      <c r="D45" t="inlineStr">
        <is>
          <t>linkedin</t>
        </is>
      </c>
      <c r="E45" t="inlineStr"/>
      <c r="F45" t="inlineStr"/>
      <c r="G45" t="inlineStr">
        <is>
          <t>Columbus, Ohio Metropolitan Area</t>
        </is>
      </c>
      <c r="H45" t="inlineStr"/>
      <c r="I45" t="inlineStr">
        <is>
          <t>Hi,
 Hope you are doing great!
 We have the below urgent position with my client. Please reply if you are interested.
**Job Title : Data Engineer with AI Kubernetes** 
**Location : Columbus, OH** 
**Fulltime/Contract** 
 Required Skills \&amp; Qualifications:
 • Strong proficiency in Python for data processing and pipeline development
 • Hands\-on experience with Apache Spark (PySpark preferred)
 • Solid experience with AWS services such as S3, Glue, EMR, Redshift, Athena, Lambda
 • Experience with SQL and relational/non\-relational databases
 • Knowledge of data modeling, data warehousing concepts, and ETL frameworks
 • Experience working with large\-scale, distributed data systems
 • Familiarity with CI/CD pipelines and version control tools (Git)
 • Strong problem\-solving and communication skills
 Preferred / Nice to Have:
 • Experience with Airflow or other workflow orchestration tools
 • Knowledge of Kafka, Kinesis, or streaming data platforms
 • Experience with Docker/Kubernetes
 • Exposure to Delta Lake, Iceberg, or HuD.
**Thanks, and Regards** 
**Saurabh Kumar \| Team Lead** 
**saurabh.yadav@ampstek.com \| www.ampstek.com** 
**https://www.linkedin.com/in/saurabh\-kumar\-yadav\-518927a8/** 
**Call to : \+1 609\-360\-2671**</t>
        </is>
      </c>
    </row>
    <row r="46">
      <c r="A46" t="inlineStr">
        <is>
          <t>li-4375940728</t>
        </is>
      </c>
      <c r="B46" t="inlineStr">
        <is>
          <t>Consultant, Data Engineer (Tech Lead)</t>
        </is>
      </c>
      <c r="C46" t="inlineStr">
        <is>
          <t>Nationwide</t>
        </is>
      </c>
      <c r="D46" t="inlineStr">
        <is>
          <t>linkedin</t>
        </is>
      </c>
      <c r="E46" t="inlineStr"/>
      <c r="F46" t="inlineStr"/>
      <c r="G46" t="inlineStr">
        <is>
          <t>Columbus, OH</t>
        </is>
      </c>
      <c r="H46" t="inlineStr"/>
      <c r="I46"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
**This role will work a hybrid schedule coming into the Columbus, Ohio office 2 days (Wednesday \&amp; Thursday) per week.**
**This role does not qualify for employer\-sponsored work authorization. Nationwide does not participate in the Stem OPT Extension program.**
 Be at the forefront of building our new cloud\-native Annuity Data Platform. If you’re passionate about modern data platforms and leading strong data engineers, we invite you to apply for this role in the Annuity Modernization program.
**Responsibilities And Required Skills**
* Lead the design and delivery of scalable, production\-grade data products across cloud and hybrid environments, with deep hands\-on expertise in Snowflake, Python, and modern data engineering practices.
* Provide technical leadership to a global team of 5–6 data engineers, collaborating with analysts, QA, and business partners to translate requirements into robust, high\-quality data solutions.
* Develop and optimize complex ETL/ELT workflows and SQL workloads across Postgres, Oracle, SQL Server, and Snowflake, ensuring reliability, performance, and maintainability at scale.
* Engineer and deploy containerized data applications using Kubernetes and cloud platforms (AWS preferred), and design/manage orchestration workflows using UAC or similar tools.
* Drive data quality, lineage, observability, and engineering best practices, contributing to and enforcing standards, frameworks, and repeatable patterns across the broader engineering team.
* Deep experience writing, tuning, and optimizing complex SQL across multiple RDBMS systems.
* Strong troubleshooting skills with the ability to solve complex data pipeline and performance issues.
* Excellent communication, collaboration, and problem‑solving skills.
* Experience in financial services or insurance.
**Job Description Summary**
 Nationwide’s industry leading workforce is passionate about creating data solutions that are secure, reliable and efficient in support of our mission to provide extraordinary care. Nationwide embraces an agile work environment and collaborative culture through the understanding of business processes, relationship entities and requirements using data analysis, quality, visualization, governance, engineering, robotic process automation, and machine learning to produce targeted data solutions. If you have the drive and desire to be part of a future forward data enabled culture, we want to hear from you.
 As a Data Engineer you’ll be responsible for acquiring, curating, and publishing data for analytical or operational uses. Data should be in a ready\-to\-use form that creates a single version of the truth across all data consumers, including business users, data scientists, and Technology. Ready\-to\-use data can be for both real time and batch data processes and may include unstructured data. Successful data engineers have the skills typically required for the full lifecycle software engineering development from translating requirements into design, development, testing, deployment, and production maintenance tasks. You’ll have the opportunity to work with various technologies from big data, relational and SQL databases, unstructured data technology, and programming languages.
**Job Description**
**Key Responsibilities:**
* Consults on complex data product projects by analyzing moderate to complex end to end data product requirements and existing business processes to lead in the design, development and implementation of data products.
* Responsible for producing data building blocks, data models, and data flows for varying client demands such as dimensional data, standard and ad hoc reporting, data feeds, dashboard reporting, and data science research \&amp; exploration.
* Translates business data stories into a technical story breakdown structure and work estimate so value and fit for a schedule or sprint.
* Responsible for applying secure software and systems engineering practices throughout the delivery lifecycle to ensure our data and technology solutions are protected from threats and vulnerabilities.
* Creates business user access methods to structured and unstructured data by such techniques such as mapping data to a common data model, NLP, transforming data as necessary to satisfy business rules, AI, statistical computations and validation of data content.
* Builds data cleansing, imputation, and common data meaning and standardization routines from source systems by understanding business and source system data practices and by using data profiling and source data change monitoring, extraction, ingestion and curation data flows.
* Facilitates medium to large\-scale data using cloud technologies – Azure and AWS (i.e. Redshift, S3, EC2, Data\-pipeline and other big data technologies).
* Collaborates with enterprise DevSecOps team and other internal organizations on CI/CD best practices experience using JIRA, Jenkins, Confluence etc.
* Implements production processes and systems to monitor data quality, ensuring production data is always accurate and available for key stakeholders and business processes that depend on it.
* Develops and maintains scalable data pipelines for both streaming and batch requirements and builds out new API integrations to support continuing increases in data volume and complexity
* Writes and performs data unit/integration tests for data quality With input from a business requirements/story, creates and executes testing data and scripts to validate that quality and completeness criteria are satisfied. Can create automated testing programs and data that are re\-usable for future code changes.
* Practices code management and integration with engineering Git principle and practice repositories.
* Participates as an expert and learner in team tasks for data analysis, architecture, application design, coding, and testing practices.
**May Perform Other Responsibilities As Assigned.**
**Reporting Relationships:** 
 Reports to Director or AVP Data Leader.
**Typical Skills And Experiences**
**Education** 
 : Undergraduate studies in computer science, management information systems, business, statistics, math, a related field or comparable experience and education strongly preferred. Graduate studies in business, statistics, math, computer science or a related field are a plus.
**License/Certification/Designation:** 
 Certifications are not required but encouraged.
**Experience** 
 : Five to eight years of relevant experience with data quality rules, data management organization/standards and practices. Solid experience with software development on large and/or concurrent projects. Experience in data warehousing, statistical analysis, data models, and queries. One to three years’ experience with developing compelling stories and distinctive visualizations. Insurance/financial services industry knowledge a plus.
**Knowledge, Abilities and Skills** 
 : Data application and practices knowledge. Advanced skills with modern programming and scripting languages (e.g., SQL, R, Python, Spark, UNIX Shell scripting, Perl, or Ruby). Strong problem solving, oral and written communication skills. Ability to influence, build relationships, negotiate and present to senior leaders.
 Other criteria, including leadership skills, competencies and experiences may take precedence.
 Staffing exceptions to the above must be approved by the hiring manager’s leader and HR Business Partner.
**Values:** 
 Regularly and consistently demonstrates the Nationwide Values.
**Job Conditions**
**Overtime Eligibility** 
 : Exempt (Not Eligible)
**Working Conditions** 
 : Normal office environment.
**ADA** 
 :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Consultant, Data Engineer : $118,000\.00\-$222,000\.00
 The expected starting salary range for Consultant, Data Engineer : $118,000\.00 \- $178,000\.00</t>
        </is>
      </c>
    </row>
    <row r="47">
      <c r="A47" t="inlineStr">
        <is>
          <t>li-4378797288</t>
        </is>
      </c>
      <c r="B47" t="inlineStr">
        <is>
          <t>Data Engineer III</t>
        </is>
      </c>
      <c r="C47" t="inlineStr">
        <is>
          <t>Ad Hoc LLC</t>
        </is>
      </c>
      <c r="D47" t="inlineStr">
        <is>
          <t>linkedin</t>
        </is>
      </c>
      <c r="E47" t="inlineStr"/>
      <c r="F47" t="inlineStr"/>
      <c r="G47" t="inlineStr"/>
      <c r="H47" t="inlineStr"/>
      <c r="I47" t="inlineStr">
        <is>
          <t>**This is a remote position.**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Data Engineer III serves as an emerging individual contributor within a team, expanding your leadership, guidance and mentoring skills. With the support and guidance of leadership, you will be responsible for supporting the goal of meeting scope, schedule and delivery requirements. You will interact with stakeholders and utilize influential skills to drive improvements in data engineering processes and practices. Primary expectations of a Data Engineer III include:
* Builds data infrastructure, pipelines, systems, and tools with a little feedback and guidance from their team
* Intermediate understanding of data management and transformation of raw data into interpretable information
* Ability to create accurate and accessible datasets for Data Analysts and Scientists to interpret and use
* Own maintenance of data architectures and systems
* Practices technical and communications skills to improve context knowledge and mentor junior data engineers
* Presents on and writes about their work to both internal and external parties
* Participates in planning sessions, building an understanding of data architectures and infrastructure
* Supports recruiting efforts by evaluating homework assignments and potentially assisting with interviews
**Basic Qualifications** 
* Bachelor’s degree and 5\+ years of experience
+ Relevant years of experience may be substituted for education
* Proficient with at least one family of data ingestion systems, cloud database services, and visualization software
* Background in key data concepts including constructing databases, processing big data, improving data accuracy, etc.
* Strong experience with Python / Apache Spark.
* Solid understanding of data modeling, ETL process, and distributed computing.
* Strong understanding of software design patterns, data structures, and algorithms.
* Related experience in analytic programming, data extraction, querying databases/data warehouses and data analysis.
**Preferred Qualifications**
* AWS Experience (S3, EC2, Glue, Lambda, etc)
* R experience
* Professional Databricks/Apache Spark Certification(s)
* SAS experience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$120,000\-130,000\. Our recruiters will be happy to answer any questions you may have, and we look forward to learning more about your salary requirements.
**Job Reference**
 https://adhoc.team/</t>
        </is>
      </c>
    </row>
    <row r="48">
      <c r="A48" t="inlineStr">
        <is>
          <t>li-4369122873</t>
        </is>
      </c>
      <c r="B48" t="inlineStr">
        <is>
          <t>Data Engineer - Senior Associate</t>
        </is>
      </c>
      <c r="C48" t="inlineStr">
        <is>
          <t>PwC</t>
        </is>
      </c>
      <c r="D48" t="inlineStr">
        <is>
          <t>linkedin</t>
        </is>
      </c>
      <c r="E48" t="inlineStr"/>
      <c r="F48" t="inlineStr"/>
      <c r="G48" t="inlineStr">
        <is>
          <t>Boston, MA</t>
        </is>
      </c>
      <c r="H48" t="inlineStr"/>
      <c r="I48"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49">
      <c r="A49" t="inlineStr">
        <is>
          <t>li-4335788563</t>
        </is>
      </c>
      <c r="B49" t="inlineStr">
        <is>
          <t>Lead Data Engineer</t>
        </is>
      </c>
      <c r="C49" t="inlineStr">
        <is>
          <t>Rural King</t>
        </is>
      </c>
      <c r="D49" t="inlineStr">
        <is>
          <t>linkedin</t>
        </is>
      </c>
      <c r="E49" t="inlineStr"/>
      <c r="F49" t="inlineStr"/>
      <c r="G49" t="inlineStr">
        <is>
          <t>Mattoon, IL</t>
        </is>
      </c>
      <c r="H49" t="inlineStr"/>
      <c r="I49" t="inlineStr">
        <is>
          <t>**About Us**
 Rural King is America’s Farm and Home Store, providing essentials to the communities we serve. With a wide array of necessities ranging from food and feed to farm and home products, Rural King serves over 130 locations across 13 states and is
 **constantly expanding** 
 . Our annual sales exceed
 **$2\.5 Billion** 
 , and our heart beats in Mattoon, IL, home to our corporate office, distribution center, and flagship store.
 One thing our customers appreciate is our unique shopping experience, complete with complimentary
 **popcorn and coffee** 
 . It's just one way we show our appreciation for their support.
 At Rural King, we value our associates and strive to create a positive, rewarding workplace. We offer growth opportunities, competitive benefits, and a
 **people\-first** 
 environment where dedicated individuals come together to serve rural communities passionately. Join us, and you'll find not just a job but a chance to
 **grow professionally** 
 , contribute meaningfully, and make a difference in the lives of those we serve.
**How We Reward You**
 401(k) plan that provides a 100% match on the first 3% of your contributions and 50% of the next 2%
 Healthcare plans to support your needs
 Virtual doctor visits
 Access to Centers of Excellence with Barnes Jewish Hospital and Mayo Clinic’s Complex Care Program
 15% Associate Discount
 Dave Ramsey’s SmartDollar Program
 Associate Assistance Program
 RK Cares Associate Hardship Program
 24/7 Chaplaincy Services
 Company paid YMCA Family Membership
**What You’ll Do**
 As a Lead Data Engineer you will be responsible for designing, building, and maintaining the data architecture, infrastructure, and systems necessary for collecting, storing, processing, and analyzing large volumes of data. They work with large and complex data sets from various sources, including databases, APIs, and streaming data, to create scalable and reliable pipelines that facilitate data collection, storage, processing, and analysis They play a crucial role in the data pipeline, ensuring that data is available, accessible, and reliable for data scientists, analysts, and other stakeholders within an organization.
* Design, build, maintain, and manage the systems that move data efficiently within the organization.
* Design and implement ETL pipelines that can extract data from various sources, transform it, and load it into the data warehouse and/or data lake.
* Work collaboratively with cross\-functional teams and communicate effectively with technical and non\-technical stakeholders to understand data needs
* Monitor the performance of data pipelines that are efficient and secure
* Lead associates in a way that exemplifies the leadership principles taught in Rural King’s Thrive Leadership Program.
* Use discretion and independent judgment in daily decisions while maintaining a high level of confidentiality and professionalism.
* Actively participate in learning initiatives offered such as training programs, workshops, and webinars. Leverage these opportunities to acquire new knowledge, refine existing skills, and stay current on the latest developments.
* Provide friendly, proactive, and professional internal and external support to others, assisting with inquiries, concerns, and issues promptly and effectively.
* Demonstrate behaviors that exemplify Rural King’s Values: People First, Integrity, Attitude, Initiative, Teamwork, Accountability, and Continuous Improvement.
* Perform other duties as assigned.
**Supervisory Responsibilities**
 Yes
**Essential Qualities For Success**
* At least 4 years of relevant experience or equivalent combination of experience and education.
* Information Technology Engineering experience preferred.
* Bachelors in computer science, Engineering, or relevant field
* Experience as a Data Engineer or similar software engineering role .
* Proficient with git.
* Good knowledge of SQL and PHP or similar languages
* Good knowledge of big data technologies
* Good knowledge of data modeling
* Good knowledge of ETL/ELT tools
* Familiar with Looker, Power BI or other BI tools
* Working knowledge of databases, MySQL/MariaDB, and SQL
* Strong understanding of retail business practices.
* Excellent negotiation and conflict resolution skills.
* Demonstrated ability to adapt in a fast\-paced environment.
* Strong analytical and problem\-solving skills.
* Excellent organizational skills and attention to detail.
* Demonstrated behaviors must reflect integrity, professionalism, and confidentiality.
**Physical Requirements**
* Ability to maintain a seated or standing position for extended durations.
* Capability to lift 15 pounds periodically.
* Able to navigate and access all facilities.
* Skill to effectively communicate verbally with others, both in\-person and via electronic devices.
* Close vision for computer\-related tasks.
**Reasonable accommodations may be made to enable individuals with disabilities to perform essential job functions.**
 The pay range for this position is $78,000 \- $85,000 annualized and is bonus eligible. Exact compensation is determined by factors such as relevant geographic location, education, certifications, experience, job level, shift, and organizational needs. To learn more about our benefits, review here https://acrobat.adobe.com/id/urn:aaid:sc:VA6C2:14539c15\-191a\-4b77\-9c13\-f6ccfce10094\.</t>
        </is>
      </c>
    </row>
    <row r="50">
      <c r="A50" t="inlineStr">
        <is>
          <t>li-4369139593</t>
        </is>
      </c>
      <c r="B50" t="inlineStr">
        <is>
          <t>Data Engineer - Senior Associate</t>
        </is>
      </c>
      <c r="C50" t="inlineStr">
        <is>
          <t>PwC</t>
        </is>
      </c>
      <c r="D50" t="inlineStr">
        <is>
          <t>linkedin</t>
        </is>
      </c>
      <c r="E50" t="inlineStr"/>
      <c r="F50" t="inlineStr"/>
      <c r="G50" t="inlineStr">
        <is>
          <t>Los Angeles, CA</t>
        </is>
      </c>
      <c r="H50" t="inlineStr"/>
      <c r="I50"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51">
      <c r="A51" t="inlineStr">
        <is>
          <t>li-4369144014</t>
        </is>
      </c>
      <c r="B51" t="inlineStr">
        <is>
          <t>Data Engineer - Senior Associate</t>
        </is>
      </c>
      <c r="C51" t="inlineStr">
        <is>
          <t>PwC</t>
        </is>
      </c>
      <c r="D51" t="inlineStr">
        <is>
          <t>linkedin</t>
        </is>
      </c>
      <c r="E51" t="inlineStr"/>
      <c r="F51" t="inlineStr"/>
      <c r="G51" t="inlineStr">
        <is>
          <t>Columbus, OH</t>
        </is>
      </c>
      <c r="H51" t="inlineStr"/>
      <c r="I51"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52">
      <c r="A52" t="inlineStr">
        <is>
          <t>li-4361639489</t>
        </is>
      </c>
      <c r="B52" t="inlineStr">
        <is>
          <t>Senior Data Engineer (Python, SQL, AWS)</t>
        </is>
      </c>
      <c r="C52" t="inlineStr">
        <is>
          <t>Capital One</t>
        </is>
      </c>
      <c r="D52" t="inlineStr">
        <is>
          <t>linkedin</t>
        </is>
      </c>
      <c r="E52" t="inlineStr"/>
      <c r="F52" t="inlineStr"/>
      <c r="G52" t="inlineStr">
        <is>
          <t>McLean, VA</t>
        </is>
      </c>
      <c r="H52" t="inlineStr"/>
      <c r="I5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**Senior**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3">
      <c r="A53" t="inlineStr">
        <is>
          <t>li-4369141437</t>
        </is>
      </c>
      <c r="B53" t="inlineStr">
        <is>
          <t>Data Engineer - Senior Associate</t>
        </is>
      </c>
      <c r="C53" t="inlineStr">
        <is>
          <t>PwC</t>
        </is>
      </c>
      <c r="D53" t="inlineStr">
        <is>
          <t>linkedin</t>
        </is>
      </c>
      <c r="E53" t="inlineStr"/>
      <c r="F53" t="inlineStr"/>
      <c r="G53" t="inlineStr">
        <is>
          <t>Fayetteville, AR</t>
        </is>
      </c>
      <c r="H53" t="inlineStr"/>
      <c r="I53"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54">
      <c r="A54" t="inlineStr">
        <is>
          <t>li-4369127857</t>
        </is>
      </c>
      <c r="B54" t="inlineStr">
        <is>
          <t>Data Engineer - Senior Associate</t>
        </is>
      </c>
      <c r="C54" t="inlineStr">
        <is>
          <t>PwC</t>
        </is>
      </c>
      <c r="D54" t="inlineStr">
        <is>
          <t>linkedin</t>
        </is>
      </c>
      <c r="E54" t="inlineStr"/>
      <c r="F54" t="inlineStr"/>
      <c r="G54" t="inlineStr">
        <is>
          <t>Stamford, CT</t>
        </is>
      </c>
      <c r="H54" t="inlineStr"/>
      <c r="I54"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55">
      <c r="A55" t="inlineStr">
        <is>
          <t>li-4369139605</t>
        </is>
      </c>
      <c r="B55" t="inlineStr">
        <is>
          <t>Data Engineer - Manager</t>
        </is>
      </c>
      <c r="C55" t="inlineStr">
        <is>
          <t>PwC</t>
        </is>
      </c>
      <c r="D55" t="inlineStr">
        <is>
          <t>linkedin</t>
        </is>
      </c>
      <c r="E55" t="inlineStr"/>
      <c r="F55" t="inlineStr"/>
      <c r="G55" t="inlineStr">
        <is>
          <t>Chicago, IL</t>
        </is>
      </c>
      <c r="H55" t="inlineStr"/>
      <c r="I55"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56">
      <c r="A56" t="inlineStr">
        <is>
          <t>li-4369141438</t>
        </is>
      </c>
      <c r="B56" t="inlineStr">
        <is>
          <t>Data Engineer - Senior Associate</t>
        </is>
      </c>
      <c r="C56" t="inlineStr">
        <is>
          <t>PwC</t>
        </is>
      </c>
      <c r="D56" t="inlineStr">
        <is>
          <t>linkedin</t>
        </is>
      </c>
      <c r="E56" t="inlineStr"/>
      <c r="F56" t="inlineStr"/>
      <c r="G56" t="inlineStr">
        <is>
          <t>New Orleans, LA</t>
        </is>
      </c>
      <c r="H56" t="inlineStr"/>
      <c r="I56"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57">
      <c r="A57" t="inlineStr">
        <is>
          <t>li-4369137680</t>
        </is>
      </c>
      <c r="B57" t="inlineStr">
        <is>
          <t>Data Engineer - Manager</t>
        </is>
      </c>
      <c r="C57" t="inlineStr">
        <is>
          <t>PwC</t>
        </is>
      </c>
      <c r="D57" t="inlineStr">
        <is>
          <t>linkedin</t>
        </is>
      </c>
      <c r="E57" t="inlineStr"/>
      <c r="F57" t="inlineStr"/>
      <c r="G57" t="inlineStr">
        <is>
          <t>Charlotte, NC</t>
        </is>
      </c>
      <c r="H57" t="inlineStr"/>
      <c r="I57"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58">
      <c r="A58" t="inlineStr">
        <is>
          <t>li-4369133896</t>
        </is>
      </c>
      <c r="B58" t="inlineStr">
        <is>
          <t>Data Engineer - Manager</t>
        </is>
      </c>
      <c r="C58" t="inlineStr">
        <is>
          <t>PwC</t>
        </is>
      </c>
      <c r="D58" t="inlineStr">
        <is>
          <t>linkedin</t>
        </is>
      </c>
      <c r="E58" t="inlineStr"/>
      <c r="F58" t="inlineStr"/>
      <c r="G58" t="inlineStr">
        <is>
          <t>Dallas, TX</t>
        </is>
      </c>
      <c r="H58" t="inlineStr"/>
      <c r="I58"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59">
      <c r="A59" t="inlineStr">
        <is>
          <t>li-4369128821</t>
        </is>
      </c>
      <c r="B59" t="inlineStr">
        <is>
          <t>Data Engineer - Senior Manager</t>
        </is>
      </c>
      <c r="C59" t="inlineStr">
        <is>
          <t>PwC</t>
        </is>
      </c>
      <c r="D59" t="inlineStr">
        <is>
          <t>linkedin</t>
        </is>
      </c>
      <c r="E59" t="inlineStr"/>
      <c r="F59" t="inlineStr"/>
      <c r="G59" t="inlineStr">
        <is>
          <t>Dallas, TX</t>
        </is>
      </c>
      <c r="H59" t="inlineStr"/>
      <c r="I59"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60">
      <c r="A60" t="inlineStr">
        <is>
          <t>li-4369136804</t>
        </is>
      </c>
      <c r="B60" t="inlineStr">
        <is>
          <t>Data Engineer - Senior Manager</t>
        </is>
      </c>
      <c r="C60" t="inlineStr">
        <is>
          <t>PwC</t>
        </is>
      </c>
      <c r="D60" t="inlineStr">
        <is>
          <t>linkedin</t>
        </is>
      </c>
      <c r="E60" t="inlineStr"/>
      <c r="F60" t="inlineStr"/>
      <c r="G60" t="inlineStr">
        <is>
          <t>Boston, MA</t>
        </is>
      </c>
      <c r="H60" t="inlineStr"/>
      <c r="I60"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61">
      <c r="A61" t="inlineStr">
        <is>
          <t>li-4341743094</t>
        </is>
      </c>
      <c r="B61" t="inlineStr">
        <is>
          <t>Sr. Analyst, Actuarial Data Engineer</t>
        </is>
      </c>
      <c r="C61" t="inlineStr">
        <is>
          <t>Lincoln Financial</t>
        </is>
      </c>
      <c r="D61" t="inlineStr">
        <is>
          <t>linkedin</t>
        </is>
      </c>
      <c r="E61" t="inlineStr"/>
      <c r="F61" t="inlineStr"/>
      <c r="G61" t="inlineStr">
        <is>
          <t>Radnor, PA</t>
        </is>
      </c>
      <c r="H61" t="inlineStr"/>
      <c r="I61" t="inlineStr">
        <is>
          <t>**Alternate Locations:** 
 Radnor, PA (Pennsylvania); Charlotte, NC (North Carolina); Fort Wayne, IN (Indiana); Greensboro, NC (North Carolina); Omaha, NE (Nebraska); Work from Home
**Work Arrangement:**
 Remote : Work at home employee residing outside of a commutable distance to an office location.
**Relocation assistance:** 
 is not available for this opportunity.
**Requisition \#:** 
 75489
**The Role at a Glance**
 As a Sr. Analyst, Actuarial Data Engineer, you will lead the design and implementation of new technology solutions of the Life Actuarial Architecture \&amp; Transformation team. You will develop data \&amp; analytics solutions using cutting\-edge tools to improve data warehousing, financial reporting, reserve analytics, and various automation efforts. In addition, you will provide a broad range of experiences and responsibilities, allowing for growth.
**What You'll Be Doing**
 Technology partner
* Partner with stakeholders to understand data \&amp; analytics needs
* Translate business requests into technical requirements
* Upskill team members with emerging technology tools
 Solutions architect
* Design solutions to enhance reporting and analytic capabilities
* Centralize and standardize data from various sources
* Demonstrate new capabilities of the solution with proof\-of\-concept builds
* Leverage modern data science techniques to improve accuracy and efficiency of models
 Automation
* Develop automated solutions to streamline processes
* Help transition manual deliverables to automated reports
* Increase transparency, efficiency, and governance of processes
 Documentation
* Maintain robust process and production documentation
* Document changes and follow change management procedures
**What We’re Looking For**
*Must\-haves:*
* 5\-7\+ Years’ experience that aligns with the specific responsibilities for this position.
* Undergraduate degree in Actuarial Science, Applied Mathematics, Statistics, Economics, Computer Science, Data Science or Data Analytics or other quantitative major
*Nice\-to\-haves:*
* Experience with Modern Data \&amp; Analytics Technology such as Tableau, AWS, Spark Coding with SQL, Hive, Python/R, SAS, VBA, etc.
* Experience with Dataiku or comparable data/ML platforms (Alteryx, Databricks, Azure ML Studio, AWS SageMaker, or Google Cloud Vertex AI)
* FSA designation or ASA designation with additional years of actuarial experience
* Demonstrates strong interpersonal skills with a collaborative style
* Curiosity and demonstrated capability to quickly learn new concepts
* Self\-starter, Innovative, Problem Solver
 Application Deadline
 Applications for this position will be accepted through 4/1/2026 subject to earlier closure due to applicant volume.
**What’s it like to work here?**
 At Lincoln Financial,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 Clearly defined career tracks and job levels, along with associated behaviors for each of Lincoln's core values and leadership attributes
* Leadership development and virtual training opportunities
* PTO/parental leave
* Competitive 401K and employee benefits
* Free financial counseling, health coaching and employee assistance program
* Tuition assistance program
* Work arrangements that work for you
* Effective productivity/technology tools and training
 The pay range for this position is $93,300 \- $169,700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(NYSE: LNC) helps people to confidently plan for their version of a successful future. We focus on identifying a clear path to financial security, with products including annuities, life insurance, group protection, and retirement plan services.
 With our 120\-year track record of expertise and integrity, millions of customers trust our solutions and service to help put their goals in reach.
 Lincoln Financial Distributors, a broker\-dealer, is the wholesale distribution organization of Lincoln Financial. Lincoln Financial is the marketing name for Lincoln Financial Corporation and its affiliates including The Lincoln National Life Insurance Company, Fort Wayne, IN, and Lincoln Life \&amp; Annuity Company of New York, Syracuse, NY. Lincoln Financial affiliates, their distributors, and their respective employees, representatives and/or insurance agents do not provide tax, accounting or legal advice.
 Lincoln is committed to creating an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X, LinkedIn, Instagram, and YouTube. For the latest company news, visit our newsroom.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 or candidate profiles submitted through our web site or to personal e\-mail accounts of employees of Lincoln Financial are considered property of Lincoln Financial and are not subject to payment of agency fees.
 Lincoln Financial ("Lincoln" or "the Company") is an Equal Opportunity employer and, as such, is committed in policy and practice to recruit, hire, compensate, train and promote, in all job classifications, without regard to race, color, religion, sex, age, national origin or disability. Opportunities throughout Lincoln are available to employees and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notices.
 Este Empleador Participa en E\-Verify. Ver el E\-Verify avisos.</t>
        </is>
      </c>
    </row>
    <row r="62">
      <c r="A62" t="inlineStr">
        <is>
          <t>li-4369126891</t>
        </is>
      </c>
      <c r="B62" t="inlineStr">
        <is>
          <t>Data Engineer - Manager</t>
        </is>
      </c>
      <c r="C62" t="inlineStr">
        <is>
          <t>PwC</t>
        </is>
      </c>
      <c r="D62" t="inlineStr">
        <is>
          <t>linkedin</t>
        </is>
      </c>
      <c r="E62" t="inlineStr"/>
      <c r="F62" t="inlineStr"/>
      <c r="G62" t="inlineStr">
        <is>
          <t>Birmingham, AL</t>
        </is>
      </c>
      <c r="H62" t="inlineStr"/>
      <c r="I62"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63">
      <c r="A63" t="inlineStr">
        <is>
          <t>li-4369139600</t>
        </is>
      </c>
      <c r="B63" t="inlineStr">
        <is>
          <t>Data Engineer - Senior Manager</t>
        </is>
      </c>
      <c r="C63" t="inlineStr">
        <is>
          <t>PwC</t>
        </is>
      </c>
      <c r="D63" t="inlineStr">
        <is>
          <t>linkedin</t>
        </is>
      </c>
      <c r="E63" t="inlineStr"/>
      <c r="F63" t="inlineStr"/>
      <c r="G63" t="inlineStr">
        <is>
          <t>Washington, DC</t>
        </is>
      </c>
      <c r="H63" t="inlineStr"/>
      <c r="I63"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64">
      <c r="A64" t="inlineStr">
        <is>
          <t>li-4375759496</t>
        </is>
      </c>
      <c r="B64" t="inlineStr">
        <is>
          <t>Data Engineer Lead (SAP Migration)</t>
        </is>
      </c>
      <c r="C64" t="inlineStr">
        <is>
          <t>Randstad Digital Americas</t>
        </is>
      </c>
      <c r="D64" t="inlineStr">
        <is>
          <t>linkedin</t>
        </is>
      </c>
      <c r="E64" t="inlineStr"/>
      <c r="F64" t="inlineStr"/>
      <c r="G64" t="inlineStr">
        <is>
          <t>Chicago, IL</t>
        </is>
      </c>
      <c r="H64" t="inlineStr"/>
      <c r="I64" t="inlineStr">
        <is>
          <t>**Job Summary**
 Join our Data \&amp; AI team as a Lead Data Engineer focused on high\-impact SAP data migrations. You will guide the technical strategy for data extraction and transformation, ensuring our business platforms are powered by clean, reliable, and actionable data.
 location: Chicago, Illinois
 job type: Contract
 salary: $77\.59 \- 80\.00 per hour
 work hours: 8am to 5pm
 education: Bachelors
**Responsibilities**
* Lead the end\-to\-end data conversion process from legacy platforms to SAP ERP.
* Develop and automate scripts for data extraction, cleansing, and loading.
* Map complex source data attributes to SAP Business Partner requirements.
* Monitor data quality and implement preventive measures for data duplication.
**Qualifications**
 6\+ years of technology experience with 4\+ years specifically in Data Engineering.
 Expertise in Syniti ADM for SAP.
 Proven experience migrating data from legacy systems (PeopleSoft, BAAN, or Infor).
 Hands\-on experience with SAP Hana.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65">
      <c r="A65" t="inlineStr">
        <is>
          <t>li-4369132879</t>
        </is>
      </c>
      <c r="B65" t="inlineStr">
        <is>
          <t>Data Engineer - Senior Manager</t>
        </is>
      </c>
      <c r="C65" t="inlineStr">
        <is>
          <t>PwC</t>
        </is>
      </c>
      <c r="D65" t="inlineStr">
        <is>
          <t>linkedin</t>
        </is>
      </c>
      <c r="E65" t="inlineStr"/>
      <c r="F65" t="inlineStr"/>
      <c r="G65" t="inlineStr">
        <is>
          <t>Greensboro, NC</t>
        </is>
      </c>
      <c r="H65" t="inlineStr"/>
      <c r="I65"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66">
      <c r="A66" t="inlineStr">
        <is>
          <t>li-4369143086</t>
        </is>
      </c>
      <c r="B66" t="inlineStr">
        <is>
          <t>Data Engineer - Senior Manager</t>
        </is>
      </c>
      <c r="C66" t="inlineStr">
        <is>
          <t>PwC</t>
        </is>
      </c>
      <c r="D66" t="inlineStr">
        <is>
          <t>linkedin</t>
        </is>
      </c>
      <c r="E66" t="inlineStr"/>
      <c r="F66" t="inlineStr"/>
      <c r="G66" t="inlineStr">
        <is>
          <t>Charlotte, NC</t>
        </is>
      </c>
      <c r="H66" t="inlineStr"/>
      <c r="I66"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67">
      <c r="A67" t="inlineStr">
        <is>
          <t>li-4369124979</t>
        </is>
      </c>
      <c r="B67" t="inlineStr">
        <is>
          <t>Data Engineer - Senior Manager</t>
        </is>
      </c>
      <c r="C67" t="inlineStr">
        <is>
          <t>PwC</t>
        </is>
      </c>
      <c r="D67" t="inlineStr">
        <is>
          <t>linkedin</t>
        </is>
      </c>
      <c r="E67" t="inlineStr"/>
      <c r="F67" t="inlineStr"/>
      <c r="G67" t="inlineStr">
        <is>
          <t>Buffalo, NY</t>
        </is>
      </c>
      <c r="H67" t="inlineStr"/>
      <c r="I67"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68">
      <c r="A68" t="inlineStr">
        <is>
          <t>li-4369131815</t>
        </is>
      </c>
      <c r="B68" t="inlineStr">
        <is>
          <t>Data Engineer - Senior Manager</t>
        </is>
      </c>
      <c r="C68" t="inlineStr">
        <is>
          <t>PwC</t>
        </is>
      </c>
      <c r="D68" t="inlineStr">
        <is>
          <t>linkedin</t>
        </is>
      </c>
      <c r="E68" t="inlineStr"/>
      <c r="F68" t="inlineStr"/>
      <c r="G68" t="inlineStr">
        <is>
          <t>San Diego, CA</t>
        </is>
      </c>
      <c r="H68" t="inlineStr"/>
      <c r="I68"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69">
      <c r="A69" t="inlineStr">
        <is>
          <t>li-4363641929</t>
        </is>
      </c>
      <c r="B69" t="inlineStr">
        <is>
          <t>Data Engineer, Denied Party Screening, AWS Compliance &amp; Security Assurance</t>
        </is>
      </c>
      <c r="C69" t="inlineStr">
        <is>
          <t>Amazon Web Services (AWS)</t>
        </is>
      </c>
      <c r="D69" t="inlineStr">
        <is>
          <t>linkedin</t>
        </is>
      </c>
      <c r="E69" t="inlineStr"/>
      <c r="F69" t="inlineStr"/>
      <c r="G69" t="inlineStr">
        <is>
          <t>Seattle, WA</t>
        </is>
      </c>
      <c r="H69" t="inlineStr"/>
      <c r="I69" t="inlineStr">
        <is>
          <t>**Description**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
**Basic Qualifications**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
**Company** 
 \- Amazon.com Services LLC
 Job ID: A3160403</t>
        </is>
      </c>
    </row>
    <row r="70">
      <c r="A70" t="inlineStr">
        <is>
          <t>li-4362972338</t>
        </is>
      </c>
      <c r="B70" t="inlineStr">
        <is>
          <t>Data Engineer, Denied Party Screening, AWS Compliance &amp; Security Assurance</t>
        </is>
      </c>
      <c r="C70" t="inlineStr">
        <is>
          <t>Amazon Web Services (AWS)</t>
        </is>
      </c>
      <c r="D70" t="inlineStr">
        <is>
          <t>linkedin</t>
        </is>
      </c>
      <c r="E70" t="inlineStr"/>
      <c r="F70" t="inlineStr"/>
      <c r="G70" t="inlineStr">
        <is>
          <t>Dallas, TX</t>
        </is>
      </c>
      <c r="H70" t="inlineStr"/>
      <c r="I70" t="inlineStr">
        <is>
          <t>**Description**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
**Basic Qualifications**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
**Company** 
 \- Amazon.com Services LLC
 Job ID: A3160403</t>
        </is>
      </c>
    </row>
    <row r="71">
      <c r="A71" t="inlineStr">
        <is>
          <t>li-4362317927</t>
        </is>
      </c>
      <c r="B71" t="inlineStr">
        <is>
          <t>Lead Data Engineer (Hybrid)</t>
        </is>
      </c>
      <c r="C71" t="inlineStr">
        <is>
          <t>American Family Insurance</t>
        </is>
      </c>
      <c r="D71" t="inlineStr">
        <is>
          <t>linkedin</t>
        </is>
      </c>
      <c r="E71" t="inlineStr"/>
      <c r="F71" t="inlineStr"/>
      <c r="G71" t="inlineStr">
        <is>
          <t>Madison, WI</t>
        </is>
      </c>
      <c r="H71" t="inlineStr"/>
      <c r="I71" t="inlineStr">
        <is>
          <t>American Family Insurance looking for a experienced and driven Lead Data Engineer to guide our Data Platform team. In this important role, you will oversee a team of engineers in advancing our service\-oriented data platform. The Data Platform team influences multiple departments, including security and AI, at AmFam. You will create tools and infrastructure that empower other teams and departments within American Family Insurance.
 You will report to a Senior Manager, Data Engineering.
 In this flex office/home role, you will be expected to work a minimum of 10 days per month from the following office location: Madison, WI 53783\.
**Position Compensation Range**
 $131,000\.00 \- $220,000\.00
**Pay Rate Type**
 Salary
*Compensation may vary based on the job level and your geographic work location.* 
*Relocation support is offered for eligible candidates.*
**Primary Accountabilities**
* Partner with stakeholders to refine undefined use cases into clear requirements, translate those into technical specs, and implement working solutions.
* Design and build platform capabilities that multiple teams consume, including feature stores, observability tooling, evaluation pipelines, and deployment patterns.
* Define and implement reusable patterns and infrastructure: shared LLM serving, evaluation frameworks, CI/CD templates, internal SDKs.
* Assess existing AI applications and establish standards for code quality, testing, deployment, and observability.
* Mentor data scientist and data engineers, conduct meaningful code reviews, and provide architectural guidance across the platform.
* Facilitate communication across project teams, architects, and business partners.
* Document critical workflows, standards, and operational support aspects of the platform.
**Specialized Knowledge \&amp; Skills Requirements**
* Demonstrated experience building AI/ML systems that run in production at scale \- not notebooks or prototypes, but real software serving real users.
* Proven ability to take ambiguous, undefined problems and deliver shipped products.
* Strong system design skills with an emphasis on scalability, failure modes, and long\-term maintainability.
* Deep software engineering fundamentals: experience with large codebases, design patterns, testability, and enterprise SDLC.
* Hands\-on experience with LLMs in production: RAG, agents, evaluation, prompt engineering, or fine\-tuning.
* Expert\-level Python programming in a software engineering context, not just scripting or pipelines.
* Experience designing and building APIs for internal or external consumption.
* Deep experience with GCP, specifically Vertex AI, Pub/Sub, BigQuery, and NoSQL databases (e.g., Firestore, Bigtable).
* Applied knowledge of Kubernetes for container orchestration and workload management.
* Experience with infrastructure\-as\-code tools (e.g., Terraform, Docker) and CI/CD pipelines.
 Travel Requirements
* Up to 10%.
 Additional Information
* Offer to selected candidate will be made contingent on the results of applicable background checks
* Offer to selected candidate is contingent on signing a non\-disclosure agreement for proprietary information, trade secrets, and inventions
* Sponsorship will not be considered for this position unless specified in the posting
* Your offer will be contingent on the results of applicable background checks and signing a non\-disclosure agreement for proprietary information, trade secrets, and inventions.
* We will not consider candidates who require sponsorship.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American Family Insurance is committed to the full inclusion of all qualified individuals. If a reasonable accommodation is needed to participate in the job application or interview process, to perform essential job functions, and/or to receive other benefits and privileges of employment, please email AskHR@AmFam.com to request a reasonable accommodation.</t>
        </is>
      </c>
    </row>
    <row r="72">
      <c r="A72" t="inlineStr">
        <is>
          <t>li-4377096813</t>
        </is>
      </c>
      <c r="B72" t="inlineStr">
        <is>
          <t>Data Engineer</t>
        </is>
      </c>
      <c r="C72" t="inlineStr">
        <is>
          <t>Bespoke Technologies, Inc.</t>
        </is>
      </c>
      <c r="D72" t="inlineStr">
        <is>
          <t>linkedin</t>
        </is>
      </c>
      <c r="E72" t="inlineStr"/>
      <c r="F72" t="inlineStr"/>
      <c r="G72" t="inlineStr">
        <is>
          <t>Herndon, VA</t>
        </is>
      </c>
      <c r="H72" t="inlineStr"/>
      <c r="I72" t="inlineStr">
        <is>
          <t>**BT\-153 – Data Engineer (Associate Manager)**
 Location: Chantilly/Herndon
* MUST HAVE AN ACTIVE TS OR TS/SCI CLEARANCE TO APPLY. Those without an active security clearance will not be considered.\*\*
**Role Description**
 As a senior Data Engineer, you will be a key technical contributor on the team building and maintaining the critical data pipelines for a data platform. You will apply your deep expertise to design, develop, and optimize robust ETL/ELT processes that move and transform data. In this role, you will not only build solutions but also mentor junior engineers and help drive the adoption of modern data engineering practices and automation.
**Responsibilities**
* Design, build, and maintain scalable and resilient data pipelines for both new data sources and existing systems within the data ecosystem.
* Implement and optimize pipelines using modular patterns, such as Databricks Delta Live Tables, following governance from the architecture team.
* Develop and integrate automated monitoring, alerting, and data quality checks into every pipeline to reduce downtime and ensure data integrity.
* Utilize Infrastructure\-as\-Code (IaC) with tools like Terraform to create consistent, repeatable deployments and CI/CD processes.
* Analyze complex source data formats and collaborate with data scientists and stakeholders to design transformations that meet objectives.
* Participate in and lead code reviews, enforce best practices, and mentor junior data engineers.
* Troubleshoot and resolve complex issues with data pipelines, and contribute to the ongoing improvement of O\&amp;M processes.
**Required Qualifications**
* 6\+ years of experience in data engineering.
* Strong experience with the development and maintenance of extract, transform, and load (ETL) tools and services.
* Proficiency in Python, SQL, Spark, and PySpark.
* Hands\-on experience with cloud environments (AWS, Azure) and data platforms like Databricks, Palantir, or Snowflake.
* Experience working in an Agile/Scrum development environment.
* Familiarity with data orchestration and data quality processes.
* Active Top Secret/SCI security clearance.
**Preferred Qualifications**
* Direct experience engineering data pipelines for the data platform.
* Experience working in high\-security environments (e.g., SIPR, JWICS).
* Hands\-on experience with Databricks Delta Live Tables and Terraform.
* Experience with containerization technologies like Docker or Kubernetes.
* Knowledge of COTS and open\-source data engineering tools such as NiFi or ElasticSearch.</t>
        </is>
      </c>
    </row>
    <row r="73">
      <c r="A73" t="inlineStr">
        <is>
          <t>li-4377110207</t>
        </is>
      </c>
      <c r="B73" t="inlineStr">
        <is>
          <t>Data Engineer</t>
        </is>
      </c>
      <c r="C73" t="inlineStr">
        <is>
          <t>Bespoke Technologies, Inc.</t>
        </is>
      </c>
      <c r="D73" t="inlineStr">
        <is>
          <t>linkedin</t>
        </is>
      </c>
      <c r="E73" t="inlineStr"/>
      <c r="F73" t="inlineStr"/>
      <c r="G73" t="inlineStr">
        <is>
          <t>Herndon, VA</t>
        </is>
      </c>
      <c r="H73" t="inlineStr"/>
      <c r="I73" t="inlineStr">
        <is>
          <t>**BT\-151 – Data Engineer**
 Skill Level: Mid
 Location: Chantilly/Herndon
* MUST HAVE AN ACTIVE TS OR TS/SCI CLEARANCE TO APPLY. Those without an active security clearance will not be considered.\*\*
**Role Description**
 As a Data Engineer on the Data Catalog and Governance team, you will be the technical engineer that brings our governance policies to life. You will be responsible for the hands\-on development and maintenance of the systems that connect our data sources to our enterprise data catalog. Working under the guidance of senior technical and program leadership, you will build the data pipelines and integrations necessary to automate the collection of metadata and lineage. This is an implementation\-focused role for a skilled engineer who enjoys solving technical challenges and wants to apply their skills to build a foundation of trust and transparency in data.
* Develop, maintain, and enhance data pipelines that automatically harvest metadata from various data sources (e.g., databases, data lakes, APIs) and ingest it into the enterprise data catalog (e.g., Collibra).
* Implement custom integrations using the data catalog's APIs and SDKs to connect with platforms like Databricks, Snowflake, and S3\.
* Work with senior engineers and analysts to implement technical data quality rules and monitoring solutions within data pipelines.
* Support the technical administration and operational health of the data catalog platform, troubleshooting ingestion issues and ensuring system stability.
* Write and maintain clear, concise documentation for the data pipelines and integrations you build.
* Collaborate with data source owners and other engineering teams to ensure successful metadata extraction and lineage tracing.
* Contribute to the scripting and automation of recurring data governance tasks.
**Required Qualifications**
* 4\-7 years of hands\-on experience in a data engineering role.
* Strong programming proficiency in Python and advanced SQL.
* Experience building and maintaining data pipelines and ETL/ELT processes.
* Hands\-on experience working with REST APIs to integrate different systems.
* Experience with cloud data platforms (e.g., Databricks, Snowflake, AWS S3, Azure Data Lake).
* A foundational understanding of metadata management and data governance concepts.
**Preferred Qualifications**
* Hands\-on experience developing integrations for an enterprise data catalog platform (e.g., Collibra, Alation).
* Experience with workflow orchestration tools (e.g., Airflow, Prefect).
* Familiarity with Infrastructure\-as\-Code (e.g., Terraform).
* Exposure to streaming data technologies (e.g., Kafka).</t>
        </is>
      </c>
    </row>
    <row r="74">
      <c r="A74" t="inlineStr">
        <is>
          <t>li-4379050328</t>
        </is>
      </c>
      <c r="B74" t="inlineStr">
        <is>
          <t>Junior Data Engineer</t>
        </is>
      </c>
      <c r="C74" t="inlineStr">
        <is>
          <t>Helic &amp; Co.</t>
        </is>
      </c>
      <c r="D74" t="inlineStr">
        <is>
          <t>linkedin</t>
        </is>
      </c>
      <c r="E74" t="inlineStr"/>
      <c r="F74" t="inlineStr"/>
      <c r="G74" t="inlineStr"/>
      <c r="H74" t="inlineStr"/>
      <c r="I74" t="inlineStr">
        <is>
          <t>This is a remote position.
 Overview
 We are looking for a motivated Junior Data Engineer to assist in building and maintaining scalable data pipelines and infrastructure. This entry\-level role offers hands\-on experience with data processing, ETL workflows, and collaboration with data teams to support business analytics.
 Key Responsibilities
* Assist in designing, building, and maintaining data pipelines for ETL/ELT processes using tools like Python, SQL, and cloud platforms.
* Collect, clean, and transform data from various sources (e.g., databases, APIs, files in JSON/CSV/XML formats) to ensure quality and usability.
* Support database management, optimization, and basic troubleshooting to enable efficient data storage and retrieval.
* Perform data quality checks, validation, and monitoring to identify and resolve issues in pipelines.
* Document processes, pipelines, and code for team collaboration and knowledge sharing.
* Collaborate with data analysts, scientists, and stakeholders to understand data needs and contribute to projects.
 Qualifications
* Bachelor’s degree in Computer Science, Data Engineering, or a related field.
* Proficiency in SQL, Python (or Java), and basic data tools; familiarity with ETL processes and databases.
* 0\-2 years of relevant experience or internships; strong problem\-solving and analytical skills.
* Experience with version control (e.g., Git) and data formats is a plus.
 Preferred Attributes
* Knowledge of big data tools (e.g., Spark, Hadoop) or cloud platforms (e.g., AWS, GCP).
* Attention to detail, eagerness to learn, and collaborative team mindset.
 What You’ll Gain
* Mentorship in modern data engineering practices and real\-world projects.
* Opportunities to grow into senior roles while contributing to data\-driven decisions.</t>
        </is>
      </c>
    </row>
    <row r="75">
      <c r="A75" t="inlineStr">
        <is>
          <t>li-4377091975</t>
        </is>
      </c>
      <c r="B75" t="inlineStr">
        <is>
          <t>Data Engineer</t>
        </is>
      </c>
      <c r="C75" t="inlineStr">
        <is>
          <t>Bespoke Technologies, Inc.</t>
        </is>
      </c>
      <c r="D75" t="inlineStr">
        <is>
          <t>linkedin</t>
        </is>
      </c>
      <c r="E75" t="inlineStr"/>
      <c r="F75" t="inlineStr"/>
      <c r="G75" t="inlineStr">
        <is>
          <t>Herndon, VA</t>
        </is>
      </c>
      <c r="H75" t="inlineStr"/>
      <c r="I75" t="inlineStr">
        <is>
          <t>**BT\-152 – Data Engineer**
 Skill Level: Mid
 Location: Chantilly/Herndon
* MUST HAVE AN ACTIVE TS OR TS/SCI CLEARANCE TO APPLY. Those without an active security clearance will not be considered.\*\*
**Role Description**
 As a Data Engineer, you will be a hands\-on builder and a key member of the team creating and sustaining the data lifeblood of the platform. You will apply your technical skills to develop, deploy, and maintain resilient and efficient data pipelines. This role is perfect for a practitioner who is passionate about leveraging modern tools and automation to solve complex data challenges and deliver high\-quality data solutions.
**Responsibilities**
* Design, develop, and maintain robust and scalable data pipelines for both new development and ongoing operations \&amp; maintenance (O\&amp;M).
* Build new pipelines using modern, modular patterns like Databricks Delta Live Tables, adhering to established governance standards.
* Implement reusable pipeline templates and automated monitoring patterns to ensure consistency and scalability across all data flows.
* Utilize Infrastructure\-as\-Code (IaC) with tools like Terraform to create consistent and repeatable CI/CD deployments.
* Integrate automated data quality checks and profiling using frameworks like Great Expectations to ensure data integrity and validate SLAs.
* Troubleshoot pipeline issues, optimize performance, and contribute to the continuous improvement of O\&amp;M processes.
* Participate in code reviews and create clear documentation for ETL mappings, code, and deployment processes.
**Required Qualifications**
* 4\+ years of experience in data engineering.
* Experience with the development and maintenance of extract, transform, and load (ETL) tools and services.
* Proficiency in Python, SQL, and Spark/PySpark.
* Experience with cloud data platforms (e.g., AWS, Azure) and data engineering platforms like Databricks, Palantir, or Snowflake.
* Experience working in an Agile/Scrum environment.
**Preferred Qualifications**
* Direct experience with the data platform.
* Experience working in high\-security environments (e.g., SIPR, JWICS).
* Hands\-on experience with Databricks Delta Live Tables and Terraform.
* Familiarity with data orchestration tools (e.g., Airflow) and containerization (Docker, Kubernetes).
* Knowledge of COTS and open\-source data engineering tools such as NiFi or ElasticSearch.</t>
        </is>
      </c>
    </row>
    <row r="76">
      <c r="A76" t="inlineStr">
        <is>
          <t>li-4379066130</t>
        </is>
      </c>
      <c r="B76" t="inlineStr">
        <is>
          <t>Data Engineer</t>
        </is>
      </c>
      <c r="C76" t="inlineStr">
        <is>
          <t>SmartAsset</t>
        </is>
      </c>
      <c r="D76" t="inlineStr">
        <is>
          <t>linkedin</t>
        </is>
      </c>
      <c r="E76" t="inlineStr"/>
      <c r="F76" t="inlineStr"/>
      <c r="G76" t="inlineStr"/>
      <c r="H76" t="inlineStr"/>
      <c r="I76" t="inlineStr">
        <is>
          <t>**About SmartAsset**
 SmartAsset is an online destination for consumer\-focused financial information and advice, whose mission is helping people make smart financial decisions, reaching over an estimated 59 million people each month (as of January 2025\) through our educational content and personalized calculators and tools. To extend our mission, we also operate SmartAsset Advisor Marketing Platform (AMP), which helps connect consumers with fiduciary financial advisors.SmartAsset has earned recognition on the Inc. 5000 (\#2574 in 2023\) and Deloitte Technology Fast 500™ (\#250 in 2022\) lists. Currently, SmartAsset ranks on Y Combinator’s list of Top 100 Companies. A successful $110 million Series D funding round in 2021 valued the company at over $1 billion.
* Other than application and licensing fees, SmartAsset did not provide compensation for the aforementioned awards.
**About The Team**
 SmartAsset’s Data Engineering team builds and maintains the scalable, low\-latency systems that power data access across the company. Our platform supports real\-time and batch data needs for analytics, reporting, and machine learning, serving teams across Marketing, Product, Sales, and Finance.
 You’ll be part of a growing data organization that includes analysts, data scientists, and ML engineers that are at the forefront of AI/ML application for the company. As a Data Engineer, you'll work cross\-functionally to evolve our architecture, optimize data latency, and build robust solutions that enable data\-driven decisions at scale.
**About The Job**
 SmartAsset is looking for a Data Engineer with 3\+ years of hands\-on experience to help build and optimize the backbone of our data platform. In this role, you’ll design and implement high\-impact, cloud\-native solutions that improve data reliability, reduce latency, and scale with our growing business. You’ll play a key role in enabling data products, real\-time analytics, and cross\-functional decision\-making by delivering clean, well\-structured, and accessible data.
**Responsibilities**
* Design, implement, and maintain scalable data engineering solutions following Agile methodology.
* Develop and manage reliable data integrations with external vendors and organizations (including API integrations).
* Collaborate closely with Data Analysts, Data Scientists, DBAs, and cross\-functional teams to understand requirements and deliver high\-quality data solutions.
* Take ownership of assigned components and deliverables within larger technical projects.
* Contribute to improving the quality, security, efficiency, and scalability of data pipelines and infrastructure.
**Skills/Experience You Have**
* Bachelor of Science degree in Computer Science or equivalent.
* 3 \- 5 years of experience building and maintaining ETL/ELT pipelines.
* 2\+ years of Python development experience, including building and maintaining production\-grade data services (e.g., FastAPI or similar frameworks).
* Strong SQL skills, including performance tuning and query optimization.
* Hands\-on experience with dbt, including developing models and managing incremental tables.
* Practical experience with Snowflake, including data modeling and query optimization.
* Experience with AWS data services such as S3, Redshift, Lambda, or similar tools for building and operating data workflows.
**Skills/Experience Preferred**
* Experience working with near real\-time or streaming data systems.
* Familiarity with data observability or monitoring tools.
* Exposure to orchestration platforms such as Airflow or Argo.
* Experience contributing to CI/CD pipelines and testing frameworks for data workflows.
* Understanding of the data lifecycle and the role of high\-quality data in analytics and reporting.
* Experience with data ingestion tools like Singer is a plus.
* Knowledge of analytics tools such as Tableau, Plotly, or Pandas.
* Experience in the financial services industry.
**Physical Requirements**
 Prolonged periods of sitting at a desk and working on a computer
 Must be able to communicate via phone calls and/or video conferences (mainly for concierge and sales roles)
**Available Benefits And Perks**
 All roles at SmartAsset are currently and will remain remote \- flexibility to work from anywhere in the Contiguous US.
 Medical, Dental, Vision \- multiple packages available based on your individualized needs
 Life/AD\&amp;D Insurance \- basic coverage at 100% company paid, additional supplemental available
 Supplemental Short\-term and Long\-term Disability
 FSA: Medical and Dependant Care
 401K
 Equity packages for each role
 Time Off: Vacation, Sick and Parental Leave
 EAP (Employee Assistance Program)
 Financial Literacy Mentoring Program
 Pet Insurance
 Home Office Stipend
 SmartAsset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us at Recruiting@smartasset.com.
 California, Colorado, Connecticut, Maryland, Nevada, Rhode Island, Washington, and New York City residents\* $134,500 \- $180,000 \+ RSUs \+ benefits.
 Salary at SmartAsset is determined based on permissible, non\-discriminatory factors such as skills, experience, and geographic location within the contiguous United States.</t>
        </is>
      </c>
    </row>
    <row r="77">
      <c r="A77" t="inlineStr">
        <is>
          <t>li-4377939926</t>
        </is>
      </c>
      <c r="B77" t="inlineStr">
        <is>
          <t>Data Engineer (Azure, Fabric, Databricks)</t>
        </is>
      </c>
      <c r="C77" t="inlineStr">
        <is>
          <t>Collectiv</t>
        </is>
      </c>
      <c r="D77" t="inlineStr">
        <is>
          <t>linkedin</t>
        </is>
      </c>
      <c r="E77" t="inlineStr"/>
      <c r="F77" t="inlineStr"/>
      <c r="G77" t="inlineStr">
        <is>
          <t>Chicago, IL</t>
        </is>
      </c>
      <c r="H77" t="inlineStr"/>
      <c r="I77" t="inlineStr">
        <is>
          <t>**Role Overview**
 The
 **Data Engineer** 
 is responsible for designing, implementing, and supporting modern data platforms using
 **Microsoft Fabric and Databricks** 
 , with a strong emphasis on lakehouse architecture, analytics engineering, and semantic modeling. This role is client\-facing and requires translating business requirements into scalable technical solutions while adhering to data engineering best practices.
 You will collaborate with client stakeholders, Collectiv consultants, and cross\-functional teams to deliver data platforms that support reporting, advanced analytics, and self\-service BI.
**Key Responsibilities**
**Client Delivery \&amp; Solution Design**
* Design and implement modern data platforms leveraging Microsoft Fabric (OneLake, Lakehouse, Data Factory, Power BI) and Databricks (Spark, Delta Lake, SQL Warehouses)
* Build and optimize data ingestion, transformation, and orchestration pipelines using ELT/ETL best practices
* Develop scalable lakehouse architectures that support analytics, reporting, and downstream data products
* Translate business and analytical requirements into technical designs and data models
**Analytics \&amp; BI Enablement**
* Develop and maintain semantic models that enable performant reporting and self\-service analytics
* Partner with analytics and business teams to deliver trusted datasets and dashboards (Power BI or equivalent)
* Ensure data quality, reliability, and usability across the analytics platform
**Engineering Best Practices**
* Write, optimize, and tune SQL and Spark\-based transformations for large\-scale analytical workloads
* Apply version control, CI/CD concepts, and code review standards to data engineering workflows
* Ensure solutions meet quality criteria related to performance, scalability, and maintainability
**Consulting \&amp; Collaboration**
* Work directly with client stakeholders to gather requirements, communicate technical concepts, and manage expectations
* Collaborate with project managers, architects, and fellow consultants to align technical delivery with project goals
* Contribute to internal documentation, reusable patterns, and knowledge sharing across Collectiv
**Required Qualifications**
* Bachelor's degree from an accredited university
* 4\+ years of experience in data engineering, analytics engineering, or data platform consulting
* Hands\-on experience with Microsoft Fabric and/or Databricks in production environments (experience with both strongly preferred)
* Strong SQL skills, including performance tuning and optimization
* Experience designing data models for analytics (star schemas, semantic models, lakehouse patterns)
* Experience working in cloud data platforms (Azure preferred)
* Ability to work independently in a client\-facing consulting role
**Preferred Qualifications**
* Experience migrating or modernizing data platforms (e.g., legacy DW to lakehouse)
* Familiarity with Power BI dataset modeling and performance optimization
* Experience integrating data platforms with downstream applications or APIs
* Consulting experience with multiple clients or industries
* Strong written and verbal communication skills
* Relevant Azure certifications (e.g., Azure Solutions Architect, Azure Data Engineer), Fabric (DP\-600, DP\-700\) certifications, and Databricks certifications are highly desirable
**What Success Looks Like In This Role**
* Clients trust you as a technical advisor for their data platform decisions
* Delivered solutions are scalable, well\-documented, and aligned to best practices
* Business users are enabled through reliable data models and analytics\-ready datasets
* You actively contribute to Collectiv’s data platform standards and consulting excellence
 Join Collectiv for a rewarding career in a fully remote work environment with quarterly in person team experiences and a competitive compensation. We provide a clear growth trajectory with professional development opportunities and a top\-shelf benefits package. Enjoy unlimited time off and 100% covered health insurance, encompassing medical, dental, and vision plans for you and your family. Our comprehensive offerings, from a competitive 401(k) with a 4% match to educational assistance, tech stipend, and discounts on various goods and services, demonstrate our commitment to your well\-being and success. At Collectiv, your career thrives with a perfect blend of remote flexibility, growth potential, and unparalleled benefits prioritizing your financial, physical, and emotional well\-being.
 Collectiv is the leading boutique consulting and strategy firm specializing in Analytics, Planning and AI with Power BI and the Microsoft Data Stack.
 Our mission at Collectiv is simple: We help enterprises make better decisions.
**Our Core Values**
****Growth Mindset****
 – Bring solutions, not problems.
**Excel with Humility** 
 – Be humbly brilliant.
**Communicate Actively and Empathetically** 
 – Listen, ask, understand, help.
**Work Hard, Play Hard** 
 – Results are proportional to effort.
**Keep Calm and Carry On** 
 – Stay cool, calm and Collectiv.</t>
        </is>
      </c>
    </row>
    <row r="78">
      <c r="A78" t="inlineStr">
        <is>
          <t>li-4377949401</t>
        </is>
      </c>
      <c r="B78" t="inlineStr">
        <is>
          <t>Lead Data &amp; Analytics Engineer</t>
        </is>
      </c>
      <c r="C78" t="inlineStr">
        <is>
          <t>Kandu</t>
        </is>
      </c>
      <c r="D78" t="inlineStr">
        <is>
          <t>linkedin</t>
        </is>
      </c>
      <c r="E78" t="inlineStr"/>
      <c r="F78" t="inlineStr"/>
      <c r="G78" t="inlineStr"/>
      <c r="H78" t="inlineStr"/>
      <c r="I78" t="inlineStr">
        <is>
          <t>Kandu, Inc. is pioneering an integrated approach to stroke recovery by combining FDA\-cleared brain\-computer interface technology with personalized telehealth services. Our IpsiHand® device is durable medical equipment that enables chronic stroke survivors to regain upper extremity function with daily home use. Combining this advanced technology with the support of expert clinicians offers a comprehensive path to recovery–helping survivors improve mobility, independence, and quality of life.
**Summary** 
 The Lead Data \&amp; Analytics Engineer will be a foundational member of Kandu’s Enterprise Systems \&amp; Intelligence (ESI) team, a new function responsible for building Kandu’s unified digital operating system and enabling data\-driven, intelligent workflows across the enterprise.
 You will help architect and build the data infrastructure that connects our core business systems, turning disparate operational data into clean, governed, insight\-ready assets. You will design pipelines, model and transform data, build the enterprise data warehouse, deliver dashboards, and contribute to early predictive modeling. Your work will enable clinicians, commercial teams, market access, revenue cycle, operations, and leadership to make faster, more informed decisions.
 This role is ideal for someone who loves building systems from scratch, thrives in ambiguity, and wants to be part of transforming a company into an insight\-driven, AI\-enabled enterprise.
**What You’ll Do** 
**Data Engineering \&amp; Pipeline Development** 
* Build and maintain data pipelines from key business systems, including EHR, CRM, ERP, claims/finance, and manufacturing/ops.
* Design ELT workflows to ingest, normalize, and transform data using modern tooling (e.g., Fivetran/Airbyte, Prefect/Airflow, dbt, Python).
* Ensure reliability, observability, version control, and documentation of all pipelines.
* Handle PHI responsibly and ensure all pipelines, transformations, and data storage follow HIPAA, GDPR, and SOC2 requirements.
**Enterprise Data Warehouse \&amp; Semantic Layer** 
* Architect, build, and implement a centralized data warehouse (e.g., in Snowflake, BigQuery, or Redshift), including schemas, fact/dimension models, and semantic layers that reflect real\-world workflows.
* Develop and maintain clean data models (dimensional, star/snowflake schemas), ensuring consistency across patient, clinical, sales, and claims datasets, to support analytics, dashboards, reporting and predictive models.
* Ensure data quality, lineage, governance and consistency across domains.
**Analytics, Dashboards \&amp; Insights** 
* Develop dashboards, operational monitors, and recurring analytics that provide real\-time visibility into clinical, commercial, market access, revenue cycle, finance, and manufacturing activities.
* Automate recurring reporting workflows, alerts, and ETL orchestration (scheduling, monitoring, error handling).
* Enable self\-service analytics by ensuring data models are consistent, intuitive, and well\-documented.
* Translate problems uncovered during discovery into actionable, well\-structured analytics and visualizations.
* Support rapid ad hoc analysis during the early discovery phase of ESI.
**Applied Data Science \&amp; Early Predictive Modeling** 
* Develop early predictive and prescriptive models, e.g. prior\-auth approval likelihood, therapy adherence patterns, claims\-denial risk, operational forecasting.
* Support feature engineering, EDA and model evaluation under the direction of the VP of ESI.
* Help lay the foundation for future AI\-driven decision support systems and embedding intelligence into operational systems.
**Cross\-Functional Partnership** 
* Work closely with business stakeholders to understand requirements, pain points and data needs.
* Communicate clearly with non\-technical teams and translate technical concepts into business language.
* Support the ESI team’s mission to strengthen data\-driven decision\-making across the company.
**What You’ll Bring** 
* 5–8 years of experience in data engineering, analytics engineering, or a full\-stack data role spanning pipelines, modeling, and dashboards.
* Strong SQL and Python skills (must be confident building production\-grade pipelines).
* Experience with modern data stack tools (Airflow/Prefect, dbt, Fivetran/Airbyte, Snowflake/BigQuery/Redshift).
* Experience designing star schemas, dimensional models, or semantic layers.
* Strong dashboarding experience (Looker, Tableau, PowerBI, Mode, Sigma, etc.).
* Ability to work across messy, unstructured and inconsistent SaaS data sources.
* Comfort integrating data from multiple SaaS systems via APIs, webhooks, and vendor interfaces.
* Excellent communication skills and comfort partnering with cross\-functional teams.
* Ability to thrive in ambiguity and build v1 systems with limited infrastructure.
* *Employment eligibility to work in the United States is required. The company does not sponsor employment visas for this position at this time.*
**Preferred Qualifications** 
* Experience in healthcare (EHR data, claims, RCM, prior auth, ERP, medical device workflows).
* Familiarity with HIPAA/security considerations for pipelines and stored data.
* Experience contributing to early\-stage predictive modeling (sklearn, XGBoost, time series).
* Experience improving operational workflows or enabling digital transformation.
* Knowledge of Salesforce data model, clinical systems, and ERP/RCM systems is a plus.
**What We Offer (FOR FTE Only):** 
* Competitive Compensation ($170,000\-$200,000 annually \+stock options)
* Insurance (Medical/Dental/Vision)
* 401(k) with company
* Unlimited PTO \&amp; Holidays
* Life Insurance, LTD and STD
*Please note that the salary information is a general guidance only. Kandu Health, Inc. considers factors such as scope and responsibilities of the position, candidate’s work experience, education/training, key skills and internal parity, as well as location, market and business considerations when extending an offer.* 
*Kandu Health is an equal opportunity employer. We do not discriminate on the basis of race, religion, color, national origin, gender, sexual orientation, age, marital status, veteran status, or disability status.*</t>
        </is>
      </c>
    </row>
    <row r="79">
      <c r="A79" t="inlineStr">
        <is>
          <t>li-4379053491</t>
        </is>
      </c>
      <c r="B79" t="inlineStr">
        <is>
          <t>Data Engineer</t>
        </is>
      </c>
      <c r="C79" t="inlineStr">
        <is>
          <t>Educational Systems Federal Credit Union</t>
        </is>
      </c>
      <c r="D79" t="inlineStr">
        <is>
          <t>linkedin</t>
        </is>
      </c>
      <c r="E79" t="inlineStr"/>
      <c r="F79" t="inlineStr"/>
      <c r="G79" t="inlineStr">
        <is>
          <t>Greenbelt, MD</t>
        </is>
      </c>
      <c r="H79" t="inlineStr"/>
      <c r="I79" t="inlineStr">
        <is>
          <t>Data Engineer
 (may be remote from MD, VA, WV, DC, DE, TX, NC, FL, DE, IN)
**Company Overview**
 Educational Systems FCU has proudly served the education community for 70 years. With over $1\.3 billion in assets and 13 branches, the Credit Union serves more than 90,000 members. We are a fast\-growing credit union who knows who we are, who we serve, and where we are going. Our vision is to make financial wellness and stability accessible for all the communities we serve. Our mission is to empower individuals and communities through accessible financial solutions. We are committed to fostering financial well\-being by providing competitive solutions, personalized services, and educational resources. By building strong partnerships, supporting community growth, and promoting financial literacy, we strive to create a brighter future for our members, Ambassadors (employees), and the communities we serve.
**About the Data Engineer Career Opportunity**
 The Data Engineer plays a pivotal role in advancing our data infrastructure, serving as the foundation of our AI and Data Analytics strategies. The position will be responsible for developing, deploying, and managing data engineering projects. Their primary focus is to assist the VP of Emerging Technologies in architecting the data platform (on premise, cloud and hybrid), data pipeline development, data governance and performance monitoring. Will also use AI in support of data management capabilities. 
 This position requires a Bachelor’s degree in data engineering, Information Systems or related technical field along with 5\+ years’ experience in data engineering (building data pipes, data lakes, data warehouse). Must be proficient in constructing and managing modern data warehouse and data lake house architectures, ensuring scalable and efficient data storage and skilled in building and maintaining robust data pipelines and orchestrations, with a focus on scalability and reliability. The position requires deep knowledge of ETL (Extract, Transform, Load) and ELT (Extract, Load, Transform) processes for data transformation and integration along with experience with cloud platforms (AWS, Azure, or GCP), and orchestration tools as well as Data Governance \- Data Quality Controls, General Ledger Reconciliations, Transmission and interface controls. Must be proficient in SQL and Python, with experience in data storage frameworks (Apache Spark, Databricks, or Hadoop).Banking \&amp; Financial Services data domain knowledge is strongly preferred.
 To Apply
 Please visit our website at https://www.esfcu.org and visit our Career page. We are an equal opportunity employer.</t>
        </is>
      </c>
    </row>
    <row r="80">
      <c r="A80" t="inlineStr">
        <is>
          <t>li-4369160715</t>
        </is>
      </c>
      <c r="B80" t="inlineStr">
        <is>
          <t>Data Engineer</t>
        </is>
      </c>
      <c r="C80" t="inlineStr">
        <is>
          <t>Slalom</t>
        </is>
      </c>
      <c r="D80" t="inlineStr">
        <is>
          <t>linkedin</t>
        </is>
      </c>
      <c r="E80" t="inlineStr"/>
      <c r="F80" t="inlineStr"/>
      <c r="G80" t="inlineStr">
        <is>
          <t>California, United States</t>
        </is>
      </c>
      <c r="H80" t="inlineStr"/>
      <c r="I80"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Los Angeles, Orange County, San Diegeo
+ Consultant: $99,000 \- $133,000
* Phoenix
+ Consultant: $91,000 \- $122,000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81">
      <c r="A81" t="inlineStr">
        <is>
          <t>li-4369157723</t>
        </is>
      </c>
      <c r="B81" t="inlineStr">
        <is>
          <t>Data Engineer</t>
        </is>
      </c>
      <c r="C81" t="inlineStr">
        <is>
          <t>Slalom</t>
        </is>
      </c>
      <c r="D81" t="inlineStr">
        <is>
          <t>linkedin</t>
        </is>
      </c>
      <c r="E81" t="inlineStr"/>
      <c r="F81" t="inlineStr"/>
      <c r="G81" t="inlineStr">
        <is>
          <t>California, United States</t>
        </is>
      </c>
      <c r="H81" t="inlineStr"/>
      <c r="I81"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Los Angeles, Orange County, San Diegeo
+ Consultant: $99,000 \- $133,000
* Phoenix
+ Consultant: $91,000 \- $122,000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82">
      <c r="A82" t="inlineStr">
        <is>
          <t>li-4379048647</t>
        </is>
      </c>
      <c r="B82" t="inlineStr">
        <is>
          <t>Analytics Engineer</t>
        </is>
      </c>
      <c r="C82" t="inlineStr">
        <is>
          <t>DCCC</t>
        </is>
      </c>
      <c r="D82" t="inlineStr">
        <is>
          <t>linkedin</t>
        </is>
      </c>
      <c r="E82" t="inlineStr"/>
      <c r="F82" t="inlineStr"/>
      <c r="G82" t="inlineStr">
        <is>
          <t>Washington, DC</t>
        </is>
      </c>
      <c r="H82" t="inlineStr"/>
      <c r="I82" t="inlineStr">
        <is>
          <t>**Description**
**Reports To:** 
 Director of Engineering
**Department:** 
 Administration
**Work Location:** 
 Hybrid (WFH \&amp; DC Headquarters)
**Job Type:** 
 Full\-Time, Salary Exempt
**Supervisory Responsibilities:** 
 No
 The Democratic Congressional Campaign Committee (DCCC) is the official national Democratic campaign committee charged with electing Democrats to the U. S. House of Representatives. The DCCC recruits Democratic candidates and supports Democratic campaigns – both challengers and Democratic incumbent Members – with a variety of services including field operations, fundraising support, communications assistance, digital strategy, research support and management consulting. The DCCC is supported by the contributions of individuals and organizations, along with Democratic Members, from throughout the country. We look for talented and hard\-working professionals who are committed to electing Democrats and winning the House majority.
 Due to the cyclic nature of our organization, all positions are subject to separation at the end of the election cycle.
**Position Summary**
 The Analytics Engineer is responsible for working across the DCCC to ingest and structure data from various vendors and public sources into high\-quality datasets to facilitate departmental reporting, targeting and fundraising needs. They will join a team of engineers working closely with other DCCC departments to build products, reporting, and workflow automations for fundraising and direct voter contact. The ideal candidate will have experience with both political data and data engineering.
 This position is part of a collective bargaining unit.
**Responsibilities**
* Centralize data from various DCCC vendors and public sources, building and maintaining ELT workflows to deliver data into our Google BigQuery data warehouse, including (but not limited to) fundraising, voter file data, scores and models, polling data, geographic and census data, and media data
* Collaborate with other DCCC departments to design and maintain data products, reports, and automated workflows in alignment with the strategic needs of their programs
* Become a subject\-matter expert on the national voter file, working with the DNC and other vendors to follow updates to source data and maintain voter file ingestion pipelines
* Structure and document key datasets for analytics and reporting needs
* Automate common workflows to facilitate the core work of end\-users
* Perform other duties as necessary to ensure the success of the Data Operations team and that of stakeholders across the Committee
**Requirements**
* 1\-3 years of data engineering or analytics experience in politics or technology required
* Strong SQL and analytics database experience required — preference for BigQuery
* Experience with dbt or other workflow orchestration tools preferred
* Experience with Tableau or other business intelligence and data visualization tools preferred
* Experience using R or Python for data processing or visualization preferred
* Familiarity with database architecture and modern data workflows, particularly as they relate to campaign data preferred
* Familiarity with voter file tools (such as VAN, PDI, Catalist), Census data, and the DNC ecosystem (Phoenix and Portal) preferred
* Proactively fosters an inclusive atmosphere and commitment to equal employment opportunities
* Ability to demonstrate multicultural competence – the awareness, knowledge and skills needed to work with others who are culturally different from self in meaningful, relevant and productive ways
* Personal and professional commitment to promoting and investing in cross\-cultural skills and awareness related to individuals from broad backgrounds, races, ethnicities, religions, gender, sexual orientation, gender identity and disability
* Proven interpersonal, communication, and collaboration skills with the ability to build relationships with staff at all levels
**Why You Should Work Here**
* We recognize and reward hard work
* Learn, develop, and hone professional skills related to running and operating multi\-dimensional political campaigns and the operating systems that support the campaigns
* Experience working with the largest Democratic battlefield, containing numerous highly competitive campaigns in diverse districts across the nation
* Opportunities to expand your network and engage with policy makers, political candidates, Democratic Party leaders and a diverse team of professionals and colleagues
* Gain experience in cross\-team interaction and exposure to other functions and departments within the DCCC
* Equity and inclusion are core values actively integrated into decisions made at Senior Team and Department levels
**Benefits**
* Medical, dental, and vision plans with premiums fully paid for by DCCC
* Accidental Death and Dismemberment (AD\&amp;D) and Life Insurance fully paid for by DCCC
* More than 25 days of paid time off (which includes federal holidays, time off around the holidays, vacation, and sick days)
* Paid parental leave
* Fertility and growing family support with $10,000 subsidiary paid by DCCC
* Pet Insurance Discount
* Up to 6% retirement employer match contribution
* Long\-term Disability fully paid for by DCCC
* Monthly mobile phone stipend
* Monthly metro benefits (for employees located in the DC metro area only)
* Gym Access (for employees located in the DC metro area only)
* Capital Bikeshare Discount (for employees located in the DC metro area only)
* Employee Assistance Program
* Employee Resource Groups
**Diversity Mission Statement**
 The diversity mission of DCCC is for DCCC to reflect the diversity of the country, which strengthens the core mission of electing House Democrats. To that end, DCCC strives to create an inclusive environment that cultivates and supports equal employment opportunities at every organizational level, including its staff, candidates, vendors, and contractors.
**Equal Opportunity/Diversity Policy**
 DCCC prohibits discrimination of employment, promotion, compensation, terms, conditions, or privileges of employment on the basis of race, color, ancestry, national origin, gender, sexual orientation, sex (including marital and parental status), religion, age, disability, actual or perceived gender identity or expression, weight, personal appearance, family responsibilities, genetic information, economic status, genetic information, veteran’s status, or any other basis prohibited by applicable law. DCCC is an equal opportunity employer and will comply with all applicable laws prohibiting discrimination in employment.</t>
        </is>
      </c>
    </row>
    <row r="83">
      <c r="A83" t="inlineStr">
        <is>
          <t>li-4379034953</t>
        </is>
      </c>
      <c r="B83" t="inlineStr">
        <is>
          <t>Senior Data Engineer</t>
        </is>
      </c>
      <c r="C83" t="inlineStr">
        <is>
          <t>CVS Health</t>
        </is>
      </c>
      <c r="D83" t="inlineStr">
        <is>
          <t>linkedin</t>
        </is>
      </c>
      <c r="E83" t="inlineStr"/>
      <c r="F83" t="inlineStr"/>
      <c r="G83" t="inlineStr">
        <is>
          <t>Wellesley Hills, MA</t>
        </is>
      </c>
      <c r="H83" t="inlineStr"/>
      <c r="I8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If you’re eager to make a real impact in the health care industry through your own meaningful contributions, explore a role in technology with CVS Health. Our journey calls for technical innovators and data visionaries: come help us pave the way.
 At CVS Health, we possess an extensive repository of healthcare data that spans over 150 million individuals, providing an unparalleled foundation for ambitious Data Engineers. In this role, you will engage with complex business challenges, harnessing modern tools and technologies to securely store, process, transform, and enrich terabyte to petabyte scale healthcare data. Your work will underpin data\-driven business decisions and contribute to our mission of delivering industry\-best data products / software with a customer\-first mindset and team\-oriented approach.
 As a Senior Data Engineer, you will be instrumental in designing, developing, and maintaining optimal data pipelines to assemble large and intricate datasets, catering to the business requirements of various CVS lines of business. Collaborating closely with teams, you will craft tools to provide actionable insights and integrate them with consumer touchpoints.
**In This Role, You Will**
* Architect and develop robust, scalable ETL/ELT pipelines using Cloud Dataflow, Cloud composer (Airflow), and Pub/Sub for both batch and streaming use cases. Leverage BigQuery as the central data warehouse and design integrations with other GCP services (e.g., Cloud storage, Cloud functions).
* Build and optimize analytical data models in BigQuery. Implement partitioning, clustering, and materialized views for performance and cost efficiency. Ensure compliance with data governance, access controls, and IAM best practices.
* Develop integrations with external systems (APIs, flat files etc.) using GCP\-native or hybrid approaches. Utiilize tools like Dataflow or custom Python/Java services on Cloud Functions or Cloud Run to handle transformations and ingestion logic.
* Build automated CI/CD pipeline using Cloud Build, GitHub Actions, or Jenkins for deploying data pipeline code and workflows. Set up observability using Cloud Monitoring, Cloud Logging, and Error Reporting to ensure pipeline reliability.
* Lead architectural decisions for data platforms and mentor junior engineers on cloud\-native data engineering patterns. Promote best practices for code quality, version control, cost optimization, and data security in a GCP environment. Drive initiatives around data democratization, including building reusable datasets and data catalogs via Datapelx or Data Catalog.
 As leaders in healthcare, our analytics and engineering teams deliver innovative solutions to business problems by collaborating with cross\-functional teams in a dynamic and agile environment. You will be part of a team that values collaboration and encourages innovative thinking at all levels. You will be intellectually challenged to solve problems associated with large scale complex, structured and unstructured data, that will allow you to grow your technical skills and engineering expertise.
 This role may work onsite 2 days a week in one of CVS Health's core hubs in: NYC, Hartford, CT or Wellesley, MA. Full\-time Remote candidates will also be considered.
**Required Qualifications**
* 3\+ years of experience with SQL, NoSQL
* 3\+ years of experience with Python (or a comparable scripting language)
* 3\+ years of experience with Data warehouses (such as data modeling and technical architectures) and infrastructure components
* 3\+ years of experience with ETL/ELT, and building high\-volume data pipelines
* 3\+ years of experience with reporting/analytic tools
* 3\+ years of experience with Query optimization, data structures, transformation, metadata, dependency, and workload management
* 3\+ years of experience with Big data and cloud architecture
* 3\+ years of hands\-on experience building modern data pipelines within a major cloud platform (GCP, AWS, Azure)
* 3\+ years of experience with deployment/scaling of apps on containerized environment (i.e. Kubernetes, AKS)
* 3\+ years of experience with real\-time and streaming technology (i.e. Azure Event Hubs, Azure Functions, Kafka, Spark Streaming)
* 1\+ year(s) of soliciting complex requirements and managing relationships with key stakeholders
* 1\+ year(s) of experience independently managing deliverables
**Preferred Qualifications**
* Experience in designing and building data engineering solutions in cloud environments (preferably GCP)
* Experience with Git, CI/CD pipeline, and other DevOps principles/best practices
* Experience with bash shell scripts, UNIX utilities \&amp; UNIX Commands
* Ability to leverage multiple tools and programming languages to analyze and manipulate data sets from disparate data sources
* Knowledge of API development
* Experience with complex systems and solving challenging analytical problems
* Strong collaboration and communication skills within and across teams
* Knowledge of data visualization and reporting
* Experience with schema design and dimensional data modeling
* Google Professional Data Engineer Certification
* Knowledge of microservices and SOA
* Formal SAFe and/or agile experience. Previous healthcare experience and domain knowledge
* Experience designing, building, and maintaining data processing systems
* Experience architecting and building data warehouse and data lakes
**Education**
* Bachelor’s Degree or equivalent work experience in Computer Science, Information Systems, Data Engineering, Data Analytics, Machine Learning, or related field required
* Master’s Degree preferred
**Anticipated Weekly Hours**
 40
**Time Type**
 Full time
**Pay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03/30/2026
 Qualified applicants with arrest or conviction records will be considered for employment in accordance with all federal, state and local laws.</t>
        </is>
      </c>
    </row>
    <row r="84">
      <c r="A84" t="inlineStr">
        <is>
          <t>li-4369167100</t>
        </is>
      </c>
      <c r="B84" t="inlineStr">
        <is>
          <t>Data Engineer</t>
        </is>
      </c>
      <c r="C84" t="inlineStr">
        <is>
          <t>Slalom</t>
        </is>
      </c>
      <c r="D84" t="inlineStr">
        <is>
          <t>linkedin</t>
        </is>
      </c>
      <c r="E84" t="inlineStr"/>
      <c r="F84" t="inlineStr"/>
      <c r="G84" t="inlineStr">
        <is>
          <t>Colorado, United States</t>
        </is>
      </c>
      <c r="H84" t="inlineStr"/>
      <c r="I84"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Denver, Portland
+ Consultant: $91,000 \- $122,000
* Seattle
+ Consultant: $99,000 \- $133,000
 We will accept applicants until April 5th, 2026, or until the position is filled.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85">
      <c r="A85" t="inlineStr">
        <is>
          <t>li-4377469127</t>
        </is>
      </c>
      <c r="B85" t="inlineStr">
        <is>
          <t>Senior Data Engineer</t>
        </is>
      </c>
      <c r="C85" t="inlineStr">
        <is>
          <t>Appnovation</t>
        </is>
      </c>
      <c r="D85" t="inlineStr">
        <is>
          <t>linkedin</t>
        </is>
      </c>
      <c r="E85" t="inlineStr"/>
      <c r="F85" t="inlineStr"/>
      <c r="G85" t="inlineStr">
        <is>
          <t>New York, United States</t>
        </is>
      </c>
      <c r="H85" t="inlineStr"/>
      <c r="I85" t="inlineStr">
        <is>
          <t>**About Us**
 Appnovation is a global, full\-service digital partner that combines Strategy, Experience \&amp; Design, Engineering and Managed Services. We build digital solutions that deliver real impact today and serve as foundations for future growth. Bold ambition. Practical action. Endless possibilities.
**About The Role**
 Join forces with Appnovation to deliver high\-impact results for one of our key strategic partners \- a global leader in their field. This engagement offers a unique vantage point into a world\-class organization with exceptional opportunities for professional growth and long\-term career advancement
 As a Senior Data Engineer, you will manage the "discovery\-to\-scale" pipeline, identifying recurring patterns in the field and handing off validated solutions to Platform Engineers for enterprise generalization. In this forward\-deployed role, you will bridge the gap between building technical products and solving real\-world business problems through rapid solution delivery and deep domain immersion. Your primary objective is to design and build data integration, storage systems, and infrastructure that enable analytics and AI capabilities.
 This role requires high\-level autonomy, where you will define your own direction within strategic goals, influence multiple teams, and navigate high complexity and ambiguity to deliver tangible business results.
**What We Are Looking For**
* Experience \&amp; Education: Bachelor's degree in Computer Science or Engineering with 8–12 years of relevant experience leading and delivering complex data engineering projects with multi\-team or business impact.
* Enterprise Data Integration \&amp; Architecture: Proven expertise in designing, building, and maintaining robust, scalable data pipelines (ETL/ELT). Must demonstrate the ability to navigate complex enterprise data landscapes, effectively handle undocumented schemas, and implement resilient integration solutions for high\-volume data.
* Cloud\-Native Data Ecosystems: Deep expertise in deploying and managing data infrastructure on cloud platforms (AWS, Azure, or GCP). Proficient in Infrastructure as Code (Terraform/CloudFormation) and establishing end\-to\-end CI/CD pipelines for data solutions.
* Advanced Data Modeling: Strong skills in conceptual, logical, and physical data modeling, with the ability to balance data normalization, query performance, and safely manage complex schema migrations in production.
* AI/MLOps Readiness: Mastery of incorporating AI tools to optimize data engineering workflows and the ability to design data validation and evaluation frameworks that support the deployment and governance of AI/ML models.
* Full\-Stack Solution Delivery: Capability to rapidly prototype and build complete, end\-to\-end data applications across diverse technology stacks, prioritizing solution speed and business value while effectively managing technical debt.
* System Reliability \&amp; Resilience (SRE): Direct experience defining and monitoring service level objectives (SLOs/SLIs). A track record of designing highly resilient data systems that ensure graceful degradation and driving post\-incident improvements.
* Architectural Leadership: Ability to make sound architectural trade\-offs, design scalable system components, and produce high\-quality, well\-tested code that adheres to enterprise standards.
**Who You Are**
* Polymath Oriented: You bridge gaps between engineering, design, business, and science, rapidly immersing yourself in new domains to speak the language of the business.
* Curious Explorer: You seek out ambiguity rather than avoiding it, driving team curiosity through challenging questions and creating an environment that encourages experimentation.
* Outcome Owner: You drive an accountability culture focused on business impact rather than just deliverables, owning relationships and making trade\-offs between custom solutions and generalizable work.
* Systems Thinker: You map complex system interactions across technical and business domains, anticipating cascading effects and understanding how technology changes impact operations.
* Precise Communicator: You translate seamlessly between technical and business language, ensuring requirements are clear enough to enable AI generation and facilitate productive discussions with stakeholders.
* Problem Discoverer: You embed with users to discover latent needs, turning ambiguity into clear problem statements rather than waiting for defined tasks.
**What Appnovation Offers**
* Challenging and rewarding work with real impact
* Direct Access to Cutting\-Edge AI Platforms
* Diverse and Inclusive Culture
* Growth opportunities for personal and professional development
* A collaborative and innovative work environment where your ideas are valued
* Exposure to exciting projects and high\-profile clients
* Supportive work environment with access to company leaders
* Hybrid working model
 Thank you for your interest in a career with Appnovation Technologies! Please note that only those selected for an interview will be contacted.
*At Appnovation, we recognize that diverse teams are the strongest teams. Diversity, Equity \&amp; Inclusion is not only something that we embrace \- we celebrate it! We are proud to be an Equal Opportunity Employer and we encourage applicants from all backgrounds, lived experiences and industries to apply. Come join us at Appnovation, and learn more about how we stay true to our company values as we build better lives through better digital.*
*Accommodations are available upon request throughout the recruitment process.*</t>
        </is>
      </c>
    </row>
    <row r="86">
      <c r="A86" t="inlineStr">
        <is>
          <t>li-4373618071</t>
        </is>
      </c>
      <c r="B86" t="inlineStr">
        <is>
          <t>Senior Data Engineer</t>
        </is>
      </c>
      <c r="C86" t="inlineStr">
        <is>
          <t>Peerspace</t>
        </is>
      </c>
      <c r="D86" t="inlineStr">
        <is>
          <t>linkedin</t>
        </is>
      </c>
      <c r="E86" t="inlineStr"/>
      <c r="F86" t="inlineStr"/>
      <c r="G86" t="inlineStr"/>
      <c r="H86" t="inlineStr"/>
      <c r="I86" t="inlineStr">
        <is>
          <t>**Senior Data Engineer** 
**About Peerspace** 
 Peerspace is the leading and category defining online marketplace for venue rentals for meetings, productions, and events. We open doors to the most inspiring spaces around the world, from lofts and mansions to storefronts and studios. Over $500M has been transacted through the platform, and our investors include GV (Google Ventures) and Foundation Capital.
 We are looking for a Senior Data Engineer who approaches data with the mindset of a Software Engineer. You won't just be moving data; you will be building the robust infrastructure and services that power our product. In this role, you will take ownership of decomposing and modernizing our legacy business data pipelines. You will be a key architect in building data services that expose critical information directly within our product, as well as for internal analytics. We need a builder who values clean code, testability, and scalability alongside data quality.
 What you will do:
 \* Modernize \&amp; Decompose: Take the lead on breaking down large, monolithic data initiatives into manageable, modern services and pipelines that allow us to ship fast and scale efficiently.
 \* Architecture \&amp; Design: Drive the strategy for new data storage patterns and the services required to serve data back to the core product as well as for internal analytics consumption.
 \* Engineering Excellence: Apply software engineering best practices—such as CI/CD, unit testing, and version control—to our data ecosystem.
 \* End\-to\-End Data Ownership: Act with a strong ownership mindset, digging into the "why" and "how" to find answers in a startup\-style environment.
 \* Collaborate \&amp; Mentor: We’re a small and nimble team. You will be a primary collaborator across the company, from Product and Engineering to Marketing and Finance, serving as a partner and mentor to bring the whole team along in building production\-grade systems.
 What we are looking for:
 \* Software\-Driven Data Engineering: You have a deep understanding of software design patterns and a strong foundation in data engineering basics. You are opinionated on best practices regarding data orchestration and storage, and you know how to apply engineering rigor (modularity, testing, and maintainability) to data workflows.
 \* Strategic Pragmatism: You have a track record of balancing short\-term business requirements with long\-term technical health. You know when to build for the future and when a tactical solution is the right call for the moment.
 \* Python \&amp; SQL Mastery: You are highly proficient in Python and can write complex, performant SQL.
 \* Architectural Grit: You have a track record of breaking down high\-level business requirements into technical roadmaps and executing them.
 \* Collaborative Ownership: You are a proactive communicator who takes pride in owning a problem from discovery to resolution. You enjoy digging in yourself to find answers and partnering with others to implement the right solution.
 \* The "Startup" Spirit: You are comfortable with ambiguity. You don’t wait for a manual; you enjoy digging into the code to figure out how things work.
 Bonus Points:
 \* Experience or a strong interest in deploying ML pipelines and working with LLM tooling.
 \* Experience with dbt.
 \* Experience with real\-time or near real\-time data processing (streaming).
 Our Tech Stack:
 Knowing these specific tools is not a requirement for application, but we like to give you a heads\-up on what you would be working with daily: Google Cloud Platform (GCP), BigQuery, Airflow, dbt, Metaplane, Segment, Postgres, Tableau
 Why Peerspace?
 Peerspace is proudly certified as a Great Place to Work™ and we're a remote first company with team members located in cities around the globe. Beyond competitive salary and equity compensation, we provide:
 ● 100% employee coverage of medical, dental and vision insurance
 ● $500 annual professional development allowance
 ● Discount on all Peerspace bookings
 ● Laptop, high res display, and stipend to setup home office
 ● Monthly cell phone and internet credit
 ● Coworking membership if needed (in lieu of home office)
 ● Flexible take it as you need it time off policy
 ● Wellness Fridays observed company wide
 ● Annual in\-person, all company offsites and team\-building events
 The annual salary range for this role is $160,000 to $175,000\. The actual salary will vary depending on experience, skills, and abilities as well as internal equity and market data.
 Diversity
 At Peerspace, we're dedicated to creating a team that's diverse, equitable and inclusive. We believe bringing people together from different backgrounds and identities makes us stronger and better serves the Peerspace community. We'd especially like to encourage applicants from different backgrounds, locations, and experiences.
 At Peerspace, we are committed to maintaining a secure and transparent hiring experience. Please be aware that scammers sometimes impersonate companies like ours by posting fake job listings or reaching out to job seekers in misleading ways. All legitimate communication from Peerspace will come from an official @peerspace.com email address. We do not contact candidates through personal email accounts, third\-party messaging apps such as WhatsApp or Microsoft Teams, or through the Peerspace platform's internal messaging system. All Interviews are conducted only by phone or Zoom, and we will never ask for sensitive personal or financial information such as your Social Security number or bank details during the early stages of the hiring process. If you receive any message that seems suspicious or does not align with these practices, please contact us immediately at help@peerspace.com so we can investigate. We only post our job openings and process applications, through our official careers page at
 https://jobs.lever.co/peerspace
 .</t>
        </is>
      </c>
    </row>
    <row r="87">
      <c r="A87" t="inlineStr">
        <is>
          <t>li-4378756548</t>
        </is>
      </c>
      <c r="B87" t="inlineStr">
        <is>
          <t>Data Engineer II</t>
        </is>
      </c>
      <c r="C87" t="inlineStr">
        <is>
          <t>Wiraa</t>
        </is>
      </c>
      <c r="D87" t="inlineStr">
        <is>
          <t>linkedin</t>
        </is>
      </c>
      <c r="E87" t="inlineStr"/>
      <c r="F87" t="inlineStr"/>
      <c r="G87" t="inlineStr"/>
      <c r="H87" t="inlineStr"/>
      <c r="I87" t="inlineStr">
        <is>
          <t>**About The Company**
 First Citizens Bank is a leading financial institution committed to providing innovative banking solutions and exceptional customer service. With a rich history of stability and growth, the bank offers a wide range of financial products and services tailored to meet the diverse needs of individuals and businesses. The organization values integrity, teamwork, and a dedication to excellence, fostering a dynamic work environment that encourages professional development and career advancement. As a forward\-thinking institution, First Citizens Bank embraces technology and innovation to enhance its operational efficiency and customer experience.
**About The Role**
 We are seeking a skilled Data Engineer to join our remote team, primarily based in North Carolina (NC), Texas (TX), or Arizona (AZ). This role is pivotal in designing, developing, and maintaining robust data pipelines and infrastructure that support our data\-driven initiatives. The successful candidate will implement scalable data integration, processing, and analytics solutions within an agile environment. Collaborating closely with cross\-functional teams including data scientists, analysts, and IT professionals, you will ensure the delivery of efficient and reliable data systems that drive strategic decision\-making. This position offers an exciting opportunity to work with modern cloud\-based data technologies, contribute to data governance and security practices, and optimize large\-scale data operations.
**Qualifications**
* Bachelor's Degree in Computer Science, Information Technology, or related field with at least 2 years of experience in data engineering, database management, or similar roles.
* Or High School Diploma or GED with a minimum of 6 years of relevant experience in data engineering or related fields.
* Proficiency in building automated, metadata\-driven data pipelines leveraging cloud technologies.
* Experience with data security, governance, and compliance standards.
* Hands\-on experience with ELT frameworks, Snowflake, Qlik Replicate, DBT Cloud, and CICD pipelines.
* Strong knowledge of SQL, Python, Pyspark, and automation tools.
* Experience working with structured and semi\-structured data formats such as CSV, JSON, XML, and mainframe data.
* Familiarity with AWS services including S3, Lambda, Glue, RDS, SQS, and SNS.
* Experience in data orchestration tools like DBT Cloud and Airflow.
* Knowledge of data security practices including tokenization, data masking, and role\-based access control (RBAC).
* Certifications in relevant data management or cloud technologies are preferred.
* Financial or banking industry experience is a plus.
**Responsibilities**
* Design, develop, and maintain scalable data pipelines for real\-time and batch data processing.
* Implement and optimize ETL/ELT processes to extract, transform, and load data from diverse sources.
* Develop and manage data warehouse structures ensuring data quality, consistency, and accessibility.
* Apply data modeling techniques for efficient storage and retrieval of large datasets.
* Enforce data governance policies, standards, and documentation to ensure compliance with regulatory requirements.
* Implement data security measures including access controls, data masking, and encryption protocols.
* Analyze system performance, troubleshoot issues, and optimize data workflows for efficiency and scalability.
* Develop automated testing procedures, write unit tests, and validate data integrity and accuracy.
* Manage code deployment and release processes across various environments, including production and disaster recovery setups.
* Collaborate with data scientists, analysts, and cross\-functional teams to understand data requirements and deliver solutions accordingly.
* Participate in projects involving schema evolution, schema drift detection, and data quality improvements.
* Maintain observability through logging, monitoring, alerting, and performance tuning techniques.
* Implement and maintain sensitive data protection strategies aligned with governance standards.
**Benefits**
* Competitive salary package aligned with industry standards.
* Comprehensive health insurance including medical, dental, and vision coverage.
* Retirement savings plan with employer contributions.
* Paid time off and holidays to support work\-life balance.
* Opportunities for professional development and continuous learning.
* Flexible remote work arrangements within designated locations.
* Wellness programs and employee assistance resources.
 Equal Opportunity
 First Citizens Bank is an equal opportunity employer. We celebrate diversity and are committed to creating an inclusive environment for all employees. We do not discriminate based on race, color, religion, gender, sexual orientation, gender identity or expression, national origin, age, disability, or any other protected status under applicable law. We encourage qualified individuals from all backgrounds to apply and join our team.</t>
        </is>
      </c>
    </row>
    <row r="88">
      <c r="A88" t="inlineStr">
        <is>
          <t>li-4377933625</t>
        </is>
      </c>
      <c r="B88" t="inlineStr">
        <is>
          <t>Starburst Data Engineer</t>
        </is>
      </c>
      <c r="C88" t="inlineStr">
        <is>
          <t>Sprezzatura</t>
        </is>
      </c>
      <c r="D88" t="inlineStr">
        <is>
          <t>linkedin</t>
        </is>
      </c>
      <c r="E88" t="inlineStr"/>
      <c r="F88" t="inlineStr"/>
      <c r="G88" t="inlineStr">
        <is>
          <t>Arlington, VA</t>
        </is>
      </c>
      <c r="H88" t="inlineStr"/>
      <c r="I88" t="inlineStr">
        <is>
          <t>Job Title: Starburst Software Engineer
 Location: Hybrid (Arlington, VA)
 Other Consideration: Authorized to work in the United States and ability to obtain Public\-Trust Clearance
**Position Summary**
 Starburst Engineers build scalable, high\-performance data infrastructure and user\-facing features that power Starburst Galaxy and the Starburst Enterprise Platform (SEP). Engineers work closely with the creators to deliver cutting\-edge solutions for data access, governance, and analytics across hybrid and multi\-cloud environments. This role involves collaborating with various stakeholders to understand data requirements and develop solutions.
**Responsibilities**
* Develop and maintain backend services and APIs for Starburst's data platform.
* Build features related to identify and access management. (IAM), data governance, and query optimization.
* Collaborate with UX, product, and security teams to deliver intuitive and secure user experiences.
* Contribute to CI/CD pipelines, observability tools, and platform reliability.
* Participate in code reviews, architecture discussions, and cross\-functional planning.
* Support product systems and troubleshoot performance issues in distributed environments.
**Qualifications**
* Bachelor’s degree in computer science, Information Technology, or a related field. (Master's degree preferred)
* 8\+ Years of experience working in a cloud\-based platform like Snowflake, Denodo, Trino, or Databrick with direct Starburst experience the preferred
* Familiarity with Azure Cloud Services and DevOps Practices
* Prior experience building distributed systems or working with cloud\-native architectures
* Familiarity with authentication and authorization frameworks
* Experience with CI/CD tools, containerization, and infrastructure automation
* Understanding of data platforms
* Excellent time management and organizational skills
* Commitment to professional growth and learning
* Adaptability and openness to new ideas
 WORKING CONDITIONS
 Standard Business hours are Monday through Friday (list any particular schedule). Occasional extended or weekend hours may be required based on operational needs.
**Benefits**
 Sprezzatura offers a comprehensive and flexible benefit package to include:
* Medical, Dental, and Vision
* Health Saving Account(when enrolled ineligible plan) with Company contribution
* Company paid Life, Accidental Death, Short\-term \&amp; Long\-term Disability
* Voluntary Accident, Hospital Indemnity, \&amp; Critical Care Insurance
* Voluntary Medical \&amp; Dependent Care Flexible Spending Accounts
* Accrued Paid Time Off \&amp; Company Paid Holidays
* 401(k) Retirement Plan with Company match
 WORK AUTHORIZATION
 Sprezzatura participates in E\-Verify and will provide the federal government with your I\-9 information to confirm that you are authorized to work in the U.S.
 Sprezzatura is a mission\-driven, Service\-Disabled Veteran\-Owned Small Business (SDVOSB) that thrives at the intersection of technology, innovation, and impact. We specialize in secure, scalable, and human\-centered digital solutions that accelerate government transformation. Our work spans DevSecOps, health IT modernization, intelligent automation, benefits delivery, and digital communications. We partner with agencies ready to evolve—delivering not just strategy, but measurable execution. Rooted in operational excellence and driven by curiosity, we help our clients navigate complexity with clarity—turning ambitious ideas into real\-world outcomes. No buzzwords. Just impact.
 EEO STATEMENT
 Sprezzatura is an Equal Opportunity Employer. We do not discriminate on the basis of race, color, religion, sex (including pregnancy, sexual orientation, and gender identity), national origin, age, disability, genetic information, protected veteran status, or any other legally protected characteristic. Applicants have the right to discuss, disclose, or inquire about compensation without retaliation. Reasonable accommodations are available for qualified individuals with disabilities.
 This job description is not intended to be an employment contact and does not guarantee employment for any specific duration.</t>
        </is>
      </c>
    </row>
    <row r="89">
      <c r="A89" t="inlineStr">
        <is>
          <t>li-4377940915</t>
        </is>
      </c>
      <c r="B89" t="inlineStr">
        <is>
          <t>Analytics Engineer</t>
        </is>
      </c>
      <c r="C89" t="inlineStr">
        <is>
          <t>RemoteHunter</t>
        </is>
      </c>
      <c r="D89" t="inlineStr">
        <is>
          <t>linkedin</t>
        </is>
      </c>
      <c r="E89" t="inlineStr"/>
      <c r="F89" t="inlineStr"/>
      <c r="G89" t="inlineStr"/>
      <c r="H89" t="inlineStr"/>
      <c r="I89"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0">
      <c r="A90" t="inlineStr">
        <is>
          <t>li-4379053718</t>
        </is>
      </c>
      <c r="B90" t="inlineStr">
        <is>
          <t>GCP data engineer</t>
        </is>
      </c>
      <c r="C90" t="inlineStr">
        <is>
          <t>NeerInfo Solutions</t>
        </is>
      </c>
      <c r="D90" t="inlineStr">
        <is>
          <t>linkedin</t>
        </is>
      </c>
      <c r="E90" t="inlineStr"/>
      <c r="F90" t="inlineStr"/>
      <c r="G90" t="inlineStr">
        <is>
          <t>Richardson, TX</t>
        </is>
      </c>
      <c r="H90" t="inlineStr"/>
      <c r="I90" t="inlineStr">
        <is>
          <t>**Role : GCP data engineer.** 
**fulltime role only** 
**Location : Richardson Texas/Jersey City** 
 USC and GC only
**GCP data engineer** 
 .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**Required Qualifications:** 
* Candidate must be located within commuting distance of
 **Richardson, TX** 
**or Jersey City NJ,** 
 or be willing to relocate to the area.
* Bachelor’s degree or foreign equivalent required from an accredited institution. Will also consider three years of progressive experience in the specialty in lieu of every year of education.
* At least 4 years of Information Technology experience.
* Experience working with technologies like – GCP with data engineering – data flow / air flow, pub sub/ kafta, data proc/Hadoop, Big Query.
* ETL development experience with strong SQL background such as Python/R, Scala, Java, Hive, Spark, Kafka
* Strong knowledge on Python Program development to build reusable frameworks, enhance existing frameworks.
* Application build experience with core GCP Services like Dataproc, GKE, Composer,
**Preferred Qualifications:** 
* Good knowledge on Google Big Query, using advance SQL programing techniques to build Big Query Data sets in Ingestion and Transformation layer.
* Experience in Relational Modeling, Dimensional Modeling and Modeling of Unstructured Data
* Knowledge on Airflow Dag creation, execution, and monitoring.
* experience in Tera data
* Good understanding of Agile software development frameworks
* Ability to work in teams in a diverse, multi\-stakeholder environment comprising of Business and Technology teams.
* Experience and desire to work in a global delivery environment.</t>
        </is>
      </c>
    </row>
    <row r="91">
      <c r="A91" t="inlineStr">
        <is>
          <t>li-4348324281</t>
        </is>
      </c>
      <c r="B91" t="inlineStr">
        <is>
          <t>Big Data Engineer</t>
        </is>
      </c>
      <c r="C91" t="inlineStr">
        <is>
          <t>BAE Systems, Inc.</t>
        </is>
      </c>
      <c r="D91" t="inlineStr">
        <is>
          <t>linkedin</t>
        </is>
      </c>
      <c r="E91" t="inlineStr"/>
      <c r="F91" t="inlineStr"/>
      <c r="G91" t="inlineStr">
        <is>
          <t>Washington, DC</t>
        </is>
      </c>
      <c r="H91" t="inlineStr"/>
      <c r="I91" t="inlineStr">
        <is>
          <t>**Job Description**
 BAE Systems is seeking
**Big Data Engineers**
 to join tour team and provide support to facilitate operations on a critical infrastructure and services program. This effort focuses on providing a comprehensive set of System/ Software Engineering and IT Services to maintain, sustain, enhance, and improve/modernize. The ideal candidate will be located in the National Capital Region.
**Please note that this is contingent upon contract award, with an anticipated decision expected by Q3/Q4 of 2026\.**
 The
**Big Data Engineer**
 responsibilities include, but are not limited to:
* Designs scalable data architectures, leading ETL processes, and oversees the implementation of data storage solutions
* Support the development and integration of advanced analytics tools, ensuring efficient data access and insights generation
* Optimize system performance and scalability, implementing continuous improvement initiatives
 \#001JC
**Required Education, Experience, \&amp; Skills**
* Bachelor's degree in Information Technology, Cybersecurity, Computer Science, Information Systems, Data Science, or Software Engineering and 9\-13 years or more relevant work experience (will consider an additional 4\+ years of relevant experience in lieu of degree)
* One Active Certification: CCISO, CISM, CISSP, GSLC, SSCP or GSEC
* Expertise in designing, implementing, and managing Big Data solutions using Hadoop, Spark, and data streaming technologies
* Proven experience optimizing data pipelines, performing large\-scale data processing, and ensuring data quality
* Strong knowledge of data warehousing concepts, ETL processes, and distributed computing environments
**Pay Information**
 Full\-Time Salary Range: $130355 \- $221603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92">
      <c r="A92" t="inlineStr">
        <is>
          <t>li-4377942492</t>
        </is>
      </c>
      <c r="B92" t="inlineStr">
        <is>
          <t>Real Estate Data Engineer</t>
        </is>
      </c>
      <c r="C92" t="inlineStr">
        <is>
          <t>Bridgestone Americas</t>
        </is>
      </c>
      <c r="D92" t="inlineStr">
        <is>
          <t>linkedin</t>
        </is>
      </c>
      <c r="E92" t="inlineStr"/>
      <c r="F92" t="inlineStr"/>
      <c r="G92" t="inlineStr">
        <is>
          <t>Nashville, TN</t>
        </is>
      </c>
      <c r="H92" t="inlineStr"/>
      <c r="I9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Data \&amp; Analytics
**Position Summary**
 The Data Engineer will focus on developing, implementing, and optimizing the data infrastructure for new and existing retail stores in North America, and managing the systems utilized across the BSRO Real Estate department. This role involves building and maintaining databases, data pipelines, and tools necessary for research projects, including models for new store development and store remodel refresh selection. This role also acts as the system administrator for Lucernex, Kalibrate, and Service Channel, managing all aspects of system and user management. The Data Engineer will ensure the integrity, accuracy, and efficiency of data used in managing sales transfers upon store closures. By providing robust data solutions, the Data Engineer will contribute to the company's growth and operational excellence, supporting Bridgestone West Retail's success and innovation.
**Responsibilities**
**Data Integrity \&amp; Infrastructure**
* Develop, implement, and optimize data infrastructure to support market planning and strategy, leveraging demand\-driven market intelligence and advanced sales forecasting models.
* Enhance and maintain data infrastructure and end‑to‑end data workflows to support accurate and efficient monthly Real Estate spend reporting and forecasting, including ROU, CAPEX, OPEX, and Rent.
* Build and maintain databases, data pipelines, and tools to facilitate the analysis of consumer behavior, demographics, and competitive landscape data, contributing to growth strategies.
* Provide technical support for research on competitive and market intelligence, including data integration and analysis; occasional domestic travel to key locations as needed.
* Leverage innovative new technologies and approaches to renovate, extend, and transform the existing core data assets, including SQL\-based, NoSQL\-based, and Cloud\-based data platforms.
**Data Modeling \&amp; Reporting**
* Assist in gathering, processing, and analyzing data for the site selection process, considering factors such as growth strategy, market demand, demographics, traffic patterns, retail synergy, competition, and local regulations.
* Build custom reporting via underlying data sets leveraging database coding language (SQL\-based, NoSQL, etc.) and display complex data insights in easily digestible formats leveraging PowerBI, Tableau, etc.
* Assist in preparing data\-driven presentations for the Real Estate Research and Strategy portion of Capital Meetings with senior leadership.
* Own and manage updates / refinement of existing executive Real Estate dashboards related to existing store metrics, characteristics, performance, etc.
**Systems Administration \&amp; Management**
* Manage, inclusive of day\-to\-day operations and necessary updates, Lucernex (LX), Kalibrate (KLI), Service Channel, Crystal Reports, and SharePoint software applications for the Real Estate department. In addition to supporting the day\-to\-day needs of the software (systems interface, data backup, user adds / removals, update security settings, mass updating of system info (Sales, Fixed Assets, Regional realignments, user management, password resets) the Data Engineer is the SME and will provide feedback on system capabilities and structure along with offering solutions for opportunities as they arise.
* Responsible for creation of new sites, projects, and programs within Lucernex to support ongoing Real Estate department operations.
**Additional General Responsibilities**
* Collaborate with internal teams, including operations, finance, legal, IT, marketing, and accounting, to ensure a seamless transition of data from development to the operational phase, as well as external partners and consultants.
* Leverage enterprise standards for data domains and data solutions, focusing on simplified integration and streamlined operational and analytical uses.
* Perform regular systems and vendor compliance audits in partnership with Bridgestone IT.
**Minimum Qualifications**
* Bachelor’s degree in computer science or in a STEM major.
* 5\+ years working in a corporate setting with experience in retail and / or real estate
* Experience working with solutions using elastic architectures (preferably Microsoft Azure and Google Cloud Platform).
* Any direct experience with a variety of SQL, NoSQL and Big Data Platforms.
* Systems Administrator experience, preferably with Lucernex, Kalibrate, Service Channel, or similar real estate systems
* Demonstrated strategic prowess, coupled with strong analytical and planning skills.
* Ability to translate business requirements and specifications into reports, insights, and dashboards with minimal direction or oversight.
* Elevated level of proficiency with Microsoft Word, Excel, PowerPoint, and PowerBI.
* Minimal Domestic travel as needed to visit prospective markets and / or existing stores (5\-10%)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row>
    <row r="93">
      <c r="A93" t="inlineStr">
        <is>
          <t>li-4376207161</t>
        </is>
      </c>
      <c r="B93" t="inlineStr">
        <is>
          <t>Senior Data Engineer, Platform &amp; Pipelines</t>
        </is>
      </c>
      <c r="C93" t="inlineStr">
        <is>
          <t>Natera</t>
        </is>
      </c>
      <c r="D93" t="inlineStr">
        <is>
          <t>linkedin</t>
        </is>
      </c>
      <c r="E93" t="inlineStr"/>
      <c r="F93" t="inlineStr"/>
      <c r="G93" t="inlineStr"/>
      <c r="H93" t="inlineStr"/>
      <c r="I93" t="inlineStr">
        <is>
          <t>**About The Role**
 We are seeking a Senior Data Engineer to join Natera’s Therapeutics \&amp; Innovations group, which focuses on leveraging Natera’s multimodal data assets to enable therapeutic development and scientific innovation. The group works with large\-scale biomedical datasets to support therapeutic development, biomarker discovery, and translational research, and is in the process of building shared data foundations to unify and scale these efforts.
 This role is part of a broader initiative to develop a shared, platform\-level data system that spans multi\-modal data ingestion, backend services, AI\-enabled data access, and web interfaces. The initial focus of the role is on designing and implementing robust data ingestion and transformation pipelines, with scope expanding over time into backend APIs, data\-access layers, and LLM\-driven analysis tools as the platform matures.
**Responsibilities**
* Architect, implement, and maintain data ingestion and transformation pipelines using modern workflow orchestration tools (e.g. Dagster)
* Identify, catalog, and integrate internal and external data sources used across research efforts
* Operationalize bioinformatics pipelines that support large\-scale batch processing, incremental updates, and backfills within AWS
* Normalize and structure heterogeneous data into consistent, reusable representations that support downstream analysis, modeling, and querying
* Populate and maintain patient\-centric data models in shared storage systems (e.g., graph and relational databases)
* Collaborate with backend and AI engineers to design data\-access patterns that support analytics applications and AI\-driven interactions
* Contribute to backend services and APIs that expose integrated data to internal tools and applications
* Participate in the evolution of AI\-enabled analysis workflows, including tooling that supports LLM\- or agent\-based interactions with data
* Contribute to system\-level design decisions around data flow, service boundaries, reliability, and scalability
* Write clean, tested, and well\-documented Python code that meets production software engineering standards
* Debug and resolve complex data quality, pipeline, backend, and infrastructure issues in a distributed environment
**Required Qualifications**
* BS in Computer Science, Bioinformatics, Computational Biology, or a related field, MS preferred
* 4\+ years of experience in production data engineering or software engineering
* Independently drive technical solutions from high\-level goals, exercising judgment in system design, implementation, and tradeoff evaluation
* Strong proficiency in Python, with experience writing maintainable, production\-quality code across data and backend contexts
* Extensive experience with software engineering fundamentals, design patterns, version control, CI/CD, Docker, and automated testing
* Experience designing and operating workflow orchestration systems (Dagster preferred; Airflow, Prefect, or similar acceptable)
* Experience building or contributing to backend services (e.g., FastAPI or similar frameworks)
* Hands\-on experience with AWS services commonly used in data and backend systems (e.g., S3, ECS, Batch, Lambda)
* Experience deploying and operating large\-scale data or bioinformatics pipelines in AWS, including managing throughput, cost, and operational reliability
* Experience with relational databases (Postgres, MySQL) and/or graph databases (Neo4j), including schema and query design
* Experience contributing to system\-level architecture, including data modeling, service boundaries, and operational robustness
* Ability to work effectively with scientists, bioinformaticians, and ML practitioners in an R\&amp;D environment
**Preferred Qualifications**
* Experience integrating machine\-learning inference outputs into data pipelines
* Familiarity with LLM\-based agents and associated frameworks such as LangChain
* Familiarity with bioinformatics data formats and pipelines (e.g., FASTQ, BAM/CRAM, VCF, RNAseq, WES/WGS)
* Experience with infrastructure as code (Terraform)
* Experience with DNAnexus
* Understanding of genomics, proteomics, or other omics data types and their downstream analytical use cases
* Ability to evaluate build\-vs\-buy tradeoffs in fast paced environments
 The pay range is listed and actual compensation packages are based on a wide array of factors unique to each candidate, including but not limited to skill set, years \&amp; depth of experience, certifications and specific office location. This may differ in other locations due to cost of labor considerations.
 Remote USA
 $125,000—$155,000 USD
**OUR OPPORTUNITY**
 Natera™ is a global leader in cell\-free DNA (cfDNA) testing, dedicated to oncology, women’s health, and organ health. Our aim is to make personalized genetic testing and diagnostics part of the standard of care to protect health and enable earlier and more targeted interventions that lead to longer, healthier lives.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 Employee benefits include comprehensive medical, dental, vision, life and disability plans for eligible employees and their dependents. Additionally, Natera employees and their immediate families receive free testing in addition to fertility care benefits. Other benefits include pregnancy and baby bonding leave, 401k benefits, commuter benefits and much more. We also offer a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*If you are based in California, we encourage you to read this important information for California residents.*
 Link: https://www.natera.com/notice\-of\-data\-collection\-california\-residents/
 Please be advised that Natera will reach out to candidates with a @natera.com email domain ONLY. Email communications from all other domain names are not from Natera or its employees and are fraudulent. Natera does not request interviews via text messages and does not ask for personal information until a candidate has engaged with the company and has spoken to a recruiter and the hiring team. Natera takes cyber crimes seriously, and will collaborate with law enforcement authorities to prosecute any related cyber crimes.
**For More Information**
* BBB announcement on job scams
* FBI Cyber Crime resource page</t>
        </is>
      </c>
    </row>
    <row r="94">
      <c r="A94" t="inlineStr">
        <is>
          <t>li-4353044272</t>
        </is>
      </c>
      <c r="B94" t="inlineStr">
        <is>
          <t>Senior Data Engineer</t>
        </is>
      </c>
      <c r="C94" t="inlineStr">
        <is>
          <t>Mastercard</t>
        </is>
      </c>
      <c r="D94" t="inlineStr">
        <is>
          <t>linkedin</t>
        </is>
      </c>
      <c r="E94" t="inlineStr"/>
      <c r="F94" t="inlineStr"/>
      <c r="G94" t="inlineStr">
        <is>
          <t>Atlanta, GA</t>
        </is>
      </c>
      <c r="H94" t="inlineStr"/>
      <c r="I94"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Data Engineer
**Overview**
 The Data \&amp; Services team is a key differentiator for Mastercard, providing cutting\-edge services that help our customers grow. Focused on thinking big and scaling fast around the globe, this agile team is responsible for end\-to\-end solutions for a diverse global customer base. Centered on data\-driven technologies and innovation, these services include consulting, loyalty and marketing programs, business Test \&amp; Learn experimentation, and data\-driven information and risk management services.
 Within the Data \&amp; Services organization, Marketing Services places Mastercard at the heart of our customer’s b2c and b2b marketing strategies. We help our customers acquire, engage, and retain customers with end\-to\-end digital marketing services differentiated by our global marketing expertise, data and technology advantage, global network of preferred partners, and Mastercard brand assets.
 The Marketing Services team is looking for a Senior Data Engineer to provide technical ownership, with an emphasis on data architecture, engineering efficiency, and on\-time delivery.
**Role Responsibilities**
* Provide technical leadership in data engineering, ensuring best practices for data pipelines, data modeling, storage, and retrieval.
* Lead the scoping, design and implementation of data pipelines and data models to enable performant and scalable products.
* Work with multiple sources of data, storage systems, and building processes and pipelines to provide cohesive datasets for analysis and modeling.
* Ensure a high\-quality code base by writing and reviewing performant \&amp; scalable, well\-tested code.
* Collaborate with cross\-functional teams to define data requirements and design solutions that align with business objectives.
* Oversee data governance and quality, ensuring data accuracy, consistency, and compliance with industry standards.
* Mentor software engineers \&amp; data engineers, establishing data best practices and creating up\-skilling opportunities for the team.
* Ensure that software and system design and delivery support the goal of zero down time in production.
* Ensure development supports all appropriate data compliance and usage requirements, including PCI, GLBA, Safe Harbor, SOX, etc.
**All About You**
* Deep knowledge of software development processes including agile processes, test driven development and automation of the build and deployment processes (CI/CD)
* Experience with software development or application engineering with recent coding experience in two or more of the following languages: Python, Java, Scala, Pyspark, or other.
* Strong understanding of data with experience in ETL, event streaming, data ingestion, modelling, Big Data (Hadoop/Spark), data visualization \&amp; analytics,
* Experience with AWS cloud services for data engineering and ML workflows.
* Hands\-on experience with Databricks or Snowflake.
* Familiarity with industry best practices for collection and use of data.
* Strong technologist eager to learn new technologies and frameworks.
* Strong verbal and written communication and presentation skills, with ability to represent team at public events such as technology conferences.
* Project management skills and a demonstrated ability to understand complex information product constructs.
* Ability to manage multiple priorities simultaneously and partner with teams outside of the engineering organization.
* Experience integrating vendor and open\-source products into an overall system
* Hands on experience with Marketing technologies strongly preferred.
 This role is not eligible for Mastercard’s work authorization sponsorship. As such, candidates must be eligible to work in the United States, now as well as in the future, without employer sponsorship.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Atlanta, Georgia: $115,000 \- $184,000 USD</t>
        </is>
      </c>
    </row>
    <row r="95">
      <c r="A95" t="inlineStr">
        <is>
          <t>li-4379051558</t>
        </is>
      </c>
      <c r="B95" t="inlineStr">
        <is>
          <t>Associate Data Engineer (Privacy Impact Assessments)</t>
        </is>
      </c>
      <c r="C95" t="inlineStr">
        <is>
          <t>Truist</t>
        </is>
      </c>
      <c r="D95" t="inlineStr">
        <is>
          <t>linkedin</t>
        </is>
      </c>
      <c r="E95" t="inlineStr"/>
      <c r="F95" t="inlineStr"/>
      <c r="G95" t="inlineStr">
        <is>
          <t>Charlotte, NC</t>
        </is>
      </c>
      <c r="H95" t="inlineStr"/>
      <c r="I9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\*\*\*This role is 5 days a week in the office, Atlanta preferred or Charlotte \*\*\*
 \*\*\*For this opportunity, Truist will not sponsor now or in the future an applicant for work visa status or employment authorization, nor will we offer any immigration\-related support for this position (including, but not limited to H\-1B, F\-1 OPT, F\-1 STEM OPT, F\-1 CPT, J\-1, TN\-1 or TN\-2, E\-3, O\-1, or future sponsorship for U.S. lawful permanent residence status.)\*\*\*
 We are seeking an Associate Data Engineer to join the Privacy Engineering team to support executing controls over a wide range of data assets, including applications, analytical models, and business intelligence reports.
 This role is critical in expanding the team’s capacity to meet rising demand for Privacy Impact Assessments (PIAs) and related activities.
 The Associate Data Engineer will collaborate with subject matter experts, data asset owners, and stakeholders across multiple business units to ensure our organization maintains strong alignment with privacy regulations and internal risk management standards.
**Essential Duties And Responsibilities**
 Following is a summary of the essential functions for this job. Other duties may be performed, both major and minor, which are not mentioned below. Specific activities may change from time to time.
**Privacy Control Execution \&amp; Automation**
* Support the execution of existing privacy engineering controls and define new as needed.
* Assist in the automation and streamlining of Privacy Impact Assessment (PIA) processes for various data assets.
* Partner with senior data engineers to develop scalable solutions that improve control efficiency, tracking, and reporting.
**Privacy Impact Assessment Management**
* Facilitate end\-to\-end PIA engagements with multiple business units across the company.
* Gather, analyze, and validate data asset information needed for compliance reviews.
* Support documentation, workflow routing, and follow\-up activities for PIA completion.
**Cross\-Functional Collaboration**
* Work closely with Compliance, Legal, Risk, and other governance partners to interpret requirements and ensure consistent application of privacy standards.
* Engage with business and technical owners of applications, models, and reporting assets to collect information and drive necessary remediation actions.
* Support communication, coordination, and education efforts related to privacy obligations.
****Required Qualifications:****
 The requirements listed below are representative of the knowledge, skill and/or ability required. Reasonable accommodations may be made to enable individuals with disabilities to perform the essential functions.
* Bachelor's degree and two years of experience in systems engineering or administration or equivalent education and related training or experience.
* Basic knowledge of SQL, relational databases, ETL/ELT architecture and concepts, data integration concepts and big data concepts.
* Previous experience in planning and managing IT projects
**Other Job Requirements / Working Conditions**
**Sitting**
 Constantly (More than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96">
      <c r="A96" t="inlineStr">
        <is>
          <t>li-4379047041</t>
        </is>
      </c>
      <c r="B96" t="inlineStr">
        <is>
          <t>Senior Data Engineer</t>
        </is>
      </c>
      <c r="C96" t="inlineStr">
        <is>
          <t>Guidehouse</t>
        </is>
      </c>
      <c r="D96" t="inlineStr">
        <is>
          <t>linkedin</t>
        </is>
      </c>
      <c r="E96" t="inlineStr"/>
      <c r="F96" t="inlineStr"/>
      <c r="G96" t="inlineStr">
        <is>
          <t>Huntsville, AL</t>
        </is>
      </c>
      <c r="H96" t="inlineStr"/>
      <c r="I96" t="inlineStr">
        <is>
          <t>**Job Family**
 Operational Effectiveness Consulting
**Travel Required**
 None
**Clearance Required**
 Active Secret
**What You Will Do**
 The Senior Data Engineer is responsible for leading a team of developers and participating in analysis of actual and predictable interacting operational activities of business to obtain a quantitative, rational basis for decision making through the application of logic and scientific or economic disciplines and techniques. Ability to devise modeling and measuring techniques; utilizes mathematics, statistical methods, engineering methods, operational mathematics techniques (linear programming, game theory, probability theory, symbolic language, etc.), and other principles and laws of scientific and economic disciplines. Ability to demonstrate a complete understanding and wide application of technical principles, theories, and concepts within the Data Science/Operations Research field and provide consultation to technical solutions over a wide range of complex difficult problems in which proposed solutions are imaginative, thorough, practicable, and consistent with organization objectives.
**What You Will Need**
* An ACTIVE and MAINTAINED Secret Federal or DoD security clearance
* Bachelor’s degree
* EIGHT (8\) years of professional experience, including TWO (2\) years of data engineer or data science experience
* Experience with common data science tools, such as R, Python, MATLAB; with a heavy emphasis on Python.
**What Would Be Nice To Have**
* Master’s in a science, technology, math, engineering field preferred; humanities degree with equivalent technical experience acceptable
* Demonstratable experience in at least one statistical programming language (i.e., C\#, Python, R); knowledge and understanding of Python is a plus.
* Demonstrates expert experience in leading development efforts with clear examples of value added to the client.
* Demonstrates experience interacting with end\-users to understand and document business and functional requirements for complex projects, as well as collaborating with technical teams across the full software development life cycle.
* Demonstrates considerable proven knowledge of organizational planning and project management specific to lifecycle development processes.
* Experience with common data science tools, such as R, Python, MATLAB; with a heavy emphasis on Python.
* Experience scoping and estimating project tasks, as well as managing multiple tasks with minimal supervision.
* Ability to collect, organize, manage, and process client’s sources of information and enhance data collection procedures.
* Understanding of the processing, cleaning, and verification of data used for analysis and ad\-hoc analysis.
* Ability to perform verification, validation, and fault detection of data models.
* Applied statistics skills, such as distributions, statistical testing, regression, etc.
* Understanding of data visualization tools (MS Power BI, Tableau, Qlik etc.); with a heavy emphasis on Power BI. Examples of migration between multiple visualization tools is a plus.
* Understanding of the appropriate statistical model to apply to any problem.
* Strong understanding and experience working with cloud infrastructure services like Azure, Amazon Web Services \&amp; Google Cloud; with a heavy emphasis on AWS.
* Demonstrable experience with web applications. RPA orchestration, cloud architecture, data API integration, data analytics, AI, big data platforms, and automating machine learning components.
* Ability to stand\-up and manage an integrated software development and machine learning environment.
* Experience in any database technology (SQL Server/Azure Cosmos DB).
* Experience implementing and automating models created by data science teams (i.e. Spark, Scala, Hive, Python, R, etc.).
* Experience working with different query languages (i.e. PL\-SQL, T\-SQL).
* Experience working with code repositories and continuous integration (i.e. Git, Jenkins, etc.).
* Certified Scrum Master (CSM), Professional Scrum Master (PSM), or equivalent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97">
      <c r="A97" t="inlineStr">
        <is>
          <t>li-4378785836</t>
        </is>
      </c>
      <c r="B97" t="inlineStr">
        <is>
          <t>Technical Consultant- Enterprise Data Engineer</t>
        </is>
      </c>
      <c r="C97" t="inlineStr">
        <is>
          <t>Esri</t>
        </is>
      </c>
      <c r="D97" t="inlineStr">
        <is>
          <t>linkedin</t>
        </is>
      </c>
      <c r="E97" t="inlineStr"/>
      <c r="F97" t="inlineStr"/>
      <c r="G97" t="inlineStr">
        <is>
          <t>Washington, DC</t>
        </is>
      </c>
      <c r="H97" t="inlineStr"/>
      <c r="I97" t="inlineStr">
        <is>
          <t>**Overview**
 In this position, you will partner with customers on enterprise database design and implementation strategies while applying Esri technology best practices. You will consult with customers to understand business and technical requirements, design enterprise data management strategies, and implement those strategies throughout the engagement life cycle. You will work both independently and as part of project teams to configure back\-end geospatial database management capabilities that support customer workflows utilizing ArcGIS web, desktop, and mobile applications.
 This team supports Defense and Intel clients. You will be part of a talented cross\-functional team of dynamic and passionate engineers to deliver capabilities that enable our customers to make a difference in communities around the world. You will be part of a team that influences lasting contributions for communities with the solutions you provide.
 The Professional Services division is the consulting and implementation arm of Esri. We break ground in new markets, push the technology envelope and deliver transformational solutions to high profile clients worldwide. The Professional Services organization is comprised of nearly 1,000 talented business and technical professionals who strive every day to help our users be successful.
 Esri has a Relocation Assistance Program and can provide support with relocating to the Vienna, VA area for this position.
**Responsibilities**
* Design and implement robust, scalable, and secure database solutions to support mission\-critical applications
* Collaborate with cross\-functional teams during all phases of implementation including requirements, analysis, design, build/configuration, and deployment
* Configure and maintain database environments, including backup, restore, high\-availability, and disaster recovery strategies
* Monitor and tune database performance using industry\-standard tools and methodologies (such as query optimization, indexing strategies)
* Implement data security measures, access controls, and compliance standards across environments
* Automate routine database loading, maintenance, and monitoring tasks to improve efficiency
* Provide technical guidance and best practices for database design, migration, and integration projects
**Requirements**
* 5\+ years of hands\-on experience in database design, administration, and optimization for Oracle, SQL Server, PostgreSQL, or SAP HANA
* Familiarity with database design principles, data loading techniques, backup and recovery solutions, performance monitoring and tuning, database maintenance, and security
* Scripting skills in SQL and Python for automation and data workflows
* Exposure to geospatial concepts such as spatial data types, coordinate systems, and spatial indexing
* Ability to clearly communicate complex technical concepts to technical peers and non\-technical project managers or customers
* US citizenship with Active or Current (within 2 years of active) Top Secret Security Clearance with SCI eligibility
* Bachelor’s degree in computer science, mathematics, GIS, or related STEM field
**Recommended Qualifications**
* Experience with ArcGIS Enterprise geodatabases
* Knowledge of integrating GIS with other enterprise systems
* CompTIA Security \+ certification
* One or more industry\-standard IT certifications (such as Esri, Microsoft, Amazon, PostgreSQL, Oracle)
* Master\`s degree in computer science, mathematics, GIS, or related STEM field
 Total RewardsEsri’s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$82,160 USD \- $138,320 USD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98">
      <c r="A98" t="inlineStr">
        <is>
          <t>li-4341551222</t>
        </is>
      </c>
      <c r="B98" t="inlineStr">
        <is>
          <t>Member of Technical Staff - Data Engineer</t>
        </is>
      </c>
      <c r="C98" t="inlineStr">
        <is>
          <t>Microsoft</t>
        </is>
      </c>
      <c r="D98" t="inlineStr">
        <is>
          <t>linkedin</t>
        </is>
      </c>
      <c r="E98" t="inlineStr"/>
      <c r="F98" t="inlineStr"/>
      <c r="G98" t="inlineStr">
        <is>
          <t>New York, United States</t>
        </is>
      </c>
      <c r="H98" t="inlineStr"/>
      <c r="I98" t="inlineStr">
        <is>
          <t>**Overview**
 As Microsoft continues to push the boundaries of AI, we are on the lookout for individuals to work with us on the most interesting and challenging AI questions of our time. Our vision is bold and broad — to build systems that have true artificial intelligence across agents, applications, services, and infrastructure. It’s also inclusive: we aim to make AI accessible to all — consumers, businesses, developers — so that everyone can realize its benefits.
 Microsoft AI (MS AI) is seeking a experienced
 **Member of Technical Staff \- Data Engineer \- Microsoft AI \- Copilot** 
 to help build mission critical data pipelines that ingest, process and publishes data streams from our personal AI, Copilot systems. We’re looking for someone who possesses technical prowess, a methodical approach to problem\-solving, proficiency in big data processing technologies, and a mastery of templating to architect solutions that stand the test of time and who will bring an abundance of positive energy, empathy, and kindness to the team every day, in addition to being highly effective. The Data Platform Engineering team is responsible for building core data pipelines that help fine tune models, support introspection and retrospection of data so that we can constantly evolve and improve human AI interactions.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Build scalable data pipelines for sourcing, transforming and publishing data assets for AI use cases.
* Work collaboratively with other Platform, infrastructure, application engineers as well as AI Researchers to build next generation data platform products and services.
* Ship high\-quality, well\-tested, secure, and maintainable code.
* Find a path to get things done despite roadblocks to get your work into the hands of users quickly and iteratively.
* Enjoy working in a fast\-paced, design\-driven, product development cycle.
* Embody our Culture and Values.
**Qualifications**
**Required Qualifications:**
* Bachelor's Degree in Computer Science, Math, Software Engineering, Computer Engineering, or related field AND 6\+ years experience in business analytics, data science, software development, data modeling or data engineering work
+ OR Master's Degree in Computer Science, Math, Software Engineering, Computer Engineering, or related field AND 4\+ years experience in business analytics, data science, software development, or data engineering work
+ OR equivalent experience.
**Preferred Qualifications**
* 4\+ years technical engineering experience building data processing applications (batch and streaming) with coding in languages including, but not limited to, Python, Java, Spark, SQL.
* Experience working with Apache Hadoop eco system, Kafka, NoSQL, etc.
* 3\+ years experience with data governance, data compliance and/or data security.
* 2\+ years' experience building scalable services on top of public cloud infrastructure like Azure, AWS, or GCP. Extensive use datastores like RDBMS, key\-value stores, etc.
* 2\+ years' experience building distributed systems at scale and extensive systems knowledge that spans bare\-metal hosts to containers to networking.
* Ability to identify, analyze, and resolve complex technical issues, ensuring optimal performance, scalability, and user experience.
* Dedication to writing clean, maintainable, and well\-documented code with a focus on application quality, performance, and security.
* Demonstrated interpersonal skills and ability to work closely with cross\-functional teams, including product managers, designers, and other engineers.
* Ability to clearly communicate complex technical concepts to both technical and non\-technical stakeholders.
* Interest in learning new technologies and staying up to date with industry trends, best practices, and emerging technologies in web development and AI.
* Ability to work in a fast\-paced environment, manage multiple priorities, and adapt to changing requirements and deadlines.
 Data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9">
      <c r="A99" t="inlineStr">
        <is>
          <t>li-4361678874</t>
        </is>
      </c>
      <c r="B99" t="inlineStr">
        <is>
          <t>Senior Data Engineer - Databricks</t>
        </is>
      </c>
      <c r="C99" t="inlineStr">
        <is>
          <t>SMBC Group</t>
        </is>
      </c>
      <c r="D99" t="inlineStr">
        <is>
          <t>linkedin</t>
        </is>
      </c>
      <c r="E99" t="inlineStr"/>
      <c r="F99" t="inlineStr"/>
      <c r="G99" t="inlineStr">
        <is>
          <t>Charlotte, NC</t>
        </is>
      </c>
      <c r="H99" t="inlineStr"/>
      <c r="I99"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Role Description
 The Databricks Developer is responsible for implementing, supporting, and enhancing the internal fraud detection platform by developing scalable data pipelines, integrating batch processing methods, and ensuring the platform aligns with the bank’s risk management, legal, and regulatory requirements for fraud detection and prevention.
 This role requires deep functional and technical expertise in databricks development, including strong development skills in PySpark and the Azure cloud ecosystem. Proven expertise in designing and managing CI/CD pipelines using tools such as Azure DevOps, GitHub, or similar.
 The developer will work closely with business units and support teams to deliver the initial application, system enhancements, perform upgrades, and provide on\-call user support. The ideal candidate holds a degree in Computer Science or a related field and has at least 5 years of professional experience in data engineering and cloud\-based development.
**Key Responsibilities**
 Role Objectives: Delivery
* Design, develop, and optimize large\-scale batch data pipelines using Databricks and PySpark on the Azure cloud platform.
* Lead technical architecture and implementation of Azure\-based solutions, supporting cloud migration and consolidation initiatives.
* Build and maintain ETL processes, ensuring seamless data integration and high data quality across diverse sources.
* Develop orchestration workflows using Azure Functions, Azure Data Factory (ADF), Logic Apps, and other Azure services.
* Proven expertise in designing and managing CI/CD pipelines using tools such as Azure DevOps, GitHub, or similar
* Implement secure and scalable solutions leveraging Blob Storage, Key Vault, Managed Identities, and Azure DevOps.
* Provide technical guidance and support for architectural decisions and platform enhancements.
* Own end\-to\-end project delivery, working closely with business stakeholders, IT teams, and third\-party vendors.
* Incorporating a variety of data processing techniques—including batch and streaming workflows—while exposing and integrating APIs and external services into Databricks pipelines to enhance platform functionality and enable seamless data exchange across systems.
* Review and contribute to core code changes, ensuring best practices and supporting production deployments.
* Experience in developing and implementing disaster recovery strategies for cloud\-based applications
**Qualifications And Skills**
 Required Qualifications:
* Bachelor’s degree in Computer Science, Information Systems, or a related technical field.
* Minimum 5 years of experience in data engineering, with a focus on Databricks, PySpark, and Azure.
* Strong understanding of data integration, transformation, and migration strategies.
* Experience with CI/CD pipelines and version control using Azure DevOps or githib.
* Excellent problem\-solving skills and ability to resolve moderately complex technical challenges.
* Strong communication and collaboration skills;
**Additional Requirements**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00">
      <c r="A100" t="inlineStr">
        <is>
          <t>li-4369144015</t>
        </is>
      </c>
      <c r="B100" t="inlineStr">
        <is>
          <t>Data Engineer - Senior Associate</t>
        </is>
      </c>
      <c r="C100" t="inlineStr">
        <is>
          <t>PwC</t>
        </is>
      </c>
      <c r="D100" t="inlineStr">
        <is>
          <t>linkedin</t>
        </is>
      </c>
      <c r="E100" t="inlineStr"/>
      <c r="F100" t="inlineStr"/>
      <c r="G100" t="inlineStr">
        <is>
          <t>Austin, TX</t>
        </is>
      </c>
      <c r="H100" t="inlineStr"/>
      <c r="I100"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01">
      <c r="A101" t="inlineStr">
        <is>
          <t>li-4379030489</t>
        </is>
      </c>
      <c r="B101" t="inlineStr">
        <is>
          <t>Lead Data Engineer</t>
        </is>
      </c>
      <c r="C101" t="inlineStr">
        <is>
          <t>Guidehouse</t>
        </is>
      </c>
      <c r="D101" t="inlineStr">
        <is>
          <t>linkedin</t>
        </is>
      </c>
      <c r="E101" t="inlineStr"/>
      <c r="F101" t="inlineStr"/>
      <c r="G101" t="inlineStr">
        <is>
          <t>Marion County, IN</t>
        </is>
      </c>
      <c r="H101" t="inlineStr"/>
      <c r="I101" t="inlineStr">
        <is>
          <t>**Job Family**
 IT Architecture/Cloud (India)
**Travel Required**
 Up to 10%
**Clearance Required**
 None
**What You Will Do**
* 5\+ years of experience in Deliver Fabric transition/conversion tasks (engineering\-heavy): data movement, transformation logic refactoring, automation.
* Build and maintain pipelines (ADF / SQL\-based ELT) following coding standards, parameterization, and deployment practices.
* Implement data quality checks, test plans, and release artifacts (RCA, runbooks, rollback steps).
* Work asynchronously: provide written updates, raise risks early, and drive tasks to completion with minimal supervision.
* Collaborate with the semantic model validator to ensure changes align with downstream reporting behavior.
**What You Will Need**
* Bachelor’s or master’s Degree in computer science or related field
* Strong communication and collaboration skills, with the ability to work effectively in a team environment
* Strong SQL and data engineering fundamentals.
* Python for conversion/automation (preferred strong).
* Azure data stack experience (ADF, ADLS, SQL MI/Synapse/Spark — some combination).
* Git/PR\-based development workflow and strong documentation habits.
**What Would Be Nice To Have**
* Microsoft Fabric experience (Lakehouse/Warehouse).
* Understanding of Power BI semantic model concepts (enough to support validation conversations)
* Databricks configuration and administration.
* Excellent problem\-solving skills and attention to detail.
**What We Offer**
 Guidehouse offers a comprehensive, total rewards package that includes competitive compensation and a flexible benefits package that reflects our commitment to creating a diverse and supportive workplace.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02">
      <c r="A102" t="inlineStr">
        <is>
          <t>li-4377919551</t>
        </is>
      </c>
      <c r="B102" t="inlineStr">
        <is>
          <t>Principal Data Engineer</t>
        </is>
      </c>
      <c r="C102" t="inlineStr">
        <is>
          <t>Leidos</t>
        </is>
      </c>
      <c r="D102" t="inlineStr">
        <is>
          <t>linkedin</t>
        </is>
      </c>
      <c r="E102" t="inlineStr"/>
      <c r="F102" t="inlineStr"/>
      <c r="G102" t="inlineStr">
        <is>
          <t>Bethesda, MD</t>
        </is>
      </c>
      <c r="H102" t="inlineStr"/>
      <c r="I102" t="inlineStr">
        <is>
          <t>**Description**
**Leidos** 
 has an exciting opportunity for a Data Engineer in our
 **Intel Sector's Analysis Solutions Business Area** 
 . Our talented team is at the forefront in Security Engineering, Computer Network Operations (CNO), Mission Software, Analytical Methods and Modeling, Signals Intelligence (SIGINT), and Cryptographic Key Management. At
 **Leidos** 
 , we offer
 **competitive benefits** 
 ,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**Job Summary**
 We are seeking an experienced Data Engineer to execute the design, development and administration of an enterprise\-scale Next Generation Correlation/Entity Resolution platform. This position supports a mission\-critical system that serves as a foundational data exploitation capability servicing multiple applications/use cases. The ideal candidate will possess deep expertise in master data management, probabilistic matching algorithms and entity resolution, with the technical architecture skills required to optimize match performance at scale. This role supports technical planning, design, development, integration, and verification and validation. This role refines customer roadmaps, enterprise epics, and strategic requirements into detailed requirements and actionable user stories. This role coordinates with the team leadership to prioritize user stories that realize customer requirements.
**Primary Responsibilities**
* Platform Development \&amp; Administration: Design, develop, and maintain probabilistic matching configurations, algorithms, and scoring models to ensure accurate entity resolution across multi\-domain data sources.
* Entity Relationship Management: Analyze and connect records to determine relationships across datasets, creating accurate master data views that improve data quality and compliance readiness.
* Full Lifecycle Management: Oversee data model design, implementation, testing, deployment, and environment administration to ensure high availability and performance.
* Matching \&amp; Resolution Expertise: Configure and optimize standardization, bucketing, and comparison algorithms; design custom rules, weights, and thresholds; and apply advanced techniques to consolidate records across disparate sources.
* Quality \&amp; Effectiveness Monitoring: Perform match tuning, false positive/negative analysis, threshold optimization, and maintain data quality scorecards and effectiveness metrics.
* Performance \&amp; Scalability: Optimize database performance through indexing, partitioning, and query tuning; monitor systems; and conduct capacity planning and performance testing.
* Collaboration \&amp; Leadership: Partner with stakeholders to translate requirements into solutions, document architecture and procedures, and participate in incident response and root cause analysis.
**Basic Qualifications**
* Hands\-on experience with probabilistic matching and entity resolution solutions, including translating business requirements into technical configurations
* Strong knowledge of entity resolution concepts, data linkage theory, and matching algorithms (Fellegi\-Sunter, distance metrics, phonetic approaches)
* Expertise in data quality dimensions, tokenization, standardization, and normalization techniques to improve matching effectiveness
* Advanced analytical and problem\-solving skills with proven experience in data analysis and pattern recognition
* Proficiency in SQL and enterprise relational databases (Oracle) within large\-scale environments, including performance tuning for high\-volume transactional systems
* Experience with enterprise ETL platforms, data integration tools, and maintaining large\-scale, cloud\-based Linux information systems
* Familiarity with Agile development methodologies and collaborative software delivery practices
* BS degree with 12 or more years of relevant experience; or Masters degree with 10 or more years of relevant experience. Will consider additional relevant work experience in lieu of a degree.
* Must have an active TS/SCI with polygraph security clearance
**Preferred Qualifications**
* Background in statistics, data science, or computational linguistics with hands\-on experience with enterprise Master Data Management (MDM) platforms (e.g., IBM InfoSphere MDM)
* Experience with IBM InfoSphere MDM administrative tools, workbench, and configuration utilities
* Knowledge of probabilistic matching engines including standardization algorithms, bucketing strategies, comparison functions, and scoring models and familiarity with identity resolution in multi\-domain environments and machine learning approaches to entity resolution and record linkage
* Experience in healthcare, financial services, or other industries with complex entity matching requirements
* Professional certification in Master Data Management, Data Quality or Database Administration
* Experience with development in Commercial Cloud Platforms (e.g., AWS, Oracle, Azure) and leveraging cloud data services (e.g., S3, RDS, SQS)
* Familiarity with Java or similar programming languages for custom extensions and matching algorithm development
 At
 **Leidos** 
 , the opportunities are boundless. We challenge our staff with interesting assignments that allow them to thrive professionally and personally. For us, helping you grow your career is good business. We look forward to learning more about you – apply today.
 CABARESTON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29,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$131,300\.00 \- $237,350\.00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03">
      <c r="A103" t="inlineStr">
        <is>
          <t>li-4369137668</t>
        </is>
      </c>
      <c r="B103" t="inlineStr">
        <is>
          <t>Data Engineer - Senior Associate</t>
        </is>
      </c>
      <c r="C103" t="inlineStr">
        <is>
          <t>PwC</t>
        </is>
      </c>
      <c r="D103" t="inlineStr">
        <is>
          <t>linkedin</t>
        </is>
      </c>
      <c r="E103" t="inlineStr"/>
      <c r="F103" t="inlineStr"/>
      <c r="G103" t="inlineStr">
        <is>
          <t>Baltimore, MD</t>
        </is>
      </c>
      <c r="H103" t="inlineStr"/>
      <c r="I103"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04">
      <c r="A104" t="inlineStr">
        <is>
          <t>li-4369126870</t>
        </is>
      </c>
      <c r="B104" t="inlineStr">
        <is>
          <t>Data Engineer - Senior Associate</t>
        </is>
      </c>
      <c r="C104" t="inlineStr">
        <is>
          <t>PwC</t>
        </is>
      </c>
      <c r="D104" t="inlineStr">
        <is>
          <t>linkedin</t>
        </is>
      </c>
      <c r="E104" t="inlineStr"/>
      <c r="F104" t="inlineStr"/>
      <c r="G104" t="inlineStr">
        <is>
          <t>San Antonio, TX</t>
        </is>
      </c>
      <c r="H104" t="inlineStr"/>
      <c r="I104"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05">
      <c r="A105" t="inlineStr">
        <is>
          <t>li-4369128820</t>
        </is>
      </c>
      <c r="B105" t="inlineStr">
        <is>
          <t>Data Engineer - Senior Associate</t>
        </is>
      </c>
      <c r="C105" t="inlineStr">
        <is>
          <t>PwC</t>
        </is>
      </c>
      <c r="D105" t="inlineStr">
        <is>
          <t>linkedin</t>
        </is>
      </c>
      <c r="E105" t="inlineStr"/>
      <c r="F105" t="inlineStr"/>
      <c r="G105" t="inlineStr">
        <is>
          <t>Philadelphia, PA</t>
        </is>
      </c>
      <c r="H105" t="inlineStr"/>
      <c r="I105"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06">
      <c r="A106" t="inlineStr">
        <is>
          <t>li-4369141436</t>
        </is>
      </c>
      <c r="B106" t="inlineStr">
        <is>
          <t>Data Engineer - Senior Associate</t>
        </is>
      </c>
      <c r="C106" t="inlineStr">
        <is>
          <t>PwC</t>
        </is>
      </c>
      <c r="D106" t="inlineStr">
        <is>
          <t>linkedin</t>
        </is>
      </c>
      <c r="E106" t="inlineStr"/>
      <c r="F106" t="inlineStr"/>
      <c r="G106" t="inlineStr">
        <is>
          <t>Detroit, MI</t>
        </is>
      </c>
      <c r="H106" t="inlineStr"/>
      <c r="I106"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07">
      <c r="A107" t="inlineStr">
        <is>
          <t>li-4344011372</t>
        </is>
      </c>
      <c r="B107" t="inlineStr">
        <is>
          <t>Healthcare Senior Data Engineer, Analytics Hub</t>
        </is>
      </c>
      <c r="C107" t="inlineStr">
        <is>
          <t>ECG Management Consultants</t>
        </is>
      </c>
      <c r="D107" t="inlineStr">
        <is>
          <t>linkedin</t>
        </is>
      </c>
      <c r="E107" t="inlineStr"/>
      <c r="F107" t="inlineStr"/>
      <c r="G107" t="inlineStr">
        <is>
          <t>Boston, MA</t>
        </is>
      </c>
      <c r="H107" t="inlineStr"/>
      <c r="I107" t="inlineStr">
        <is>
          <t>**Overview**
 ECG, the most experienced healthcare consulting firm working in the U.S., is ranked as a Best Midsized Firm to Work For 2025 by
 *Consulting Magazine* 
 . At ECG, our primary emphasis is on quality—in our people as well as our services—and we’re seeking others who appreciate our high standards of excellence.
**What’s in It for You: Work with Purpose**
 At ECG, your contribution will have meaningful impact. The work you do will ultimately help health systems optimize performance and meet the needs of the communities they serve—and that’s just the beginning. We’re looking for team players, culture builders, problem\-solvers, and self\-starters to collaborate, take on challenging projects, and find new ways to make a positive impact in the healthcare services sector. ECG is committed to ensuring a supportive, inclusive, and equitable work environment that embraces DEI, where we recognize performance, communicate openly and transparently, and value work\-life balance.
**Join Our Analytics Hub**
 Our growing Analytics Hub works with our consulting teams to deliver new insights, streamlined analysis, and world\-class intelligence to the healthcare organizations we serve as clients. Combined with our consulting teams, you will be helping physician and executive leadership make informed decisions that can alter the course of their enterprises in areas such as physician alignment, mergers and acquisitions, service line planning, provider compensation, financial performance, transforming care models, patient access, managed care portfolio optimization, digital health expansion, and more. ECG uses a Microsoft Azure and Microsoft 365 environment, with Microsoft Power BI as ECG’s current analytics visualization platform. The goal of the position is to further capitalize on the existing ECG infrastructure, as well as implement new features and technologies. The ideal candidate is open to new challenges, exceptional at multitasking, and proficient at implementing new solutions.
 Our detailed plans incorporate qualitative findings with data\-driven strategic, operational, and financial considerations that enable organizations to pursue realistic change. Our consultants bridge the gap between strategic thinking and operational implementation with sensible action plans and tactical recommendations. This approach allows us to stretch our clients’ thinking while ensuring that initiatives with the broadest and deepest impact are prioritized and implementable. Our wide\-ranging engagements often focus on helping our clients:
* Position themselves for value\-based care delivery.
* Align hospitals and physician organizations.
* Strengthen financial performance.
* Enhance clinical programs.
* Develop strategic partnerships and/or mergers.
**Your Opportunity with ECG: Senior Data Engineer**
 As a senior data engineer, you will support the firm’s client delivery and business development efforts, working with consultants and senior leaders to design and maintain a growing analytical infrastructure, manage large data sets, aggregate internal and external data, develop the infrastructure for scalable models and other analyses, and support data visualization and presentation sets. In addition, you will work directly with our internal support teams (IT, business development, and L\&amp;D) and associated vendors for data management and IT solutions, and you will assist with a range of innovative analytic opportunities. Here, no two days or projects are alike, which means you’ll have a lot to learn and plenty of support to help you succeed.
**Your Responsibilities May Include**
* Gathering and synthesizing data from various sources (e.g., national surveys, proprietary research, client interviews, industries, markets)
* Designing, developing, and maintaining new data capabilities and infrastructure for utilizing ECG, third\-party, and partner data to enhance ECG’s data products and solutions related to consulting services
* Creating new data pipelines, data transfers, and infrastructure to facilitate seamless data utilization within cloud environments (primarily Microsoft Azure)
* Optimizing and fine\-tuning data pipelines for improved speed, reliability, and efficiency
* Creating and supporting the ETL to facilitate the accommodation of data in the data lakes
* Designing and developing systems for the maintenance of ECG’s EDW and data lakes, ETL processes, and business intelligence
* Identifying existing data capability and infrastructure gaps or opportunities within and across initiatives and providing subject matter expertise in support of remediation
* Collaborating with the Analytics Hub peers, IT team, and consulting teams to understand data requirements and translate them into technical solutions
* Working with large data sets, ensuring data quality, accuracy, and performance
* Implementing data transformation, integration, and validation processes to support analytics and reporting needs
* Implementing best practices for data storage, retrieval, and archival to ensure data accessibility and security
* Troubleshooting and resolving data\-related issues, collaborating with the team to identify root causes
* Documenting data processes, data lineage, and technical specifications for future reference
* Participating in code reviews, ensuring adherence to coding standards and best practices
* Collaborating with the Analytics Hub and IT teams to automate deployment and monitoring of data pipelines
* Integrating into analytical roles to quickly and effectively dissect business requirements for analysis and reporting needs; establishing documentation and maintaining technical specifications for all reports and processes
* Building relational databases using a Microsoft SQL Server or Microsoft Fabric
* Communicating market insights to pursuit teams and supporting business development efforts
* Partnering with various consulting units (strategy, academic healthcare, provider financial services, performance transformation, etc.) to gather requirements related to data analytics
* Developing, configuring, and maintaining interfaces to exchange data among Microsoft Power BI, SQL databases, and other cloud\-based applications
* Developing new and innovative methodologies and approaches
* Contributing to internal education and learning opportunities for consultants and operations members for the Analytics Hub and analytics in general, and supporting education about ECG’s use cases related to analytics in work
* Assisting the director of data analytics in developing analytics and data strategy to support data analytics capabilities at the firm
**Our Expectations of You**
* A bachelor’s degree in either computer science or computer engineering, or a related degree that relies heavily on critical thinking, logic, and math
* Five\-plus years of proven experience in data engineering, with a strong track record of designing and implementing data solutions; experience working in the healthcare sector preferred
* Strong knowledge of SQL and NoSQL databases, as well as data integration and transformation tools
* Proficiency in programming languages, such as Python, R, Java, or Scala, and experience with data processing frameworks (Apache Spark, Apache Hadoop, etc.)
* Experience using Fabric
* In\-depth understanding of data warehousing concepts, cloud platforms (AWS, Azure, GCP), and data modeling techniques
* A passion for and engagement with emerging trends in data, AI/ML, analytics, and digital experiences
* Extensive working knowledge of API\- or stream\-based data extraction processes like bulk API
* Experience in data product development, analytical models, and model governance
* Experience in anonymizing data and managing the use of data
* Experience in data hygiene procedures, identity resolution capabilities, or data management a plus
* Comfort in unit testing, regression testing, and other test\-driven development methodologies
* Knowledge of BI tools and visualization tools like Power BI or Tableau a plus
* Comfort with manipulating and synthesizing large data sets
* Strong written and verbal communication skills
* Excellent organizational skills
**Job Locations**
* Boston, Chicago, or Washington, D.C.
* Hybrid work schedule, with a minimum of two days per week in office
**Schedule**
 Full time/exempt
**What You Can Expect Of Us**
 To reward our driven, innovative, and passionate employees, we’ve built a company culture that’s centered on performance. We offer an attractive compensation package, challenging work, and an entrepreneurial environment where you can take ownership of your career—and get out as much as you put in.
 The estimated base salary range for this job is $130,000 \- $160,000 annually. It represents a good faith estimate of the range that ECG reasonably expects to pay at the time of the job posting. The actual salary paid will vary based on multiple factors, including but not limited to years of experience, special skills, and market changes. This job is eligible to participate in ECG’s annual incentive compensation program, which reflects ECG’s pay\-for\-performance philosophy. The job is also eligible to participate in ECG’s benefit plans, which include medical, dental, and vision coverage; a 401(k) matching program; unlimited PTO; and other wellness programs.
**About ECG**
 With knowledge and expertise built over the course of 50\-plus years, ECG is a national consulting firm that is redefining healthcare together with its clients. ECG offers a broad range of strategic, financial, operational, and technology\-enabled consulting services encompassing health system performance improvement, ambulatory care planning, market consolidation, and physician enterprise optimization. ECG is an industry leader offering specialized expertise to clients across the full continuum of care, including hospitals, health systems, medical groups, academic medical centers, children’s hospitals, cancer centers, ambulatory surgery centers, investors, and payers/health plans.
**Apply now and make an impact for years to come.**
 To begin the recruitment process, please submit your resume via our career site at https://careers.ecgmc.com.
*ECG provides equal employment opportunities to all employees and applicants for employment without regard to sex, race, color, religion, national origin, citizenship, ancestry, age, disability, pregnancy, medical condition (cancer and genetic characteristics), genetic information, gender, gender identity or expression, sexual orientation, marital status, military or veteran status, or any other legally protected characteristic. We participate in E\-Verify as part of our onboarding process. Having the permanent legal right to work in the United States is a condition of employment. ECG is not currently able to provide assistance to candidates requiring sponsorship or a visa.*</t>
        </is>
      </c>
    </row>
    <row r="108">
      <c r="A108" t="inlineStr">
        <is>
          <t>li-4378788878</t>
        </is>
      </c>
      <c r="B108" t="inlineStr">
        <is>
          <t>Evergreen: AI Platform &amp; Data Engineer</t>
        </is>
      </c>
      <c r="C108" t="inlineStr">
        <is>
          <t>Ad Hoc LLC</t>
        </is>
      </c>
      <c r="D108" t="inlineStr">
        <is>
          <t>linkedin</t>
        </is>
      </c>
      <c r="E108" t="inlineStr"/>
      <c r="F108" t="inlineStr"/>
      <c r="G108" t="inlineStr"/>
      <c r="H108" t="inlineStr"/>
      <c r="I108" t="inlineStr">
        <is>
          <t>****AI Platform \&amp; Data Engineer****
**This is a evergreen position.**
**We are continuously sourcing for talent while we await anticipated job openings. Candidates who apply to this role understand we may not have an immediate opening and wish to be considered for future opportunities.**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Senior AI Platform \&amp; Data Engineer serves as an experienced individual contributor within a team, with the expectation that you will further develop your leadership, guidance and mentoring skills. With minimal oversight from leadership, you will be responsible for supporting the goal of meeting scope, schedule and delivery requirements. A Senior AI Platform \&amp; Data Engineer impacts the long\-term goals of the program, while contributing to the development of the program’s data strategy. You may serve as the discipline's primary lead when working with stakeholders and utilize strong influential skills to drive improvements in data processes and practices. Primary expectations of a Senior AI Platform \&amp; Data Engineer include:
* Design, build, and operationalize a scalable AI/ML infrastructure to support multi\-agent AI systems.
* Implement the Model Control Plane (MCP) for model lifecycle management. Provide reusable AI services and data foundations.
* Researching and integrating AI agent frameworks (e.g., LangChain). Designing the MCP for model registry and lineage tracking.
* Developing shared foundational services like a managed vector database (for RAG) and distributed caching. Integrating Human\-in\-the\-Loop (HITL) workflows for safe agent operation.
* Strong influential skills to propose and evaluate multiple approaches to technical and process problems
* Serves as a mentor to individuals within the team
* May leads small, less critical, or temporary team structures and projects
* Presents design documents, system diagrams, etc. to clients, stakeholders, partners, and other engineers
* Fully understands and consistently implements data engineering best practices
* Generates data architecture recommendations and demonstrates the ability to implement them
* Diagnoses and effectively resolves issues with the systems they own, using incidents to inform educational opportunities and system improvements
* Actively mentors and assists more junior engineers in the development of their skills
* Effectively communicates technical issues and developments with team members and clients
* Participates in technical interviews with new candidates
**Basic Qualifications** 
* Bachelor’s degree and 7\+ years of experience
+ Relevant years of experience may be substituted for education
* Demonstrates expert\-level knowledge in at least one family of data ingestion systems, cloud database services, and visualization software
* Expertise in key data concepts including constructing databases, processing big data, improving data accuracy, etc.
**Preferred Qualifications**
* Strong experience with data engineer in the cloud.
* Expertise in AI/ML workflows, model deployment, and observability (latency, throughput).
* Ability to design for data privacy and implement technical AI guardrails.
* Python (primary language), SQL, Spark/Databricks (for large\-scale data processing), Kubernetes/ECS, OpenAPI (for API documentation), experience with vector databases and feature stores.
**To learn more about working at Ad Hoc, please visit:** 
 https://adhocteam.us/join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https://adhoc.team/</t>
        </is>
      </c>
    </row>
    <row r="109">
      <c r="A109" t="inlineStr">
        <is>
          <t>li-4362463311</t>
        </is>
      </c>
      <c r="B109" t="inlineStr">
        <is>
          <t>Senior Data Engineer</t>
        </is>
      </c>
      <c r="C109" t="inlineStr">
        <is>
          <t>SMBC Group</t>
        </is>
      </c>
      <c r="D109" t="inlineStr">
        <is>
          <t>linkedin</t>
        </is>
      </c>
      <c r="E109" t="inlineStr"/>
      <c r="F109" t="inlineStr"/>
      <c r="G109" t="inlineStr">
        <is>
          <t>Charlotte, NC</t>
        </is>
      </c>
      <c r="H109" t="inlineStr"/>
      <c r="I109"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Role Description
 The Cloud Data Engineer is part of the Data Management’s Design \&amp; Development group within the Americas Division Tech and is responsible for building technical architecture for our Azure platform and support the on\-prem to cloud migration initiative and cloud consolidation strategy.
 Role is located in Charlotte, North Caroline with a Hybrid presence in office.
 Role Objectives
 The Azure Cloud Engineer strategizes, designs, develops and work with a team of dynamic and passionate data engineers to deliver automated cloud infrastructure and DevOps solutions. The incumbent will play a key role in supporting the growth and scale of our Azure cloud\-based technology infrastructure. This role is also responsible for complex interface process development, troubleshooting issues, supporting weekend maintenance and production support of the interface processes development by the Design \&amp; Development team. Reports to the ETL Team Leader.
 Role Objectives
* We are currently seeking a talented and motivated Senior Data Engineer to join our Cloud data solutions team.
* This role will be responsible for designing, developing \&amp; deploying cloud data solutions for risk, regulatory, finance \&amp; compliance projects and be at the forefront of on\-prem to cloud migration initiative.
* This role will require indirect leadership and mentorship of junior team members.
* Work with business teams, product managers, and other stakeholders to understand business requirements, needs, or process gaps that would be addressed via proposed applications.
* Engage with IT systems architects, database administrators, and cyber security team to meet the back\-end functionality demands of the application.
* Liaise with other technology and development teams as needed to coordinate on the integration of applications with the larger company software ecosystem.
* Participate in periodic development meetings to align development priorities and objectives, assign tasks, and share experiences and challenges with applications under development
 Role Objectives
* Extensive experience on Cloud solutions, specifically in Azure
* Experience with Azure cloud services, Azure Data Factory, Gen 2, Azure Databases, Functions, Databricks, etc
* Strong knowledge of Python, Java or similar high\-level server\-side languages
* Advanced working SQL knowledge on relational databases, preferably on MS SQL Server and databases on Azure cloud
* Experience designing and architecting distributed systems, containerization, Web API’s and gateway management.
* Experience with the DevOps lifecycle (git, Jenkins, etc.)
* Experience with Jira/Confluence
* Experience with REST web services and microservice architecture
* Good understanding of ETL/ELT
* Databricks Cluster configuration, Unity catalog repository configuration.
* Build large\-scale batch and real\-time data pipelines with data processing frameworks in Azure cloud platform.
* Partner with architects, engineers, information analysts, business, and technology stakeholders for developing and deploying enterprise grade platforms that enable data\-driven solutions.
* Provide technical guidance on technology implementation and architectural changes.
* Coordinating with platform, APIM, Azure DevOps, and Support.
* Analyze and design technical solutions on Azure to address business needs.
* Develop, test, and modify software to improve efficiency of data platforms and applications.
* Ability to own projects from end to end, working with business stakeholders, IT teams, data stewards, and 3rd party companies to ensure accurate and insightful outcomes.
* Integrating data from a variety of sources, assuring that they adhere to data quality and accessibility standards.
* Enable streaming data use\-cases and standard design patterns in a big data environment.
* Review and provide feedback on core code changes and support production deployment
**Qualifications And Skills**
 10\+ years of software development experience in enterprise applications, preferably in the financial services industry and on data\-heavy systems.
 Bachelor’s or Master’s degree in computer science or information systems preferred.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10">
      <c r="A110" t="inlineStr">
        <is>
          <t>li-4369129888</t>
        </is>
      </c>
      <c r="B110" t="inlineStr">
        <is>
          <t>Data Engineer - Senior Associate</t>
        </is>
      </c>
      <c r="C110" t="inlineStr">
        <is>
          <t>PwC</t>
        </is>
      </c>
      <c r="D110" t="inlineStr">
        <is>
          <t>linkedin</t>
        </is>
      </c>
      <c r="E110" t="inlineStr"/>
      <c r="F110" t="inlineStr"/>
      <c r="G110" t="inlineStr">
        <is>
          <t>Las Vegas, NV</t>
        </is>
      </c>
      <c r="H110" t="inlineStr"/>
      <c r="I110"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11">
      <c r="A111" t="inlineStr">
        <is>
          <t>li-4369128817</t>
        </is>
      </c>
      <c r="B111" t="inlineStr">
        <is>
          <t>Data Engineer - Senior Associate</t>
        </is>
      </c>
      <c r="C111" t="inlineStr">
        <is>
          <t>PwC</t>
        </is>
      </c>
      <c r="D111" t="inlineStr">
        <is>
          <t>linkedin</t>
        </is>
      </c>
      <c r="E111" t="inlineStr"/>
      <c r="F111" t="inlineStr"/>
      <c r="G111" t="inlineStr">
        <is>
          <t>Grand Rapids, MI</t>
        </is>
      </c>
      <c r="H111" t="inlineStr"/>
      <c r="I111"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12">
      <c r="A112" t="inlineStr">
        <is>
          <t>li-4377932962</t>
        </is>
      </c>
      <c r="B112" t="inlineStr">
        <is>
          <t>Data Engineer</t>
        </is>
      </c>
      <c r="C112" t="inlineStr">
        <is>
          <t>Jobs via Dice</t>
        </is>
      </c>
      <c r="D112" t="inlineStr">
        <is>
          <t>linkedin</t>
        </is>
      </c>
      <c r="E112" t="inlineStr"/>
      <c r="F112" t="inlineStr"/>
      <c r="G112" t="inlineStr">
        <is>
          <t>Cincinnati, OH</t>
        </is>
      </c>
      <c r="H112" t="inlineStr"/>
      <c r="I112" t="inlineStr">
        <is>
          <t>Dice is the leading career destination for tech experts at every stage of their careers. Our client, Javen Technologies, Inc, is seeking the following. Apply via Dice today!
**Title: Data Engineer III**
**Location: Cincinnati, OH**
**Duration: 6\+ Months with possible extensions**
**Technical Skills**
**Must Have:** 
 Ability to report on
 **customer billing data** 
 ,
 **Business Intellgience** 
 \- Data Engineering, Position will focus on
 **reporting** 
 for
 **merger** 
 activities for
 **commercial billing, PowerBI, Snowflake, SQL**
**Nice To Have** 
 :
**Job Description**
**Job Summary:**
 Handle the design and construction of scalable management systems, ensure that all data systems meet company requirements, and also research new uses for data acquisition. Required to know and understand the ins and outs of the industry such as
 **data mining practices, algorithms** 
 , and how data can be used.
**Primary Responsibilities:**
* Design, construct, install, test and maintain data management systems.
* Build high\-performance algorithms, predictive models, and prototypes.
* Ensure that all systems meet the business/company requirements as well as industry practices.
* Integrate up\-and\-coming data management and software engineering technologies into existing data structures.
* Develop set processes for data mining, data modeling, and data production.
* Create custom software components and analytics applications.
* Research new uses for existing data.
* Employ an array of technological languages and tools to connect systems together.
* Collaborate with members of your team (eg, data architects, the IT team, data scientists) on the project s goals.
* Install/update disaster recovery procedures.
* Recommend different ways to constantly improve data reliability and quality.
**Qualifications:**
* Technical Degree or related work experience
* Experience with non\-relational \&amp; relational databases (SQL, MySQL, NoSQL, Hadoop, MongoDB, etc.)
* Experience programming and/or architecting a back end language (Java, J2EE, etc)</t>
        </is>
      </c>
    </row>
    <row r="113">
      <c r="A113" t="inlineStr">
        <is>
          <t>li-4343872368</t>
        </is>
      </c>
      <c r="B113" t="inlineStr">
        <is>
          <t>Healthcare Senior Data Engineer, Analytics Hub</t>
        </is>
      </c>
      <c r="C113" t="inlineStr">
        <is>
          <t>ECG Management Consultants</t>
        </is>
      </c>
      <c r="D113" t="inlineStr">
        <is>
          <t>linkedin</t>
        </is>
      </c>
      <c r="E113" t="inlineStr"/>
      <c r="F113" t="inlineStr"/>
      <c r="G113" t="inlineStr">
        <is>
          <t>Chicago, IL</t>
        </is>
      </c>
      <c r="H113" t="inlineStr"/>
      <c r="I113" t="inlineStr">
        <is>
          <t>**Overview**
 ECG, the most experienced healthcare consulting firm working in the U.S., is ranked as a Best Midsized Firm to Work For 2025 by
 *Consulting Magazine* 
 . At ECG, our primary emphasis is on quality—in our people as well as our services—and we’re seeking others who appreciate our high standards of excellence.
**What’s in It for You: Work with Purpose**
 At ECG, your contribution will have meaningful impact. The work you do will ultimately help health systems optimize performance and meet the needs of the communities they serve—and that’s just the beginning. We’re looking for team players, culture builders, problem\-solvers, and self\-starters to collaborate, take on challenging projects, and find new ways to make a positive impact in the healthcare services sector. ECG is committed to ensuring a supportive, inclusive, and equitable work environment that embraces DEI, where we recognize performance, communicate openly and transparently, and value work\-life balance.
**Join Our Analytics Hub**
 Our growing Analytics Hub works with our consulting teams to deliver new insights, streamlined analysis, and world\-class intelligence to the healthcare organizations we serve as clients. Combined with our consulting teams, you will be helping physician and executive leadership make informed decisions that can alter the course of their enterprises in areas such as physician alignment, mergers and acquisitions, service line planning, provider compensation, financial performance, transforming care models, patient access, managed care portfolio optimization, digital health expansion, and more. ECG uses a Microsoft Azure and Microsoft 365 environment, with Microsoft Power BI as ECG’s current analytics visualization platform. The goal of the position is to further capitalize on the existing ECG infrastructure, as well as implement new features and technologies. The ideal candidate is open to new challenges, exceptional at multitasking, and proficient at implementing new solutions.
 Our detailed plans incorporate qualitative findings with data\-driven strategic, operational, and financial considerations that enable organizations to pursue realistic change. Our consultants bridge the gap between strategic thinking and operational implementation with sensible action plans and tactical recommendations. This approach allows us to stretch our clients’ thinking while ensuring that initiatives with the broadest and deepest impact are prioritized and implementable. Our wide\-ranging engagements often focus on helping our clients:
* Position themselves for value\-based care delivery.
* Align hospitals and physician organizations.
* Strengthen financial performance.
* Enhance clinical programs.
* Develop strategic partnerships and/or mergers.
**Your Opportunity with ECG: Senior Data Engineer**
 As a senior data engineer, you will support the firm’s client delivery and business development efforts, working with consultants and senior leaders to design and maintain a growing analytical infrastructure, manage large data sets, aggregate internal and external data, develop the infrastructure for scalable models and other analyses, and support data visualization and presentation sets. In addition, you will work directly with our internal support teams (IT, business development, and L\&amp;D) and associated vendors for data management and IT solutions, and you will assist with a range of innovative analytic opportunities. Here, no two days or projects are alike, which means you’ll have a lot to learn and plenty of support to help you succeed.
**Your Responsibilities May Include**
* Gathering and synthesizing data from various sources (e.g., national surveys, proprietary research, client interviews, industries, markets)
* Designing, developing, and maintaining new data capabilities and infrastructure for utilizing ECG, third\-party, and partner data to enhance ECG’s data products and solutions related to consulting services
* Creating new data pipelines, data transfers, and infrastructure to facilitate seamless data utilization within cloud environments (primarily Microsoft Azure)
* Optimizing and fine\-tuning data pipelines for improved speed, reliability, and efficiency
* Creating and supporting the ETL to facilitate the accommodation of data in the data lakes
* Designing and developing systems for the maintenance of ECG’s EDW and data lakes, ETL processes, and business intelligence
* Identifying existing data capability and infrastructure gaps or opportunities within and across initiatives and providing subject matter expertise in support of remediation
* Collaborating with the Analytics Hub peers, IT team, and consulting teams to understand data requirements and translate them into technical solutions
* Working with large data sets, ensuring data quality, accuracy, and performance
* Implementing data transformation, integration, and validation processes to support analytics and reporting needs
* Implementing best practices for data storage, retrieval, and archival to ensure data accessibility and security
* Troubleshooting and resolving data\-related issues, collaborating with the team to identify root causes
* Documenting data processes, data lineage, and technical specifications for future reference
* Participating in code reviews, ensuring adherence to coding standards and best practices
* Collaborating with the Analytics Hub and IT teams to automate deployment and monitoring of data pipelines
* Integrating into analytical roles to quickly and effectively dissect business requirements for analysis and reporting needs; establishing documentation and maintaining technical specifications for all reports and processes
* Building relational databases using a Microsoft SQL Server or Microsoft Fabric
* Communicating market insights to pursuit teams and supporting business development efforts
* Partnering with various consulting units (strategy, academic healthcare, provider financial services, performance transformation, etc.) to gather requirements related to data analytics
* Developing, configuring, and maintaining interfaces to exchange data among Microsoft Power BI, SQL databases, and other cloud\-based applications
* Developing new and innovative methodologies and approaches
* Contributing to internal education and learning opportunities for consultants and operations members for the Analytics Hub and analytics in general, and supporting education about ECG’s use cases related to analytics in work
* Assisting the director of data analytics in developing analytics and data strategy to support data analytics capabilities at the firm
**Our Expectations of You**
* A bachelor’s degree in either computer science or computer engineering, or a related degree that relies heavily on critical thinking, logic, and math
* Five\-plus years of proven experience in data engineering, with a strong track record of designing and implementing data solutions; experience working in the healthcare sector preferred
* Strong knowledge of SQL and NoSQL databases, as well as data integration and transformation tools
* Proficiency in programming languages, such as Python, R, Java, or Scala, and experience with data processing frameworks (Apache Spark, Apache Hadoop, etc.)
* Experience using Fabric
* In\-depth understanding of data warehousing concepts, cloud platforms (AWS, Azure, GCP), and data modeling techniques
* A passion for and engagement with emerging trends in data, AI/ML, analytics, and digital experiences
* Extensive working knowledge of API\- or stream\-based data extraction processes like bulk API
* Experience in data product development, analytical models, and model governance
* Experience in anonymizing data and managing the use of data
* Experience in data hygiene procedures, identity resolution capabilities, or data management a plus
* Comfort in unit testing, regression testing, and other test\-driven development methodologies
* Knowledge of BI tools and visualization tools like Power BI or Tableau a plus
* Comfort with manipulating and synthesizing large data sets
* Strong written and verbal communication skills
* Excellent organizational skills
**Job Locations**
* Boston, Chicago, or Washington, D.C.
* Hybrid work schedule, with a minimum of two days per week in office
**Schedule**
 Full time/exempt
**What You Can Expect Of Us**
 To reward our driven, innovative, and passionate employees, we’ve built a company culture that’s centered on performance. We offer an attractive compensation package, challenging work, and an entrepreneurial environment where you can take ownership of your career—and get out as much as you put in.
 The estimated base salary range for this job is $130,000 \- $160,000 annually. It represents a good faith estimate of the range that ECG reasonably expects to pay at the time of the job posting. The actual salary paid will vary based on multiple factors, including but not limited to years of experience, special skills, and market changes. This job is eligible to participate in ECG’s annual incentive compensation program, which reflects ECG’s pay\-for\-performance philosophy. The job is also eligible to participate in ECG’s benefit plans, which include medical, dental, and vision coverage; a 401(k) matching program; unlimited PTO; and other wellness programs.
**About ECG**
 With knowledge and expertise built over the course of 50\-plus years, ECG is a national consulting firm that is redefining healthcare together with its clients. ECG offers a broad range of strategic, financial, operational, and technology\-enabled consulting services encompassing health system performance improvement, ambulatory care planning, market consolidation, and physician enterprise optimization. ECG is an industry leader offering specialized expertise to clients across the full continuum of care, including hospitals, health systems, medical groups, academic medical centers, children’s hospitals, cancer centers, ambulatory surgery centers, investors, and payers/health plans.
**Apply now and make an impact for years to come.**
 To begin the recruitment process, please submit your resume via our career site at https://careers.ecgmc.com.
*ECG provides equal employment opportunities to all employees and applicants for employment without regard to sex, race, color, religion, national origin, citizenship, ancestry, age, disability, pregnancy, medical condition (cancer and genetic characteristics), genetic information, gender, gender identity or expression, sexual orientation, marital status, military or veteran status, or any other legally protected characteristic. We participate in E\-Verify as part of our onboarding process. Having the permanent legal right to work in the United States is a condition of employment. ECG is not currently able to provide assistance to candidates requiring sponsorship or a visa.*</t>
        </is>
      </c>
    </row>
    <row r="114">
      <c r="A114" t="inlineStr">
        <is>
          <t>li-4369520448</t>
        </is>
      </c>
      <c r="B114" t="inlineStr">
        <is>
          <t>Senior Data Engineer</t>
        </is>
      </c>
      <c r="C114" t="inlineStr">
        <is>
          <t>Capital One</t>
        </is>
      </c>
      <c r="D114" t="inlineStr">
        <is>
          <t>linkedin</t>
        </is>
      </c>
      <c r="E114" t="inlineStr"/>
      <c r="F114" t="inlineStr"/>
      <c r="G114" t="inlineStr">
        <is>
          <t>McLean, VA</t>
        </is>
      </c>
      <c r="H114" t="inlineStr"/>
      <c r="I11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2\+ years of experience working with Databricks
* 3\+ years experience with Distributed data or 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 or 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Plano, TX: $147,100 \- $167,900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5">
      <c r="A115" t="inlineStr">
        <is>
          <t>li-4369140604</t>
        </is>
      </c>
      <c r="B115" t="inlineStr">
        <is>
          <t>Data Engineer - Manager</t>
        </is>
      </c>
      <c r="C115" t="inlineStr">
        <is>
          <t>PwC</t>
        </is>
      </c>
      <c r="D115" t="inlineStr">
        <is>
          <t>linkedin</t>
        </is>
      </c>
      <c r="E115" t="inlineStr"/>
      <c r="F115" t="inlineStr"/>
      <c r="G115" t="inlineStr">
        <is>
          <t>Jacksonville, FL</t>
        </is>
      </c>
      <c r="H115" t="inlineStr"/>
      <c r="I115"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16">
      <c r="A116" t="inlineStr">
        <is>
          <t>li-4369144046</t>
        </is>
      </c>
      <c r="B116" t="inlineStr">
        <is>
          <t>Data Engineer - Manager</t>
        </is>
      </c>
      <c r="C116" t="inlineStr">
        <is>
          <t>PwC</t>
        </is>
      </c>
      <c r="D116" t="inlineStr">
        <is>
          <t>linkedin</t>
        </is>
      </c>
      <c r="E116" t="inlineStr"/>
      <c r="F116" t="inlineStr"/>
      <c r="G116" t="inlineStr">
        <is>
          <t>Greensboro, NC</t>
        </is>
      </c>
      <c r="H116" t="inlineStr"/>
      <c r="I116"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17">
      <c r="A117" t="inlineStr">
        <is>
          <t>li-4377952290</t>
        </is>
      </c>
      <c r="B117" t="inlineStr">
        <is>
          <t>Data Engineer- Data Center</t>
        </is>
      </c>
      <c r="C117" t="inlineStr">
        <is>
          <t>Jobs via Dice</t>
        </is>
      </c>
      <c r="D117" t="inlineStr">
        <is>
          <t>linkedin</t>
        </is>
      </c>
      <c r="E117" t="inlineStr"/>
      <c r="F117" t="inlineStr"/>
      <c r="G117" t="inlineStr">
        <is>
          <t>Texas City, TX</t>
        </is>
      </c>
      <c r="H117" t="inlineStr"/>
      <c r="I117" t="inlineStr">
        <is>
          <t>Dice is the leading career destination for tech experts at every stage of their careers. Our client, Voto Consulting LLC, is seeking the following. Apply via Dice today!
**Title: Data Engineer\- Data Center
 Job Type: Full\-Time/Contract on W2
 Duration:6 Months
 Locations: Irving, TX
 Experience: 8\+ Yrs.**
**Must have: Python \-Spark \-Iceberg**
**Demonstrated experience 3 years at\-scale with the following technologies and tools: \-Python \-Spark \-Iceberg \-Dremio or experience with virtualization federation semantic layers \-Cloud platforms \- Google Cloud Platform Azure \-ETL tools \- Ab Initio preferred Informatica DataStage \-SQL \-Oracle MS SQL Teradata \-Data analysis modeling and design for data engineering candidates**
**Demonstrated experience with supporting and tuning large enterprise\-class data environments Highly desired**
**5 years with modern Data Warehousing Data Lake Data Lakehouse architectures**
**5 years providing technical leadership and guidance for data modernization re\-engineering migration or re\-platforming efforts \-Demonstrated experience at\-scale with modern data platforms tools and patterns e.g. Python Spark Iceberg Google Cloud Platform Azure**
**Demonstrated experience leading the design and target state implementation of modern data platforms including utilization of automation setting of standards and pattern usage**</t>
        </is>
      </c>
    </row>
    <row r="118">
      <c r="A118" t="inlineStr">
        <is>
          <t>li-4369121939</t>
        </is>
      </c>
      <c r="B118" t="inlineStr">
        <is>
          <t>Data Engineer - Manager</t>
        </is>
      </c>
      <c r="C118" t="inlineStr">
        <is>
          <t>PwC</t>
        </is>
      </c>
      <c r="D118" t="inlineStr">
        <is>
          <t>linkedin</t>
        </is>
      </c>
      <c r="E118" t="inlineStr"/>
      <c r="F118" t="inlineStr"/>
      <c r="G118" t="inlineStr">
        <is>
          <t>Denver, CO</t>
        </is>
      </c>
      <c r="H118" t="inlineStr"/>
      <c r="I118"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19">
      <c r="A119" t="inlineStr">
        <is>
          <t>li-4369134827</t>
        </is>
      </c>
      <c r="B119" t="inlineStr">
        <is>
          <t>Data Engineer - Manager</t>
        </is>
      </c>
      <c r="C119" t="inlineStr">
        <is>
          <t>PwC</t>
        </is>
      </c>
      <c r="D119" t="inlineStr">
        <is>
          <t>linkedin</t>
        </is>
      </c>
      <c r="E119" t="inlineStr"/>
      <c r="F119" t="inlineStr"/>
      <c r="G119" t="inlineStr">
        <is>
          <t>Atlanta, GA</t>
        </is>
      </c>
      <c r="H119" t="inlineStr"/>
      <c r="I119"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20">
      <c r="A120" t="inlineStr">
        <is>
          <t>li-4369133894</t>
        </is>
      </c>
      <c r="B120" t="inlineStr">
        <is>
          <t>Data Engineer - Senior Manager</t>
        </is>
      </c>
      <c r="C120" t="inlineStr">
        <is>
          <t>PwC</t>
        </is>
      </c>
      <c r="D120" t="inlineStr">
        <is>
          <t>linkedin</t>
        </is>
      </c>
      <c r="E120" t="inlineStr"/>
      <c r="F120" t="inlineStr"/>
      <c r="G120" t="inlineStr">
        <is>
          <t>New York, NY</t>
        </is>
      </c>
      <c r="H120" t="inlineStr"/>
      <c r="I120"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21">
      <c r="A121" t="inlineStr">
        <is>
          <t>li-4369130892</t>
        </is>
      </c>
      <c r="B121" t="inlineStr">
        <is>
          <t>Data Engineer - Manager</t>
        </is>
      </c>
      <c r="C121" t="inlineStr">
        <is>
          <t>PwC</t>
        </is>
      </c>
      <c r="D121" t="inlineStr">
        <is>
          <t>linkedin</t>
        </is>
      </c>
      <c r="E121" t="inlineStr"/>
      <c r="F121" t="inlineStr"/>
      <c r="G121" t="inlineStr">
        <is>
          <t>Detroit, MI</t>
        </is>
      </c>
      <c r="H121" t="inlineStr"/>
      <c r="I121"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22">
      <c r="A122" t="inlineStr">
        <is>
          <t>li-4369135821</t>
        </is>
      </c>
      <c r="B122" t="inlineStr">
        <is>
          <t>Data Engineer - Manager</t>
        </is>
      </c>
      <c r="C122" t="inlineStr">
        <is>
          <t>PwC</t>
        </is>
      </c>
      <c r="D122" t="inlineStr">
        <is>
          <t>linkedin</t>
        </is>
      </c>
      <c r="E122" t="inlineStr"/>
      <c r="F122" t="inlineStr"/>
      <c r="G122" t="inlineStr">
        <is>
          <t>Orlando, FL</t>
        </is>
      </c>
      <c r="H122" t="inlineStr"/>
      <c r="I122"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23">
      <c r="A123" t="inlineStr">
        <is>
          <t>li-4369133886</t>
        </is>
      </c>
      <c r="B123" t="inlineStr">
        <is>
          <t>Data Engineer - Senior Manager</t>
        </is>
      </c>
      <c r="C123" t="inlineStr">
        <is>
          <t>PwC</t>
        </is>
      </c>
      <c r="D123" t="inlineStr">
        <is>
          <t>linkedin</t>
        </is>
      </c>
      <c r="E123" t="inlineStr"/>
      <c r="F123" t="inlineStr"/>
      <c r="G123" t="inlineStr">
        <is>
          <t>Fort Worth, TX</t>
        </is>
      </c>
      <c r="H123" t="inlineStr"/>
      <c r="I123"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24">
      <c r="A124" t="inlineStr">
        <is>
          <t>li-4369132883</t>
        </is>
      </c>
      <c r="B124" t="inlineStr">
        <is>
          <t>Data Engineer - Manager</t>
        </is>
      </c>
      <c r="C124" t="inlineStr">
        <is>
          <t>PwC</t>
        </is>
      </c>
      <c r="D124" t="inlineStr">
        <is>
          <t>linkedin</t>
        </is>
      </c>
      <c r="E124" t="inlineStr"/>
      <c r="F124" t="inlineStr"/>
      <c r="G124" t="inlineStr">
        <is>
          <t>Columbia, SC</t>
        </is>
      </c>
      <c r="H124" t="inlineStr"/>
      <c r="I124"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25">
      <c r="A125" t="inlineStr">
        <is>
          <t>li-4369137675</t>
        </is>
      </c>
      <c r="B125" t="inlineStr">
        <is>
          <t>Data Engineer - Senior Manager</t>
        </is>
      </c>
      <c r="C125" t="inlineStr">
        <is>
          <t>PwC</t>
        </is>
      </c>
      <c r="D125" t="inlineStr">
        <is>
          <t>linkedin</t>
        </is>
      </c>
      <c r="E125" t="inlineStr"/>
      <c r="F125" t="inlineStr"/>
      <c r="G125" t="inlineStr">
        <is>
          <t>Raleigh, NC</t>
        </is>
      </c>
      <c r="H125" t="inlineStr"/>
      <c r="I125"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26">
      <c r="A126" t="inlineStr">
        <is>
          <t>li-4369133882</t>
        </is>
      </c>
      <c r="B126" t="inlineStr">
        <is>
          <t>Data Engineer - Senior Manager</t>
        </is>
      </c>
      <c r="C126" t="inlineStr">
        <is>
          <t>PwC</t>
        </is>
      </c>
      <c r="D126" t="inlineStr">
        <is>
          <t>linkedin</t>
        </is>
      </c>
      <c r="E126" t="inlineStr"/>
      <c r="F126" t="inlineStr"/>
      <c r="G126" t="inlineStr">
        <is>
          <t>Denver, CO</t>
        </is>
      </c>
      <c r="H126" t="inlineStr"/>
      <c r="I126"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27">
      <c r="A127" t="inlineStr">
        <is>
          <t>li-4369132891</t>
        </is>
      </c>
      <c r="B127" t="inlineStr">
        <is>
          <t>Data Engineer - Manager</t>
        </is>
      </c>
      <c r="C127" t="inlineStr">
        <is>
          <t>PwC</t>
        </is>
      </c>
      <c r="D127" t="inlineStr">
        <is>
          <t>linkedin</t>
        </is>
      </c>
      <c r="E127" t="inlineStr"/>
      <c r="F127" t="inlineStr"/>
      <c r="G127" t="inlineStr">
        <is>
          <t>Montpelier, VT</t>
        </is>
      </c>
      <c r="H127" t="inlineStr"/>
      <c r="I127"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28">
      <c r="A128" t="inlineStr">
        <is>
          <t>li-4369121953</t>
        </is>
      </c>
      <c r="B128" t="inlineStr">
        <is>
          <t>Data Engineer - Manager</t>
        </is>
      </c>
      <c r="C128" t="inlineStr">
        <is>
          <t>PwC</t>
        </is>
      </c>
      <c r="D128" t="inlineStr">
        <is>
          <t>linkedin</t>
        </is>
      </c>
      <c r="E128" t="inlineStr"/>
      <c r="F128" t="inlineStr"/>
      <c r="G128" t="inlineStr">
        <is>
          <t>New Orleans, LA</t>
        </is>
      </c>
      <c r="H128" t="inlineStr"/>
      <c r="I128"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29">
      <c r="A129" t="inlineStr">
        <is>
          <t>li-4315485378</t>
        </is>
      </c>
      <c r="B129" t="inlineStr">
        <is>
          <t>Staff Product Manager, Data Engineering</t>
        </is>
      </c>
      <c r="C129" t="inlineStr">
        <is>
          <t>Liftoff Mobile</t>
        </is>
      </c>
      <c r="D129" t="inlineStr">
        <is>
          <t>linkedin</t>
        </is>
      </c>
      <c r="E129" t="inlineStr"/>
      <c r="F129" t="inlineStr"/>
      <c r="G129" t="inlineStr">
        <is>
          <t>Redwood City, CA</t>
        </is>
      </c>
      <c r="H129" t="inlineStr"/>
      <c r="I129" t="inlineStr">
        <is>
          <t>Liftoff is a leading AI\-powered performance marketing platform for the mobile app economy. Our end\-to\-end technology stack helps app marketers acquire and retain high\-value users, while enabling publishers to maximize revenue across programmatic and direct demand.
 Liftoff’s solutions, including Accelerate, Direct, Monetize, Intelligence, and Vungle Exchange, support over 6,600 mobile businesses across 74 countries in sectors such as gaming, social, finance, ecommerce, and entertainment. Founded in 2012 and headquartered in Redwood City, CA, Liftoff has a diverse, global presence.
 Liftoff is seeking a
 **Senior Product Manager, Data Engineering** 
 to lead the roadmap for our data infrastructure and engineering systems that power machine learning and analytics across the organization. This is a highly technical product role requiring a background as a
 **Data Engineer** 
 and a strong ability to communicate across both technical and business teams.
 The ideal candidate is
 **proactive, technically fluent, and an excellent communicator** 
 who can translate complex requirements from analysts and ML engineers into structured, actionable engineering specifications. This position partners closely with
 **Data Engineering, Machine Learning, Data Science, and Analytics teams** 
 across
 **both U.S. and Beijing time zones** 
 , requiring strong coordination, documentation, and clarity in asynchronous communication.
**Key Responsibilities:**
* Define and execute the product vision and roadmap for Liftoff’s data infrastructure, ensuring scalability, reliability, and performance.
* Translate complex machine learning and analytics requirements into detailed technical documentation and product specifications for engineering teams.
* Partner with cross\-functional teams across the U.S. and Beijing to design, prioritize, and deliver high\-impact data pipelines, APIs, and storage architectures.
* Establish and monitor data quality, latency, and reliability KPIs, driving continuous improvement and standardization.
* Collaborate with ML and analytics stakeholders to ensure the data platform enables rapid experimentation and model development.
* Anticipate data and infrastructure needs, proactively shaping architecture and tooling strategy.
* Advocate for data best practices, including governance, lineage, and documentation across global teams.
**Requirements** 
- 5–8 years of total experience in data\-intensive environments, including:
* Minimum 2 years as a Data Engineer, building or maintaining large\-scale pipelines and distributed data systems.
* Minimum 3 years in Product Management or Technical Program Management, owning data or infrastructure products.
* Deep understanding of data engineering concepts: ETL frameworks, data modeling, distributed processing, and streaming systems (e.g., Spark, Airflow, Kafka, Flink).
* Strong familiarity with cloud data platforms (Snowflake, BigQuery, Redshift) and data lake architectures.
* Proficient in SQL; comfortable understanding Python or similar scripting languages for technical discussions.
* Demonstrated ability to write clear technical documentation and product specifications.
* Excellent verbal and written communication, capable of bridging technical and non\-technical stakeholders across global teams.
* Highly proactive and self\-directed, able to manage complex cross\-time\-zone projects with minimal supervision.
**Preferred Experience:**
* Background in ad tech, mobile marketing, or large\-scale programmatic data systems.
* Experience with model training pipelines, feature stores, or data observability tooling.
* Knowledge of data governance, schema evolution, and metadata management practices.
* Experience collaborating with distributed teams across U.S. and Asia time zones.
**Why Join Liftoff?**
* Innovative Environment: Be part of a company at the forefront of mobile app marketing, utilizing cutting\-edge technologies to drive results.
* Professional Growth: Opportunities for continuous learning and career advancement in a dynamic industry.
* Collaborative Culture: Work with a diverse team of talented professionals who are passionate about delivering excellence.
* Comprehensive Benefits: Competitive salary, health benefits, and other perks to support your well\-being.
*Working at Liftoff is fast\-paced, fun, and challenging, and we thrive on innovation. Come join the rocket ship and help shape the future of the mobile app ecosystem with us!*
**Location:**
 This role is eligible for full\-time remote work in California or near one of our US hubs in Redwood City or Los Angeles. This position is located in the Pacific Time Zone.
**Travel Expectations:**
 We offer several opportunities for in\-person team gatherings, including but not limited to project meetings, regional meetups, and company\-wide events. We expect our employees to attend these gatherings at least once per quarter. These gatherings provide essential opportunities for collaboration, communication, and team building.
 This position will require travel at least once per quarter to work with the Beijing team.
**Compensation:**
 Liftoff offers all employees a full compensation package that includes equity and health/vision/dental benefits associated with your country of residence. Base compensation will vary based on candidate's location and experience.
 The following are our base salary ranges for this role:
* SF Bay Area/Los Angeles/Orange County/Seattle: $210,000 to $235,000
* All other California and Washington state locations: $193,200 to $216,200
* All other locations in our approved states: $180,600 to $202,100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here.
 Liftoff offers a fast\-paced, collaborative, and innovative work environment where employees are empowered to grow and make an impact. We’re shaping the future of the mobile app ecosystem—join us and help accelerate what’s next.
 Liftoff’s compensation strategy includes competitive salaries, equity, and benefits designed to support employee well\-being and performance. We benchmark compensation based on role, level, and location to ensure fairness and market alignment. Benefits may include medical coverage, wellness stipends, and additional perks based on your country of residence.
 Liftoff is an equal opportunity employer. We are committed to creating an inclusive environment for all employees and applicants regardless of race, ethnicity, national origin, age, marital status, disability, sexual orientation, gender identity, religion, veteran status, or any other characteristic protected by applicable law.
**Agency and Third Party Recruiter Notice:**
 Liftoff does not accept unsolicited resumes from individual recruiters or third\-party recruiting agencies in response to job postings. No fee will be paid to third parties who submit unsolicited candidates directly to our hiring managers or Recruiting Team. All candidates must be submitted via our Applicant Tracking System by approved Liftoff vendors who have been expressly requested to make a submission by our Recruiting Team for a specific job opening. No placement fees will be paid to any firm unless such a request has been made by the Liftoff Recruiting Team and such a candidate was submitted to the Liftoff Recruiting Team via our Applicant Tracking System.</t>
        </is>
      </c>
    </row>
    <row r="130">
      <c r="A130" t="inlineStr">
        <is>
          <t>li-4377933899</t>
        </is>
      </c>
      <c r="B130" t="inlineStr">
        <is>
          <t>Need Locals: Data Engineer -- Parsippany NJ /Hybrid Onsite /W2/</t>
        </is>
      </c>
      <c r="C130" t="inlineStr">
        <is>
          <t>Jobs via Dice</t>
        </is>
      </c>
      <c r="D130" t="inlineStr">
        <is>
          <t>linkedin</t>
        </is>
      </c>
      <c r="E130" t="inlineStr"/>
      <c r="F130" t="inlineStr"/>
      <c r="G130" t="inlineStr">
        <is>
          <t>Troy Hills, NJ</t>
        </is>
      </c>
      <c r="H130" t="inlineStr"/>
      <c r="I130" t="inlineStr">
        <is>
          <t>Dice is the leading career destination for tech experts at every stage of their careers. Our client, Intellisoft Technologies, is seeking the following. Apply via Dice today!
 Hi,
**Position: Data Engineer**
**Location: Parsippany NJ – hybrid 3x per week onsite**
**Duration: 6\+ months with extensions**
**Required Qualifications**
* 7\+ years of professional experience in data engineering or related field.
* Strong proficiency in:
+ Python
+ PySpark
+ Databricks (Delta Lake, notebooks, jobs, cluster management)
* Hands‑on experience with AWS DynamoDB in production environments.
* Experience building scalable data pipelines for ingestion, transformation, and retrieval.
* Strong understanding of DataFrame optimizations, performance tuning, and distributed computing best practices.
* Familiarity with GitHub, JIRA, and Confluence for version control and team collaboration.
* Strong communication skills and ability to partner with both technical and business stakeholders.</t>
        </is>
      </c>
    </row>
    <row r="131">
      <c r="A131" t="inlineStr">
        <is>
          <t>li-4372182605</t>
        </is>
      </c>
      <c r="B131" t="inlineStr">
        <is>
          <t>Sr. Manager, Data Engineering</t>
        </is>
      </c>
      <c r="C131" t="inlineStr">
        <is>
          <t>Federato</t>
        </is>
      </c>
      <c r="D131" t="inlineStr">
        <is>
          <t>linkedin</t>
        </is>
      </c>
      <c r="E131" t="inlineStr"/>
      <c r="F131" t="inlineStr"/>
      <c r="G131" t="inlineStr"/>
      <c r="H131" t="inlineStr"/>
      <c r="I131" t="inlineStr">
        <is>
          <t>Federato is on a mission to defend the right to efficient, equitable insurance for all. We enable insurers to provide affordable coverage to people and organizations facing the issues of today \- the climate crisis, cyber\-attacks, social inflation, etc. Our vision is understood and well funded by those behind Salesforce, Veeva, Zoom, Box, etc.
 Federato is the only AI\-native platform that spans the full policy lifecycle and changes the way insurance work gets done. Better decisioning is built\-in, not bolted on: insurers' unique portfolio goals, strategies, rules, and appetite are part of the workflow so underwriters win the right deals, faster. From the moment a submission hits an underwriter’s inbox, AI is put to work, triaging submissions with a focus on high\-appetite business, delivering real\-time feedback on the portfolio, and consolidating workflows into a single proven system. Federato drives better business outcomes.
**Data Science Team**
 Our Data Science Organization Drives Insights, Models, And Engineering Solutions That Power Our Products And Customer Implementations. We Operate Across Three Core Functions
* Analytics – turning data into business insights
* Core Engineering – building robust data and ML infrastructure (Data Engineering \+ ML Engineering foundations)
* Modeling – developing, deploying, and maintaining advanced ML models and forward\-deployed solutions
 We collaborate closely with Product, Product Engineering, Forward Deploy Engineering, and Customer Success to design, build, and operationalize data products that deliver measurable impact.
 We’re looking for a Sr. Manager, Data Engineering to lead execution across the Data Engineering organization, ensuring our vision translates into consistent, high\-quality delivery.
 This role combines people leadership, agile delivery management, and cross\-functional coordination. You’ll lead a team of 6–9 Data Engineers and Data Analytics Engineers, starting with an existing group of 4–5 and growing the team. You’ll define and refine our delivery processes while acting as a key connection between Data Science, Product, Engineering, and Customer Success.
 You’ll partner closely with the Sr. Director of Data Science (vision \&amp; strategy) and data leaders (Analytics, Core Engineering, and Modeling) to ensure the team executes efficiently and effectively.
**What You'll Be Doing**
* Manage a team of Data Engineers and Data Analytics Engineers owning our data infrastructure, including our medallion layers, data pipelines, and collaborating closely with MLEs on LLM Operations and agentic products.
* Navigate ambiguity, driving innovation through rapid prototyping and iterative development in cross\-functional teams
* Partner with function leads and senior leadership to align growth paths, performance expectations, and strategic goals with technical excellence standards.
* Translate the Data Engineering vision into clear objectives, priorities, and milestones, ensuring effective project scoping, resourcing, and delivery.
* Define and refine agile workflows tailored to data engineering, managing key rituals such as design sessions, sprint planning, and retrospectives.
* Serve as the primary delivery interface across Product, Engineering, and Customer Success, ensuring alignment, transparent communication, and continuous improvement of team operations.
* Drive hiring excellence by attracting, developing, and scaling a high\-performing team aligned with business needs.
**Who We Hope You Are** 
* 8\+ years of experience in data science, data engineering, or machine learning–related roles.
* 4\+ years in a people management or delivery management role (directly leading technical contributors).
* Proven experience managing cross\-functional ML technical teams and driving delivery across multiple workstreams.
* Strong understanding of data science lifecycle (from ideation and experimentation to deployment and maintenance).
* Practical experience with agile methodologies (Scrum, Kanban) and delivery facilitation.
* Excellent communication, organizational, and stakeholder management skills.
* Ability to balance technical depth with delivery discipline, ensuring outcomes, not just output.
* Experience with LLM Ops, agentic framework, data governance, and productionization best practices.
* Bonus Points
+ Experience as a Scrum Master, Agile Coach, or Technical Program Manager.
+ Background in a hybrid data engineering/product engineering environment.
+ Exposure to customer\-facing or forward\-deployed data engineering work.
+ Experience in scaling data engineering orgs and defining operating models.
 $225,000 \- $255,000 a year
 Final offer amounts are determined by multiple factors including candidate location, experience and expertise and may vary from the amounts listed above. Total compensation package does include stock options, benefits and additional perks.
 Here at Federato, your capabilities are important, but culture fit is essential. We move fast, are eager to listen to our users, take a first principles approach to solving problems, and value learning and the ability to change our minds. Most importantly, we're here to have fun. Our ability to make a difference starts with our people. We would love to work with you!
*We are an equal\-opportunity employer and value diversity at our company. We do not discriminate on the basis of race, religion, color, national origin, sex, gender expression, sexual orientation, age, marital status, veteran status or disability status. We will provide reasonable accommodation to individuals with disabilities to participate in the job application or interview process, to perform essential job functions, and to receive other benefits and privileges of employment. Please contact us to request accommodation at talent@federato.ai*</t>
        </is>
      </c>
    </row>
    <row r="132">
      <c r="A132" t="inlineStr">
        <is>
          <t>li-4377951779</t>
        </is>
      </c>
      <c r="B132" t="inlineStr">
        <is>
          <t>Senior Data Engineer</t>
        </is>
      </c>
      <c r="C132" t="inlineStr">
        <is>
          <t>National Association of Boards of Pharmacy</t>
        </is>
      </c>
      <c r="D132" t="inlineStr">
        <is>
          <t>linkedin</t>
        </is>
      </c>
      <c r="E132" t="inlineStr"/>
      <c r="F132" t="inlineStr"/>
      <c r="G132" t="inlineStr"/>
      <c r="H132" t="inlineStr"/>
      <c r="I132" t="inlineStr">
        <is>
          <t>As the 
 **Senior Data Engineer,** 
 you will play a key role in building and scaling reliable data pipelines and data models that turn raw data into trusted, actionable insights. You will partner closely with engineering and business stakeholders to identify gaps, design scalable solutions, and ensure data quality, security, and compliance through strong governance practices. Alongside hands\-on coding, you will lead team members in designing and delivering data solutions. 
 Job Description
**General Responsibilities** 
* Architects, develops, and deploys cloud\-based products.
* Ensures data integrity and availability, providing expert consultation on data\-related inquiries.
* Analyzes data, processes, and systems to identify gaps, clarify requirements, and propose scalable solutions.
* Strong understanding of modern data platforms such as data warehousing, acquisition/ingestion, modeling, transformation, and consumption.
* Experience with databases and data movement technologies such as Databricks, AWS Redshift, Data Build Tools (DBT), and Data Vault (or equivalent).
* Proven ability to collaborate with both senior and junior technical staff, translate findings into designs, and drive implementation.
* Builds and maintains robust data transformation pipelines using Python and SQL.
* Designs and implements efficient data models and schemas to support analytics and reporting use cases.
* Partners with data engineers, architects, and analysts to gather requirements and deliver high\-quality solutions.
* Strong verbal and written communication skills, including the ability to work with stakeholders at all levels.
* Develops and optimizes DBT models to transform raw data into trusted, actionable datasets.
* Demonstrates excellent problem solving using data and technology to drive statistical and root\-cause analysis to support business insights and decision\-making.
* Builds, tests, and maintains end\-to\-end database and pipeline architectures (reliability, monitoring, and performance).
* Ensures compliance with data governance, privacy, and security policies.
* Defines data quality strategies and incorporates robust testing into day\-to\-day work.
 Job Requirements
 * Bachelors or master’s degree and/or equivalent professional experience in information systems, computer science. 5–8 or more years of experience in data engineering.
* Extensive experience with cloud computing.
* Proficiency in SQL and Python for data processing, query optimization, and reporting.
* Strong hands\-on experience with DBT, including core features (models, tests, macros, snapshots/incremental patterns, deployments), data orchestration tools like Airflow, and Data warehouses like Snowflake, Redshift, or equivalent.
* 1\+ year of production DBT experience preferred.
* Strong experience with designing and enhancing data models, warehouses, and/or data lakes.
* Expertise in ETL/ELT concepts, orchestration, and end\-to\-end pipeline maintenance.
* Strong communicator and collaborator with a clear ownership mindset; able to work independently.
* Proven ability to mentor engineers, providing technical guidance and code reviews and supporting career growth.
* Champion agile practices that provide a foundation for iterative product development.
**Status:** 
 Exempt
**Location:** 
 Hybrid work model
**Salary:** 
  $150,000 – $165,000</t>
        </is>
      </c>
    </row>
    <row r="133">
      <c r="A133" t="inlineStr">
        <is>
          <t>li-4379043168</t>
        </is>
      </c>
      <c r="B133" t="inlineStr">
        <is>
          <t>Data Engineer</t>
        </is>
      </c>
      <c r="C133" t="inlineStr">
        <is>
          <t>Vantage Point Consulting Inc.</t>
        </is>
      </c>
      <c r="D133" t="inlineStr">
        <is>
          <t>linkedin</t>
        </is>
      </c>
      <c r="E133" t="inlineStr"/>
      <c r="F133" t="inlineStr"/>
      <c r="G133" t="inlineStr"/>
      <c r="H133" t="inlineStr"/>
      <c r="I133" t="inlineStr">
        <is>
          <t>**Job Title: Data Engineer** 
**Location: Remote Job** 
**Duration: Full\-Time/Permanent** 
**Job Description:** 
 We are seeking a skilled and detail\-oriented
 **Data Engineer** 
 to design, build, and maintain scalable data pipelines and architectures that support analytics, reporting, and machine learning initiatives. The ideal candidate will have strong experience in data modeling, ETL/ELT processes, cloud platforms, and big data technologies.
 The Data Engineer will collaborate closely with data scientists, analysts, DevOps teams, and business stakeholders to ensure reliable and efficient data solutions.
**Key Responsibilities** 
* Design, develop, and maintain scalable data pipelines (batch and real\-time).
* Build and optimize ETL/ELT workflows to ingest data from various sources.
* Develop and maintain data warehouses, data lakes, and lakehouse architectures.
* Implement data quality checks, validation, and monitoring processes.
* Work with structured and unstructured data sets.
* Optimize database performance and query efficiency.
* Ensure data security, governance, and compliance standards are followed.
* Collaborate with cross\-functional teams to translate business requirements into technical solutions.
* Support analytics and reporting tools by providing clean and reliable datasets.
* Automate data workflows and infrastructure using Infrastructure as Code (IaC).
**Required Qualifications** 
* Bachelor’s degree in Computer Science, Information Technology, Engineering, or related field.
* 3\+ years of experience in data engineering or related role.
* Strong proficiency in
 **Python** 
 , SQL, or Scala.
* Experience with ETL/ELT tools and frameworks.
* Hands\-on experience with relational and NoSQL databases.
* Experience with cloud platforms (AWS, Azure, or GCP).
* Familiarity with data modeling techniques (star schema, snowflake schema).
* Experience with distributed data processing frameworks such as Apache Spark.
* Strong understanding of CI/CD and DevOps practices.</t>
        </is>
      </c>
    </row>
    <row r="134">
      <c r="A134" t="inlineStr">
        <is>
          <t>li-4375977867</t>
        </is>
      </c>
      <c r="B134" t="inlineStr">
        <is>
          <t>Data Engineer</t>
        </is>
      </c>
      <c r="C134" t="inlineStr">
        <is>
          <t>Crum &amp; Forster</t>
        </is>
      </c>
      <c r="D134" t="inlineStr">
        <is>
          <t>linkedin</t>
        </is>
      </c>
      <c r="E134" t="inlineStr"/>
      <c r="F134" t="inlineStr"/>
      <c r="G134" t="inlineStr">
        <is>
          <t>Morristown, NJ</t>
        </is>
      </c>
      <c r="H134" t="inlineStr"/>
      <c r="I134" t="inlineStr">
        <is>
          <t>**Crum \&amp; Forster Company Overview**
**Crum \&amp; Forster (C\&amp;F)** 
 , with a proud history dating to 1822, provides specialty and standard commercial lines insurance products through our admitted and surplus lines insurance companies. C\&amp;F enjoys a financial strength rating of "A\+" (Superior) by AM Best and is proud of our superior customer service platform. Our claims and risk engineering services are recognized as among the best in the industry.
 Our most valuable asset is our people: more than 2500 employees in locations throughout the United States. The company is increasingly winning recognition as a great place to work, earning several workplace and wellness awards for four years running, including the
 **2025\-2026 Great Place to Work ® Award** 
 for our employee\-first focus and our steadfast commitment to diversity, equity and Inclusion.
 C\&amp;F is part of Fairfax Financial Holdings, a global, billion dollar organization. For more information about Crum \&amp; Forster, please visit our website: www.cfins.com.
**Job Description**
 The Surplus \&amp; Specialty Digital Data Services team leverages agile software development principles to achieve success in its support of the business. We are a dynamic organization always on the lookout for intelligent, capable employees who are passionate about their career. We seek a Data Engineer to join our team and help us continue to provide a high level of support to our business partners, while planning for our exciting future in the cloud. If you are interested in contributing to the transformation of an IT organization utilizing innovative tools then this is the place for you!
 The Digital Data Services Data Engineer will work with a group of highly motivated and experienced technologists who work to create innovative tools to the C\&amp;F Surplus \&amp; Specialty Organization for quick and scalable business solutions.
**What You Will Do**
* This position is to support and develop in\-house, cloud\-based, data\-driven solutions and initiatives, which involve:
* Build and maintain the pipelines that move and process data from disparate sources into our data lakehouse platform
* Facilitate data preparation for use cases involving internal reporting, data lakehouse integrations, and predictive analytics
* Work closely with our analytics and reporting team to create and maintain curated data marts.
* Leverage agile software development methods to make iterative enhancements to the data lakehouse infrastructure and ETL processes
* Working with the Snowflake Platform (Horizon Catalog, Snowpark, Cortex AI, etc)
* Data ingestion tools such as Fivetran, CData, AWS Glue, or Apache Kafka
* Working with the full suite of AWS Services (S3, Lambda, Glue, Athena, Lake Formation , etc)
* Working with relational databases such as Microsoft SQL Server and PostgreSQL
* Working with version control software such as Git and Bitbucket
* Working with the various business units to analyze need, recommend solutions, and work with the team to prioritize, plan, and execute on deliverables
* Communicate with other Digital teams and Business Units to clearly define project goals, discuss timelines, and provide input on solutions
* Become an agent of change and use your creativity and skills to implement new technology and skills
**What You Will Bring To C\&amp;F**
* Degree or certification in Computer Science, Mathematics, Statistics, Econometrics, Business, or equivalent
* 3\-4\+ years working proficiently with SQL, Python and DataFrames.
* 2\+ years of experience with the Snowflake Data Cloud, preferably worked on Data Pipes, Streams, Streamlit, Dynamic Tables, and Snowpark.
* Familiarity with the AWS ecosystem, preferably the Analytics services and common utilities such as S3, SNS, SQS, Lambda Functions, Cloudwatch, etc.
* Good knowledge of working with semi\-structured data, particularly JSON
* Strong in writing complex queries that involve nested joins, derived tables and common table expressions.
* Capable of performing technical root cause analysis and delivering corrective action.
* Experience working with APIs a plus
* A passion for learning
* Great communication, note taking, and organizational skills
* An ability to leverage web searches and online training to obtain new skills quickly
* An ability to present to all levels of audience
* Experience with Production Support and Troubleshooting
* An enthusiastic and positive attitude
* Experience working with external vendors a plus
* Ability to take ownership and see tasks through to completion
* Will abide by departmental policies and procedures, including authority levels, to comply with C\&amp;F’s management control
**What C\&amp;F Will Bring To You**
* Competitive compensation package
* Generous 401K employer match
* Employee Stock Purchase plan with employer matching
* Generous Paid Time Off
* Excellent benefits that go beyond health, dental \&amp; vision. Our programs are focused on your whole family’s wellness, including your physical, mental and financial wellbeing
* A core C\&amp;F tenet is supporting your career development, so we provide a wealth of ways for you to keep learning, which may include tuition reimbursement, industry\-related certifications and professional training to keep you progressing on your chosen path
* A dynamic, ambitious, fun and exciting work environment
* We believe you do well by doing good and want to encourage a spirit of social and community responsibility, matching donation program, volunteer opportunities, and an employee\-driven corporate giving program that lets you participate and support your community
**At C\&amp;F you will BELONG**
 If you require special accommodations, please let us know. We value inclusivity and diversity. We are committed to equal employment opportunity and welcome everyone regardless of race, color, ancestry, religion, sex, national origin, sexual orientation, age, citizenship, marital status, disability, gender identity, or Veteran status. If you require special accommodations, please let us know. Belonging at C\&amp;F, is a mindset. It’s about fostering a culture of inclusion and connection, where everyone feels valued, heard, and empowered to thrive and where our social impact efforts help strengthen the communities where we live and work.
 For California Residents Only: Information collected and processed as part of your career profile and any job applications you choose to submit are subject to our privacy notices and policies, visit https://www.cfins.com/onlineprivacypolicy/ca/noticeatcollection/ for more information.
 Crum \&amp; Forster is committed to ensuring a workplace free from discriminatory pay disparities and complying with applicable pay equity laws. Salary ranges are available for all positions at this location, taking into account roles with a comparable level of responsibility and impact in the relevant labor market and these salary ranges are regularly reviewed and adjusted in accordance with prevailing market conditions. The annualized base pay for the advertised position, located in the specified area, ranges from a minimum of $73,700 to a maximum of $90,100\. The actual compensation is determined by various factors, including but not limited to the market pay for the jobs at each level, the responsibilities and skills required for each job, and the employee’s contribution (performance) in that role. To be considered within market range, a salary is at or above the minimum of the range. You may also have the opportunity to participate in discretionary equity (stock) based compensation and/or performance\-based variable pay programs.</t>
        </is>
      </c>
    </row>
    <row r="135">
      <c r="A135" t="inlineStr">
        <is>
          <t>li-4369165521</t>
        </is>
      </c>
      <c r="B135" t="inlineStr">
        <is>
          <t>Data Engineer</t>
        </is>
      </c>
      <c r="C135" t="inlineStr">
        <is>
          <t>Slalom</t>
        </is>
      </c>
      <c r="D135" t="inlineStr">
        <is>
          <t>linkedin</t>
        </is>
      </c>
      <c r="E135" t="inlineStr"/>
      <c r="F135" t="inlineStr"/>
      <c r="G135" t="inlineStr">
        <is>
          <t>Arizona, United States</t>
        </is>
      </c>
      <c r="H135" t="inlineStr"/>
      <c r="I135"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Los Angeles, Orange County, San Diegeo
+ Consultant: $99,000 \- $133,000
* Phoenix
+ Consultant: $91,000 \- $122,000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136">
      <c r="A136" t="inlineStr">
        <is>
          <t>li-4377954399</t>
        </is>
      </c>
      <c r="B136" t="inlineStr">
        <is>
          <t>Senior Data Engineer, Business Intelligence</t>
        </is>
      </c>
      <c r="C136" t="inlineStr">
        <is>
          <t>Klaviyo</t>
        </is>
      </c>
      <c r="D136" t="inlineStr">
        <is>
          <t>linkedin</t>
        </is>
      </c>
      <c r="E136" t="inlineStr"/>
      <c r="F136" t="inlineStr"/>
      <c r="G136" t="inlineStr">
        <is>
          <t>Boston, MA</t>
        </is>
      </c>
      <c r="H136" t="inlineStr"/>
      <c r="I136"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Data is at the heart of every decision made at Klaviyo, and we’re looking for a Senior Data Engineer to join our Business Intelligence (BI) team. BI at Klaviyo collaborates across all departments to provide a platform that powers all internal data, analytic, and reporting needs. Our mission is to champion data\-driven value creation, and you will own creating and maintaining the internal data infrastructure that powers Klaviyo’s business. This role in particular will significantly contribute to the infrastructure, pipelines, and security/compliance aspects of our internal analytics platform while driving architectural innovation and mentoring the team.
**How You’ll Make a Difference**
 As a Senior Data Engineer, you will shape the scalability, reliability, and cost\-efficiency of our data platform. You’ll lead architectural decisions, establish engineering best practices, and mentor other engineers while partnering closely with analytics, engineering, and business stakeholders.
 Your work will directly influence data\-driven decision\-making across the organization by ensuring our data systems are performant, observable, and built to scale.
**What You’ll Do (Responsibilities)**
**Accelerating Engineering with AI**
* Transform workflows by putting AI at the center, building smarter systems and ways of working from the ground up for example, using AI to generate tests, detect anomalies, summarize data issues, or accelerate analysis.
**Data Architecture \&amp; Optimization**
* Design, develop, and maintain scalable dbt models and pipelines, including advanced incremental and merge strategies.
* Architect solutions for attribution models, event data pipelines, and analytics at scale.
* Lead performance optimization efforts across Snowflake and related data systems.
* Define and enforce best practices for query performance, warehouse management, and cost control.
**Pipeline \&amp; Platform Ownership**
* Own end\-to\-end data pipelines, ensuring reliability, scalability, and observability.
* Lead complex DAG orchestration with Airflow/MWAA.
* Oversee Spark/EMR cluster management, job optimization, and large\-scale backfills.
* Implement monitoring, alerting, and automated recovery strategies for production systems.
**Infrastructure \&amp; DevOps Leadership**
* Architect infrastructure\-as\-code solutions using Terraform for Snowflake and AWS resources.
* Oversee integration of AWS services (S3, EMR, Secrets Manager, CloudWatch) into the data platform.
* Guide CI/CD pipeline design and improvements using GitHub Actions and CodeBuild.
* Promote containerization best practices with Docker for scalable deployments.
**Cost \&amp; Performance Management**
* Monitor Snowflake and EMR usage to proactively optimize costs.
* Analyze query performance and warehouse efficiency.
* Troubleshoot and resolve pipeline and infrastructure performance issues.
**Leadership \&amp; Mentorship**
* Mentor and coach junior and mid\-level data engineers through code reviews and technical guidance.
* Establish and enforce coding standards, testing practices, and CI/CD processes.
* Serve as technical lead for cross\-functional data initiatives.
* Advocate for reliability, performance, and cost optimization across the data engineering function.
**Who You Are (Qualifications)**
* 5\+ years of data engineering experience, including demonstrated technical leadership.
* Expert\-level proficiency in dbt, including advanced modeling, testing frameworks, incremental strategies, and performance tuning.
* Deep expertise in SQL and Snowflake, including query optimization, warehouse sizing, and cost governance.
* Strong Python skills for data processing, API integrations, and internal tooling.
* Experience architecting data lakehouse solutions.
* Hands\-on experience designing and operating Apache Iceberg\-based data lake architectures on Amazon EMR.
* Proven experience operating production systems with a strong focus on reliability and cost efficiency.
* Demonstrated experience leveraging AI to improve personal and team workflows.
* Strong problem\-solving skills and an operational mindset focused on SLAs and production stability.
* Ability to align technical decisions with business priorities.
* You’ve already experimented with AI in work or personal projects, and you’re excited to dive in and learn fast. You’re hungry to responsibly explore new AI tools and workflows, finding ways to make your work smarter and more efficient.
**Nice to Haves**
* Expertise in Spark/EMR performance optimization and scaling strategies.
* Advanced Terraform usage across multi\-environment infrastructure.
* Extensive experience with Airflow/MWAA orchestration at scale.
* Strong Docker and container orchestration experience.
* Experience architecting AI\-driven workflows, including multi\-agent systems, concurrent execution models, and tool\-augmented agents.
* Domain experience in:
+ Marketing attribution modeling and analytics data flows
+ Event data ingestion, transformation, and large\-scale aggregation
+ Data warehouse governance, optimization, and cost modeling
+ BI infrastructure and operational excellence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$124,000—$186,000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137">
      <c r="A137" t="inlineStr">
        <is>
          <t>li-4379027906</t>
        </is>
      </c>
      <c r="B137" t="inlineStr">
        <is>
          <t>Data Engineer</t>
        </is>
      </c>
      <c r="C137" t="inlineStr">
        <is>
          <t>Guidehouse</t>
        </is>
      </c>
      <c r="D137" t="inlineStr">
        <is>
          <t>linkedin</t>
        </is>
      </c>
      <c r="E137" t="inlineStr"/>
      <c r="F137" t="inlineStr"/>
      <c r="G137" t="inlineStr">
        <is>
          <t>Arlington, VA</t>
        </is>
      </c>
      <c r="H137" t="inlineStr"/>
      <c r="I137" t="inlineStr">
        <is>
          <t>**Job Family**
 Data Science Consulting
**Travel Required**
 None
**Clearance Required**
 Active Secret
**What You Will Do**
 Guidehouse is seeking an experienced Data Engineer to join our Technology AI and Data practice with a dedicated focus on military clients in the Defense \&amp; Security segment. This individual will have a strong data engineering background and be a hands\-on technical contributor, responsible for designing, implementing, and maintaining scalable data pipelines and interactive dashboards than enable federal clients to achieve mission outcomes, operational efficiency, and digital transformation. This is an exciting opportunity for someone who thrives at the intersection of data engineering, cloud platforms, and public sector modernization. The Data Engineer will collaborate with cross\-functional teams and client stakeholders to modernize legacy environments, implement scalable data pipelines, and support advanced analytics initiatives for our federal client.
**Client Leadership \&amp; Delivery**
* Collaborate with military clients to understand data architecture, data pipeline and reporting requirements.
* Lead the development of ETL pipelines and dashboard integrations using Databricks and Microsoft Power Platform tools (i.e. Power BI).
* Ensure delivery excellence and measurable outcomes across data migration and visualization efforts.
* Ensure solutions support auditability, internal controls, and statutory compliance requirements. This includes strict financial data controls.
**Solution Development \&amp; Innovation**
* Design and implement scalable ETL/ELT pipelines using Databricks, SQL, and Python.
* Develop and optimize dashboards aligned with federal reporting standards, as needed.
* Apply AI/ML tools to automate metadata extraction, clustering, and dashboard scripting.
* Optimize data pipelines for performance with large data sets for both analytics and transactional load use cases (e.g., OLAP, OLTP). Enable downstream BI via clean data.
* Ensure compliance with federal data governance, security, and performance standards.
* Design and document enterprise data models, metadata strategies, data lineage frameworks, and other relevant documentation, as needed.
* Align data from multiple discrete data sets into a cohesive, interoperable architecture, identifying opportunities for linkages between datasets, normalization, field standardization, etc.
* Assist with cleanup of existing data and models, including use of ETL.
**Practice \&amp; Team Leadership**
* Work closely with data architects, analysts, and cloud engineers to deliver integrated solutions.
* Support documentation, testing, and deployment of data products.
* Mentor junior team members and contribute to reusable frameworks and accelerators.
* Contribute to thought leadership and best practice development across the AI \&amp; Data team.
**What You Will Need**
* An ACTIVE and MAINTAINED "SECRET" Federal or DoD security clearance.
* Bachelor’s degree
* TWO (2\) or more years of experience in data engineering and dashboard development.
* Experience with Databricks, business intelligence tools, and cloud platforms (AWS, Azure.)
* Experience using in SQL, Python, or Spark.
* Experience building ETL pipelines and integrating data sources into reporting platforms.
**What Would Be Nice To Have**
* Experience with ADVANA.
* Excellent communication, facilitation, and stakeholder engagement skills.
* Databricks Data Engineer Associate or Professional certification
* Experience working with military clients.
* Experience working with financial management data.
* Familiarity with federal contracting and procurement processes.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38">
      <c r="A138" t="inlineStr">
        <is>
          <t>li-4243116017</t>
        </is>
      </c>
      <c r="B138" t="inlineStr">
        <is>
          <t>Data Engineer (GTM)</t>
        </is>
      </c>
      <c r="C138" t="inlineStr">
        <is>
          <t>TRACTIAN</t>
        </is>
      </c>
      <c r="D138" t="inlineStr">
        <is>
          <t>linkedin</t>
        </is>
      </c>
      <c r="E138" t="inlineStr"/>
      <c r="F138" t="inlineStr"/>
      <c r="G138" t="inlineStr">
        <is>
          <t>Atlanta, GA</t>
        </is>
      </c>
      <c r="H138" t="inlineStr"/>
      <c r="I138" t="inlineStr">
        <is>
          <t>**Why join us**
 TRACTIAN is transforming the industrial world by empowering frontline maintenance workers to achieve more. We’ve fused cutting\-edge hardware with innovative software into one powerful platform, disrupting legacy systems and delivering smarter, faster solutions for our clients.
 At TRACTIAN, you'll break boundaries, question convention, and collaborate with top talent to drive real change. As a part of our growth\-stage startup, you’ll work alongside the founders, shaping the vision, products, and experiences that will define the future of industrial tech.
**GTM Engineering Team at TRACTIAN**
 At TRACTIAN the Go\-To\-Market team is a global department that supports Tractian GTM teams across the US, Brazil, and Mexico. We are a foundational team that is building the data infrastructure, systems, and processes that support our GTM team and directly impact our customer experience.
**What You'll Do**
 As a Data Engineer (GTM) at Tractian, you will architect and scale our revenue data analytics and infrastructure to supercharge our GTM engine. Your focus will be on managing a customer data lake, automating account enrichment and revenue workflows. This is a cross\-functional, high\-impact role that blends data engineering, analytics, and GTM strategy with best of breed tools.
**Responsibilities:**
* Architect and manage data pipelines and infrastructure for GTM systems, leveraging BigQuery, Clay, ZoomInfo, as well as cloud storage and ETL frameworks.
* Develop, test, and maintain highly available scripts and microservices (Python, JavaScript/Node.js) to orchestrate data acquisition and processing workflows.
* Design and manage a unified GTM data lake, merging raw and enriched datasets into a single source of truth for segmentation, ICP scoring, and territory assignments.
* Incorporate LLM\-based enrichment pipelines to intelligently augment account/contact metadata and drive predictive targeting.
* Build and maintain batch \&amp; streaming ingestion pipelines for GTM data using Apache Beam, Kafka, or Pub/Sub, with Airflow orchestration.
* Develop semantic layers and star/snowflake schemas for GTM analytics in dbt, ensuring BI tools query from pre\-aggregated, materialized datasets.
* Partner closely with RevOps, Enablement, and Sales Leadership to improve seller workflows, define KPIs, and ensure data consistency across tools.
* Proactively identify areas for automation and workflow efficiency; build scalable solutions for repetitive GTM processes.
* Design and maintain high\-cardinality indexing strategies for real\-time ICP scoring and territory assignment.
 ,
 **Requirements:**
* 5\+ years of experience in a technical Data engineer, data analytics, or data science role—preferably in high growth B2B SaaS.
* Comfort with API integrations and at least one scripting language (Python, Go) to automate and connect tools.
* Experience managing large datasets and transforming GTM insights into tactical recommendations.
* Excellent problem\-solving skills and a bias for automation and scale.
* Ability to collaborate across functions and communicate technical concepts to non\-technical stakeholders.
* Comfortable working autonomously in a fast\-paced environment.
**Compensation:**
* Competitive Salary
* Premium Medical, Dental, and Vision Coverage
* Paid Time Off (PTO): 15 Days, plus 11 paid holidays
* 401(k) Retirement Plan, 1% match
* Wellhub Membership \- Access a wide range of gyms and training programs.
* Sports Incentive \- Receive a monthly bonus when you regularly participate in physical activities.
* Long\-Term Benefit \- After four years of service, earn a fully funded trip anywhere in the world.</t>
        </is>
      </c>
    </row>
    <row r="139">
      <c r="A139" t="inlineStr">
        <is>
          <t>li-4316386217</t>
        </is>
      </c>
      <c r="B139" t="inlineStr">
        <is>
          <t>Data Engineer</t>
        </is>
      </c>
      <c r="C139" t="inlineStr">
        <is>
          <t>CGI</t>
        </is>
      </c>
      <c r="D139" t="inlineStr">
        <is>
          <t>linkedin</t>
        </is>
      </c>
      <c r="E139" t="inlineStr"/>
      <c r="F139" t="inlineStr"/>
      <c r="G139" t="inlineStr">
        <is>
          <t>Arlington, VA</t>
        </is>
      </c>
      <c r="H139" t="inlineStr"/>
      <c r="I139" t="inlineStr">
        <is>
          <t>Position Description
 CGI Federal has an exciting opportunity for a Data Engineer within our Intel sector advancing the national security mission through cutting edge technology. You must have a passion for keeping pace with rapidly evolving technology advancements and leveraging your knowledge on a highly collaborative team to deliver state\-of\-the\-art capabilities.
 The Data Engineer designs, builds, and maintains scalable data systems and pipelines to collect, store, and process data for analysis and reporting. Key responsibilities include developing data infrastructure like data lakes and warehouses, ensuring data quality and security, collaborating with data scientists and analysts, and optimizing data accessibility for business insights. This role requires proficiency in programming languages (e.g., Python, SQL) and big data technologies (e.g., Hadoop, Spark)
 CGI Federal is growing its high\-performance team whose members share a passion for building high\-quality, scalable, advanced IT solutions in a collaborative, fast\-paced, outcome\-driven mission.
 This position is located in USA VA Arlington, however, a hybrid working model is acceptable.
 Your future duties and responsibilities
* Data Pipeline Development: Design, build, and maintain robust data pipelines to extract, transform, and load data from various sources into accessible formats.
* Data Infrastructure Management: Develop and manage data infrastructure components, including databases, data warehouses, and data lakes, ensuring scalability and reliability.
* Data Quality \&amp; Governance: Implement processes for data cleaning, transformation, and validation to ensure data accuracy, consistency, and compliance with security and privacy policies.
* Collaboration: Work with data scientists, analysts, and other stakeholders to understand data requirements and deliver tailored data solutions.
* Performance Optimization: Monitor and troubleshoot data systems to enhance performance, efficiency, and reliability.
**Required Qualifications To Be Successful In This Role**
 SME:
* Education and/or Experience: Bachelor’s degree and/or 10\+ years of experience
* Security Clearance: TS/SCI required with the ability to obtain a TS/SCI with Poly highly desired
* Programming Languages: Proficiency in languages such as Python and SQL is crucial.
* Big Data Technologies: Expertise in big data technologies like Hadoop and Spark.
* Database Systems: Knowledge of various database systems and data warehouse architectures.
* Data Modeling: Experience with data modeling techniques to design effective data structures.
* Cloud Platforms: Familiarity with cloud environments and related tools (e.g., AWS, GCP).
* Problem\-Solving \&amp; Communication: Strong analytical, problem\-solving, and communication skills are essential for collaborating with teams and stakeholders.
 Senior:
* Education and/or Experience: Bachelor’s degree and/or 5 \- 10 years of experience
* Security Clearance: TS/SCI required with the ability to obtain a TS/SCI with Poly highly desired
* Programming Languages: Proficiency in languages such as Python and SQL is crucial.
* Big Data Technologies: Expertise in big data technologies like Hadoop and Spark.
* Database Systems: Knowledge of various database systems and data warehouse architectures.
* Data Modeling: Experience with data modeling techniques to design effective data structures.
* Cloud Platforms: Familiarity with cloud environments and related tools (e.g., AWS, GCP).
* Problem\-Solving \&amp; Communication: Strong analytical, problem\-solving, and communication skills are essential for collaborating with teams and stakeholders.
 Journeyman:
* Education and/or Experience: Bachelor’s degree and/or 2\-5 years of experience
* Security Clearance: TS/SCI required with the ability to obtain a TS/SCI with Poly highly desired
* Programming Languages: Proficiency in languages such as Python and SQL is crucial.
* Big Data Technologies: Expertise in big data technologies like Hadoop and Spark.
* Database Systems: Knowledge of various database systems and data warehouse architectures.
* Data Modeling: Experience with data modeling techniques to design effective data structures.
* Cloud Platforms: Familiarity with cloud environments and related tools (e.g., AWS, GCP).
* Problem\-Solving \&amp; Communication: Strong analytical, problem\-solving, and communication skills are essential for collaborating with teams and stakeholders.
 Junior:
* Education and/or Experience: Bachelor’s degree and/or 2\-5 years of experience
* Security Clearance: TS/SCI required with the ability to obtain a TS/SCI with Poly highly desired
* Programming Languages: Proficiency in languages such as Python and SQL is crucial.
* Big Data Technologies: Expertise in big data technologies like Hadoop and Spark.
* Database Systems: Knowledge of various database systems and data warehouse architectures.
* Data Modeling: Experience with data modeling techniques to design effective data structures.
* Cloud Platforms: Familiarity with cloud environments and related tools (e.g., AWS, GCP).
* Problem\-Solving \&amp; Communication: Strong analytical, problem\-solving, and communication skills are essential for collaborating with teams and stakeholders.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$100,000\.00 \- $200000\.00\.
 CGI Federal's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\#CGIFederalJob
 \#ClearanceJobs
 \#CGIintelligencecareers
 \#MARSCareers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140">
      <c r="A140" t="inlineStr">
        <is>
          <t>li-4359104051</t>
        </is>
      </c>
      <c r="B140" t="inlineStr">
        <is>
          <t>Databricks Data Engineer (2 positions )</t>
        </is>
      </c>
      <c r="C140" t="inlineStr">
        <is>
          <t>Liberty Personnel Services, Inc.</t>
        </is>
      </c>
      <c r="D140" t="inlineStr">
        <is>
          <t>linkedin</t>
        </is>
      </c>
      <c r="E140" t="inlineStr"/>
      <c r="F140" t="inlineStr"/>
      <c r="G140" t="inlineStr">
        <is>
          <t>Philadelphia, PA</t>
        </is>
      </c>
      <c r="H140" t="inlineStr"/>
      <c r="I140" t="inlineStr">
        <is>
          <t>Job Details:
 Databricks Data Engineer
 Join our innovative team and contribute to revolutionizing healthcare data management. We offer a dynamic work environment where your expertise in data engineering will have a direct impact on improving patient care and health system efficiency. Embrace the opportunity to work with cutting\-edge cloud technologies and develop scalable, reliable data pipelines that transform large volumes of healthcare data into actionable insights.
 \*\*Qualifications:\*\*
* Bachelor’s degree in Computer Science, Information Systems, or a related field, or 4\+ years of relevant experience.
* Minimum 2 years of experience in data engineering, with a focus on building robust data pipelines and dynamic systems.
* Proficiency in ETL/ELT development and cloud technologies such as Azure, AWS, or Databricks.
* Strong understanding of data governance, regulatory compliance (HIPAA, GDPR), and cloud infrastructure.
* Experience with electronic health records (EHR) data, preferred.
* Ability to work cross\-functionally and mentor junior team members.
* Proven track record of managing projects independently and efficiently.
 We are committed to fostering a culture of continuous learning and innovation. If you are passionate about data engineering and eager to contribute to the future of healthcare, we would love to hear from you.
 Please send a current copy of your resume with work history to kevin@libertyjobs.com for consideration. All communications are 100% confidential.
 Kevin McCarthy
 Libertyjobs.com
 484\-238\-1949
* Keywords:\*\* Data Engineer, Senior Data Engineer, ETL, ELT, Cloud Technologies, Healthcare Data, Azure, AWS, Databricks, EHR, HIPAA Compliance, Data Governance</t>
        </is>
      </c>
    </row>
    <row r="141">
      <c r="A141" t="inlineStr">
        <is>
          <t>li-4349505443</t>
        </is>
      </c>
      <c r="B141" t="inlineStr">
        <is>
          <t>Data Engineer - Fundamentals</t>
        </is>
      </c>
      <c r="C141" t="inlineStr">
        <is>
          <t>Expand Energy</t>
        </is>
      </c>
      <c r="D141" t="inlineStr">
        <is>
          <t>linkedin</t>
        </is>
      </c>
      <c r="E141" t="inlineStr"/>
      <c r="F141" t="inlineStr"/>
      <c r="G141" t="inlineStr">
        <is>
          <t>Spring, TX</t>
        </is>
      </c>
      <c r="H141" t="inlineStr"/>
      <c r="I141" t="inlineStr">
        <is>
          <t>Our core values — Stewardship, Character, Collaborate, Learn, Disrupt — are the lens through which we evaluate every business decision. As a dynamic, growing company that offers extremely competitive compensation and benefits, our employees are our most valued assets and the foundation of Expands performance among our E\&amp;P competitors.
 We seek applicants from all backgrounds to ensure we get the best, most creative talent on our team. We realize that, historically, underrepresented groups feel the need to be 100% qualified in order to apply. If you meet any combination of our requirements, we encourage you to apply. We strive to hire people from a wide variety of backgrounds, not just because it’s the right thing to do, but because it makes our company stronger.
**Job Summary**
 The Data Engineer \- Energy Trading will be re\-imagining and designing solutions tailored to the dynamic and market\-driven needs of the Marketing \&amp; Commercial division (analysts, traders, originators and executive leadership). This role involves building robust data infrastructure across natural gas, LNGs, power, and related commodities while understanding the unique challenges of energy market data \- from pipeline flows and storage dynamics to the explosion in AI\-driven power demand. You'll work within our Fundamental \&amp; Quantitative Analytics team, collaborating closely with data scientists and traders while having the autonomy to move quickly and define best practices. We operate strategically to design commercial\-focused data architecture in collaboration with our IT teams, while serving as "special forces" for bespoke, short lead\-time data needs. Reporting structure within Fundamental \&amp; Quantitative Analytics team will be determined based on team composition and individual experience levels.
**Job Duties \&amp; Responsibilities**
* Design and implement data onboarding processes for diverse energy commodity datasets including gas flows, power generation, oil and gas production data, market pricing, weather, and other market fundamentals
* Build and maintain data pipelines across various integration methods including Snowflake data sharing, APIs, SFTP transfers, web scraping, and automation tools
* Work efficiently as part of Marketing \&amp; Commercial (analytics trading, origination) team, effectively coordinating with IT teams to rapidly onboard new datasets, and understand evolving business requirements
* Apply understanding of energy market data, commodity flows, and trading applications to optimize data models, integration approaches, and integrity checks/alerting, including developing robust processes and technical documentation
* Appropriately scope out projects and implement efficiently to meet requirements of commercial stakeholders (trading, analytics)
* Contribute to technical decision\-making to balance speed and scalability with long\-term objectives, ensuring data architecture supports current needs and future applications including AI/ML and LLM technologies
* Share knowledge with team members and help establish best practices for data engineering initiatives
* Develop and maintain data quality frameworks and validation processes critical for trading decisions
**Job Specific Skills**
* Solid understanding of energy commodity data characteristics and market structures, with demonstrated ability to quickly learn and work with stakeholders to address the unique challenges of integrating energy datasets
* Hands\-on experience with diverse data integration methods including Snowflake data sharing, REST APIs, SFTP/FTP, web scraping, and automation scripting
* Expert\-level experience with cloud data platforms (Snowflake preferred), Python/Pandas, SQL, and orchestration tools (Airflow, dbt)
* Proven ability to work effectively with business stakeholders, understand requirements quickly, and translate business needs into technical solutions
**Education**
 Minimum: High school diploma or GED
 Preferred: Bachelor’s degree \- from accredited university \- IT, MIS, Computer Science or related field
**Experience**
 Minimum: 2 \- 5 years related work experience
 Preferred: 3\+ years experience in data engineering with exposure to energy commodities (natural gas/NGL, power markets, crude oil, LNG, or related markets)
**Additional Qualifications**
* Natural Gas Market Experience: Experience with natural gas market data sources, pipeline flow data, storage reporting, and basis/location\-specific pricing datasets. Candidates from adjacent energy markets with strong technical skills will be considered
* Energy Trading Background: Experience at energy trading firms, commodity companies, or related commercially\-oriented energy organizations
* Cloud Platforms: Snowflake experience strongly preferred; AWS, Azure, or GCP experience with relevant services (Redshift, Lambda, S3, etc.)
* Real\-Time Data: Experience with streaming data and low\-latency requirements for trading applications
* Data Visualization: Experience with PowerBI, Spotfire, Tableau, or similar tools for energy market analysis
* Leadership Experience: Track record of leading technical projects and mentoring data engineering teams
* Vendor Management: Experience working with energy data vendors and managing complex data acquisition relationships
 Expand Energy takes necessary action to ensure that all applicants are treated without regard to their race, color, religion, sex, sexual orientation, age, gender identity, national origin, genetic information, disability, pregnancy, military or veteran status or any other protected characteristic as established by law.
 Expand Energy Corporation's operations are focused on discovering and developing its large and geographically diverse resource base of unconventional oil and natural gas assets onshore in the United States.
**Nearest Major Market:** 
 Houston
**Job Segment:** 
 Pipeline, Data Architect, Computer Science, Database, SQL, Energy, Data, Technology</t>
        </is>
      </c>
    </row>
    <row r="142">
      <c r="A142" t="inlineStr">
        <is>
          <t>li-4379048016</t>
        </is>
      </c>
      <c r="B142" t="inlineStr">
        <is>
          <t>Databricks Data Engineer</t>
        </is>
      </c>
      <c r="C142" t="inlineStr">
        <is>
          <t>Guidehouse</t>
        </is>
      </c>
      <c r="D142" t="inlineStr">
        <is>
          <t>linkedin</t>
        </is>
      </c>
      <c r="E142" t="inlineStr"/>
      <c r="F142" t="inlineStr"/>
      <c r="G142" t="inlineStr">
        <is>
          <t>Arlington, VA</t>
        </is>
      </c>
      <c r="H142" t="inlineStr"/>
      <c r="I142" t="inlineStr">
        <is>
          <t>**Job Family**
 Data Engineering \&amp; Architecture Consulting
**Travel Required**
 Up to 10%
**Clearance Required**
 Ability to Obtain Public Trust
**What You Will Do**
* Develop and implement CI/CD pipelines for Databricks notebooks and jobs.
* Develop ETL pipelines using PySpark and Databricks.
* Implement Delta Lake for ACID transactions and data reliability.
* Optimize ingestion from APIs, streaming, and batch sources.
* Ensure compliance with data governance and security standards.
* Collaborate with data engineers and scientists to support data pipelines and ML workflows.
* Conduct ETL and data quality analysis using various technologies (i.e., Python, Databricks).
* Ensure data governance and quality assurance standards are met.
* Organize and lead meetings, including scheduling meetings; drafting and delivering agendas and meeting minutes; providing and archiving required documentation; and documenting, tracking, and following up on action items.
* Summarize and present information and reports to the team and make recommendations (both oral and written).
**What You Will Need**
* US Citizenship is required
* Bachelor’s degree is required
* Minimum SEVEN (7\) years of total experience in cloud\-based data platforms
* Minimum FIVE (5\) years experience with Databricks
* Strong scripting skills (Python, Bash).
* Experience with Delta Lake and Unity Catalog.
* Strong knowledge of Spark architecture and distributed computing.
* Hands\-on experience with Terraform or other IaC tools.
* Experience with Unity Catalog and Delta Lake.
* Experience with data modeling and performance tuning.
* Experience with streaming technologies (Kafka, Event Hub).
* Experience with using CI/CD for data pipelines.
* Familiarity with Kubernetes and container orchestration.
* Excellent problem\-solving skills and attention to detail.
* Strong communication and collaboration skills, with the ability to work effectively in a team environment.
**What Would Be Nice To Have**
* Databricks Certified Data Engineer Associate or Professional.
* Azure Data Engineer Associate or AWS Big Data Specialty.
* Active Secret or Top Secret Clearance'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43">
      <c r="A143" t="inlineStr">
        <is>
          <t>li-4359885439</t>
        </is>
      </c>
      <c r="B143" t="inlineStr">
        <is>
          <t>Senior Data Engineer</t>
        </is>
      </c>
      <c r="C143" t="inlineStr">
        <is>
          <t>Marchon Partners</t>
        </is>
      </c>
      <c r="D143" t="inlineStr">
        <is>
          <t>linkedin</t>
        </is>
      </c>
      <c r="E143" t="inlineStr"/>
      <c r="F143" t="inlineStr"/>
      <c r="G143" t="inlineStr">
        <is>
          <t>Jersey City, NJ</t>
        </is>
      </c>
      <c r="H143" t="inlineStr"/>
      <c r="I143" t="inlineStr">
        <is>
          <t>Title: Sr Data Engineer
 Location: Jersey City
 Length 6\+ Months
 Open to conversion: Yes
**Job Summary**
 We are seeking a highly skilled
 **Senior Data Engineer with 8\+ years of hands\-on experience** 
 in enterprise data engineering, including deep expertise in Apache Airflow DAG development, dbt Core modeling and implementation, and cloud\-native container platforms (Kubernetes / OpenShift).
 This role is critical to building, operating, and optimizing scalable data pipelines that support financial and accounting platforms, including enterprise system migrations and high\-volume data processing workloads.
 The ideal candidate will have extensive hands\-on experience in workflow orchestration, data modeling, performance tuning, and distributed workload management in containerized environments.
**Key Responsibilities**
*Data Pipeline \&amp; Orchestration*
* Design, develop, and maintain complex Airflow DAGs for batch and event\-driven data pipelines
* Implement best practices for DAG performance, dependency management, retries, SLA monitoring, and alerting
* Optimize Airflow scheduler, executor, and worker configurations for high\-concurrency workloads
*dbt Core \&amp; Data Modeling*
* Lead dbt Core implementation, including project structure, environments, and CI/CD integration
* Design and maintain robust dbt models (staging, intermediate, marts) following analytics engineering best practices
* Implement dbt tests, documentation, macros, and incremental models to ensure data quality and performance
* Optimize dbt query performance for large\-scale datasets and downstream reporting needs
*Cloud, Kubernetes \&amp; OpenShift*
* Deploy and manage data workloads on Kubernetes / OpenShift platforms
* Design strategies for workload distribution, horizontal scaling, and resource optimization
* Configure CPU/memory requests and limits, autoscaling, and pod scheduling for data workloads
* Troubleshoot container\-level performance issues and resource contention
*Performance \&amp; Reliability*
* Monitor and tune end\-to\-end pipeline performance across Airflow, dbt, and data platforms
* Identify bottlenecks in query execution, orchestration, and infrastructure
* Implement observability solutions (logs, metrics, alerts) for proactive issue detection
* Ensure high availability, fault tolerance, and resiliency of data pipelines
*Collaboration \&amp; Governance*
* Work closely with data architects, platform engineers, and business stakeholders
* Support financial reporting, accounting, and regulatory data use cases
* Enforce data engineering standards, security best practices, and governance policies
**Experience**
 Required Skills \&amp; Qualifications:
* 10\+ years of professional experience in data engineering, analytics engineering, or platform engineering roles
* Proven experience designing and supporting enterprise\-scale data platforms in production environments
*Must\-Have Technical Skills*
* Expert\-level Apache Airflow (DAG design, scheduling, performance tuning)
* Expert\-level dbt Core (data modeling, testing, macros, implementation)
* Strong proficiency in Python for data engineering and automation
* Deep understanding of Kubernetes and/or OpenShift in production environments
* Extensive experience with distributed workload management and performance optimization
* Strong SQL skills for complex transformations and analytics
*Cloud \&amp; Platform Experience*
* Experience running data platforms on cloud environments
* Familiarity with containerized deployments, CI/CD pipelines, and Git\-based workflows
*Preferred Qualifications*
* Experience supporting financial services or accounting platforms
* Exposure to enterprise system migrations (e.g., legacy platform to modern data stack)
* Experience with data warehouses (Oracle)</t>
        </is>
      </c>
    </row>
    <row r="144">
      <c r="A144" t="inlineStr">
        <is>
          <t>li-4369682711</t>
        </is>
      </c>
      <c r="B144" t="inlineStr">
        <is>
          <t>Senior Data Engineer</t>
        </is>
      </c>
      <c r="C144" t="inlineStr">
        <is>
          <t>First American</t>
        </is>
      </c>
      <c r="D144" t="inlineStr">
        <is>
          <t>linkedin</t>
        </is>
      </c>
      <c r="E144" t="inlineStr"/>
      <c r="F144" t="inlineStr"/>
      <c r="G144" t="inlineStr">
        <is>
          <t>Santa Ana, CA</t>
        </is>
      </c>
      <c r="H144" t="inlineStr"/>
      <c r="I144" t="inlineStr">
        <is>
          <t>**Who We Are**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As an InfoSec Security Data Engineer (Data Security), you will support and enhance First American’s existing Data Security processes, standards, and tools across the enterprise. You will work with the Data Security team to reduce the risk for the organization by securing data through detection of sensitive data, classifying and labeling detected data, and applying encryption or other security controls to protect and ensure appropriate access to and use of sensitive data to fully comply with all applicable laws and regulatory guidance. Additionally, you will work with internal information security and business groups to identify opportunities for continuous improvement and maturity of the Data Security function.
 You will be joining a team that is looking to mature the tools and technology that is being utilized, as well as the end\-to\-end data remediation processes. Under the leadership of the manager, you would help develop programs to further secure our sensitive information in both structured and unstructured data environments.
 This role is hybrid 3 days per week onsite in Santa Ana, CA.
**HOW YOU'LL CONTRIBUTE:**
* Under general supervision, oversee small to medium scale projects or phases of a larger project. Such initiatives include expanding the use of Microsoft 365 Information Protection (MIP) and Purview Data Loss Prevention (DLP) for cloud\-based collaboration services.
* Participate in identifying business process requirements and related business/application solutions for a specific business need, for example, remediation of an audit finding or enhancing our data security capabilities.
* Identify/receive problem, research alternatives, prepare presentations, drive solutions, tests to confirm and gain consensus, and implement solutions for defined business processes.
* Generate and create reports; research and analyze data and report trends to management/business partner—metrics such as user adoption/labeling activity, high risk users/business units, or risk exposure/risk remediation.
* Assist with the creation, maintenance, and updates of Data Security process documents, including Data Remediation, sensitivity labeling, and process/workflows with ServiceNow integration.
* Interface with Business Units and data stewards to support Data Security initiatives across the enterprise.
* Responding in a timely manner as a subject matter expert to questions from end users and business stakeholders by sharing accurate information about data security policies, standards, and business processes.
* Support the team with resolution of alerts triggered by the automated detection of sensitive information stored as unstructured data residing on the First American network.
* Anticipate, identify, and escalate appropriate issues to Manager/Director.
* Keep abreast of industry advancements and incorporate that knowledge into daily work activities.
* Participate in evaluation and selection of new technology.
**WHAT YOU'LL BRING:**
**Knowledge, Skills \&amp; Technology**
* Bachelor’s Degree or equivalent experience
* Minimum 3 years of relevant work experience in Information Security, IT Risk Management
* M365 EMS E5 stack of online services, including but not limited to, Purview DLP, Microsoft Information Protection (MIP), and how these interact with Exchange, SharePoint, OneDrive, and Microsoft Defender (Cloud Apps \&amp; Endpoint)
* Extensive experience working with Microsoft technologies and infrastructure, with an emphasis on Active Directory/AAD
* Working knowledge of IT and Information Security control standards and frameworks (CIS, NIST, ISO27001, etc.) as well as financial services regulatory requirements (CCPA, PCI\-DSS, etc.)
* Familiarity with RegEx formulas, Sensitive Information Types (SITs), NPI/PI
* Team player with positive energy and good customer service skills
* Ability to work independently, demonstrates initiative, and is a self\-starter
* Understanding of modern cyber security methodologies and protocols
* Excellent verbal and written communication skills
* Experience in documenting processes, technical writing, and flow charts
* Manage multiple initiatives simultaneously, with strong ability to prioritize
* Customer focused in the context of balancing risk reduction with business needs
* High attention to detail to manage, analyze and finalize artifacts and documents
* Highly flexible, adapting to changes in priorities and requirements
* Ability to quickly learn, communicate and apply technical concepts
* Demonstrated judgement in effectively dealing with highly sensitive information
 Pay Range: $129,300\.00 \- $172,300\.00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145">
      <c r="A145" t="inlineStr">
        <is>
          <t>li-4377951134</t>
        </is>
      </c>
      <c r="B145" t="inlineStr">
        <is>
          <t>Data Engineer</t>
        </is>
      </c>
      <c r="C145" t="inlineStr">
        <is>
          <t>AgileEngine</t>
        </is>
      </c>
      <c r="D145" t="inlineStr">
        <is>
          <t>linkedin</t>
        </is>
      </c>
      <c r="E145" t="inlineStr"/>
      <c r="F145" t="inlineStr"/>
      <c r="G145" t="inlineStr"/>
      <c r="H145" t="inlineStr"/>
      <c r="I145" t="inlineStr">
        <is>
          <t>**About us** 
 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If you’re looking for a place to grow, make an impact, and work with people who care, we’d love to meet you!
**About the Role** 
 This
 **Senior Data Engineer (Python)** 
 role is central to transforming large, diverse datasets into reliable insights that support research and strategic decisions across a global financial platform. You will help shape a unified data ecosystem, partnering with data scientists, researchers, and stakeholders to connect technology with real business impact. What makes this opportunity unique is the scale of data, use of modern cloud, AI, and data engineering practices, and strong influence on platform evolution. It’s a chance to grow technically while contributing to a mission\-driven, collaborative environment.
**What you will do** 
* Design and build scalable Data Lakes, Data Warehouses, and Data Lakehouses;
* Design and implement robust ETL/ELT processes at scale using Python and pipeline orchestration tools like Airflow;
* Develop ingestion workflows from diverse third\-party APIs and data sources;
* Manage and optimize file formats such as Parquet, Avro, and ORC for high\-performance data retrieval;
* Work with AI development tools to support machine learning initiatives and advanced analytics;
* Act as a technical consultant to gather requirements, understand business goals, and translate them into technical roadmaps;
* Work with Terraform and other tools to build AWS and on\-prem infrastructure.
**Must haves** 
* You must be authorized to work for ANY employer in the US (e.g., Green card holders, TN visa holders, GC EAD, H4 EAD, U4U with EAD), as we are unable to sponsor or take over employment visa sponsorship at this time;
* **Bachelor’s degree in computer science/engineering** 
 or other technical field, or equivalent experience;
* **5\+ years of experience with Python** 
 with strong hands\-on expertise;
* **5\+ years of experience** 
 with data processing and analytics libraries such as
 **Pandas** 
 ,
 **Polars** 
 ,
 **PySpark** 
 , and
 **DuckDB** 
 ;
* **2\+ years of experience** 
 with Big Data technologies such as
 **Spark** 
 and
 **Snowflake** 
 ;
* **Expert\-level knowledge of Airflow** 
 or similar pipeline orchestration tools;
* **Deep understanding of Medallion Architecture** 
 , columnar file formats, and database technologies including
 **SQL** 
 ,
 **NoSQL** 
 , and Lakehouse architectures;
* Proven ability to work with third\-party APIs for complex data ingestion;
* **Proficiency with cloud platforms** 
 such as
 **AWS** 
 ,
 **GCP** 
 , and
 **Snowflake** 
 , including advanced SQL optimization;
* Upper\-intermediate English level.
**Nice to haves** 
* Familiarity with the fintech industry and financial data domains;
* Documentation skills for data pipelines, architecture designs, and best practices;
* **OpenSearch** 
 or
 **Elasticsearch** 
 ;
* **AWS SageMaker Studio** 
 and
 **Jupyter** 
 for data analysis;
* **Terraform** 
 ;
* **Scala** 
 .
**Perks and Benefits** 
* **Professional growth**
 Accelerate your professional journey with mentorship, TechTalks, and personalized growth roadmaps
* **Competitive compensation**
 We match your ever\-growing skills, talent, and contributions with competitive USD\-based compensation and budgets for education, fitness, and team activities
* **A selection of exciting projects**
 Join projects with modern solutions development and top\-tier clients that include Fortune 500 enterprises and leading product brands
* **Flextime**
 Tailor your schedule for an optimal work\-life balance, by having the options of working from home and going to the office – whatever makes you the happiest and most productive.</t>
        </is>
      </c>
    </row>
    <row r="146">
      <c r="A146" t="inlineStr">
        <is>
          <t>li-4379053309</t>
        </is>
      </c>
      <c r="B146" t="inlineStr">
        <is>
          <t>Remote AWS Data Engineer</t>
        </is>
      </c>
      <c r="C146" t="inlineStr">
        <is>
          <t>TestingXperts</t>
        </is>
      </c>
      <c r="D146" t="inlineStr">
        <is>
          <t>linkedin</t>
        </is>
      </c>
      <c r="E146" t="inlineStr"/>
      <c r="F146" t="inlineStr"/>
      <c r="G146" t="inlineStr">
        <is>
          <t>Washington, DC</t>
        </is>
      </c>
      <c r="H146" t="inlineStr"/>
      <c r="I146" t="inlineStr">
        <is>
          <t>Hi,
 My name is Sreeja and I represent TestingXperts Inc. TestingXperts is a Specialist QA \&amp; Software Testing Company, and an Independent Software Testing division of Damco Group, which is a leading IT Solutions and Services company working with Fortune Enterprises globally. Inheriting the virtues of job quality and optimal user satisfaction from Damco Group, TestingXperts aims at promoting the ethics of connected innovation, thereby seeding the integral values in our employees and achieving unmatched contentment in our clients. To know more about Testingxperts Inc., please visit our website www.testingxperts.com.
 If you are interested in the opportunity listed below, please forward your updated resume along with current contact information, or perhaps you can recommend someone who would be interested in this position
**Role: AWS Data Engineer**
**Location: Remote**
**Visa\- Only US Citizen \&amp; Green Card Holder Only.**
**Please share these details with Submission.**
**Skills**
**Primary Skills**
**Years Of Experience**
**Last Worked in Which Year**
**Rating 1\-10**
**AWS**
**Glue**
**SNS/SQS**
**Python**
**Py\-Spark**
**Data Lake**
**Cloud Watch**
**Cloud Trail**
**DB Design**
**SQL**
**Detail\- JDs;**
* Lead the team technically to complete milestones on time.
* Understand complete requirement, create Architecture and update all stakeholders.
* Create POCs
* Manage delivery/release to customer
* Develop Services to enable data ingestion from and synchronization with system which exposes required data access mechanisms ensuring near\-real\-time updates
* Ingest data from multiple sources using the python and any other ETL tools
* Design and implement an event\-driven architecture using AWS EventBridge, Kafka, or SNS/SQS for real\-time data streaming
* Design, implement, and maintain scalable data pipelines that integrate both on\-prem and AWS cloud environments.
* Develop efficient Python scripts and applications using libraries like pandas, NumPy, etc., to handle and process large datasets.
* Work with various NoSQL databases (e.g., MongoDB, Cassandra, DynamoDB) to support high\-performance data storage and retrieval.
* Develop and deploy applications in a cloud\-native architecture, leveraging modern cloud technologies for scalability and resilience.
* Continuously monitor data workflows and systems, troubleshoot issues, and optimize performance for reliability and scalability
* Transition existing pipeline to MSSQL server
* Collaborate with the business application owner on the existing data architecture, including data ingestion, data pipelines, business logic, data consumption patterns, and analytics requirements
* Design and document the target data architecture, pipelines, processing and analytics architecture
* Identify opportunities for optimization and consolidation
* Collaboration with data team on decomposition of business logic and data transformation patterns</t>
        </is>
      </c>
    </row>
    <row r="147">
      <c r="A147" t="inlineStr">
        <is>
          <t>li-4363831303</t>
        </is>
      </c>
      <c r="B147" t="inlineStr">
        <is>
          <t>Staff Data Platform Engineer</t>
        </is>
      </c>
      <c r="C147" t="inlineStr">
        <is>
          <t>TouchTunes</t>
        </is>
      </c>
      <c r="D147" t="inlineStr">
        <is>
          <t>linkedin</t>
        </is>
      </c>
      <c r="E147" t="inlineStr"/>
      <c r="F147" t="inlineStr"/>
      <c r="G147" t="inlineStr">
        <is>
          <t>Schaumburg, IL</t>
        </is>
      </c>
      <c r="H147" t="inlineStr"/>
      <c r="I147" t="inlineStr">
        <is>
          <t>**Location:** 
 Schaumburg, Illinois (currently hybrid with up to 50% remote)
**Your Mission In The Data Engineering Team**
 At Touchtunes, your work matters. We are seeking a highly skilled and experienced Staff Data Platform Engineer to lead the design, development, and optimization of our data platform. This role is ideal for someone who thrives at the intersection of cloud architecture, big data engineering, and enabling AI/ML capabilities at scale. You will partner closely with data scientists, analysts, DevOps, and engineering teams to drive scalable, secure, and high\-performing data solutions.
**Your Day\-to\-day**
* Architect and build scalable data platforms using AWS services such as S3, Glue, Lambda, Redshift, EMR, and CloudWatch.
* Design and optimize end\-to\-end ETL/ELT pipelines using Databricks, PySpark, Python, and SQL to support batch and real\-time data workflows.
* Define, build, and maintain data models and warehouse structures optimized for analytics and ML workloads.
* Implement and maintain CI/CD pipelines for data workflows and ML models using Jenkins, Git, and other DevOps tools.
* Experience building and supporting real\-time data pipelines using tools such as Kafka, Kinesis, or Structured Streaming.
* Drive the adoption of DataOps and MLOps best practices, ensuring robust testing, observability, monitoring, and rollback strategies.
* Partner with machine learning engineers to enable scalable model training, deployment, and monitoring pipelines.
* Establish and enforce data quality, governance, security, and cataloging standards (e.g., Unity Catalog).
* Evaluate and recommend new tools and frameworks that enhance the scalability and reliability of the data ecosystem.
* Mentor junior engineers, promote engineering excellence, and participate in architectural decision\-making.
**Your Profile**
* Deep expertise in Databricks (clusters, jobs, Delta Lake, Unity Catalog, notebooks).
* Proficiency in Python and PySpark for developing large\-scale data processing jobs.
* Advanced SQL skills, including complex joins, window functions, CTEs, and performance tuning.
* Hands\-on experience with Jenkins for CI/CD automation in data/ML workflows.
* Solid understanding of DataOps/MLOps practices, including version control, testing, monitoring, and deployment of data pipelines and models.
* Experience with orchestration tools such as Airflow, dbt, or similar.
* Familiarity with data security, compliance, and governance frameworks.
* Strong problem\-solving and communication skills; ability to lead cross\-functional technical discussions.
**Even Better If You Have**
* Familiarity with AI development tools and environments such as Cursor, and other modern code generation, debugging, or co\-piloting platforms.
* Experience with containerization and orchestration (e.g., Docker, Kubernetes).
* AWS or Databricks certifications are a plus
**What’s In It For You**
 At TouchTunes, your work impacts our customers as part of interesting projects that transform the in\-venue entertainment industry. We foster open communication and collaboration across all levels, with approachable leaders who value all voices and empower you to excel and innovate. Our team thrives in an environment where fun meets hard work, and everyone is encouraged to be their authentic selves.
**Our Perks And Benefits**
* Hybrid Work Environment: Hybrid schedule with 50% work\-from\-home and in\-office time, with the ability to work anywhere in the world for up to 2 months per year.
* Financial Wellness:Annual performance bonus, long\-term company bonus, 401k matching, life insurances
* Comprehensive Benefits: Competitive health insurance and disability coverage, a Lifestyle Spending Account, access to telemedicine, and an unlimited sick days policy.
* Professional Development: Continuous hands\-on learning with access to e\-learning platform, tuition reimbursement, and peer mentorship.
* Accessibility: An inclusive workplace designed to accommodate people with disabilities.
**TouchTunes**
 At TouchTunes, the world’s largest in\-venue interactive music and entertainment platform, we’re all about sparking joy and human connection. That moment in a bar where someone at the next table cues the jukebox to play your favorite song? That’s what we do – our platform plays millions of songs daily – but we’re also so much more! We just bought the largest soft\-tipped darts business in the United States, we’re reinventing our mobile app for launch later this year, and we’re operating nearly 100,000 connected devices across North America and Europe. We’re innovators, strategic thinkers, people making the future possible today – and what a great time to join our team.
**Work Requirements:** 
 Must be authorized to work in the United States
 TouchTunes is an Equal Employment Opportunity / Affirmative Action employer. TouchTunes provides equal employment opportunities (EEO) to all employees and applicants for employment without regard to race, color, religion, creed, sex, gender identity or expression, age, national origin or ancestry, citizenship, disability, sexual orientation, marital status, pregnancy, veteran status, membership in the uniformed services, genetic information, or any other basis protected by applicable law. This policy applies to all terms and conditions of employment, including recruiting, hiring, placement, promotion, termination, layoff, recall, transfer, leaves of absence, compensation, and training.
 🌈TouchTunes is a proud ally of
 **QueerTech** 
 and
 **DiversityJobs.**</t>
        </is>
      </c>
    </row>
    <row r="148">
      <c r="A148" t="inlineStr">
        <is>
          <t>li-4379048714</t>
        </is>
      </c>
      <c r="B148" t="inlineStr">
        <is>
          <t>Staff Analytics Engineer</t>
        </is>
      </c>
      <c r="C148" t="inlineStr">
        <is>
          <t>Engine</t>
        </is>
      </c>
      <c r="D148" t="inlineStr">
        <is>
          <t>linkedin</t>
        </is>
      </c>
      <c r="E148" t="inlineStr"/>
      <c r="F148" t="inlineStr"/>
      <c r="G148" t="inlineStr">
        <is>
          <t>Denver, CO</t>
        </is>
      </c>
      <c r="H148" t="inlineStr"/>
      <c r="I148" t="inlineStr">
        <is>
          <t>**About Engine**
 At Engine, we're transforming business travel into something personalized, rewarding, and simple. For too long, managing travel and spend has been overwhelming and fragmented — we're here to change that. We believe the future of travel should be seamless and powered by technology that delights customers at every step. That's why we're building a platform that brings together corporate travel, a powerful charge card, and modern spend management in one place.
 To make this vision real, we're looking for exceptional, mission\-driven people to help redefine how businesses manage and experience travel.
 More than 20,000 companies already rely on Engine to support over 1 million travelers and billions in annual bookings each year. Cash flow positive with rapid growth, we pair exclusive Engine\-only rates, industry\-leading rewards, and intelligent automation to help businesses save money while delivering world\-class personalization and convenience.
 Backed by Telescope Partners, Blackstone, and Permira, Engine has been recognized as one of the fastest\-growing travel and fintech platforms in North America, with honors including the Deloitte Fast 500 and Built In's Best Places to Work.
 Your Mission:
 As a Staff Analytics Engineer, you are the technical authority for Engine's data ecosystem. You will lead the transition from a monolithic legacy environment to a sophisticated, multi\-project Medallion Architecture. This role is designed for a high\-level Individual Contributor (IC) who thrives on solving "unsolvable" spaghetti\-code problems and establishing the engineering standards that allow our entire data org to move faster, with higher trust.
 High\-Impact Responsibilities
* Architectural Overhaul: Lead the design and execution of a massive migration from 1,200\+ legacy dbt models into a modular, three\-project Medallion structure (Bronze, Silver, Gold).
* Systems Governance: Define the "Engine Standard" for data contracts, naming conventions, and testing frameworks. You aren't just following a process; you are building the process others will follow.
* Performance \&amp; Scalability: Partner with the Principal Engineer to optimize our Snowflake footprint. You will identify systemic inefficiencies in our DAGs and warehouse usage to drive down costs while increasing query speed.
* Technical Mentorship: Act as a force multiplier for the team. You will lead high\-level design reviews, provide "Staff\-level" feedback on PRs, and elevate the technical bar for our Senior and Mid\-level engineers.
* Strategic Partnership: Bridge the gap between Engineering and Business. You'll ensure our infrastructure supports long\-term growth (3–5 years out) without compromising the day\-to\-day execution speed of our analysts.
 What You'll Bring to Engine
* Expert\-Level dbt Mastery: You don't just "use" dbt; you understand dbt Mesh, cross\-project dependencies, and how to refactor massive projects without breaking downstream BI tools like Looker.
* Legacy Refactoring Experience: 8\+ years of industry experience with a proven track record of migrating large\-scale, "messy" data environments into clean, governed architectures.
* The "Engineer" in Analytics Engineer: Deep proficiency in Python for data operations, Airflow for orchestration, and a rigorous approach to Version Control and CI/CD.
* Architectural Vision: Ability to look at 1,200 models and see the patterns. You prefer simple, elegant abstractions over complex, brittle "quick fixes."
* Influence without Authority: You can articulate technical debt and architectural trade\-offs to stakeholders, gaining buy\-in for long\-term infrastructure health.
*We accept applications for this role on an ongoing basis. We review applications as they are received and encourage interested candidates to apply early.*
**Compensation**
 Our compensation packages are based on several factors, including your experience, expertise, and location. In addition to a competitive base salary, total compensation may include equity and/or variable pay (OTE). Your recruiter will share your complete compensation package as you move through the process.
 Base Pay Range
 $140,000—$192,000 USD
**The Engine Edge: Perks \&amp; Compensation**
 We believe in rewarding great work with great benefits:
* **Compensation:** 
 Competitive base pay tied to role and experience, with opportunities for bonuses, commissions, and equity.
* **Benefits:** 
 Check out our full list at engine.com/culture.
* **Environments for Success:** 
 Different roles have different needs in terms of the environments that drive success which is why we have a hybrid\-hub model. Whether you are in one of our amazing offices or fully remote, we'll make sure you have what you need to succeed.
*Perks and benefits may vary based on employment type, location, and more.*
**Ready to Build the Future of Work Travel?**
 Join us on our mission to transform how work travel works—for businesses, for travelers, and for the industry. Apply now and let's make travel simpler, smarter, and more enjoyable—together.</t>
        </is>
      </c>
    </row>
    <row r="149">
      <c r="A149" t="inlineStr">
        <is>
          <t>li-4377967410</t>
        </is>
      </c>
      <c r="B149" t="inlineStr">
        <is>
          <t>Senior Data Engineer</t>
        </is>
      </c>
      <c r="C149" t="inlineStr">
        <is>
          <t>SNI Technology</t>
        </is>
      </c>
      <c r="D149" t="inlineStr">
        <is>
          <t>linkedin</t>
        </is>
      </c>
      <c r="E149" t="inlineStr"/>
      <c r="F149" t="inlineStr"/>
      <c r="G149" t="inlineStr">
        <is>
          <t>Denver, CO</t>
        </is>
      </c>
      <c r="H149" t="inlineStr"/>
      <c r="I149" t="inlineStr">
        <is>
          <t>Job Description: Senior Data Engineer (IT)
**FLSA Classification:** 
 Exempt
 Position Summary
 The Senior Data Engineer (SDE) designs and implements modern data platform solutions with deep expertise in Azure and data analytics technologies. This role partners closely with business and technical stakeholders to understand requirements and deliver scalable, high\-quality solutions that address complex business challenges.
 The ideal candidate is passionate about building data\-driven systems, enhancing end\-user experience, and continuously learning emerging technologies and best practices. This individual is self\-motivated, innovative, proactive, and thrives in dynamic environments. A strong team player with attention to quality and detail, the SDE remains current on industry trends, system updates, and advancements in cloud and analytics technologies.
 Essential Duties and Responsibilities
* Collaborate with project teams and internal stakeholders (business analysts, developers, architects, and others) to define requirements, design solutions, and deliver innovative results that exceed business expectations.
* Design, develop, and maintain modern data platform solutions to support reporting and analytics initiatives.
* Develop and maintain ETL processes to extract, transform, and load data from multiple sources into a centralized modern data platform.
* Implement systems and processes to monitor data quality, ensuring production data is accurate, reliable, and available to key stakeholders.
* Follow established methodologies, processes, and standards to ensure high\-quality deliverables and contribute to overall team effectiveness.
* Meet with stakeholders to assess needs and identify opportunities for improvement.
* Develop comprehensive technical solutions that consider business requirements, infrastructure, scalability, security, data protection, and disaster recovery.
* Create and maintain relevant technical documentation.
* Collaborate with cross\-functional teams to enhance deliverables and optimize solutions.
* Implement appropriate security measures to safeguard sensitive data and ensure compliance with applicable data privacy regulations.
* Stay current with industry developments, particularly in cloud technologies and data analytics.
* Perform additional duties as assigned.
 Accountability
* Comply with all organizational policies and procedures.
* Maintain prompt, punctual, and regular attendance during core business hours in an office\-based environment. Occasional local travel between office locations or project sites may be required.
* Adhere to workplace safety policies and procedures. Employees are empowered to stop work if unsafe conditions are identified and must notify a supervisor immediately.
 Minimum Physical Requirements
* Regularly required to sit, stand, speak, hear, and use hands and fingers to operate a computer, telephone, and office equipment.
* May occasionally be required to reach, stoop, or kneel.
* Requires close vision due to extended computer work.
 Qualifications
* Bachelor’s degree in Computer Science, Information Technology, Computer Information Systems, Engineering, or related field; or equivalent professional experience (minimum 5 years).
* Minimum 2 years of experience advising on, managing, and successfully delivering technical solutions.
* Minimum 2 years of experience with Power BI (including Power Query, Data Management Gateway, SSAS Tabular Connector).
* 3\+ years of experience working as a Data Engineer in data integration, data modeling, analytics, reporting, and/or Azure or AWS cloud environments.
* 2\+ years of experience with Microsoft SQL Server (SQL, T\-SQL stored procedures and functions) or PostgreSQL (PostgreSQL and PL/pgSQL).
* 2\+ years of experience managing and delivering enterprise data solutions.
* Experience in at least one of the following data modeling areas:
* Enterprise Data Warehousing (e.g., star schema design)
* Master Data Services and Data Quality Services
* Custom data integrations
* Data migrations
* Data governance
* Internet of Things (IoT)
* Data science
* Big data environments
* Custom application development
* Knowledge of and experience with at least one of the following technology stacks:
* Azure Data Platform (Azure Data Lake, Data Factory, Azure Databricks, Azure Storage, Data Lake Analytics, Stream Analytics, Event Hubs, Azure SQL)
* On\-premises Microsoft solutions (SQL Server, SSRS, SSIS, .NET, Active Directory)
* Microsoft Fabric
* Must be authorized to work in the United States without current or future visa sponsorship requirements.</t>
        </is>
      </c>
    </row>
    <row r="150">
      <c r="A150" t="inlineStr">
        <is>
          <t>li-4342451234</t>
        </is>
      </c>
      <c r="B150" t="inlineStr">
        <is>
          <t>Sr. Analytics Engineer</t>
        </is>
      </c>
      <c r="C150" t="inlineStr">
        <is>
          <t>Cyera</t>
        </is>
      </c>
      <c r="D150" t="inlineStr">
        <is>
          <t>linkedin</t>
        </is>
      </c>
      <c r="E150" t="inlineStr"/>
      <c r="F150" t="inlineStr"/>
      <c r="G150" t="inlineStr"/>
      <c r="H150" t="inlineStr"/>
      <c r="I150" t="inlineStr">
        <is>
          <t>**WHO WE ARE** 
 Come join the company reinventing data security, empowering businesses to realize the full potential of their data. As the leading data security platform purpose\-built for the cloud era, Cyera’s mission is to reinvent how businesses secure data, enable agile collaboration, and boldly pursue new business opportunities. Trusted by security teams at leading global businesses, our team is proving that data security is the next big thing in cyber. Backed by the world’s leading investors and working with a large and growing list of Fortune 1000 companies, we are looking for world\-class talent to join us as we usher in the new era of data security.
**THE OPPORTUNITY** 
 As a Sr. Analytics Engineer, you will drive the architecture, development, and optimization of our analytics infrastructure. You’ll work closely with cross\-functional teams (data science, engineering, security, and product) to ensure that the company leverages data insights effectively to drive business decisions, enhance product security, and support our growth. Your primary responsibility will be to design and implement data models, pipelines, and analytics frameworks that empower internal and external stakeholders with secure, accurate, and actionable data insights.
**RESPONSIBILITIES:** 
* Architect, build, and maintain robust, scalable data pipelines and analytics infrastructure that supports real\-time data insights and reporting.
* Design efficient and secure data models and warehouses that facilitate optimized querying, reporting, and analytics workflows.
* Implement, maintain, and optimize ETL/ELT processes that handle the ingestion, transformation, and loading of large, complex datasets, ensuring data quality and security at every step.
* Collaborate with data scientists, security engineers, and product managers to gather requirements, prioritize projects, and build analytics solutions that directly contribute to business objectives.
* Ensure that all data\-related processes meet the highest standards of security, privacy, and compliance (GDPR, CCPA, etc.). Work closely with the security team to design secure analytics environments.
* Continuously monitor and optimize data infrastructure performance for scalability, efficiency, and reliability.
* Develop data visualizations, dashboards, and reporting systems that enable stakeholders to easily access key insights and metrics.
* Automate routine tasks and processes, leveraging modern data tools and frameworks to improve team efficiency.
**REQUIRED QUALIFICATIONS:** 
* 5\+ years of experience as a data/analytics engineer, with at least 2\+ years in a senior role.
* Expert in SQL, Python, or R for data analysis and transformation.
* Proficient in data modeling and database design (e.g., Snowflake, Redshift, BigQuery).
* Deep experience with ETL/ELT tools (e.g., dbt, Airflow, Apache Spark) and cloud data platforms (AWS, GCP, or Azure).
* Strong understanding of data warehousing concepts, architecture, and technologies.
* Experience with modern BI tools (e.g., Looker, Tableau, PowerBI).
* Familiarity with data versioning, CI/CD, and DevOps practices for analytics engineering.
* A strong background or understanding of data security principles, encryption, and compliance standards (e.g., GDPR, CCPA).
* Proven ability to handle complex datasets, troubleshoot issues, and find innovative solutions.
* Strong written and verbal communication skills with the ability to convey technical information to non\-technical stakeholders.
**COMPENSATION INFORMATION:** 
 Compensation Range: $160,000\-$200,000\.
 The range represents total compensation, and may include company bonus, incentive for sales roles, equity or benefits, as applicable.
 This compensation range represents Cyera’s good faith and reasonable estimate of the range of possible compensation for this role at the time of posting, and Cyera may ultimately pay more or less than the posted range. The final salary for this position will be determined in Cyera’s sole discretion, consistent with applicable law, and based on a variety of factors, including but not limited to the employee’s work experience, skills, and qualifications for the role, as well as the needs of Cyera’s business and other operational considerations.
 Final compensation will vary based on seniority and relevance of experience, location, and position requirements.
 This role may be eligible for potential merit increases based on factors such as individual or company performance, time in role, and other discretionary factors.
**BENEFITS \- Why Cyera?** 
* Ability to work remotely, with office setup reimbursement
* Competitive salary
* Unlimited PTO
* Paid holidays and sick time
* Health, vision, and dental insurance
* Life, short and long\-term disability insurance</t>
        </is>
      </c>
    </row>
    <row r="151">
      <c r="A151" t="inlineStr">
        <is>
          <t>li-4376434457</t>
        </is>
      </c>
      <c r="B151" t="inlineStr">
        <is>
          <t>Associate, Data Engineer</t>
        </is>
      </c>
      <c r="C151" t="inlineStr">
        <is>
          <t>KPMG US</t>
        </is>
      </c>
      <c r="D151" t="inlineStr">
        <is>
          <t>linkedin</t>
        </is>
      </c>
      <c r="E151" t="inlineStr"/>
      <c r="F151" t="inlineStr"/>
      <c r="G151" t="inlineStr">
        <is>
          <t>Albany, NY</t>
        </is>
      </c>
      <c r="H151" t="inlineStr"/>
      <c r="I151"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52">
      <c r="A152" t="inlineStr">
        <is>
          <t>li-4379038809</t>
        </is>
      </c>
      <c r="B152" t="inlineStr">
        <is>
          <t>Senior Data Engineer</t>
        </is>
      </c>
      <c r="C152" t="inlineStr">
        <is>
          <t>Fidelity Investments</t>
        </is>
      </c>
      <c r="D152" t="inlineStr">
        <is>
          <t>linkedin</t>
        </is>
      </c>
      <c r="E152" t="inlineStr"/>
      <c r="F152" t="inlineStr"/>
      <c r="G152" t="inlineStr">
        <is>
          <t>Smithfield, RI</t>
        </is>
      </c>
      <c r="H152" t="inlineStr"/>
      <c r="I152" t="inlineStr">
        <is>
          <t>**Job Description**
 The FI Data Solutions team is looking for a highly motivated Senior Data Engineer responsible for designing, building, and maintaining the operational and analytical capability in FI's data platforms. The work involves solution design, data analysis, end to end development, production rollout, and production support activities using Java Spring Batch, Python, AWS, Oracle, and Snowflake. The role will be involved in projects centered around maintaining and improving the quality of financial product information brought into our data ecosystem that will provide value to our compensation, sales, and reporting users. The role will be positioned as a more senior developer within a single squad.
**The Expertise And Skills You Bring**
* Bachelor's or Master's Degree in a technology related field (e.g. Engineering, Computer Science, etc.) required with 5\-7 years of working experience
* 5\+ years of Java development utilizing Spring frameworks. Experience writing batch jobs with Spring Batch is a must
* 2\+ years of experience developing batch / backend applications that run in AWS, with focus on AWS Batch and S3
* 3\+ years working with SQL (ANSI SQL, Oracle, Snowflake)
* 2\+ years of Python development
* Experience with Unix shell scripting (bash, ksh) and scheduling / orchestration tools (Control\-M)
* Strong data modeling skills with experience working with 3NF and Star Schema data models
* Proven data analysis skills; not afraid to work in a complex data ecosystem
* Hands\-on experience on SQL query optimization and tuning to improve performance is desirable
* Experience with DevOps, Continuous Integration and Continuous Delivery (Jenkins, Terraform, CloudFormation)
* Experience in Agile methodologies (Kanban and SCRUM)
* Experience building and deploying containerized applications using Docker
* Work experience in the financial services industry is a plus
* Proven track record to handle ambiguity and work in a fast\-paced environment, either independently or in a collaborative manner
* Good interpersonal skills to work with multiple teams within the business unit and across the organization
* Proven experience developing solution architecture diagrams and design documents that help guide developers and analysts on how to implement and maintain our systems and applications
* Proven history of mentoring other developers to their fullest potential
**The Value You Deliver**
* Passion and intellectually curiosity to learn new technologies and business areas
* Working with our business partners to enhance their user experience and provide them curated data to help them drive business results more effectively
* Enhancing data quality of financial product information in our systems that has a huge impact on sales, compensation, and reporting usecases
**Certifications**
 Category:
 Information Technology
 Most roles at Fidelity are Hybrid, requiring associates to work onsite every other week (all business days, M\-F) in a Fidelity office. This does not apply to Remote or fully Onsite roles. Some roles may have unique onsite requirements. Please consult with your recruiter for the specific expectations for this position.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153">
      <c r="A153" t="inlineStr">
        <is>
          <t>li-4369140612</t>
        </is>
      </c>
      <c r="B153" t="inlineStr">
        <is>
          <t>Data Engineer - Senior Associate</t>
        </is>
      </c>
      <c r="C153" t="inlineStr">
        <is>
          <t>PwC</t>
        </is>
      </c>
      <c r="D153" t="inlineStr">
        <is>
          <t>linkedin</t>
        </is>
      </c>
      <c r="E153" t="inlineStr"/>
      <c r="F153" t="inlineStr"/>
      <c r="G153" t="inlineStr">
        <is>
          <t>Portland, OR</t>
        </is>
      </c>
      <c r="H153" t="inlineStr"/>
      <c r="I153"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54">
      <c r="A154" t="inlineStr">
        <is>
          <t>li-4369136783</t>
        </is>
      </c>
      <c r="B154" t="inlineStr">
        <is>
          <t>Data Engineer - Senior Associate</t>
        </is>
      </c>
      <c r="C154" t="inlineStr">
        <is>
          <t>PwC</t>
        </is>
      </c>
      <c r="D154" t="inlineStr">
        <is>
          <t>linkedin</t>
        </is>
      </c>
      <c r="E154" t="inlineStr"/>
      <c r="F154" t="inlineStr"/>
      <c r="G154" t="inlineStr">
        <is>
          <t>Atlanta, GA</t>
        </is>
      </c>
      <c r="H154" t="inlineStr"/>
      <c r="I154"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55">
      <c r="A155" t="inlineStr">
        <is>
          <t>li-4369138687</t>
        </is>
      </c>
      <c r="B155" t="inlineStr">
        <is>
          <t>Data Engineer - Senior Associate</t>
        </is>
      </c>
      <c r="C155" t="inlineStr">
        <is>
          <t>PwC</t>
        </is>
      </c>
      <c r="D155" t="inlineStr">
        <is>
          <t>linkedin</t>
        </is>
      </c>
      <c r="E155" t="inlineStr"/>
      <c r="F155" t="inlineStr"/>
      <c r="G155" t="inlineStr">
        <is>
          <t>Irvine, CA</t>
        </is>
      </c>
      <c r="H155" t="inlineStr"/>
      <c r="I155"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56">
      <c r="A156" t="inlineStr">
        <is>
          <t>li-4377955122</t>
        </is>
      </c>
      <c r="B156" t="inlineStr">
        <is>
          <t>Data Engineer</t>
        </is>
      </c>
      <c r="C156" t="inlineStr">
        <is>
          <t>Jobs via Dice</t>
        </is>
      </c>
      <c r="D156" t="inlineStr">
        <is>
          <t>linkedin</t>
        </is>
      </c>
      <c r="E156" t="inlineStr"/>
      <c r="F156" t="inlineStr"/>
      <c r="G156" t="inlineStr">
        <is>
          <t>Troy Hills, NJ</t>
        </is>
      </c>
      <c r="H156" t="inlineStr"/>
      <c r="I156" t="inlineStr">
        <is>
          <t>Dice is the leading career destination for tech experts at every stage of their careers. Our client, Intellisoft Technologies, is seeking the following. Apply via Dice today!
 Hello,
 Please find the below requirement and let me know your thoughts.
**Position: Data Engineer**
**Location: Parsippany, NJ**
**Duration: 6 \+ months**
 Face\-To\-Face interview.
 We are looking for a highly skilled Data Engineer with deep hands‑on experience in Python, PySpark, Databricks, and DynamoDB to help build and optimize modern data pipelines at scale. This role is ideal for someone who excels in high‑performance data engineering, thrives in a collaborative environment, and can leverage emerging AI tools (such as Copilot) to improve delivery speed and code quality.
**Required Qualifications**
* 7\+ years of professional experience in data engineering or related field.
* Strong proficiency in:
+ Python
+ PySpark
+ Databricks (Delta Lake, notebooks, jobs, cluster management)
* Hands‑on experience with AWS DynamoDB in production environments.
* Experience building scalable data pipelines for ingestion, transformation, and retrieval.
* Strong understanding of DataFrame optimizations, performance tuning, and distributed computing best practices.
* Familiarity with GitHub, JIRA, and Confluence for version control and team collaboration.
* Strong communication skills and ability to partner with both technical and business stakeholders.
**Nice to Have**
* Experience using AI\-assisted coding tools such as GitHub Copilot, Amazon Q, or similar LLM\-based development accelerators.
* Exposure to AWS services beyond DynamoDB (S3, Lambda, Glue, EMR, etc.), though not required.
* Familiarity with CI/CD tools such as Jenkins or infrastructure\-as\-code tools like Terraform.
* Experience with monitoring tools (Splunk, Dynatrace), though these are not primary requirements.
**Key Responsibilities**
* Design, develop, and maintain data ingestion and transformation pipelines using Python, PySpark, and Databricks.
* Build and optimize workflows for reliable, scalable, and performant data processing.
* Work with AWS DynamoDB for production use cases involving NoSQL storage and retrieval.
* Collaborate closely with cross‑functional partners (engineering, product, analytics) to translate business needs into technical solutions.
* Leverage AI developer tools (e.g., GitHub Copilot, Amazon Q) to accelerate development, improve code quality, and support team productivity.
* Ensure high standards for data quality, documentation, testing, and maintainability.
* Participate in code reviews, design sessions, and continuous improvement efforts.
**Submission details**
 Full Legal Name as per SSN:
 (First name \&amp; Last name)
 Email ID:
 Contact Number:
 Current location (City name, State, ZIP code) :
 DOB: (dd/mm)
 Are you willing to relocate? (Yes/NO)
 Best time to reach (Mon\-Fri):
 LinkedIn ID(Must) :
 Rate :
 Initial entry of US (Visa status) and the current status Approval (year):
 Are you done with your current project? (Yes/No):
 (If YES please mention Last date of the Project):
 Last 4 digits of SSN :
 Did you worked with TCS before?(Yes/NO):
 (If YES please mention the client name and tenure)
 Highest Degree:
 Name of the University, specialization, Location (Start Date (MM/ YYYY)– Ending Date(MM/YYYY)):
 Professional references in below format is mandatory for client submission:
 Note: GMAIL, YAHOO, OUTLOOK mails are not Considered
 Reference 1 :
 Client Name:
 Reference Name:
 Reference Job Title:
 Reference Professional/ Official E\-mail Address:
 Reference Phone Number:
 Reference 2 :
 Client Name:
 Reference Name:
 Reference Job Title:
 Reference Professional/ Official E\-mail Address :
 Reference Phone Number:
 Thanks \&amp; Regards,
 Vasu
 Intellisoft Technologies Inc.,
 11494 Luna Road, Ste 280
 Farmers Branch, TX \-75234
 (O) ext 131</t>
        </is>
      </c>
    </row>
    <row r="157">
      <c r="A157" t="inlineStr">
        <is>
          <t>li-4362403816</t>
        </is>
      </c>
      <c r="B157" t="inlineStr">
        <is>
          <t>Senior Data Engineer (Python, SQL, AWS)</t>
        </is>
      </c>
      <c r="C157" t="inlineStr">
        <is>
          <t>Capital One</t>
        </is>
      </c>
      <c r="D157" t="inlineStr">
        <is>
          <t>linkedin</t>
        </is>
      </c>
      <c r="E157" t="inlineStr"/>
      <c r="F157" t="inlineStr"/>
      <c r="G157" t="inlineStr">
        <is>
          <t>Richmond, VA</t>
        </is>
      </c>
      <c r="H157" t="inlineStr"/>
      <c r="I15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**Senior**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8">
      <c r="A158" t="inlineStr">
        <is>
          <t>li-4369137670</t>
        </is>
      </c>
      <c r="B158" t="inlineStr">
        <is>
          <t>Data Engineer - Senior Associate</t>
        </is>
      </c>
      <c r="C158" t="inlineStr">
        <is>
          <t>PwC</t>
        </is>
      </c>
      <c r="D158" t="inlineStr">
        <is>
          <t>linkedin</t>
        </is>
      </c>
      <c r="E158" t="inlineStr"/>
      <c r="F158" t="inlineStr"/>
      <c r="G158" t="inlineStr">
        <is>
          <t>Louisville, KY</t>
        </is>
      </c>
      <c r="H158" t="inlineStr"/>
      <c r="I158"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59">
      <c r="A159" t="inlineStr">
        <is>
          <t>li-4369138705</t>
        </is>
      </c>
      <c r="B159" t="inlineStr">
        <is>
          <t>Data Engineer - Manager</t>
        </is>
      </c>
      <c r="C159" t="inlineStr">
        <is>
          <t>PwC</t>
        </is>
      </c>
      <c r="D159" t="inlineStr">
        <is>
          <t>linkedin</t>
        </is>
      </c>
      <c r="E159" t="inlineStr"/>
      <c r="F159" t="inlineStr"/>
      <c r="G159" t="inlineStr">
        <is>
          <t>Austin, TX</t>
        </is>
      </c>
      <c r="H159" t="inlineStr"/>
      <c r="I159"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60">
      <c r="A160" t="inlineStr">
        <is>
          <t>li-4369687333</t>
        </is>
      </c>
      <c r="B160" t="inlineStr">
        <is>
          <t>Lead Analytics Engineer - Transformation</t>
        </is>
      </c>
      <c r="C160" t="inlineStr">
        <is>
          <t>Worthington Steel</t>
        </is>
      </c>
      <c r="D160" t="inlineStr">
        <is>
          <t>linkedin</t>
        </is>
      </c>
      <c r="E160" t="inlineStr"/>
      <c r="F160" t="inlineStr"/>
      <c r="G160" t="inlineStr">
        <is>
          <t>New York, United States</t>
        </is>
      </c>
      <c r="H160" t="inlineStr"/>
      <c r="I160" t="inlineStr">
        <is>
          <t>**Summary** 
 The Lead Analytics Engineer – Transformation is a hands\-on builder who turns complex, fragmented manufacturing data into actionable insight that powers Lean transformation at Tempel Steel. Reporting to the Worthington Steel Transformation team, this highly visible role partners with Operations, Commercial, and Supply Chain leaders to design and deploy analytics that inform decisions, accelerate Kaizen events, and support the rollout of a modern operating system.
 This role is ideal for someone who thrives in fast\-moving, real\-world environments where systems are evolving and questions change daily. You’ll have the autonomy to use the right tools for the job, work directly with frontline teams, and see your analytics influence decisions where the work happens—on the floor, in Mission Control, and in leadership reviews.
* The position will be remote and is a field\-embedded role requiring up to \~50% travel to Tempel facilities across the U.S. and Canada.
**Responsibilities** 
* Design, build, and deploy analytics and reporting that enable fact\-based decisions across manufacturing operations.
* Rapidly ingest, integrate, and prepare data from ERP, MES/OT, quality, maintenance, supply chain, and finance systems using tools such as SQL, Python, Alteryx, and modern data platforms.
* Develop dashboards, models, and decision tools using Tableau, Power BI, Oracle Analytics Cloud (OAC), Excel, or other BI tools as appropriate, prioritizing speed and usability while maintaining a path to scalability.
* Support Lean and CI execution by delivering analytics for Value Stream Analyses, Kaizen events, performance tracking, root cause problem solving, and leadership reviews.
* Translate process concepts (VSMs, SIPOCs, CTQs) into clear metrics, visuals, and insights that teams can act on.
* Work closely with transformation leads, plant leadership, IT, and analytics partners to align work with business priorities and sequence efforts for rapid impact.
* Enable adoption by teaching users how to interpret and use analytics in daily operating rhythms, including Mission Control and performance boards.
* Continuously improve analytics workflows by automating manual steps, improving reliability, and reducing cycle time from question to insight.
**Qualifications** 
* 5 plus years of experience in analytics engineering, BI, or data integration in manufacturing, operations, or supply\-chain environments.
* Strong SQL skills and practical experience using Python for data preparation and automation.
* Hands\-on experience with BI tools such as Tableau, Power BI, or OAC; experience with Alteryx or similar prep/automation tools strongly preferred.
* Demonstrated ability to build solutions from scratch in environments with evolving systems and incomplete data.
* Applied Lean/CI experience (Kaizen, DMAIC, SPC) translating process questions into analytics, Green Belt experience a plus.
* Strong communication and influencing skills, with the ability to work effectively across frontline teams and senior leaders.
**What Success Looks Like** 
 Within the first few months, you’ll help teams answer critical operational questions faster, support Kaizen events with real data, and reduce reliance on manual spreadsheets. Over time, you’ll help establish repeatable analytics patterns that scale across sites and future acquisitions.
**Travel Requirement** 
 Up to \~50% travel to Tempel Canada and U.S. locations to build relationships, understand processes firsthand, and accelerate adoption of analytics tools.</t>
        </is>
      </c>
    </row>
    <row r="161">
      <c r="A161" t="inlineStr">
        <is>
          <t>li-4379063318</t>
        </is>
      </c>
      <c r="B161" t="inlineStr">
        <is>
          <t>Agentic AI and Data Engineer</t>
        </is>
      </c>
      <c r="C161" t="inlineStr">
        <is>
          <t>Booz Allen Hamilton</t>
        </is>
      </c>
      <c r="D161" t="inlineStr">
        <is>
          <t>linkedin</t>
        </is>
      </c>
      <c r="E161" t="inlineStr"/>
      <c r="F161" t="inlineStr"/>
      <c r="G161" t="inlineStr">
        <is>
          <t>Mahinahina Camp, HI</t>
        </is>
      </c>
      <c r="H161" t="inlineStr"/>
      <c r="I161" t="inlineStr">
        <is>
          <t>**Job Number: R0234847**
 Agentic AI and Data Engineer
**The Opportunity:**
 As an experienced engineer, you know how to design, develop, and deliver production\-grade agentic AI systems that demonstrate the practical value of generative AI, large language models (LLMs), and autonomous workflows. This role combines deep technical expertise with strong product and consulting skills to design AI applications that leverage prompting, retrieval\-augmented generation (RAG), agentic orchestration, evaluation pipelines, and human\-in\-the\-loop systems to deliver measurable impact.
 You will architect modular, reusable AI application patterns, integrate multiple model providers such as cloud\-hosted, local, and hybrid, and apply modern GenAI stack capabilities, including structured prompting, tool use, workflow orchestration, and multi\-modal reasoning. You will design solutions deployable across various contexts, from cloud\-hosted platforms to portable, self\-contained builds, optimizing for latency, cost efficiency, observability, and safety. You will rapidly prototype and iterate using AI\-assisted development tools, validating hypotheses through eval\-driven development and continuous experimentation.
 In this role, you’ll define the direction of mission\-critical agentic systems by selecting and combining prompting strategies, RAG architectures, agentic workflows, and fine\-tuned or foundation models as appropriate. You’ll be part of a large community of AI and ML engineers across the company, collaborating with data engineers, data scientists, solutions architects, and product owners to deliver world\-class solutions.
**What You’ll Do:**
* Design adaptable agentic AI architectures that support multiple model providers, tool ecosystems, modalities, and deployment modes.
* Build modular and reusable components for prompting, retrieval, orchestration, tool execution, memory management, and evaluation to enable rapid development of new AI capabilities.
* Integrate LLMs, embeddings, RAG pipelines, structured outputs, and long\-context or memory mechanisms into production\-ready systems.
* Apply advanced prompting techniques such as few\-shot, chain\-of\-thought, tool\-calling, and function\-calling, orchestration frameworks such as LangChain or equivalent, and agentic architectures such as MCP, A2A, or similar patterns, to enable goal\-directed autonomy with guardrails, observability, and human oversight, including planning, tool use, delegation, and recovery from failure.
* Design and implement evaluation frameworks, both offline and online, to measure correctness, robustness, safety, and business impact of AI systems.
* Optimize models and workflows for cost, latency, reliability, and scalability, using systematic benchmarking and experimentation.
* Develop data pipelines for ingestion, cleaning, chunking, embedding, indexing, and continuous refresh of structured and unstructured data for RAG and memory systems.
* Combine text, audio, vision, and other modalities in unified processing workflows, including document understanding, transcription, summarization, and cross\-modal reasoning.
* Leverage vector databases, hybrid search, reranking, and retrieval optimization techniques to enhance grounding and reduce hallucination in RAG systems.
* Incorporate guardrails, safety filters, access controls, and monitoring mechanisms to ensure responsible and secure deployment of agentic AI systems.
* Deploy AI services securely and at scale on AWS or equivalent cloud platforms.
* Use containerizing, including in Docker or Kubernetes, or serverless approaches for flexible deployment.
* Apply CI/CD and eval\-driven development best practices for AI systems, including automated testing of prompts and workflows, versioning of prompts and agents, and safe rollout of model updates.
* Use asynchronous programming and event\-driven patterns to support scalable, long\-running, or multi\-agent workflows.
* Leverage modern build and packaging workflows to deliver optimized, portable application artifacts.
* Use AI assistance tools to accelerate development, debugging, and system design while maintaining engineering rigor and code quality.
* Collaborate with clients to identify high\-value AI opportunities and define solution requirements.
* Present AI capabilities and technical solutions to both technical and non\-technical stakeholders.
* Lead workshops and prototyping sessions to accelerate adoption.
* Provide guidance on responsible AI practices, ethics, and compliance.
 Join us. The world can’t wait.
**You Have:**
* 5\+ years of experience with software engineering
* 2\+ years of experience in AI or ML\-focused roles
* Experience with an object\-oriented programming language such as Python, and applying it to AI/ML solution development
* Experience designing and implementing production\-grade generative or agentic AI applications using LLMs, LAMs, and LVMs, applying prompting techniques and structured outputs to improve reliability and determinism, and building secure and scalable deployments on cloud platforms such as AWS
* Experience with AI orchestration frameworks such as LangChain, agent workflows, tool integration, and multi\-provider model integration
* Experience with RAG architectures, evaluation methodologies, experimentation workflows, and asynchronous or event\-driven programming patterns
* Knowledge of data processing techniques for AI, including text, audio, and multi\-modal
* Ability to obtain a Secret clearance
* Bachelor’s degree in a CS or Engineering field
* AWS Machine Learning, Data Engineer, or Solutions Architect Certification
**Nice If You Have:**
* Experience with agent frameworks, interoperability standards, and multi\-agent patterns such as MCP, A2A, LangGraph, or equivalent
* Experience with model fine\-tuning, prompt tuning, domain adaptation, or reinforcement learning from human or AI feedback
* Experience designing evaluation suites or safety testing frameworks for AI systems, and integrating AI systems with external tools, APIs, or enterprise systems via tool\-calling or computer\-use patterns
* Experience delivering AI solutions in client\-facing consulting engagements
* Experience with modern front\-end libraries and frameworks for component\-based UI development, including React, and with workflows such as build pipelines, automated testing, and code quality tooling
* Experience with in\-browser or edge AI execution and performance optimization techniques, as well as modern build and packaging approaches for portable or offline\-capable applications
* Experience with developer productivity tools such as Cursor and Windsurf
* Knowledge of AI ethics, compliance requirements, and responsible AI practices
* Secret clearance
* Master’s degree in CS, AI, or a related field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62">
      <c r="A162" t="inlineStr">
        <is>
          <t>li-4369127866</t>
        </is>
      </c>
      <c r="B162" t="inlineStr">
        <is>
          <t>Data Engineer - Senior Associate</t>
        </is>
      </c>
      <c r="C162" t="inlineStr">
        <is>
          <t>PwC</t>
        </is>
      </c>
      <c r="D162" t="inlineStr">
        <is>
          <t>linkedin</t>
        </is>
      </c>
      <c r="E162" t="inlineStr"/>
      <c r="F162" t="inlineStr"/>
      <c r="G162" t="inlineStr">
        <is>
          <t>Phoenix, AZ</t>
        </is>
      </c>
      <c r="H162" t="inlineStr"/>
      <c r="I162"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63">
      <c r="A163" t="inlineStr">
        <is>
          <t>li-4377949444</t>
        </is>
      </c>
      <c r="B163" t="inlineStr">
        <is>
          <t>Snowflake Python Data Engineer</t>
        </is>
      </c>
      <c r="C163" t="inlineStr">
        <is>
          <t>Jobs via Dice</t>
        </is>
      </c>
      <c r="D163" t="inlineStr">
        <is>
          <t>linkedin</t>
        </is>
      </c>
      <c r="E163" t="inlineStr"/>
      <c r="F163" t="inlineStr"/>
      <c r="G163" t="inlineStr">
        <is>
          <t>Sunnyvale, CA</t>
        </is>
      </c>
      <c r="H163" t="inlineStr"/>
      <c r="I163" t="inlineStr">
        <is>
          <t>Dice is the leading career destination for tech experts at every stage of their careers. Our client, Nityo Infotech Corporation, is seeking the following. Apply via Dice today!
**Snowflake Python Data Engineer**
**Austin TX/Sunnyvale CA**
**12\+month of contract**
**Job description : \-**
* Minimum 7\+ year of experience .
* Strong hands\-on experience with Snowflake
* Proficiency in Python for data engineering (Pandas, PySpark, Snowpark preferred)
* Advanced SQL and query optimization skills
* Experience with cloud platforms (AWS / Azure / Google Cloud Platform)
* Knowledge of data warehousing concepts and dimensional modeling
* Experience with workflow orchestration tools (Airflow, Prefect, etc.)
* Good in communication skill .
 Thanks \&amp; Regards,
**Soumya Dixit**
**Desk:**
**Email:**
**Nityo Infotech Corp. \|**
**666 Plainsboro Road, Suite 1285, Plainsboro, NJ 08536**</t>
        </is>
      </c>
    </row>
    <row r="164">
      <c r="A164" t="inlineStr">
        <is>
          <t>li-4369137687</t>
        </is>
      </c>
      <c r="B164" t="inlineStr">
        <is>
          <t>Data Engineer - Manager</t>
        </is>
      </c>
      <c r="C164" t="inlineStr">
        <is>
          <t>PwC</t>
        </is>
      </c>
      <c r="D164" t="inlineStr">
        <is>
          <t>linkedin</t>
        </is>
      </c>
      <c r="E164" t="inlineStr"/>
      <c r="F164" t="inlineStr"/>
      <c r="G164" t="inlineStr">
        <is>
          <t>Richmond, VA</t>
        </is>
      </c>
      <c r="H164" t="inlineStr"/>
      <c r="I164"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65">
      <c r="A165" t="inlineStr">
        <is>
          <t>li-4369131828</t>
        </is>
      </c>
      <c r="B165" t="inlineStr">
        <is>
          <t>Data Engineer - Manager</t>
        </is>
      </c>
      <c r="C165" t="inlineStr">
        <is>
          <t>PwC</t>
        </is>
      </c>
      <c r="D165" t="inlineStr">
        <is>
          <t>linkedin</t>
        </is>
      </c>
      <c r="E165" t="inlineStr"/>
      <c r="F165" t="inlineStr"/>
      <c r="G165" t="inlineStr">
        <is>
          <t>St Louis, MO</t>
        </is>
      </c>
      <c r="H165" t="inlineStr"/>
      <c r="I165"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66">
      <c r="A166" t="inlineStr">
        <is>
          <t>li-4377937748</t>
        </is>
      </c>
      <c r="B166" t="inlineStr">
        <is>
          <t>100% Remote - Sr Google Cloud Platform Data Engineer</t>
        </is>
      </c>
      <c r="C166" t="inlineStr">
        <is>
          <t>Jobs via Dice</t>
        </is>
      </c>
      <c r="D166" t="inlineStr">
        <is>
          <t>linkedin</t>
        </is>
      </c>
      <c r="E166" t="inlineStr"/>
      <c r="F166" t="inlineStr"/>
      <c r="G166" t="inlineStr"/>
      <c r="H166" t="inlineStr"/>
      <c r="I166" t="inlineStr">
        <is>
          <t>Dice is the leading career destination for tech experts at every stage of their careers. Our client, Empower Professionals, is seeking the following. Apply via Dice today!
**Role: Sr Data Engineer
 Duration: 12\+ Months
 Location: 100% Remote
 Client Location: Atlanta, GA**
**Job Description**
 We are looking for Sr Data Engineer Role experience for a remote position in US.
**Job Description:**
 As a Data Engineer, you'll guide Google customers to develop, configure, deploy and administer their data platform solutions.
 Together with the team, you will support customer implementations of Google Cloud products through architecture guidance, best practices, data migration, database design, database management, performance tuning, CI/CD, capacity planning, implementation, troubleshooting, monitoring, dataflow, cloud functions and more.
**Responsibilities** 
 :
 Data Flow Design, Code Reviews and Feedback, Address Tech Debt (AI generated code base)
**Preferred Qualifications :**
 (PQs) Experience with database management tools for backups, recovery, snapshot management, sharding, partitioning and database performance tuning.
 Experience working with cloud databases such as AlloyDB, CloudSQL, Big Query Experience with MLOps, data warehousing, and data pipeline development, including ETL and ELT, dataflow, cloud functions.
 Experience with application development.
 Experience developing, deploying, and managing machine learning models, including experience writing software in one or more languages, such as Java, Python, GolangIf you have suitable candidates available immediately.</t>
        </is>
      </c>
    </row>
    <row r="167">
      <c r="A167" t="inlineStr">
        <is>
          <t>li-4369129916</t>
        </is>
      </c>
      <c r="B167" t="inlineStr">
        <is>
          <t>Data Engineer - Manager</t>
        </is>
      </c>
      <c r="C167" t="inlineStr">
        <is>
          <t>PwC</t>
        </is>
      </c>
      <c r="D167" t="inlineStr">
        <is>
          <t>linkedin</t>
        </is>
      </c>
      <c r="E167" t="inlineStr"/>
      <c r="F167" t="inlineStr"/>
      <c r="G167" t="inlineStr">
        <is>
          <t>Phoenix, AZ</t>
        </is>
      </c>
      <c r="H167" t="inlineStr"/>
      <c r="I167"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68">
      <c r="A168" t="inlineStr">
        <is>
          <t>li-4369126884</t>
        </is>
      </c>
      <c r="B168" t="inlineStr">
        <is>
          <t>Data Engineer - Manager</t>
        </is>
      </c>
      <c r="C168" t="inlineStr">
        <is>
          <t>PwC</t>
        </is>
      </c>
      <c r="D168" t="inlineStr">
        <is>
          <t>linkedin</t>
        </is>
      </c>
      <c r="E168" t="inlineStr"/>
      <c r="F168" t="inlineStr"/>
      <c r="G168" t="inlineStr">
        <is>
          <t>Nashville, TN</t>
        </is>
      </c>
      <c r="H168" t="inlineStr"/>
      <c r="I168"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69">
      <c r="A169" t="inlineStr">
        <is>
          <t>li-4369142106</t>
        </is>
      </c>
      <c r="B169" t="inlineStr">
        <is>
          <t>Data Engineer - Manager</t>
        </is>
      </c>
      <c r="C169" t="inlineStr">
        <is>
          <t>PwC</t>
        </is>
      </c>
      <c r="D169" t="inlineStr">
        <is>
          <t>linkedin</t>
        </is>
      </c>
      <c r="E169" t="inlineStr"/>
      <c r="F169" t="inlineStr"/>
      <c r="G169" t="inlineStr">
        <is>
          <t>Portland, OR</t>
        </is>
      </c>
      <c r="H169" t="inlineStr"/>
      <c r="I169"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70">
      <c r="A170" t="inlineStr">
        <is>
          <t>li-4369139604</t>
        </is>
      </c>
      <c r="B170" t="inlineStr">
        <is>
          <t>Data Engineer - Manager</t>
        </is>
      </c>
      <c r="C170" t="inlineStr">
        <is>
          <t>PwC</t>
        </is>
      </c>
      <c r="D170" t="inlineStr">
        <is>
          <t>linkedin</t>
        </is>
      </c>
      <c r="E170" t="inlineStr"/>
      <c r="F170" t="inlineStr"/>
      <c r="G170" t="inlineStr">
        <is>
          <t>Kansas City, MO</t>
        </is>
      </c>
      <c r="H170" t="inlineStr"/>
      <c r="I170"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71">
      <c r="A171" t="inlineStr">
        <is>
          <t>li-4369131813</t>
        </is>
      </c>
      <c r="B171" t="inlineStr">
        <is>
          <t>Data Engineer - Manager</t>
        </is>
      </c>
      <c r="C171" t="inlineStr">
        <is>
          <t>PwC</t>
        </is>
      </c>
      <c r="D171" t="inlineStr">
        <is>
          <t>linkedin</t>
        </is>
      </c>
      <c r="E171" t="inlineStr"/>
      <c r="F171" t="inlineStr"/>
      <c r="G171" t="inlineStr">
        <is>
          <t>Buffalo, NY</t>
        </is>
      </c>
      <c r="H171" t="inlineStr"/>
      <c r="I171"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72">
      <c r="A172" t="inlineStr">
        <is>
          <t>li-4377955161</t>
        </is>
      </c>
      <c r="B172" t="inlineStr">
        <is>
          <t>Data Engineer - Trino/Iceberg Exp - Full Time Job</t>
        </is>
      </c>
      <c r="C172" t="inlineStr">
        <is>
          <t>Jobs via Dice</t>
        </is>
      </c>
      <c r="D172" t="inlineStr">
        <is>
          <t>linkedin</t>
        </is>
      </c>
      <c r="E172" t="inlineStr"/>
      <c r="F172" t="inlineStr"/>
      <c r="G172" t="inlineStr">
        <is>
          <t>Dallas, TX</t>
        </is>
      </c>
      <c r="H172" t="inlineStr"/>
      <c r="I172" t="inlineStr">
        <is>
          <t>Dice is the leading career destination for tech experts at every stage of their careers. Our client, Visionary Innovative Technology Solutions, is seeking the following. Apply via Dice today!
* 7 years in data engineering and largescale data platforms
* Strong hands\-on experience with Flink Iceberg and Trino
* Proficiency in Python Scala or Java and strong SQL skills
* Experience with cloud data services and distributed systems</t>
        </is>
      </c>
    </row>
    <row r="173">
      <c r="A173" t="inlineStr">
        <is>
          <t>li-4369131816</t>
        </is>
      </c>
      <c r="B173" t="inlineStr">
        <is>
          <t>Data Engineer - Manager</t>
        </is>
      </c>
      <c r="C173" t="inlineStr">
        <is>
          <t>PwC</t>
        </is>
      </c>
      <c r="D173" t="inlineStr">
        <is>
          <t>linkedin</t>
        </is>
      </c>
      <c r="E173" t="inlineStr"/>
      <c r="F173" t="inlineStr"/>
      <c r="G173" t="inlineStr">
        <is>
          <t>Tulsa, OK</t>
        </is>
      </c>
      <c r="H173" t="inlineStr"/>
      <c r="I173"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74">
      <c r="A174" t="inlineStr">
        <is>
          <t>li-4369126882</t>
        </is>
      </c>
      <c r="B174" t="inlineStr">
        <is>
          <t>Data Engineer - Senior Manager</t>
        </is>
      </c>
      <c r="C174" t="inlineStr">
        <is>
          <t>PwC</t>
        </is>
      </c>
      <c r="D174" t="inlineStr">
        <is>
          <t>linkedin</t>
        </is>
      </c>
      <c r="E174" t="inlineStr"/>
      <c r="F174" t="inlineStr"/>
      <c r="G174" t="inlineStr">
        <is>
          <t>Nashville, TN</t>
        </is>
      </c>
      <c r="H174" t="inlineStr"/>
      <c r="I174"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75">
      <c r="A175" t="inlineStr">
        <is>
          <t>li-4369129900</t>
        </is>
      </c>
      <c r="B175" t="inlineStr">
        <is>
          <t>Data Engineer - Senior Manager</t>
        </is>
      </c>
      <c r="C175" t="inlineStr">
        <is>
          <t>PwC</t>
        </is>
      </c>
      <c r="D175" t="inlineStr">
        <is>
          <t>linkedin</t>
        </is>
      </c>
      <c r="E175" t="inlineStr"/>
      <c r="F175" t="inlineStr"/>
      <c r="G175" t="inlineStr">
        <is>
          <t>Albany, NY</t>
        </is>
      </c>
      <c r="H175" t="inlineStr"/>
      <c r="I175"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76">
      <c r="A176" t="inlineStr">
        <is>
          <t>li-4369132870</t>
        </is>
      </c>
      <c r="B176" t="inlineStr">
        <is>
          <t>Data Engineer - Senior Manager</t>
        </is>
      </c>
      <c r="C176" t="inlineStr">
        <is>
          <t>PwC</t>
        </is>
      </c>
      <c r="D176" t="inlineStr">
        <is>
          <t>linkedin</t>
        </is>
      </c>
      <c r="E176" t="inlineStr"/>
      <c r="F176" t="inlineStr"/>
      <c r="G176" t="inlineStr">
        <is>
          <t>Stamford, CT</t>
        </is>
      </c>
      <c r="H176" t="inlineStr"/>
      <c r="I176"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77">
      <c r="A177" t="inlineStr">
        <is>
          <t>li-4369137677</t>
        </is>
      </c>
      <c r="B177" t="inlineStr">
        <is>
          <t>Data Engineer - Senior Manager</t>
        </is>
      </c>
      <c r="C177" t="inlineStr">
        <is>
          <t>PwC</t>
        </is>
      </c>
      <c r="D177" t="inlineStr">
        <is>
          <t>linkedin</t>
        </is>
      </c>
      <c r="E177" t="inlineStr"/>
      <c r="F177" t="inlineStr"/>
      <c r="G177" t="inlineStr">
        <is>
          <t>Richmond, VA</t>
        </is>
      </c>
      <c r="H177" t="inlineStr"/>
      <c r="I177"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78">
      <c r="A178" t="inlineStr">
        <is>
          <t>li-4369138696</t>
        </is>
      </c>
      <c r="B178" t="inlineStr">
        <is>
          <t>Data Engineer - Senior Manager</t>
        </is>
      </c>
      <c r="C178" t="inlineStr">
        <is>
          <t>PwC</t>
        </is>
      </c>
      <c r="D178" t="inlineStr">
        <is>
          <t>linkedin</t>
        </is>
      </c>
      <c r="E178" t="inlineStr"/>
      <c r="F178" t="inlineStr"/>
      <c r="G178" t="inlineStr">
        <is>
          <t>Philadelphia, PA</t>
        </is>
      </c>
      <c r="H178" t="inlineStr"/>
      <c r="I178"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79">
      <c r="A179" t="inlineStr">
        <is>
          <t>li-4377933894</t>
        </is>
      </c>
      <c r="B179" t="inlineStr">
        <is>
          <t>Palantir Foundry Data Engineer</t>
        </is>
      </c>
      <c r="C179" t="inlineStr">
        <is>
          <t>Jobs via Dice</t>
        </is>
      </c>
      <c r="D179" t="inlineStr">
        <is>
          <t>linkedin</t>
        </is>
      </c>
      <c r="E179" t="inlineStr"/>
      <c r="F179" t="inlineStr"/>
      <c r="G179" t="inlineStr"/>
      <c r="H179" t="inlineStr"/>
      <c r="I179" t="inlineStr">
        <is>
          <t>Dice is the leading career destination for tech experts at every stage of their careers. Our client, System One, is seeking the following. Apply via Dice today!
 We are looking for a highly skilled data engineer/senior consultant with strong expertise in Palantir Foundry and experience in executing projects and tasks from conception to final product including both technical and customer needs. Along with the typical Foundry projects this role will also need to create and build reports for visual data management harnessing existing and new data sources. Typical consultants’ skillset providing analysis, planning, design, research, budget monitoring, coordination, facilitation, and communication with customers is expected.
 Working in Palantir Foundry projects in large enterprises with team sizes of 25 or more is a must.
 Your future duties and responsibilities
* Creating and managing Object Types, defining Link Types to establish object relationships, and developing Property Types to describe objects and link attributes. Creating Interface Types for object polymorphism.
* Ontology creation and maintenance using Foundry''s Ontology Manager and leverage ontologies for data integration, analysis, and visualization.
* Map business concepts and processes to ontological structures while optimizing these ontologies for performance and scalability.
* Data Integration: Integrating data from multiple sources into Palantir Foundry, including ETL processes and data transformation.
* Code Workbooks: Use Foundry''s Code Workbooks to write and execute Python, PySpark, or SQL scripts for data processing.
* Pipeline Management: Build, manage, and optimize data pipelines, including Batch, Incremental, and Streaming pipelines in Foundry for efficient data flow and processing. Design complex data transformation logic within these pipelines, performance optimization of existing pipelines, data quality checks, error handling and setup pipeline schedules and triggers.
* Semantic Object Linking: Develop back\-end code logic leveraging semantic object linking (ontologies) within Foundry Pipeline Builder, Code Workbook, and Ontology Manager. Facilitate data transformation and enrichment processes.
* Data Connection Maintenance: Ensure health of data connections and pipelines (utilizing filesystem, JDBC, SFTP, and webhook).
**Required Qualifications To Be Successful In This Role**
* Strong proficiency with Palantir Foundry, including experience with tools like Pipeline Builder, Code Workbooks, Ontology Manager, and Quiver.
* Advanced skills in data engineering, particularly with PySpark, Python and SQL.
* Experience designing and implementing complex ontologies within Palantir Foundry, including creating Object Types, Link Types, and Property Types.
* Expertise in developing and managing data pipelines, including batch, incremental, and streaming pipelines.
* Proficiency in semantic object linking and leveraging Foundry''s semantic model for data transformation and enrichment.
* Knowledge of data quality processes and the ability to implement testing and codification methods.
* Understanding of program management principles and the ability to work in Agile/Scrum development teams.
* Strong communication skills and the ability to collaborate with various stakeholders, including product owners and end\-users.
* BS/MS degree in Computer Science, Engineering, or a related field, or equivalent experience.
 Desired Skills:
* Certification in Palantir Foundry is strongly desired
* Experience in .Net, C\#
* Experience in or exposure to designing data models that effectively utilize object linking to enable advanced analytics and AI/ML capabilities.
* Develop front\-end website architecture based on Palantir Foundry.
* Design user interactions on web pages within Palantir Foundry Workshop.
* Ensure responsiveness of web applications developed on low code/no code solutions.
* Provide incident management, direct technical consulting and support for current applications/solutions.
* Collaborate with various internal and external stakeholders/IT to timely report the status, updates and impediments.
* Provides technical guidance for small to large enhancements in areas of solution alternatives, design, testing and documentation
 Ref: \#404\-IT Pittsburgh</t>
        </is>
      </c>
    </row>
    <row r="180">
      <c r="A180" t="inlineStr">
        <is>
          <t>li-4369134818</t>
        </is>
      </c>
      <c r="B180" t="inlineStr">
        <is>
          <t>Data Engineer - Senior Manager</t>
        </is>
      </c>
      <c r="C180" t="inlineStr">
        <is>
          <t>PwC</t>
        </is>
      </c>
      <c r="D180" t="inlineStr">
        <is>
          <t>linkedin</t>
        </is>
      </c>
      <c r="E180" t="inlineStr"/>
      <c r="F180" t="inlineStr"/>
      <c r="G180" t="inlineStr">
        <is>
          <t>Florham Park, NJ</t>
        </is>
      </c>
      <c r="H180" t="inlineStr"/>
      <c r="I180"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81">
      <c r="A181" t="inlineStr">
        <is>
          <t>li-4369141452</t>
        </is>
      </c>
      <c r="B181" t="inlineStr">
        <is>
          <t>Data Engineer - Senior Manager</t>
        </is>
      </c>
      <c r="C181" t="inlineStr">
        <is>
          <t>PwC</t>
        </is>
      </c>
      <c r="D181" t="inlineStr">
        <is>
          <t>linkedin</t>
        </is>
      </c>
      <c r="E181" t="inlineStr"/>
      <c r="F181" t="inlineStr"/>
      <c r="G181" t="inlineStr">
        <is>
          <t>Sacramento, CA</t>
        </is>
      </c>
      <c r="H181" t="inlineStr"/>
      <c r="I181"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82">
      <c r="A182" t="inlineStr">
        <is>
          <t>li-4362764221</t>
        </is>
      </c>
      <c r="B182" t="inlineStr">
        <is>
          <t>Lead Data Engineer</t>
        </is>
      </c>
      <c r="C182" t="inlineStr">
        <is>
          <t>Capital One</t>
        </is>
      </c>
      <c r="D182" t="inlineStr">
        <is>
          <t>linkedin</t>
        </is>
      </c>
      <c r="E182" t="inlineStr"/>
      <c r="F182" t="inlineStr"/>
      <c r="G182" t="inlineStr">
        <is>
          <t>Plano, TX</t>
        </is>
      </c>
      <c r="H182" t="inlineStr"/>
      <c r="I18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Plano, TX: $179,400 \- $204,700 for Lead Data Engineer
 Richmond, VA: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3">
      <c r="A183" t="inlineStr">
        <is>
          <t>li-4362403815</t>
        </is>
      </c>
      <c r="B183" t="inlineStr">
        <is>
          <t>Senior Lead Data Engineer</t>
        </is>
      </c>
      <c r="C183" t="inlineStr">
        <is>
          <t>Capital One</t>
        </is>
      </c>
      <c r="D183" t="inlineStr">
        <is>
          <t>linkedin</t>
        </is>
      </c>
      <c r="E183" t="inlineStr"/>
      <c r="F183" t="inlineStr"/>
      <c r="G183" t="inlineStr">
        <is>
          <t>Deerfield, IL</t>
        </is>
      </c>
      <c r="H183" t="inlineStr"/>
      <c r="I18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Lead Data Engineer
 McLean, VA: $229,900 \- $262,400 for Sr. Lead Data Engineer
 Richmond, VA: $209,000 \- $238,500 for Sr. Lead Data Engineer
 Riverwoods, IL: $209,000 \- $238,500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4">
      <c r="A184" t="inlineStr">
        <is>
          <t>li-4375994406</t>
        </is>
      </c>
      <c r="B184" t="inlineStr">
        <is>
          <t>Senior Data Engineer</t>
        </is>
      </c>
      <c r="C184" t="inlineStr">
        <is>
          <t>AMroute LLC</t>
        </is>
      </c>
      <c r="D184" t="inlineStr">
        <is>
          <t>linkedin</t>
        </is>
      </c>
      <c r="E184">
        <f>HYPERLINK("https://www.linkedin.com/jobs/view/4375994406", "https://www.linkedin.com/jobs/view/4375994406")</f>
        <v/>
      </c>
      <c r="F184" t="inlineStr"/>
      <c r="G184" t="inlineStr">
        <is>
          <t>Piscataway, NJ</t>
        </is>
      </c>
      <c r="H184" t="inlineStr"/>
      <c r="I184" t="inlineStr">
        <is>
          <t>* Design and implement features of our TMR data model
* Oversee cloud data migration to TMR and production deployment
* Contribute to technical design discussions and architecture decisions
* Write high\-quality, testable code for chemical registration workflows
* Support and mentor junior team members
* Collaborate with scientists and other engineers to implement business requirements</t>
        </is>
      </c>
    </row>
    <row r="185">
      <c r="A185" t="inlineStr">
        <is>
          <t>li-4377939926</t>
        </is>
      </c>
      <c r="B185" t="inlineStr">
        <is>
          <t>Data Engineer (Azure, Fabric, Databricks)</t>
        </is>
      </c>
      <c r="C185" t="inlineStr">
        <is>
          <t>Collectiv</t>
        </is>
      </c>
      <c r="D185" t="inlineStr">
        <is>
          <t>linkedin</t>
        </is>
      </c>
      <c r="E185">
        <f>HYPERLINK("https://www.linkedin.com/jobs/view/4377939926", "https://www.linkedin.com/jobs/view/4377939926")</f>
        <v/>
      </c>
      <c r="F185" t="inlineStr"/>
      <c r="G185" t="inlineStr">
        <is>
          <t>Chicago, IL</t>
        </is>
      </c>
      <c r="H185" t="inlineStr"/>
      <c r="I185" t="inlineStr">
        <is>
          <t>**Role Overview**
 The
 **Data Engineer** 
 is responsible for designing, implementing, and supporting modern data platforms using
 **Microsoft Fabric and Databricks** 
 , with a strong emphasis on lakehouse architecture, analytics engineering, and semantic modeling. This role is client\-facing and requires translating business requirements into scalable technical solutions while adhering to data engineering best practices.
 You will collaborate with client stakeholders, Collectiv consultants, and cross\-functional teams to deliver data platforms that support reporting, advanced analytics, and self\-service BI.
**Key Responsibilities**
**Client Delivery \&amp; Solution Design**
* Design and implement modern data platforms leveraging Microsoft Fabric (OneLake, Lakehouse, Data Factory, Power BI) and Databricks (Spark, Delta Lake, SQL Warehouses)
* Build and optimize data ingestion, transformation, and orchestration pipelines using ELT/ETL best practices
* Develop scalable lakehouse architectures that support analytics, reporting, and downstream data products
* Translate business and analytical requirements into technical designs and data models
**Analytics \&amp; BI Enablement**
* Develop and maintain semantic models that enable performant reporting and self\-service analytics
* Partner with analytics and business teams to deliver trusted datasets and dashboards (Power BI or equivalent)
* Ensure data quality, reliability, and usability across the analytics platform
**Engineering Best Practices**
* Write, optimize, and tune SQL and Spark\-based transformations for large\-scale analytical workloads
* Apply version control, CI/CD concepts, and code review standards to data engineering workflows
* Ensure solutions meet quality criteria related to performance, scalability, and maintainability
**Consulting \&amp; Collaboration**
* Work directly with client stakeholders to gather requirements, communicate technical concepts, and manage expectations
* Collaborate with project managers, architects, and fellow consultants to align technical delivery with project goals
* Contribute to internal documentation, reusable patterns, and knowledge sharing across Collectiv
**Required Qualifications**
* Bachelor's degree from an accredited university
* 4\+ years of experience in data engineering, analytics engineering, or data platform consulting
* Hands\-on experience with Microsoft Fabric and/or Databricks in production environments (experience with both strongly preferred)
* Strong SQL skills, including performance tuning and optimization
* Experience designing data models for analytics (star schemas, semantic models, lakehouse patterns)
* Experience working in cloud data platforms (Azure preferred)
* Ability to work independently in a client\-facing consulting role
**Preferred Qualifications**
* Experience migrating or modernizing data platforms (e.g., legacy DW to lakehouse)
* Familiarity with Power BI dataset modeling and performance optimization
* Experience integrating data platforms with downstream applications or APIs
* Consulting experience with multiple clients or industries
* Strong written and verbal communication skills
* Relevant Azure certifications (e.g., Azure Solutions Architect, Azure Data Engineer), Fabric (DP\-600, DP\-700\) certifications, and Databricks certifications are highly desirable
**What Success Looks Like In This Role**
* Clients trust you as a technical advisor for their data platform decisions
* Delivered solutions are scalable, well\-documented, and aligned to best practices
* Business users are enabled through reliable data models and analytics\-ready datasets
* You actively contribute to Collectiv’s data platform standards and consulting excellence
 Join Collectiv for a rewarding career in a fully remote work environment with quarterly in person team experiences and a competitive compensation. We provide a clear growth trajectory with professional development opportunities and a top\-shelf benefits package. Enjoy unlimited time off and 100% covered health insurance, encompassing medical, dental, and vision plans for you and your family. Our comprehensive offerings, from a competitive 401(k) with a 4% match to educational assistance, tech stipend, and discounts on various goods and services, demonstrate our commitment to your well\-being and success. At Collectiv, your career thrives with a perfect blend of remote flexibility, growth potential, and unparalleled benefits prioritizing your financial, physical, and emotional well\-being.
 Collectiv is the leading boutique consulting and strategy firm specializing in Analytics, Planning and AI with Power BI and the Microsoft Data Stack.
 Our mission at Collectiv is simple: We help enterprises make better decisions.
**Our Core Values**
****Growth Mindset****
 – Bring solutions, not problems.
**Excel with Humility** 
 – Be humbly brilliant.
**Communicate Actively and Empathetically** 
 – Listen, ask, understand, help.
**Work Hard, Play Hard** 
 – Results are proportional to effort.
**Keep Calm and Carry On** 
 – Stay cool, calm and Collectiv.</t>
        </is>
      </c>
    </row>
    <row r="186">
      <c r="A186" t="inlineStr">
        <is>
          <t>li-4377096813</t>
        </is>
      </c>
      <c r="B186" t="inlineStr">
        <is>
          <t>Data Engineer</t>
        </is>
      </c>
      <c r="C186" t="inlineStr">
        <is>
          <t>Bespoke Technologies, Inc.</t>
        </is>
      </c>
      <c r="D186" t="inlineStr">
        <is>
          <t>linkedin</t>
        </is>
      </c>
      <c r="E186">
        <f>HYPERLINK("https://www.linkedin.com/jobs/view/4377096813", "https://www.linkedin.com/jobs/view/4377096813")</f>
        <v/>
      </c>
      <c r="F186" t="inlineStr"/>
      <c r="G186" t="inlineStr">
        <is>
          <t>Herndon, VA</t>
        </is>
      </c>
      <c r="H186" t="inlineStr"/>
      <c r="I186" t="inlineStr">
        <is>
          <t>**BT\-153 – Data Engineer (Associate Manager)**
 Location: Chantilly/Herndon
* MUST HAVE AN ACTIVE TS OR TS/SCI CLEARANCE TO APPLY. Those without an active security clearance will not be considered.\*\*
**Role Description**
 As a senior Data Engineer, you will be a key technical contributor on the team building and maintaining the critical data pipelines for a data platform. You will apply your deep expertise to design, develop, and optimize robust ETL/ELT processes that move and transform data. In this role, you will not only build solutions but also mentor junior engineers and help drive the adoption of modern data engineering practices and automation.
**Responsibilities**
* Design, build, and maintain scalable and resilient data pipelines for both new data sources and existing systems within the data ecosystem.
* Implement and optimize pipelines using modular patterns, such as Databricks Delta Live Tables, following governance from the architecture team.
* Develop and integrate automated monitoring, alerting, and data quality checks into every pipeline to reduce downtime and ensure data integrity.
* Utilize Infrastructure\-as\-Code (IaC) with tools like Terraform to create consistent, repeatable deployments and CI/CD processes.
* Analyze complex source data formats and collaborate with data scientists and stakeholders to design transformations that meet objectives.
* Participate in and lead code reviews, enforce best practices, and mentor junior data engineers.
* Troubleshoot and resolve complex issues with data pipelines, and contribute to the ongoing improvement of O\&amp;M processes.
**Required Qualifications**
* 6\+ years of experience in data engineering.
* Strong experience with the development and maintenance of extract, transform, and load (ETL) tools and services.
* Proficiency in Python, SQL, Spark, and PySpark.
* Hands\-on experience with cloud environments (AWS, Azure) and data platforms like Databricks, Palantir, or Snowflake.
* Experience working in an Agile/Scrum development environment.
* Familiarity with data orchestration and data quality processes.
* Active Top Secret/SCI security clearance.
**Preferred Qualifications**
* Direct experience engineering data pipelines for the data platform.
* Experience working in high\-security environments (e.g., SIPR, JWICS).
* Hands\-on experience with Databricks Delta Live Tables and Terraform.
* Experience with containerization technologies like Docker or Kubernetes.
* Knowledge of COTS and open\-source data engineering tools such as NiFi or ElasticSearch.</t>
        </is>
      </c>
    </row>
    <row r="187">
      <c r="A187" t="inlineStr">
        <is>
          <t>li-4377110207</t>
        </is>
      </c>
      <c r="B187" t="inlineStr">
        <is>
          <t>Data Engineer</t>
        </is>
      </c>
      <c r="C187" t="inlineStr">
        <is>
          <t>Bespoke Technologies, Inc.</t>
        </is>
      </c>
      <c r="D187" t="inlineStr">
        <is>
          <t>linkedin</t>
        </is>
      </c>
      <c r="E187">
        <f>HYPERLINK("https://www.linkedin.com/jobs/view/4377110207", "https://www.linkedin.com/jobs/view/4377110207")</f>
        <v/>
      </c>
      <c r="F187" t="inlineStr"/>
      <c r="G187" t="inlineStr">
        <is>
          <t>Herndon, VA</t>
        </is>
      </c>
      <c r="H187" t="inlineStr"/>
      <c r="I187" t="inlineStr">
        <is>
          <t>**BT\-151 – Data Engineer**
 Skill Level: Mid
 Location: Chantilly/Herndon
* MUST HAVE AN ACTIVE TS OR TS/SCI CLEARANCE TO APPLY. Those without an active security clearance will not be considered.\*\*
**Role Description**
 As a Data Engineer on the Data Catalog and Governance team, you will be the technical engineer that brings our governance policies to life. You will be responsible for the hands\-on development and maintenance of the systems that connect our data sources to our enterprise data catalog. Working under the guidance of senior technical and program leadership, you will build the data pipelines and integrations necessary to automate the collection of metadata and lineage. This is an implementation\-focused role for a skilled engineer who enjoys solving technical challenges and wants to apply their skills to build a foundation of trust and transparency in data.
* Develop, maintain, and enhance data pipelines that automatically harvest metadata from various data sources (e.g., databases, data lakes, APIs) and ingest it into the enterprise data catalog (e.g., Collibra).
* Implement custom integrations using the data catalog's APIs and SDKs to connect with platforms like Databricks, Snowflake, and S3\.
* Work with senior engineers and analysts to implement technical data quality rules and monitoring solutions within data pipelines.
* Support the technical administration and operational health of the data catalog platform, troubleshooting ingestion issues and ensuring system stability.
* Write and maintain clear, concise documentation for the data pipelines and integrations you build.
* Collaborate with data source owners and other engineering teams to ensure successful metadata extraction and lineage tracing.
* Contribute to the scripting and automation of recurring data governance tasks.
**Required Qualifications**
* 4\-7 years of hands\-on experience in a data engineering role.
* Strong programming proficiency in Python and advanced SQL.
* Experience building and maintaining data pipelines and ETL/ELT processes.
* Hands\-on experience working with REST APIs to integrate different systems.
* Experience with cloud data platforms (e.g., Databricks, Snowflake, AWS S3, Azure Data Lake).
* A foundational understanding of metadata management and data governance concepts.
**Preferred Qualifications**
* Hands\-on experience developing integrations for an enterprise data catalog platform (e.g., Collibra, Alation).
* Experience with workflow orchestration tools (e.g., Airflow, Prefect).
* Familiarity with Infrastructure\-as\-Code (e.g., Terraform).
* Exposure to streaming data technologies (e.g., Kafka).</t>
        </is>
      </c>
    </row>
    <row r="188">
      <c r="A188" t="inlineStr">
        <is>
          <t>li-4379050328</t>
        </is>
      </c>
      <c r="B188" t="inlineStr">
        <is>
          <t>Junior Data Engineer</t>
        </is>
      </c>
      <c r="C188" t="inlineStr">
        <is>
          <t>Helic &amp; Co.</t>
        </is>
      </c>
      <c r="D188" t="inlineStr">
        <is>
          <t>linkedin</t>
        </is>
      </c>
      <c r="E188">
        <f>HYPERLINK("https://www.linkedin.com/jobs/view/4379050328", "https://www.linkedin.com/jobs/view/4379050328")</f>
        <v/>
      </c>
      <c r="F188" t="inlineStr"/>
      <c r="G188" t="inlineStr"/>
      <c r="H188" t="inlineStr"/>
      <c r="I188" t="inlineStr">
        <is>
          <t>This is a remote position.
 Overview
 We are looking for a motivated Junior Data Engineer to assist in building and maintaining scalable data pipelines and infrastructure. This entry\-level role offers hands\-on experience with data processing, ETL workflows, and collaboration with data teams to support business analytics.
 Key Responsibilities
* Assist in designing, building, and maintaining data pipelines for ETL/ELT processes using tools like Python, SQL, and cloud platforms.
* Collect, clean, and transform data from various sources (e.g., databases, APIs, files in JSON/CSV/XML formats) to ensure quality and usability.
* Support database management, optimization, and basic troubleshooting to enable efficient data storage and retrieval.
* Perform data quality checks, validation, and monitoring to identify and resolve issues in pipelines.
* Document processes, pipelines, and code for team collaboration and knowledge sharing.
* Collaborate with data analysts, scientists, and stakeholders to understand data needs and contribute to projects.
 Qualifications
* Bachelor’s degree in Computer Science, Data Engineering, or a related field.
* Proficiency in SQL, Python (or Java), and basic data tools; familiarity with ETL processes and databases.
* 0\-2 years of relevant experience or internships; strong problem\-solving and analytical skills.
* Experience with version control (e.g., Git) and data formats is a plus.
 Preferred Attributes
* Knowledge of big data tools (e.g., Spark, Hadoop) or cloud platforms (e.g., AWS, GCP).
* Attention to detail, eagerness to learn, and collaborative team mindset.
 What You’ll Gain
* Mentorship in modern data engineering practices and real\-world projects.
* Opportunities to grow into senior roles while contributing to data\-driven decisions.</t>
        </is>
      </c>
    </row>
    <row r="189">
      <c r="A189" t="inlineStr">
        <is>
          <t>li-4377091975</t>
        </is>
      </c>
      <c r="B189" t="inlineStr">
        <is>
          <t>Data Engineer</t>
        </is>
      </c>
      <c r="C189" t="inlineStr">
        <is>
          <t>Bespoke Technologies, Inc.</t>
        </is>
      </c>
      <c r="D189" t="inlineStr">
        <is>
          <t>linkedin</t>
        </is>
      </c>
      <c r="E189">
        <f>HYPERLINK("https://www.linkedin.com/jobs/view/4377091975", "https://www.linkedin.com/jobs/view/4377091975")</f>
        <v/>
      </c>
      <c r="F189" t="inlineStr"/>
      <c r="G189" t="inlineStr">
        <is>
          <t>Herndon, VA</t>
        </is>
      </c>
      <c r="H189" t="inlineStr"/>
      <c r="I189" t="inlineStr">
        <is>
          <t>**BT\-152 – Data Engineer**
 Skill Level: Mid
 Location: Chantilly/Herndon
* MUST HAVE AN ACTIVE TS OR TS/SCI CLEARANCE TO APPLY. Those without an active security clearance will not be considered.\*\*
**Role Description**
 As a Data Engineer, you will be a hands\-on builder and a key member of the team creating and sustaining the data lifeblood of the platform. You will apply your technical skills to develop, deploy, and maintain resilient and efficient data pipelines. This role is perfect for a practitioner who is passionate about leveraging modern tools and automation to solve complex data challenges and deliver high\-quality data solutions.
**Responsibilities**
* Design, develop, and maintain robust and scalable data pipelines for both new development and ongoing operations \&amp; maintenance (O\&amp;M).
* Build new pipelines using modern, modular patterns like Databricks Delta Live Tables, adhering to established governance standards.
* Implement reusable pipeline templates and automated monitoring patterns to ensure consistency and scalability across all data flows.
* Utilize Infrastructure\-as\-Code (IaC) with tools like Terraform to create consistent and repeatable CI/CD deployments.
* Integrate automated data quality checks and profiling using frameworks like Great Expectations to ensure data integrity and validate SLAs.
* Troubleshoot pipeline issues, optimize performance, and contribute to the continuous improvement of O\&amp;M processes.
* Participate in code reviews and create clear documentation for ETL mappings, code, and deployment processes.
**Required Qualifications**
* 4\+ years of experience in data engineering.
* Experience with the development and maintenance of extract, transform, and load (ETL) tools and services.
* Proficiency in Python, SQL, and Spark/PySpark.
* Experience with cloud data platforms (e.g., AWS, Azure) and data engineering platforms like Databricks, Palantir, or Snowflake.
* Experience working in an Agile/Scrum environment.
**Preferred Qualifications**
* Direct experience with the data platform.
* Experience working in high\-security environments (e.g., SIPR, JWICS).
* Hands\-on experience with Databricks Delta Live Tables and Terraform.
* Familiarity with data orchestration tools (e.g., Airflow) and containerization (Docker, Kubernetes).
* Knowledge of COTS and open\-source data engineering tools such as NiFi or ElasticSearch.</t>
        </is>
      </c>
    </row>
    <row r="190">
      <c r="A190" t="inlineStr">
        <is>
          <t>li-4376222047</t>
        </is>
      </c>
      <c r="B190" t="inlineStr">
        <is>
          <t>Sr. Data Engineer I (6436)</t>
        </is>
      </c>
      <c r="C190" t="inlineStr">
        <is>
          <t>MetroStar</t>
        </is>
      </c>
      <c r="D190" t="inlineStr">
        <is>
          <t>linkedin</t>
        </is>
      </c>
      <c r="E190">
        <f>HYPERLINK("https://www.linkedin.com/jobs/view/4376222047", "https://www.linkedin.com/jobs/view/4376222047")</f>
        <v/>
      </c>
      <c r="F190" t="inlineStr"/>
      <c r="G190" t="inlineStr">
        <is>
          <t>Washington, DC</t>
        </is>
      </c>
      <c r="H190" t="inlineStr"/>
      <c r="I190" t="inlineStr">
        <is>
          <t>As 
 **Sr. Data Engineer I** 
 , you’ll support a high\-visibility, enterprise AI\-enabled financial compliance initiative for the Department of War.
 This mission\-critical program modernizes financial system compliance and audit workflows across 180\+ DoW systems. You will engineer the data backbone powering AI\-assisted validation, semantic search, and enterprise\-scale governance.
 This is a remote role with preference for candidates local to the DMV area who can attend in\-person meetings as required.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and maintain scalable data pipelines supporting AI\-enabled compliance workflows
* Build and optimize Retrieval\-Augmented Generation (RAG) pipelines for large\-scale document and financial datasets
* Engineer ingestion pipelines across structured and unstructured data sources
* Integrate relational databases and enterprise data systems into secure, production\-grade AI architectures
* Collaborate with AI/ML engineers, DevSecOps, cybersecurity specialists, financial SMEs, and UX teams within a regulated DoW environment
**What you’ll need to succeed:** 
* Active Secret clearance required
* Bachelor’s degree in Computer Science, Engineering, or related field
* Minimum 5 years of data engineering professional experience
* Experience supporting DoD environments preferred
* Experience building and maintaining RAG pipelines including document ingestion, chunking, embedding, vector storage, and semantic search
* Strong Python proficiency with disciplined typing, functional programming patterns, and async/concurrent execution for data\-intensive workloads
* Hands\-on ETL experience across Excel, XML, YAML, Markdown, and relational databases such as PostgreSQL using SQLAlchemy and schema migrations
* Familiarity with LLM integration patterns including prompt engineering, structured response parsing, caching strategies, and evaluation frameworks
 SALARY RANGE: $128,000 \- $138,000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91">
      <c r="A191" t="inlineStr">
        <is>
          <t>li-4379066130</t>
        </is>
      </c>
      <c r="B191" t="inlineStr">
        <is>
          <t>Data Engineer</t>
        </is>
      </c>
      <c r="C191" t="inlineStr">
        <is>
          <t>SmartAsset</t>
        </is>
      </c>
      <c r="D191" t="inlineStr">
        <is>
          <t>linkedin</t>
        </is>
      </c>
      <c r="E191">
        <f>HYPERLINK("https://www.linkedin.com/jobs/view/4379066130", "https://www.linkedin.com/jobs/view/4379066130")</f>
        <v/>
      </c>
      <c r="F191" t="inlineStr"/>
      <c r="G191" t="inlineStr"/>
      <c r="H191" t="inlineStr"/>
      <c r="I191" t="inlineStr">
        <is>
          <t>**About SmartAsset**
 SmartAsset is an online destination for consumer\-focused financial information and advice, whose mission is helping people make smart financial decisions, reaching over an estimated 59 million people each month (as of January 2025\) through our educational content and personalized calculators and tools. To extend our mission, we also operate SmartAsset Advisor Marketing Platform (AMP), which helps connect consumers with fiduciary financial advisors.SmartAsset has earned recognition on the Inc. 5000 (\#2574 in 2023\) and Deloitte Technology Fast 500™ (\#250 in 2022\) lists. Currently, SmartAsset ranks on Y Combinator’s list of Top 100 Companies. A successful $110 million Series D funding round in 2021 valued the company at over $1 billion.
* Other than application and licensing fees, SmartAsset did not provide compensation for the aforementioned awards.
**About The Team**
 SmartAsset’s Data Engineering team builds and maintains the scalable, low\-latency systems that power data access across the company. Our platform supports real\-time and batch data needs for analytics, reporting, and machine learning, serving teams across Marketing, Product, Sales, and Finance.
 You’ll be part of a growing data organization that includes analysts, data scientists, and ML engineers that are at the forefront of AI/ML application for the company. As a Data Engineer, you'll work cross\-functionally to evolve our architecture, optimize data latency, and build robust solutions that enable data\-driven decisions at scale.
**About The Job**
 SmartAsset is looking for a Data Engineer with 3\+ years of hands\-on experience to help build and optimize the backbone of our data platform. In this role, you’ll design and implement high\-impact, cloud\-native solutions that improve data reliability, reduce latency, and scale with our growing business. You’ll play a key role in enabling data products, real\-time analytics, and cross\-functional decision\-making by delivering clean, well\-structured, and accessible data.
**Responsibilities**
* Design, implement, and maintain scalable data engineering solutions following Agile methodology.
* Develop and manage reliable data integrations with external vendors and organizations (including API integrations).
* Collaborate closely with Data Analysts, Data Scientists, DBAs, and cross\-functional teams to understand requirements and deliver high\-quality data solutions.
* Take ownership of assigned components and deliverables within larger technical projects.
* Contribute to improving the quality, security, efficiency, and scalability of data pipelines and infrastructure.
**Skills/Experience You Have**
* Bachelor of Science degree in Computer Science or equivalent.
* 3 \- 5 years of experience building and maintaining ETL/ELT pipelines.
* 2\+ years of Python development experience, including building and maintaining production\-grade data services (e.g., FastAPI or similar frameworks).
* Strong SQL skills, including performance tuning and query optimization.
* Hands\-on experience with dbt, including developing models and managing incremental tables.
* Practical experience with Snowflake, including data modeling and query optimization.
* Experience with AWS data services such as S3, Redshift, Lambda, or similar tools for building and operating data workflows.
**Skills/Experience Preferred**
* Experience working with near real\-time or streaming data systems.
* Familiarity with data observability or monitoring tools.
* Exposure to orchestration platforms such as Airflow or Argo.
* Experience contributing to CI/CD pipelines and testing frameworks for data workflows.
* Understanding of the data lifecycle and the role of high\-quality data in analytics and reporting.
* Experience with data ingestion tools like Singer is a plus.
* Knowledge of analytics tools such as Tableau, Plotly, or Pandas.
* Experience in the financial services industry.
**Physical Requirements**
 Prolonged periods of sitting at a desk and working on a computer
 Must be able to communicate via phone calls and/or video conferences (mainly for concierge and sales roles)
**Available Benefits And Perks**
 All roles at SmartAsset are currently and will remain remote \- flexibility to work from anywhere in the Contiguous US.
 Medical, Dental, Vision \- multiple packages available based on your individualized needs
 Life/AD\&amp;D Insurance \- basic coverage at 100% company paid, additional supplemental available
 Supplemental Short\-term and Long\-term Disability
 FSA: Medical and Dependant Care
 401K
 Equity packages for each role
 Time Off: Vacation, Sick and Parental Leave
 EAP (Employee Assistance Program)
 Financial Literacy Mentoring Program
 Pet Insurance
 Home Office Stipend
 SmartAsset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us at Recruiting@smartasset.com.
 California, Colorado, Connecticut, Maryland, Nevada, Rhode Island, Washington, and New York City residents\* $134,500 \- $180,000 \+ RSUs \+ benefits.
 Salary at SmartAsset is determined based on permissible, non\-discriminatory factors such as skills, experience, and geographic location within the contiguous United States.</t>
        </is>
      </c>
    </row>
    <row r="192">
      <c r="A192" t="inlineStr">
        <is>
          <t>li-4377949401</t>
        </is>
      </c>
      <c r="B192" t="inlineStr">
        <is>
          <t>Lead Data &amp; Analytics Engineer</t>
        </is>
      </c>
      <c r="C192" t="inlineStr">
        <is>
          <t>Kandu</t>
        </is>
      </c>
      <c r="D192" t="inlineStr">
        <is>
          <t>linkedin</t>
        </is>
      </c>
      <c r="E192">
        <f>HYPERLINK("https://www.linkedin.com/jobs/view/4377949401", "https://www.linkedin.com/jobs/view/4377949401")</f>
        <v/>
      </c>
      <c r="F192" t="inlineStr"/>
      <c r="G192" t="inlineStr"/>
      <c r="H192" t="inlineStr"/>
      <c r="I192" t="inlineStr">
        <is>
          <t>Kandu, Inc. is pioneering an integrated approach to stroke recovery by combining FDA\-cleared brain\-computer interface technology with personalized telehealth services. Our IpsiHand® device is durable medical equipment that enables chronic stroke survivors to regain upper extremity function with daily home use. Combining this advanced technology with the support of expert clinicians offers a comprehensive path to recovery–helping survivors improve mobility, independence, and quality of life.
**Summary** 
 The Lead Data \&amp; Analytics Engineer will be a foundational member of Kandu’s Enterprise Systems \&amp; Intelligence (ESI) team, a new function responsible for building Kandu’s unified digital operating system and enabling data\-driven, intelligent workflows across the enterprise.
 You will help architect and build the data infrastructure that connects our core business systems, turning disparate operational data into clean, governed, insight\-ready assets. You will design pipelines, model and transform data, build the enterprise data warehouse, deliver dashboards, and contribute to early predictive modeling. Your work will enable clinicians, commercial teams, market access, revenue cycle, operations, and leadership to make faster, more informed decisions.
 This role is ideal for someone who loves building systems from scratch, thrives in ambiguity, and wants to be part of transforming a company into an insight\-driven, AI\-enabled enterprise.
**What You’ll Do** 
**Data Engineering \&amp; Pipeline Development** 
* Build and maintain data pipelines from key business systems, including EHR, CRM, ERP, claims/finance, and manufacturing/ops.
* Design ELT workflows to ingest, normalize, and transform data using modern tooling (e.g., Fivetran/Airbyte, Prefect/Airflow, dbt, Python).
* Ensure reliability, observability, version control, and documentation of all pipelines.
* Handle PHI responsibly and ensure all pipelines, transformations, and data storage follow HIPAA, GDPR, and SOC2 requirements.
**Enterprise Data Warehouse \&amp; Semantic Layer** 
* Architect, build, and implement a centralized data warehouse (e.g., in Snowflake, BigQuery, or Redshift), including schemas, fact/dimension models, and semantic layers that reflect real\-world workflows.
* Develop and maintain clean data models (dimensional, star/snowflake schemas), ensuring consistency across patient, clinical, sales, and claims datasets, to support analytics, dashboards, reporting and predictive models.
* Ensure data quality, lineage, governance and consistency across domains.
**Analytics, Dashboards \&amp; Insights** 
* Develop dashboards, operational monitors, and recurring analytics that provide real\-time visibility into clinical, commercial, market access, revenue cycle, finance, and manufacturing activities.
* Automate recurring reporting workflows, alerts, and ETL orchestration (scheduling, monitoring, error handling).
* Enable self\-service analytics by ensuring data models are consistent, intuitive, and well\-documented.
* Translate problems uncovered during discovery into actionable, well\-structured analytics and visualizations.
* Support rapid ad hoc analysis during the early discovery phase of ESI.
**Applied Data Science \&amp; Early Predictive Modeling** 
* Develop early predictive and prescriptive models, e.g. prior\-auth approval likelihood, therapy adherence patterns, claims\-denial risk, operational forecasting.
* Support feature engineering, EDA and model evaluation under the direction of the VP of ESI.
* Help lay the foundation for future AI\-driven decision support systems and embedding intelligence into operational systems.
**Cross\-Functional Partnership** 
* Work closely with business stakeholders to understand requirements, pain points and data needs.
* Communicate clearly with non\-technical teams and translate technical concepts into business language.
* Support the ESI team’s mission to strengthen data\-driven decision\-making across the company.
**What You’ll Bring** 
* 5–8 years of experience in data engineering, analytics engineering, or a full\-stack data role spanning pipelines, modeling, and dashboards.
* Strong SQL and Python skills (must be confident building production\-grade pipelines).
* Experience with modern data stack tools (Airflow/Prefect, dbt, Fivetran/Airbyte, Snowflake/BigQuery/Redshift).
* Experience designing star schemas, dimensional models, or semantic layers.
* Strong dashboarding experience (Looker, Tableau, PowerBI, Mode, Sigma, etc.).
* Ability to work across messy, unstructured and inconsistent SaaS data sources.
* Comfort integrating data from multiple SaaS systems via APIs, webhooks, and vendor interfaces.
* Excellent communication skills and comfort partnering with cross\-functional teams.
* Ability to thrive in ambiguity and build v1 systems with limited infrastructure.
* *Employment eligibility to work in the United States is required. The company does not sponsor employment visas for this position at this time.*
**Preferred Qualifications** 
* Experience in healthcare (EHR data, claims, RCM, prior auth, ERP, medical device workflows).
* Familiarity with HIPAA/security considerations for pipelines and stored data.
* Experience contributing to early\-stage predictive modeling (sklearn, XGBoost, time series).
* Experience improving operational workflows or enabling digital transformation.
* Knowledge of Salesforce data model, clinical systems, and ERP/RCM systems is a plus.
**What We Offer (FOR FTE Only):** 
* Competitive Compensation ($170,000\-$200,000 annually \+stock options)
* Insurance (Medical/Dental/Vision)
* 401(k) with company
* Unlimited PTO \&amp; Holidays
* Life Insurance, LTD and STD
*Please note that the salary information is a general guidance only. Kandu Health, Inc. considers factors such as scope and responsibilities of the position, candidate’s work experience, education/training, key skills and internal parity, as well as location, market and business considerations when extending an offer.* 
*Kandu Health is an equal opportunity employer. We do not discriminate on the basis of race, religion, color, national origin, gender, sexual orientation, age, marital status, veteran status, or disability status.*</t>
        </is>
      </c>
    </row>
    <row r="193">
      <c r="A193" t="inlineStr">
        <is>
          <t>li-4379053491</t>
        </is>
      </c>
      <c r="B193" t="inlineStr">
        <is>
          <t>Data Engineer</t>
        </is>
      </c>
      <c r="C193" t="inlineStr">
        <is>
          <t>Educational Systems Federal Credit Union</t>
        </is>
      </c>
      <c r="D193" t="inlineStr">
        <is>
          <t>linkedin</t>
        </is>
      </c>
      <c r="E193">
        <f>HYPERLINK("https://www.linkedin.com/jobs/view/4379053491", "https://www.linkedin.com/jobs/view/4379053491")</f>
        <v/>
      </c>
      <c r="F193" t="inlineStr"/>
      <c r="G193" t="inlineStr">
        <is>
          <t>Greenbelt, MD</t>
        </is>
      </c>
      <c r="H193" t="inlineStr"/>
      <c r="I193" t="inlineStr">
        <is>
          <t>Data Engineer
 (may be remote from MD, VA, WV, DC, DE, TX, NC, FL, DE, IN)
**Company Overview**
 Educational Systems FCU has proudly served the education community for 70 years. With over $1\.3 billion in assets and 13 branches, the Credit Union serves more than 90,000 members. We are a fast\-growing credit union who knows who we are, who we serve, and where we are going. Our vision is to make financial wellness and stability accessible for all the communities we serve. Our mission is to empower individuals and communities through accessible financial solutions. We are committed to fostering financial well\-being by providing competitive solutions, personalized services, and educational resources. By building strong partnerships, supporting community growth, and promoting financial literacy, we strive to create a brighter future for our members, Ambassadors (employees), and the communities we serve.
**About the Data Engineer Career Opportunity**
 The Data Engineer plays a pivotal role in advancing our data infrastructure, serving as the foundation of our AI and Data Analytics strategies. The position will be responsible for developing, deploying, and managing data engineering projects. Their primary focus is to assist the VP of Emerging Technologies in architecting the data platform (on premise, cloud and hybrid), data pipeline development, data governance and performance monitoring. Will also use AI in support of data management capabilities. 
 This position requires a Bachelor’s degree in data engineering, Information Systems or related technical field along with 5\+ years’ experience in data engineering (building data pipes, data lakes, data warehouse). Must be proficient in constructing and managing modern data warehouse and data lake house architectures, ensuring scalable and efficient data storage and skilled in building and maintaining robust data pipelines and orchestrations, with a focus on scalability and reliability. The position requires deep knowledge of ETL (Extract, Transform, Load) and ELT (Extract, Load, Transform) processes for data transformation and integration along with experience with cloud platforms (AWS, Azure, or GCP), and orchestration tools as well as Data Governance \- Data Quality Controls, General Ledger Reconciliations, Transmission and interface controls. Must be proficient in SQL and Python, with experience in data storage frameworks (Apache Spark, Databricks, or Hadoop).Banking \&amp; Financial Services data domain knowledge is strongly preferred.
 To Apply
 Please visit our website at https://www.esfcu.org and visit our Career page. We are an equal opportunity employer.</t>
        </is>
      </c>
    </row>
    <row r="194">
      <c r="A194" t="inlineStr">
        <is>
          <t>li-4377951779</t>
        </is>
      </c>
      <c r="B194" t="inlineStr">
        <is>
          <t>Senior Data Engineer</t>
        </is>
      </c>
      <c r="C194" t="inlineStr">
        <is>
          <t>National Association of Boards of Pharmacy</t>
        </is>
      </c>
      <c r="D194" t="inlineStr">
        <is>
          <t>linkedin</t>
        </is>
      </c>
      <c r="E194">
        <f>HYPERLINK("https://www.linkedin.com/jobs/view/4377951779", "https://www.linkedin.com/jobs/view/4377951779")</f>
        <v/>
      </c>
      <c r="F194" t="inlineStr"/>
      <c r="G194" t="inlineStr"/>
      <c r="H194" t="inlineStr"/>
      <c r="I194" t="inlineStr">
        <is>
          <t>As the 
 **Senior Data Engineer,** 
 you will play a key role in building and scaling reliable data pipelines and data models that turn raw data into trusted, actionable insights. You will partner closely with engineering and business stakeholders to identify gaps, design scalable solutions, and ensure data quality, security, and compliance through strong governance practices. Alongside hands\-on coding, you will lead team members in designing and delivering data solutions. 
 Job Description
**General Responsibilities** 
* Architects, develops, and deploys cloud\-based products.
* Ensures data integrity and availability, providing expert consultation on data\-related inquiries.
* Analyzes data, processes, and systems to identify gaps, clarify requirements, and propose scalable solutions.
* Strong understanding of modern data platforms such as data warehousing, acquisition/ingestion, modeling, transformation, and consumption.
* Experience with databases and data movement technologies such as Databricks, AWS Redshift, Data Build Tools (DBT), and Data Vault (or equivalent).
* Proven ability to collaborate with both senior and junior technical staff, translate findings into designs, and drive implementation.
* Builds and maintains robust data transformation pipelines using Python and SQL.
* Designs and implements efficient data models and schemas to support analytics and reporting use cases.
* Partners with data engineers, architects, and analysts to gather requirements and deliver high\-quality solutions.
* Strong verbal and written communication skills, including the ability to work with stakeholders at all levels.
* Develops and optimizes DBT models to transform raw data into trusted, actionable datasets.
* Demonstrates excellent problem solving using data and technology to drive statistical and root\-cause analysis to support business insights and decision\-making.
* Builds, tests, and maintains end\-to\-end database and pipeline architectures (reliability, monitoring, and performance).
* Ensures compliance with data governance, privacy, and security policies.
* Defines data quality strategies and incorporates robust testing into day\-to\-day work.
 Job Requirements
 * Bachelors or master’s degree and/or equivalent professional experience in information systems, computer science. 5–8 or more years of experience in data engineering.
* Extensive experience with cloud computing.
* Proficiency in SQL and Python for data processing, query optimization, and reporting.
* Strong hands\-on experience with DBT, including core features (models, tests, macros, snapshots/incremental patterns, deployments), data orchestration tools like Airflow, and Data warehouses like Snowflake, Redshift, or equivalent.
* 1\+ year of production DBT experience preferred.
* Strong experience with designing and enhancing data models, warehouses, and/or data lakes.
* Expertise in ETL/ELT concepts, orchestration, and end\-to\-end pipeline maintenance.
* Strong communicator and collaborator with a clear ownership mindset; able to work independently.
* Proven ability to mentor engineers, providing technical guidance and code reviews and supporting career growth.
* Champion agile practices that provide a foundation for iterative product development.
**Status:** 
 Exempt
**Location:** 
 Hybrid work model
**Salary:** 
  $150,000 – $165,000</t>
        </is>
      </c>
    </row>
    <row r="195">
      <c r="A195" t="inlineStr">
        <is>
          <t>li-4369160715</t>
        </is>
      </c>
      <c r="B195" t="inlineStr">
        <is>
          <t>Data Engineer</t>
        </is>
      </c>
      <c r="C195" t="inlineStr">
        <is>
          <t>Slalom</t>
        </is>
      </c>
      <c r="D195" t="inlineStr">
        <is>
          <t>linkedin</t>
        </is>
      </c>
      <c r="E195">
        <f>HYPERLINK("https://www.linkedin.com/jobs/view/4369160715", "https://www.linkedin.com/jobs/view/4369160715")</f>
        <v/>
      </c>
      <c r="F195" t="inlineStr"/>
      <c r="G195" t="inlineStr">
        <is>
          <t>California, United States</t>
        </is>
      </c>
      <c r="H195" t="inlineStr"/>
      <c r="I195"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Los Angeles, Orange County, San Diegeo
+ Consultant: $99,000 \- $133,000
* Phoenix
+ Consultant: $91,000 \- $122,000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196">
      <c r="A196" t="inlineStr">
        <is>
          <t>li-4369157723</t>
        </is>
      </c>
      <c r="B196" t="inlineStr">
        <is>
          <t>Data Engineer</t>
        </is>
      </c>
      <c r="C196" t="inlineStr">
        <is>
          <t>Slalom</t>
        </is>
      </c>
      <c r="D196" t="inlineStr">
        <is>
          <t>linkedin</t>
        </is>
      </c>
      <c r="E196">
        <f>HYPERLINK("https://www.linkedin.com/jobs/view/4369157723", "https://www.linkedin.com/jobs/view/4369157723")</f>
        <v/>
      </c>
      <c r="F196" t="inlineStr"/>
      <c r="G196" t="inlineStr">
        <is>
          <t>California, United States</t>
        </is>
      </c>
      <c r="H196" t="inlineStr"/>
      <c r="I196"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Los Angeles, Orange County, San Diegeo
+ Consultant: $99,000 \- $133,000
* Phoenix
+ Consultant: $91,000 \- $122,000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197">
      <c r="A197" t="inlineStr">
        <is>
          <t>li-4379048647</t>
        </is>
      </c>
      <c r="B197" t="inlineStr">
        <is>
          <t>Analytics Engineer</t>
        </is>
      </c>
      <c r="C197" t="inlineStr">
        <is>
          <t>DCCC</t>
        </is>
      </c>
      <c r="D197" t="inlineStr">
        <is>
          <t>linkedin</t>
        </is>
      </c>
      <c r="E197">
        <f>HYPERLINK("https://www.linkedin.com/jobs/view/4379048647", "https://www.linkedin.com/jobs/view/4379048647")</f>
        <v/>
      </c>
      <c r="F197" t="inlineStr"/>
      <c r="G197" t="inlineStr">
        <is>
          <t>Washington, DC</t>
        </is>
      </c>
      <c r="H197" t="inlineStr"/>
      <c r="I197" t="inlineStr">
        <is>
          <t>**Description**
**Reports To:** 
 Director of Engineering
**Department:** 
 Administration
**Work Location:** 
 Hybrid (WFH \&amp; DC Headquarters)
**Job Type:** 
 Full\-Time, Salary Exempt
**Supervisory Responsibilities:** 
 No
 The Democratic Congressional Campaign Committee (DCCC) is the official national Democratic campaign committee charged with electing Democrats to the U. S. House of Representatives. The DCCC recruits Democratic candidates and supports Democratic campaigns – both challengers and Democratic incumbent Members – with a variety of services including field operations, fundraising support, communications assistance, digital strategy, research support and management consulting. The DCCC is supported by the contributions of individuals and organizations, along with Democratic Members, from throughout the country. We look for talented and hard\-working professionals who are committed to electing Democrats and winning the House majority.
 Due to the cyclic nature of our organization, all positions are subject to separation at the end of the election cycle.
**Position Summary**
 The Analytics Engineer is responsible for working across the DCCC to ingest and structure data from various vendors and public sources into high\-quality datasets to facilitate departmental reporting, targeting and fundraising needs. They will join a team of engineers working closely with other DCCC departments to build products, reporting, and workflow automations for fundraising and direct voter contact. The ideal candidate will have experience with both political data and data engineering.
 This position is part of a collective bargaining unit.
**Responsibilities**
* Centralize data from various DCCC vendors and public sources, building and maintaining ELT workflows to deliver data into our Google BigQuery data warehouse, including (but not limited to) fundraising, voter file data, scores and models, polling data, geographic and census data, and media data
* Collaborate with other DCCC departments to design and maintain data products, reports, and automated workflows in alignment with the strategic needs of their programs
* Become a subject\-matter expert on the national voter file, working with the DNC and other vendors to follow updates to source data and maintain voter file ingestion pipelines
* Structure and document key datasets for analytics and reporting needs
* Automate common workflows to facilitate the core work of end\-users
* Perform other duties as necessary to ensure the success of the Data Operations team and that of stakeholders across the Committee
**Requirements**
* 1\-3 years of data engineering or analytics experience in politics or technology required
* Strong SQL and analytics database experience required — preference for BigQuery
* Experience with dbt or other workflow orchestration tools preferred
* Experience with Tableau or other business intelligence and data visualization tools preferred
* Experience using R or Python for data processing or visualization preferred
* Familiarity with database architecture and modern data workflows, particularly as they relate to campaign data preferred
* Familiarity with voter file tools (such as VAN, PDI, Catalist), Census data, and the DNC ecosystem (Phoenix and Portal) preferred
* Proactively fosters an inclusive atmosphere and commitment to equal employment opportunities
* Ability to demonstrate multicultural competence – the awareness, knowledge and skills needed to work with others who are culturally different from self in meaningful, relevant and productive ways
* Personal and professional commitment to promoting and investing in cross\-cultural skills and awareness related to individuals from broad backgrounds, races, ethnicities, religions, gender, sexual orientation, gender identity and disability
* Proven interpersonal, communication, and collaboration skills with the ability to build relationships with staff at all levels
**Why You Should Work Here**
* We recognize and reward hard work
* Learn, develop, and hone professional skills related to running and operating multi\-dimensional political campaigns and the operating systems that support the campaigns
* Experience working with the largest Democratic battlefield, containing numerous highly competitive campaigns in diverse districts across the nation
* Opportunities to expand your network and engage with policy makers, political candidates, Democratic Party leaders and a diverse team of professionals and colleagues
* Gain experience in cross\-team interaction and exposure to other functions and departments within the DCCC
* Equity and inclusion are core values actively integrated into decisions made at Senior Team and Department levels
**Benefits**
* Medical, dental, and vision plans with premiums fully paid for by DCCC
* Accidental Death and Dismemberment (AD\&amp;D) and Life Insurance fully paid for by DCCC
* More than 25 days of paid time off (which includes federal holidays, time off around the holidays, vacation, and sick days)
* Paid parental leave
* Fertility and growing family support with $10,000 subsidiary paid by DCCC
* Pet Insurance Discount
* Up to 6% retirement employer match contribution
* Long\-term Disability fully paid for by DCCC
* Monthly mobile phone stipend
* Monthly metro benefits (for employees located in the DC metro area only)
* Gym Access (for employees located in the DC metro area only)
* Capital Bikeshare Discount (for employees located in the DC metro area only)
* Employee Assistance Program
* Employee Resource Groups
**Diversity Mission Statement**
 The diversity mission of DCCC is for DCCC to reflect the diversity of the country, which strengthens the core mission of electing House Democrats. To that end, DCCC strives to create an inclusive environment that cultivates and supports equal employment opportunities at every organizational level, including its staff, candidates, vendors, and contractors.
**Equal Opportunity/Diversity Policy**
 DCCC prohibits discrimination of employment, promotion, compensation, terms, conditions, or privileges of employment on the basis of race, color, ancestry, national origin, gender, sexual orientation, sex (including marital and parental status), religion, age, disability, actual or perceived gender identity or expression, weight, personal appearance, family responsibilities, genetic information, economic status, genetic information, veteran’s status, or any other basis prohibited by applicable law. DCCC is an equal opportunity employer and will comply with all applicable laws prohibiting discrimination in employment.</t>
        </is>
      </c>
    </row>
    <row r="198">
      <c r="A198" t="inlineStr">
        <is>
          <t>li-4378771224</t>
        </is>
      </c>
      <c r="B198" t="inlineStr">
        <is>
          <t>Data Engineer</t>
        </is>
      </c>
      <c r="C198" t="inlineStr">
        <is>
          <t>Wiraa</t>
        </is>
      </c>
      <c r="D198" t="inlineStr">
        <is>
          <t>linkedin</t>
        </is>
      </c>
      <c r="E198">
        <f>HYPERLINK("https://www.linkedin.com/jobs/view/4378771224", "https://www.linkedin.com/jobs/view/4378771224")</f>
        <v/>
      </c>
      <c r="F198">
        <f>HYPERLINK("https://www.wiraa.com/job-description/us24B0AA068496E5C43673EB0F48F25A81?source=Linkedin&amp;urlHash=ozQr", "https://www.wiraa.com/job-description/us24B0AA068496E5C43673EB0F48F25A81?source=Linkedin&amp;urlHash=ozQr")</f>
        <v/>
      </c>
      <c r="G198" t="inlineStr"/>
      <c r="H198" t="inlineStr"/>
      <c r="I198" t="inlineStr">
        <is>
          <t>**About The Company**
 JANUS Research Group is a leading provider of innovative research, development, and engineering solutions tailored to support national security and defense missions. Renowned for its commitment to excellence, integrity, and technological advancement, JANUS collaborates with government agencies, military branches, and industry partners to deliver impactful solutions that enhance operational effectiveness. The organization fosters a dynamic and inclusive work environment that encourages continuous learning, professional growth, and meaningful contributions to national security objectives. Recognized as a Great Place to Work™, JANUS Research Group emphasizes employee well\-being, diversity, and a culture of innovation to attract and retain top talent dedicated to making a difference.
**About The Role**
 We are seeking a skilled Data Engineer to join our team at JANUS Research Group. In this role, you will be responsible for designing and managing secure, scalable data pipelines that consolidate operational, simulation, and enterprise data into analysis\-ready formats. Your expertise will enable the development of real\-time dashboards, predictive analytics, and decision support tools that are vital to Army event cycles and campaign planning. You will work closely with cross\-functional teams, including software developers, analysts, and stakeholders, to ensure data solutions meet mission requirements and adhere to strict security and governance standards. The position offers the flexibility of remote work, with a preference for candidates located near Fort Eustis, VA, or Austin, TX, and requires an active Secret clearance.
**Qualifications**
* Bachelor’s degree in Computer Science, Information Systems, Engineering, Math, or a related field. Equivalent experience may be considered.
* Active Secret clearance.
* 3–5\+ years of professional experience in data engineering, ETL, or data wrangling roles.
* Proficiency in SQL and scripting languages such as Python or similar.
* Experience with Azure cloud services, including Data \&amp; Storage, Analytics, Databricks, and Purview (preferred).
* Familiarity with DoD/Army datasets, event\-driven deliverables, or mission data environments (a plus).
* Strong problem\-solving skills with expertise in data modeling and data blending.
* Excellent communication skills, capable of documenting work clearly and engaging with stakeholders.
* Motivated team player comfortable working in fast\-paced, multi\-stakeholder environments.
**Responsibilities**
* Design, implement, and optimize ETL/ELT data pipelines utilizing SQL, Python, and Azure services to ensure efficient data processing.
* Ingest and standardize diverse datasets from Army sources, maintaining data lineage, metadata, and quality controls.
* Develop and support near\-real\-time data products, dashboards, and analytics that inform strategic and operational decision\-making.
* Leverage Azure PaaS solutions to architect scalable, secure data integration workflows aligned with enterprise architecture standards.
* Implement data governance and security protocols, including OPSEC, IA, and PII safeguards, to ensure compliance with Army policies.
* Collaborate with software development teams, analysts, and stakeholders to deliver mission\-critical data solutions within project timelines.
* Maintain documentation of data workflows, pipelines, and governance practices to support transparency and reproducibility.
* Continuously evaluate emerging cloud technologies and data engineering best practices to improve system performance and security.
**Benefits**
* Competitive 401(k) retirement plan with company matching.
* Paid Time Off (PTO), paid holidays, and leave benefits.
* Comprehensive medical, dental, and vision insurance plans.
* Life and disability insurance coverage.
* Educational assistance and professional development opportunities.
* Employee wellness programs and work\-life balance initiatives.
* Referral bonus program and employee recognition awards.
* Opportunities for career growth and skill enhancement through training and certifications.
 Equal Opportunity
 JANUS Research Group is an equal opportunity and affirmative action employer. We are committed to creating a diverse and inclusive workplace where all employees are valued and respected. We do not discriminate based on race, color, religion, sex, sexual orientation, gender identity, national origin, age, marital status, veteran status, citizenship, disability, or any other protected characteristic. All qualified applicants will receive consideration for employment without regard to these factors. We also provide reasonable accommodations to qualified individuals with disabilities to ensure equal participation in the hiring process.</t>
        </is>
      </c>
    </row>
    <row r="199">
      <c r="A199" t="inlineStr">
        <is>
          <t>li-4370528601</t>
        </is>
      </c>
      <c r="B199" t="inlineStr">
        <is>
          <t>Data Engineer (Databricks)</t>
        </is>
      </c>
      <c r="C199" t="inlineStr">
        <is>
          <t>ComResource</t>
        </is>
      </c>
      <c r="D199" t="inlineStr">
        <is>
          <t>linkedin</t>
        </is>
      </c>
      <c r="E199">
        <f>HYPERLINK("https://www.linkedin.com/jobs/view/4370528601", "https://www.linkedin.com/jobs/view/4370528601")</f>
        <v/>
      </c>
      <c r="F199" t="inlineStr"/>
      <c r="G199" t="inlineStr">
        <is>
          <t>Columbus, OH</t>
        </is>
      </c>
      <c r="H199" t="inlineStr"/>
      <c r="I199" t="inlineStr">
        <is>
          <t>We’re looking for a data\-driven professional to design, build, and optimize scalable data solutions using
 **Databricks** 
 . In this role, you’ll work closely with analytics, product, and business teams to turn raw data into reliable, high\-quality datasets that power insights, reporting, and advanced analytics.
 You’ll be hands\-on with modern data platforms, cloud technologies, and distributed data processing, helping shape our data ecosystem end\-to\-end.
 Key Responsibilities
* Design, build, and maintain scalable data pipelines using
 **Databricks** 
 and
 **Apache Spark**
* Develop and optimize ETL/ELT workflows for batch and streaming data
* Model, transform, and curate data for analytics, reporting, and downstream use cases
* Ensure data quality, reliability, and performance across datasets
* Collaborate with analytics, data science, and business stakeholders to understand data needs
* Optimize queries and Spark jobs for performance and cost efficiency
* Implement best practices for data governance, security, and access control
* Monitor pipelines and troubleshoot data issues in production environments
 Required Skills \&amp; Experience
* Strong experience with
 **Databricks** 
 (workspaces, notebooks, jobs, Delta Lake)
* Proficiency in
 **SQL** 
 and
 **Python** 
 (or Scala) for data processing
* Solid understanding of
 **Apache Spark** 
 concepts and distributed computing
* Experience building data pipelines in a cloud environment (AWS, Azure, or GCP)
* Knowledge of data modeling concepts (star/snowflake schemas, dimensional modeling)
* Familiarity with version control (Git) and CI/CD practices for data workflows
 Nice to Have
* Experience with Unity Catalog, and Databricks performance tuning
* Exposure to data orchestration tools (e.g., Airflow, dbt, Databricks Workflows)
* Experience supporting analytics or machine learning use cases
* Understanding of data governance, privacy, and compliance standards</t>
        </is>
      </c>
    </row>
    <row r="200">
      <c r="A200" t="inlineStr">
        <is>
          <t>li-4377964554</t>
        </is>
      </c>
      <c r="B200" t="inlineStr">
        <is>
          <t>Senior Data Engineer</t>
        </is>
      </c>
      <c r="C200" t="inlineStr">
        <is>
          <t>DraftKings Inc.</t>
        </is>
      </c>
      <c r="D200" t="inlineStr">
        <is>
          <t>linkedin</t>
        </is>
      </c>
      <c r="E200">
        <f>HYPERLINK("https://www.linkedin.com/jobs/view/4377964554", "https://www.linkedin.com/jobs/view/4377964554")</f>
        <v/>
      </c>
      <c r="F200">
        <f>HYPERLINK("https://draftkings.wd1.myworkdayjobs.com/DraftKings/job/Remote\u002d\u002d-US/Senior-Data-Engineer_JR13316-1/apply?source=Applicant_Source_LinkedIn_Jobs&amp;urlHash=hCMC", "https://draftkings.wd1.myworkdayjobs.com/DraftKings/job/Remote\u002d\u002d-US/Senior-Data-Engineer_JR13316-1/apply?source=Applicant_Source_LinkedIn_Jobs&amp;urlHash=hCMC")</f>
        <v/>
      </c>
      <c r="G200" t="inlineStr">
        <is>
          <t>Massachusetts, United States</t>
        </is>
      </c>
      <c r="H200" t="inlineStr"/>
      <c r="I200"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
 The Crown Is Yours
 As a Senior Data Engineer, you help will lead the design and implementation of reliable, scalable systems for transforming raw data into structured, usable formats that power data products, reporting, and operational workflows. You’ll operate across varied business domains and play a critical role in aligning technical solutions with business strategy. Your work will enable clean, performant data solutions that drive impact at scale. If you're excited about solving complex data challenges in a fast\-paced, high\-growth environment, come join us and grow your career at DraftKings. Your work will create the next generation of immersive, data\-powered gaming experiences that captivate audiences worldwide.
 What you’ll do as a Senior Data Engineer
* Dive into the world of DraftKings to understand the systems and data structures that support our products
* Work with engineering, product, and business teams to design data solutions that meet application and reporting requirements.
* Design, build, and maintain robust data pipelines and models that power enterprise\-level decision\-making and cross\-domain data products.
* Establish and enforce best practices around data quality, testing frameworks, and system monitoring.
* Drive continuous improvement in the performance and reliability of large\-scale data processing workflows.
* Write, maintain, and optimize SQL code with cloud MPP data warehouse platforms (e.g. Snowflake).
 What you’ll bring
* 4\+ years of experience in Data Engineering or a closely related field, with demonstrated expertise in building and maintaining production data systems.
* Advanced SQL skills and deep experience implementing complex business logic and performance\-optimized transformations at scale.
* Expertise with modern cloud\-based data platforms (e.g., Snowflake, BigQuery, Redshift) and experience managing large, distributed data environments.
* Strong understanding of data architecture and dimensional modeling principles, with a track record of designing enterprise\-grade schemas.
* Proven ability to lead projects through agile software development lifecycles and mentor junior team members.
* Proficiency with version control systems (e.g., Git) and collaborative engineering practices.
* Ability to quickly learn industry and DraftKings\-specific domain knowledge and leverage it to deliver solutions for critical business needs.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116,800\.00 USD \- 146,000\.00 USD, plus bonus, equity, and benefits as applicable. Our ranges are determined by role, level, and location. The compensation information displayed on each job posting reflects the range for new hire pay rates for the position across all US locations. Within the range, individual pay is determined by work location and additional factors, including job\-related skills, experience, and relevant education or training. Your recruiter can share more about the specific pay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t>
        </is>
      </c>
    </row>
    <row r="201">
      <c r="A201" t="inlineStr">
        <is>
          <t>li-4377959848</t>
        </is>
      </c>
      <c r="B201" t="inlineStr">
        <is>
          <t>Analytics Engineer (Snowflake + DBT+ Power BI)</t>
        </is>
      </c>
      <c r="C201" t="inlineStr">
        <is>
          <t>Icon Global Technologies</t>
        </is>
      </c>
      <c r="D201" t="inlineStr">
        <is>
          <t>linkedin</t>
        </is>
      </c>
      <c r="E201">
        <f>HYPERLINK("https://www.linkedin.com/jobs/view/4377959848", "https://www.linkedin.com/jobs/view/4377959848")</f>
        <v/>
      </c>
      <c r="F201" t="inlineStr"/>
      <c r="G201" t="inlineStr"/>
      <c r="H201" t="inlineStr"/>
      <c r="I201" t="inlineStr">
        <is>
          <t>**Job Description:** 
 The Analytics Engineer acts as a bridge between data engineers and data analysts, with a primary focus on refactoring existing data models and designing analytics‑ready fact and dimension tables to support the migration of reports and dashboards to Power BI. This role is responsible for transforming existing analytical datasets into curated, reusable, and trusted dimensional models that serve as the foundation for enterprise reporting and self‑service analytics. The Analytics Engineer will evaluate current‑state models, recommend appropriate dimensional structures, and implement high‑quality fact and dimension tables in Snowflake using dbt and SQL. The role partners closely with analytics engineers, data analysts, and BI developers to validate model design, metrics, and assumptions, ensuring analytical accuracy and performance. In addition to model development, this role supports data quality, testing, documentation, and performance optimization, with an emphasis on enabling reliable Power BI semantic models and dashboards. The Analytics Engineer works independently within defined scope, contributes to Agile delivery, and ensures effective knowledge transfer at the conclusion of the contract.
**Essential Functions**
* Collaborate with analytics engineers, data analysts, and business stakeholders to assess existing data models and identify opportunities for fact and dimension refactoring in support of Power BI migration
* Design and implement dimensional data models (facts, dimensions, conformed dimensions) aligned with best practices and reporting requirements
* Recommend the most appropriate dimensional modeling approach or consolidation based on report usage patterns, grain, and analytical needs
* Develop and maintain analytics engineering pipelines in Snowflake using dbt, SQL, and established modeling standards
* Refactor and extend existing data models to improve clarity, reuse, performance, and analytical correctness
* Partner with analysts and BI developers to validate metrics, relationships, and grain, ensuring models accurately support downstream reporting
* Support Power BI semantic models by aligning table structures, relationships, and metric definitions with visualization and performance requirements
* Implement data quality checks, validation logic, and testing frameworks to ensure trusted and reliable datasets
* Optimize SQL transformations and model structures to improve performance and manage warehouse compute usage
* Document dimensional models, design decisions, assumptions, and usage guidance to support adoption and long‑term sustainability
* Participate in Agile or iterative delivery workflows and effectively manage time across multiple priorities and deliverables
* Collaborate with data engineers and architects as needed to resolve upstream data issues and align modeling approaches
* Utilize modern analytics development practices, including version control, code review, and documentation
* Support knowledge transfer and handoff to internal team members to ensure continuity beyond the contract period.
**Skills / Experience**
* **Advanced SQL** 
 for analytics engineering, including complex transformations, aggregations, and performance tuning.
* Strong dimensional data modeling skills, including design and implementation of fact and dimension tables
* Hands\-on experience with
 **Snowflake** 
 as a Cloud data warehouse for analytics workloads
* Experience developing and maintaining analytics models using dbt, including testing and documentation
* Proven ability to refactor existing analytical data models to support reporting and dashboard migrations
* Experience supporting enterprise BI platforms, preferably
 **Power BI** 
 , including semantic model alignment
* Strong analytical and problem‑solving skills, with the ability to evaluate trade\-offs and recommend optimal modeling approaches
* Ability to collaborate effectively with analytics engineers, data analysts, and BI developers to validate models and metrics
* Strong written and verbal communication skills to explain modeling decisions, assumptions, and results.
**Preferred / Nice‑to‑Have Skills**
* Experience working with data sourced from EMR systems (ex. Epic)
* Experience with Apache Airflow or similar workflow orchestration tools for scheduling and managing analytics pipelines
* Experience using Python for data transformation, validation, automation, or analytics workflows
* Experience with version control and modern analytics development practices (e.g., Git, pull requests, code reviews)
* Experience supporting BI platform migrations (e.g., Qlik, Business Objects, or similar to Power BI)
* Familiarity with Agile or iterative delivery practices</t>
        </is>
      </c>
    </row>
    <row r="202">
      <c r="A202" t="inlineStr">
        <is>
          <t>li-4379064946</t>
        </is>
      </c>
      <c r="B202" t="inlineStr">
        <is>
          <t>Senior Data Engineer</t>
        </is>
      </c>
      <c r="C202" t="inlineStr">
        <is>
          <t>Incedo Inc.</t>
        </is>
      </c>
      <c r="D202" t="inlineStr">
        <is>
          <t>linkedin</t>
        </is>
      </c>
      <c r="E202">
        <f>HYPERLINK("https://www.linkedin.com/jobs/view/4379064946", "https://www.linkedin.com/jobs/view/4379064946")</f>
        <v/>
      </c>
      <c r="F202" t="inlineStr"/>
      <c r="G202" t="inlineStr">
        <is>
          <t>Fort Mill, SC</t>
        </is>
      </c>
      <c r="H202" t="inlineStr"/>
      <c r="I202" t="inlineStr">
        <is>
          <t>We are seeking a Senior Data Engineer with strong expertise in AWS\-based data engineering, real\-time streaming technologies, and enterprise\-grade data quality frameworks. The ideal candidate will design, build, and optimize scalable batch and streaming data pipelines, implement robust data validation and monitoring processes, and support mission\-critical analytics platforms.
**Key Responsibilities:** 
* Develop and maintain scalable ETL/ELT pipelines using AWS Glue, PySpark, and Python
* Build event\-driven workflows using AWS Lambda
* Design and manage real\-time streaming solutions using Kafka, KSQL, and Apache Flink
* Implement and enforce comprehensive data quality frameworks, including validation, profiling, monitoring, and reconciliation
* Optimize data processing performance, scalability, reliability, and cost in cloud environments
* Collaborate with cross\-functional teams to deliver reliable, production\-grade data platforms and ensure data integrity across the pipeline
**Required Skills:** 
* Strong hands\-on experience with Python and PySpark
* Proven expertise in AWS Glue, Lambda, and other cloud\-native data services
* Solid experience with the Kafka ecosystem (topics, partitions, consumer groups, streaming patterns)
* Demonstrated experience building and supporting data quality frameworks (validation rules, reconciliation checks, profiling, anomaly detection)
* Strong understanding of distributed data processing and scalable architecture patterns
**Good\-to\-Have Skills:** 
* Experience with Apache Flink for real\-time stream processing and stateful computations
* Knowledge of KSQL or other streaming SQL engines
* Exposure to CI/CD pipelines, IaC (Terraform/CloudFormation), and DevOps practices
* Familiarity with data lake/lakehouse architectures and table formats such as Iceberg, Delta, or Hudi
* Experience working in enterprise or financial data environments</t>
        </is>
      </c>
    </row>
    <row r="203">
      <c r="A203" t="inlineStr">
        <is>
          <t>li-4377973676</t>
        </is>
      </c>
      <c r="B203" t="inlineStr">
        <is>
          <t>Data Engineer</t>
        </is>
      </c>
      <c r="C203" t="inlineStr">
        <is>
          <t>ABI Document Support Services</t>
        </is>
      </c>
      <c r="D203" t="inlineStr">
        <is>
          <t>linkedin</t>
        </is>
      </c>
      <c r="E203">
        <f>HYPERLINK("https://www.linkedin.com/jobs/view/4377973676", "https://www.linkedin.com/jobs/view/4377973676")</f>
        <v/>
      </c>
      <c r="F203" t="inlineStr"/>
      <c r="G203" t="inlineStr">
        <is>
          <t>Loma Linda, CA</t>
        </is>
      </c>
      <c r="H203" t="inlineStr"/>
      <c r="I203" t="inlineStr">
        <is>
          <t>A highly skilled
 **Data Engineer** 
 with proven experience in
 **Power BI** 
 and data pipeline development. The ideal candidate will design, build, and maintain scalable data infrastructure to support analytics and reporting needs across the organization. You’ll work closely with business stakeholders and analysts to ensure data accuracy, performance, and accessibility.
* Design, build, and maintain ETL/ELT pipelines for structured and unstructured data from various sources.
* Develop and manage data models, data warehouses, and data lakes to support analytics and BI initiatives.
* Create and optimize Power BI dashboards and reports, ensuring accurate data representation and performance.
* Collaborate with cross\-functional teams to identify business requirements and translate them into technical solutions.
* Implement and maintain data quality, governance, and security standards.
* Monitor and optimize data pipeline performance, identifying bottlenecks and opportunities for improvement.
* Integrate data from multiple systems using tools such as Azure Synapse, Microsoft Fabric, SQL, Python, or Spark.
* Support data validation, troubleshooting, and root cause analysis for data inconsistencies.
* Document data processes, architecture, and system configurations.
**Qualifications**
**Qualifications**
**Required**
* Bachelor’s degree in Computer Science, Data Engineering, Information Systems, or a related field.
* 3–5 years of experience as a Data Engineer, BI Developer, or related role
* Strong proficiency in SQL and data modeling techniques.
* Hands\-on experience with Power BI (DAX, Power Query, and data visualization best practices).
* Experience with ETL tools and data orchestration frameworks (e.g., Azure Synapse, Airflow, or SSIS).
* Familiarity with cloud data platforms (Azure, AWS, or GCP).
* Strong understanding of data warehousing concepts (e.g., star schema, snowflake schema).
**Preferred**
* Experience with Python or Scala for data processing.
* Knowledge of Azure Synapse, Databricks, or similar technologies.
* Understanding of CI/CD pipelines and version control systems (Git).
* Exposure to data governance and security frameworks.
**Soft Skills**
* Strong analytical and problem\-solving abilities.
* Excellent communication and collaboration skills.
* Detail\-oriented with a focus on data accuracy and integrity.
* Ability to work independently and manage multiple priorities in a fast\-paced environment.</t>
        </is>
      </c>
    </row>
    <row r="204">
      <c r="A204" t="inlineStr">
        <is>
          <t>li-4376208720</t>
        </is>
      </c>
      <c r="B204" t="inlineStr">
        <is>
          <t>Senior Analytics Engineer</t>
        </is>
      </c>
      <c r="C204" t="inlineStr">
        <is>
          <t>Checkmate</t>
        </is>
      </c>
      <c r="D204" t="inlineStr">
        <is>
          <t>linkedin</t>
        </is>
      </c>
      <c r="E204">
        <f>HYPERLINK("https://www.linkedin.com/jobs/view/4376208720", "https://www.linkedin.com/jobs/view/4376208720")</f>
        <v/>
      </c>
      <c r="F204" t="inlineStr"/>
      <c r="G204" t="inlineStr"/>
      <c r="H204" t="inlineStr"/>
      <c r="I204" t="inlineStr">
        <is>
          <t>**About Checkmate**
 Checkmate builds the operating system for digital ordering in restaurants, powering integrations between POS systems, delivery platforms, and restaurant brands. Our products sit at the center of how millions of orders move across systems every day making experimentation, automation, and ML\-driven optimization central to our competitive advantage.
 We operate at the intersection of product, data, and restaurant operations where analytical rigor directly drives revenue growth, product innovation, and customer experience.
**Role Overview**
 We are seeking a Senior Analytics Engineer who combines strong data engineering fundamentals with advanced analytical thinking and business acumen.
 This role is not just about building pipelines it's about designing the analytical foundation that powers product decisions, experimentation, and machine learning initiatives. You will translate complex restaurant operational and customer behavior data into scalable, reliable, and insight\-ready data models that drive measurable business impact.
 You will act as a bridge between engineering, analytics, product, and data science ensuring our data platform supports both robust technical systems and high\-quality decision\-making.
**What You'll Own**
**Business Analytics \&amp; Decision Enablement**
* Translate ambiguous business questions into structured analytical frameworks
* Develop KPI definitions, metric layers, and standardized reporting logic across teams
* Partner with Product and Growth teams to define success metrics and measurement strategies
* Deliver deep\-dive analyses on ordering behavior, churn risk, marketplace performance, and operational efficiency
* Present insights and trade\-offs clearly to senior stakeholders and leadership
**Experimentation \&amp; Advanced Analytics**
* Own and scale A/B testing infrastructure, including experiment tracking and evaluation pipelines
* Define best practices for hypothesis testing, power analysis, sequential testing, and causal inference
* Build experimentation dashboards and automated reporting systems
* Partner with Data Science to productionize predictive models and design reusable ML\-ready datasets
* Support feature engineering and monitoring for production ML systems
**Analytics Engineering \&amp; Strategic Technical Leadership**
* Design and maintain scalable ELT/ETL workflows that power analytics, experimentation, and ML use cases
* Build and optimize dimensional data models (star schemas, data vault, etc.) to enable self\-service analytics
* Create trusted, well\-documented datasets for product, finance, operations, and growth teams
* Improve data quality, observability, lineage, and governance across the analytics ecosystem
* Optimize performance across warehouse and transformation layers
* Drive best practices in analytics engineering across the organization
* Influence tooling decisions (Airflow, dbt, Snowflake, Spark, etc.) with scalability and business usability in mind
* Mentor analytics engineers and elevate modeling and measurement standards
* Champion a data\-driven culture grounded in experimentation and measurable impact
**Requirements**
**Core Experience**
* 7\+ years of experience in analytics engineering, data engineering, or advanced analytics roles
* Deep expertise in SQL and modern data modeling techniques
* Strong proficiency in Python (or similar) for data transformation, statistical analysis, and ML integration
* Experience working with modern data stack tools (e.g., Airflow, dbt, Snowflake, BigQuery, Redshift, Spark)
* Proven experience building scalable data warehouse environments
**Analytical \&amp; Business Expertise**
* Strong understanding of statistics, hypothesis testing, and causal inference
* Experience designing and operating A/B testing frameworks
* Ability to define metrics, KPIs, and experimentation standards across teams
* Experience supporting production ML workflows or predictive modeling initiatives
* Strong systems thinking with the ability to connect technical decisions to business outcomes
**Preferred Experience**
* Experience in restaurant technology, POS systems, or digital ordering platforms
* Exposure to customer lifecycle analytics, marketplace analytics, or growth experimentation
* Familiarity with real\-time data pipelines (e.g., Kafka or similar)
* Experience mentoring engineers or leading cross\-functional initiatives
**Why This Role is Unique**
* You'll shape the analytical backbone of a fast\-scaling product ecosystem
* Your work will directly influence revenue, product strategy, and customer experience
* You'll operate at the intersection of engineering rigor and business decision\-making
* You'll help build experimentation and ML systems that power millions of restaurant transactions daily</t>
        </is>
      </c>
    </row>
    <row r="205">
      <c r="A205" t="inlineStr">
        <is>
          <t>li-4378756548</t>
        </is>
      </c>
      <c r="B205" t="inlineStr">
        <is>
          <t>Data Engineer II</t>
        </is>
      </c>
      <c r="C205" t="inlineStr">
        <is>
          <t>Wiraa</t>
        </is>
      </c>
      <c r="D205" t="inlineStr">
        <is>
          <t>linkedin</t>
        </is>
      </c>
      <c r="E205">
        <f>HYPERLINK("https://www.linkedin.com/jobs/view/4378756548", "https://www.linkedin.com/jobs/view/4378756548")</f>
        <v/>
      </c>
      <c r="F205">
        <f>HYPERLINK("https://www.wiraa.com/job-description/usF45D6CBF81C7E3C2EB5C0295E50C4A0F?source=Linkedin&amp;urlHash=nVQh", "https://www.wiraa.com/job-description/usF45D6CBF81C7E3C2EB5C0295E50C4A0F?source=Linkedin&amp;urlHash=nVQh")</f>
        <v/>
      </c>
      <c r="G205" t="inlineStr"/>
      <c r="H205" t="inlineStr"/>
      <c r="I205" t="inlineStr">
        <is>
          <t>**About The Company**
 First Citizens Bank is a leading financial institution committed to providing innovative banking solutions and exceptional customer service. With a rich history of stability and growth, the bank offers a wide range of financial products and services tailored to meet the diverse needs of individuals and businesses. The organization values integrity, teamwork, and a dedication to excellence, fostering a dynamic work environment that encourages professional development and career advancement. As a forward\-thinking institution, First Citizens Bank embraces technology and innovation to enhance its operational efficiency and customer experience.
**About The Role**
 We are seeking a skilled Data Engineer to join our remote team, primarily based in North Carolina (NC), Texas (TX), or Arizona (AZ). This role is pivotal in designing, developing, and maintaining robust data pipelines and infrastructure that support our data\-driven initiatives. The successful candidate will implement scalable data integration, processing, and analytics solutions within an agile environment. Collaborating closely with cross\-functional teams including data scientists, analysts, and IT professionals, you will ensure the delivery of efficient and reliable data systems that drive strategic decision\-making. This position offers an exciting opportunity to work with modern cloud\-based data technologies, contribute to data governance and security practices, and optimize large\-scale data operations.
**Qualifications**
* Bachelor's Degree in Computer Science, Information Technology, or related field with at least 2 years of experience in data engineering, database management, or similar roles.
* Or High School Diploma or GED with a minimum of 6 years of relevant experience in data engineering or related fields.
* Proficiency in building automated, metadata\-driven data pipelines leveraging cloud technologies.
* Experience with data security, governance, and compliance standards.
* Hands\-on experience with ELT frameworks, Snowflake, Qlik Replicate, DBT Cloud, and CICD pipelines.
* Strong knowledge of SQL, Python, Pyspark, and automation tools.
* Experience working with structured and semi\-structured data formats such as CSV, JSON, XML, and mainframe data.
* Familiarity with AWS services including S3, Lambda, Glue, RDS, SQS, and SNS.
* Experience in data orchestration tools like DBT Cloud and Airflow.
* Knowledge of data security practices including tokenization, data masking, and role\-based access control (RBAC).
* Certifications in relevant data management or cloud technologies are preferred.
* Financial or banking industry experience is a plus.
**Responsibilities**
* Design, develop, and maintain scalable data pipelines for real\-time and batch data processing.
* Implement and optimize ETL/ELT processes to extract, transform, and load data from diverse sources.
* Develop and manage data warehouse structures ensuring data quality, consistency, and accessibility.
* Apply data modeling techniques for efficient storage and retrieval of large datasets.
* Enforce data governance policies, standards, and documentation to ensure compliance with regulatory requirements.
* Implement data security measures including access controls, data masking, and encryption protocols.
* Analyze system performance, troubleshoot issues, and optimize data workflows for efficiency and scalability.
* Develop automated testing procedures, write unit tests, and validate data integrity and accuracy.
* Manage code deployment and release processes across various environments, including production and disaster recovery setups.
* Collaborate with data scientists, analysts, and cross\-functional teams to understand data requirements and deliver solutions accordingly.
* Participate in projects involving schema evolution, schema drift detection, and data quality improvements.
* Maintain observability through logging, monitoring, alerting, and performance tuning techniques.
* Implement and maintain sensitive data protection strategies aligned with governance standards.
**Benefits**
* Competitive salary package aligned with industry standards.
* Comprehensive health insurance including medical, dental, and vision coverage.
* Retirement savings plan with employer contributions.
* Paid time off and holidays to support work\-life balance.
* Opportunities for professional development and continuous learning.
* Flexible remote work arrangements within designated locations.
* Wellness programs and employee assistance resources.
 Equal Opportunity
 First Citizens Bank is an equal opportunity employer. We celebrate diversity and are committed to creating an inclusive environment for all employees. We do not discriminate based on race, color, religion, gender, sexual orientation, gender identity or expression, national origin, age, disability, or any other protected status under applicable law. We encourage qualified individuals from all backgrounds to apply and join our team.</t>
        </is>
      </c>
    </row>
    <row r="206">
      <c r="A206" t="inlineStr">
        <is>
          <t>li-4369165521</t>
        </is>
      </c>
      <c r="B206" t="inlineStr">
        <is>
          <t>Data Engineer</t>
        </is>
      </c>
      <c r="C206" t="inlineStr">
        <is>
          <t>Slalom</t>
        </is>
      </c>
      <c r="D206" t="inlineStr">
        <is>
          <t>linkedin</t>
        </is>
      </c>
      <c r="E206">
        <f>HYPERLINK("https://www.linkedin.com/jobs/view/4369165521", "https://www.linkedin.com/jobs/view/4369165521")</f>
        <v/>
      </c>
      <c r="F206">
        <f>HYPERLINK("https://jobs.slalom.com/?src=a121R00000NSLLRQA5#/post/a0hPh000004uurd&amp;urlHash=3PsN", "https://jobs.slalom.com/?src=a121R00000NSLLRQA5#/post/a0hPh000004uurd&amp;urlHash=3PsN")</f>
        <v/>
      </c>
      <c r="G206" t="inlineStr">
        <is>
          <t>Arizona, United States</t>
        </is>
      </c>
      <c r="H206" t="inlineStr"/>
      <c r="I206"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Los Angeles, Orange County, San Diegeo
+ Consultant: $99,000 \- $133,000
* Phoenix
+ Consultant: $91,000 \- $122,000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207">
      <c r="A207" t="inlineStr">
        <is>
          <t>li-4377954399</t>
        </is>
      </c>
      <c r="B207" t="inlineStr">
        <is>
          <t>Senior Data Engineer, Business Intelligence</t>
        </is>
      </c>
      <c r="C207" t="inlineStr">
        <is>
          <t>Klaviyo</t>
        </is>
      </c>
      <c r="D207" t="inlineStr">
        <is>
          <t>linkedin</t>
        </is>
      </c>
      <c r="E207">
        <f>HYPERLINK("https://www.linkedin.com/jobs/view/4377954399", "https://www.linkedin.com/jobs/view/4377954399")</f>
        <v/>
      </c>
      <c r="F207" t="inlineStr"/>
      <c r="G207" t="inlineStr">
        <is>
          <t>Boston, MA</t>
        </is>
      </c>
      <c r="H207" t="inlineStr"/>
      <c r="I207"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Data is at the heart of every decision made at Klaviyo, and we’re looking for a Senior Data Engineer to join our Business Intelligence (BI) team. BI at Klaviyo collaborates across all departments to provide a platform that powers all internal data, analytic, and reporting needs. Our mission is to champion data\-driven value creation, and you will own creating and maintaining the internal data infrastructure that powers Klaviyo’s business. This role in particular will significantly contribute to the infrastructure, pipelines, and security/compliance aspects of our internal analytics platform while driving architectural innovation and mentoring the team.
**How You’ll Make a Difference**
 As a Senior Data Engineer, you will shape the scalability, reliability, and cost\-efficiency of our data platform. You’ll lead architectural decisions, establish engineering best practices, and mentor other engineers while partnering closely with analytics, engineering, and business stakeholders.
 Your work will directly influence data\-driven decision\-making across the organization by ensuring our data systems are performant, observable, and built to scale.
**What You’ll Do (Responsibilities)**
**Accelerating Engineering with AI**
* Transform workflows by putting AI at the center, building smarter systems and ways of working from the ground up for example, using AI to generate tests, detect anomalies, summarize data issues, or accelerate analysis.
**Data Architecture \&amp; Optimization**
* Design, develop, and maintain scalable dbt models and pipelines, including advanced incremental and merge strategies.
* Architect solutions for attribution models, event data pipelines, and analytics at scale.
* Lead performance optimization efforts across Snowflake and related data systems.
* Define and enforce best practices for query performance, warehouse management, and cost control.
**Pipeline \&amp; Platform Ownership**
* Own end\-to\-end data pipelines, ensuring reliability, scalability, and observability.
* Lead complex DAG orchestration with Airflow/MWAA.
* Oversee Spark/EMR cluster management, job optimization, and large\-scale backfills.
* Implement monitoring, alerting, and automated recovery strategies for production systems.
**Infrastructure \&amp; DevOps Leadership**
* Architect infrastructure\-as\-code solutions using Terraform for Snowflake and AWS resources.
* Oversee integration of AWS services (S3, EMR, Secrets Manager, CloudWatch) into the data platform.
* Guide CI/CD pipeline design and improvements using GitHub Actions and CodeBuild.
* Promote containerization best practices with Docker for scalable deployments.
**Cost \&amp; Performance Management**
* Monitor Snowflake and EMR usage to proactively optimize costs.
* Analyze query performance and warehouse efficiency.
* Troubleshoot and resolve pipeline and infrastructure performance issues.
**Leadership \&amp; Mentorship**
* Mentor and coach junior and mid\-level data engineers through code reviews and technical guidance.
* Establish and enforce coding standards, testing practices, and CI/CD processes.
* Serve as technical lead for cross\-functional data initiatives.
* Advocate for reliability, performance, and cost optimization across the data engineering function.
**Who You Are (Qualifications)**
* 5\+ years of data engineering experience, including demonstrated technical leadership.
* Expert\-level proficiency in dbt, including advanced modeling, testing frameworks, incremental strategies, and performance tuning.
* Deep expertise in SQL and Snowflake, including query optimization, warehouse sizing, and cost governance.
* Strong Python skills for data processing, API integrations, and internal tooling.
* Experience architecting data lakehouse solutions.
* Hands\-on experience designing and operating Apache Iceberg\-based data lake architectures on Amazon EMR.
* Proven experience operating production systems with a strong focus on reliability and cost efficiency.
* Demonstrated experience leveraging AI to improve personal and team workflows.
* Strong problem\-solving skills and an operational mindset focused on SLAs and production stability.
* Ability to align technical decisions with business priorities.
* You’ve already experimented with AI in work or personal projects, and you’re excited to dive in and learn fast. You’re hungry to responsibly explore new AI tools and workflows, finding ways to make your work smarter and more efficient.
**Nice to Haves**
* Expertise in Spark/EMR performance optimization and scaling strategies.
* Advanced Terraform usage across multi\-environment infrastructure.
* Extensive experience with Airflow/MWAA orchestration at scale.
* Strong Docker and container orchestration experience.
* Experience architecting AI\-driven workflows, including multi\-agent systems, concurrent execution models, and tool\-augmented agents.
* Domain experience in:
+ Marketing attribution modeling and analytics data flows
+ Event data ingestion, transformation, and large\-scale aggregation
+ Data warehouse governance, optimization, and cost modeling
+ BI infrastructure and operational excellence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$124,000—$186,000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208">
      <c r="A208" t="inlineStr">
        <is>
          <t>li-4379027906</t>
        </is>
      </c>
      <c r="B208" t="inlineStr">
        <is>
          <t>Data Engineer</t>
        </is>
      </c>
      <c r="C208" t="inlineStr">
        <is>
          <t>Guidehouse</t>
        </is>
      </c>
      <c r="D208" t="inlineStr">
        <is>
          <t>linkedin</t>
        </is>
      </c>
      <c r="E208">
        <f>HYPERLINK("https://www.linkedin.com/jobs/view/4379027906", "https://www.linkedin.com/jobs/view/4379027906")</f>
        <v/>
      </c>
      <c r="F208" t="inlineStr"/>
      <c r="G208" t="inlineStr">
        <is>
          <t>Arlington, VA</t>
        </is>
      </c>
      <c r="H208" t="inlineStr"/>
      <c r="I208" t="inlineStr">
        <is>
          <t>**Job Family**
 Data Science Consulting
**Travel Required**
 None
**Clearance Required**
 Active Secret
**What You Will Do**
 Guidehouse is seeking an experienced Data Engineer to join our Technology AI and Data practice with a dedicated focus on military clients in the Defense \&amp; Security segment. This individual will have a strong data engineering background and be a hands\-on technical contributor, responsible for designing, implementing, and maintaining scalable data pipelines and interactive dashboards than enable federal clients to achieve mission outcomes, operational efficiency, and digital transformation. This is an exciting opportunity for someone who thrives at the intersection of data engineering, cloud platforms, and public sector modernization. The Data Engineer will collaborate with cross\-functional teams and client stakeholders to modernize legacy environments, implement scalable data pipelines, and support advanced analytics initiatives for our federal client.
**Client Leadership \&amp; Delivery**
* Collaborate with military clients to understand data architecture, data pipeline and reporting requirements.
* Lead the development of ETL pipelines and dashboard integrations using Databricks and Microsoft Power Platform tools (i.e. Power BI).
* Ensure delivery excellence and measurable outcomes across data migration and visualization efforts.
* Ensure solutions support auditability, internal controls, and statutory compliance requirements. This includes strict financial data controls.
**Solution Development \&amp; Innovation**
* Design and implement scalable ETL/ELT pipelines using Databricks, SQL, and Python.
* Develop and optimize dashboards aligned with federal reporting standards, as needed.
* Apply AI/ML tools to automate metadata extraction, clustering, and dashboard scripting.
* Optimize data pipelines for performance with large data sets for both analytics and transactional load use cases (e.g., OLAP, OLTP). Enable downstream BI via clean data.
* Ensure compliance with federal data governance, security, and performance standards.
* Design and document enterprise data models, metadata strategies, data lineage frameworks, and other relevant documentation, as needed.
* Align data from multiple discrete data sets into a cohesive, interoperable architecture, identifying opportunities for linkages between datasets, normalization, field standardization, etc.
* Assist with cleanup of existing data and models, including use of ETL.
**Practice \&amp; Team Leadership**
* Work closely with data architects, analysts, and cloud engineers to deliver integrated solutions.
* Support documentation, testing, and deployment of data products.
* Mentor junior team members and contribute to reusable frameworks and accelerators.
* Contribute to thought leadership and best practice development across the AI \&amp; Data team.
**What You Will Need**
* An ACTIVE and MAINTAINED "SECRET" Federal or DoD security clearance.
* Bachelor’s degree
* TWO (2\) or more years of experience in data engineering and dashboard development.
* Experience with Databricks, business intelligence tools, and cloud platforms (AWS, Azure.)
* Experience using in SQL, Python, or Spark.
* Experience building ETL pipelines and integrating data sources into reporting platforms.
**What Would Be Nice To Have**
* Experience with ADVANA.
* Excellent communication, facilitation, and stakeholder engagement skills.
* Databricks Data Engineer Associate or Professional certification
* Experience working with military clients.
* Experience working with financial management data.
* Familiarity with federal contracting and procurement processes.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209">
      <c r="A209" t="inlineStr">
        <is>
          <t>li-4377967787</t>
        </is>
      </c>
      <c r="B209" t="inlineStr">
        <is>
          <t>Senior Data Engineer (Senior Consultant, Data &amp; Analytics)</t>
        </is>
      </c>
      <c r="C209" t="inlineStr">
        <is>
          <t>Fearless</t>
        </is>
      </c>
      <c r="D209" t="inlineStr">
        <is>
          <t>linkedin</t>
        </is>
      </c>
      <c r="E209">
        <f>HYPERLINK("https://www.linkedin.com/jobs/view/4377967787", "https://www.linkedin.com/jobs/view/4377967787")</f>
        <v/>
      </c>
      <c r="F209" t="inlineStr"/>
      <c r="G209" t="inlineStr">
        <is>
          <t>Baltimore, MD</t>
        </is>
      </c>
      <c r="H209" t="inlineStr"/>
      <c r="I209" t="inlineStr">
        <is>
          <t>**Job Requirements**
**Senior Data Engineer (Sr. Consultant: Engineering \&amp; Technical Services)**
 We are seeking a Senior Data Engineer to support a program that focuses on supporting a large\-scale federal healthcare and insurance benefits system serving millions of members nationwide. The team is developing and maintaining a secure, modern data platform that integrates, standardizes, and manages complex health and enrollment data from multiple sources. The effort includes ongoing system enhancement, data integration, automation, and operational support to ensure high\-quality, reliable information for oversight, analytics, and program management. Work is performed in an agile environment with a strong focus on security, scalability, and continuous improvement.
 This role provides the opportunity to lead the design and optimization of complex data pipelines, drive architectural decisions, and modernize data processing in a cloud\-based environment while ensuring performance, data integrity, and compliance.
 At Fearless, this Senior Consultant collaborates with cross functional teams to align the technical vision, implementation, and quality of software systems across development, reliability, testing, and operations. This role will possess the skills to be able to bridge business objectives with technical execution in software development, infrastructure, security, and testing at an advanced application level of proficiency. The Sr. Consultant role will work on projects that allow them to ensure scalable, secure, and reliable solutions while mentoring engineers, fostering collaboration, and aligning stakeholders with product and project goals.
**Responsibilities**
* Design, develop, and maintain data pipelines and transformations to support a secure and scalable data platform.
* Build and optimize ETL processes leveraging Databricks and Azure cloud services.
* Automate database maintenance tasks across on\-premise and cloud environments to improve efficiency and reduce manual workloads.
* Integrate and manage relational and cloud\-based databases, ensuring high\-quality, accurate data.
* Migrate legacy systems and algorithms from on\-premise solutions to cloud\-based platforms while minimizing disruption to production.
* Develop maintainable, testable code in Python and SQL/PLSQL aligned with technical standards.
* Collaborate closely with cross\-functional teams in an agile environment, actively participating in sprint planning, reviews, and retrospectives.
* Support performance tuning, troubleshooting, and debugging across the full data stack.
* Contribute to documentation, automated tests, and peer code reviews to ensure quality and reliability.
**Fearless Impact**
* Fosters collaboration with cross functional teams by taking the initiative and driving conversations
* Coach, mentor, and develop peers that elevate team capability and technical expertise using clear and persuasive communication of engineering solutions to both technical and non\-technical audiences
* Earn the trust of your customer and teammates by delivering world class services.
* Drive accountability and delivery by ensuring project objectives are not only met on time but aligned with client priorities and Fearless standards of excellence. Anticipate risks and implement proactive solutions to keep initiatives on track.
* Take ownership of risk management by monitoring deliverables across the team, identifying issues early, and coaching teammates on mitigation strategies while keeping leadership informed.
* Shape client engagement and intelligence\-gathering efforts by actively cultivating relationships with stakeholders, synthesizing insights across the client organization and partner ecosystem, and providing Fearless leaders with actionable recommendations that inform strategy and strengthen delivery outcomes.
**Fearless Customer Impact**
* Deliver expected outcomes relative to high quality code and maintainable systems
* Offer and implement innovative solutions that include engineering best practices through new tools, frameworks and methodologies
* Lead and align stakeholders with product and project goals that advance customer satisfaction as well as Fearless’ objectives, strategy, and mission
* Serve as a trusted advisor in your area of expertise
**Work Experience**
**Required Experience**
* Ability to obtain a public trust clearance
* 5\+ years of IT experience and Minimum 3 years of ETL
* Proficiency in Python for data processing, transformation, and automation.
* Hands\-on experience with Databricks for building and managing data workflows
* Azure cloud expertise, particularly for data engineering and ETL pipelines.
* Strong background in SQL including complex packages, procedures, and data migration scripts.
* Solid understanding of relational database concepts, query optimization, and cloud\-based data storage solutions.
* Experience with data integration and ETL processes.
* Strong collaboration skills and experience working within agile teams.
* Familiarity with Git, including advanced operations like rebasing, squashing, and cherry\-picking.
* Experience with AI/Machine Learning workflows, including model development or deployment, is a plus.
* Knowledge of medical or healthcare data systems, including handling sensitive data such as medical records and understanding privacy regulations (e.g., HIPAA)
**Fearless Skills And Competencies**
* Analytical Thinking: The ability to observe and interpret information, break down complex problems into parts, identify patterns/relationships and draw logical conclusions to develop effective solutions.
* Synthetic Thinking: The ability to combine different ideas, information, or concepts to create a new, complex understanding or solution by integrating disparate elements into a new, meaningful whole.
* Adaptability: Comfort with change, flexibility in the face of shifting demands and resilience to setbacks.
* Ownership \&amp; Accountability: Committed to taking responsibility for outcomes, ensuring that all commitments are met with a focus on enhancing service delivery.
* Consultative Advising: Identifies and articulates client challenges, scopes projects and aligns recommendations to business goals and client expectations.
* Communicating with Influence: Capable of crafting and delivering clear, persuasive messages that integrate data insights and structured narratives, tailored to the strategic needs of diverse audiences to drive effective decision\-making.
* Managing Priorities \&amp; Client Alignment: Skillfully negotiates and manages conflicting priorities to strategically align decisions, enhancing service delivery and client satisfaction.
**Physical Requirements**
* Ability to sit for extended periods while working on a computer or during meetings.
* Must be able to travel occasionally to client sites or company meetings, which may involve driving or flying.
* Ability to communicate effectively via phone, email, and in\-person, requiring clear speech, listening, and written communication skills.
* Ability to move within an office environment, including reaching for files, using office equipment, and occasional light lifting (up to 10 pounds).
**Benefits**
**Life at Fearless**
 We’re a digital integration consultancy on a mission to build a better tomorrow. At Fearless, we combine technology, people, and organizational development to solve meaningful problems. Through iterative development, we deliver smart, user\-friendly solutions that make tech work better—for everyone.
 But great tech is just part of the story. What really makes us
 **Fearless** 
 is our
 **Purple Culture** 
 .
**What Makes Us Purple?**
**Being Purple Means You**
* Are valued as a whole person—not just a job title
* Get matched with work that plays to your strengths and passions
* Are supported by coaches, not micromanagers
* Have the autonomy and clarity to make decisions and drive impact
* Join a community that celebrates equity, curiosity, and innovation
* Do work that matters—every day
 We believe in flexibility, growth, and balance. Our benefits and culture are designed to support you in doing your best work—while making space for what matters to you outside of it.
 We’re proud to be an equal opportunity employer. At Fearless, we’re building a workplace that welcomes and respects everyone—across race, gender, age, religion, identity, background, and ability.
**Compensation At Fearless**
 Fearless is committed to providing a competitive compensation package that will meet your current and future needs. Our philosophy is aimed at rewarding team member contributions, supporting long\-term financial growth and security, and overall well\-being.
 We believe in paying people fairly, so we've established a compensation model aimed to ensure everyone at Fearless — regardless of race, ethnicity, gender, sexual orientation, disability, religion, age, nationality, or willingness/ability to negotiate — is consistently paid fairly based on alignment to the needs and requirements of the role.
**The Salary Range For This Position Is**
 Minimum Salary: $114,844
 Salary Midpoint: $149,299
 Maximum Salary: $183,752
 Hiring Range for Role: $114,844 \- $149,000
* This position is eligible for a discretionary bonus based on individual and company performance criteria.
**Benefits At Fearless**
 At Fearless, we take care of our team—because when you're supported, you can do your best work. We offer a flexible, family\-friendly environment with benefits designed to support your health, growth, and life outside of work.
**For Full\-Time Team Members (Starting Day One)**
* Flexible, life\-friendly schedules
* 100% coverage for our medical HSA plan \+ HSA contributions
* Dental \&amp; vision covered 100% for you and your dependents
* Competitive premiums for HMO/PPO and dependent coverage
* 401(k) with 4% match \&amp; immediate vesting
* Paid Parental Leave and 12 weeks paid FMLA
* Generous PTO, 11 Federal Holidays, a Birthday Holiday, and Sick Leave
* Up to 15 days for Jury Duty and Bereavement Leave
* Education, wellness, and tech allowances
* Referral bonus: $6K–$12K for each successful referral
* Pet insurance \&amp; discount plans
* Employee Assistance Program (EAP)
* Legal support, life insurance, disability coverage
**Reasonable Accommodations**
 Fearless is committed to providing reasonable accommodations for applicants and candidates with disabilities. If a reasonable accommodation is needed to participate in the job application or interview process, please contact the Human Resources Department at hr@fearless.tech.
**So, What’s Next?**
**Role**
 We’ve refined our hiring approach to make sure every team member is a great fit for Fearless—and that we’re a great fit for you, too. If there’s alignment, we’ll reach out to kick off the interview process. Depending on the role or project, your experience may vary slightly, but it typically includes:
 Introductory Interview
**You'll Connect With a Recruiter To**
* Build rapport and get to know each other
* Review your experience and skills
* Talk through salary expectations and role details
* Set expectations for the rest of the process
 Skills \+ Business Fit Interview
**This Is Where We Dig Deeper To**
* Review findings from any technical assessments
* Walk through situational and values\-based questions
* Explore how your approach aligns with Fearless culture and project needs
 Some roles may also include customer interviews based on specific project requirements in addition to background check and security clearance requirements.
 Equal Opportunity Employer: Fearless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status, protected veteran status, or any other characteristic protected by law.</t>
        </is>
      </c>
    </row>
    <row r="210">
      <c r="A210" t="inlineStr">
        <is>
          <t>li-4359104051</t>
        </is>
      </c>
      <c r="B210" t="inlineStr">
        <is>
          <t>Databricks Data Engineer (2 positions )</t>
        </is>
      </c>
      <c r="C210" t="inlineStr">
        <is>
          <t>Liberty Personnel Services, Inc.</t>
        </is>
      </c>
      <c r="D210" t="inlineStr">
        <is>
          <t>linkedin</t>
        </is>
      </c>
      <c r="E210">
        <f>HYPERLINK("https://www.linkedin.com/jobs/view/4359104051", "https://www.linkedin.com/jobs/view/4359104051")</f>
        <v/>
      </c>
      <c r="F210" t="inlineStr"/>
      <c r="G210" t="inlineStr">
        <is>
          <t>Philadelphia, PA</t>
        </is>
      </c>
      <c r="H210" t="inlineStr"/>
      <c r="I210" t="inlineStr">
        <is>
          <t>Job Details:
 Databricks Data Engineer
 Join our innovative team and contribute to revolutionizing healthcare data management. We offer a dynamic work environment where your expertise in data engineering will have a direct impact on improving patient care and health system efficiency. Embrace the opportunity to work with cutting\-edge cloud technologies and develop scalable, reliable data pipelines that transform large volumes of healthcare data into actionable insights.
 \*\*Qualifications:\*\*
* Bachelor’s degree in Computer Science, Information Systems, or a related field, or 4\+ years of relevant experience.
* Minimum 2 years of experience in data engineering, with a focus on building robust data pipelines and dynamic systems.
* Proficiency in ETL/ELT development and cloud technologies such as Azure, AWS, or Databricks.
* Strong understanding of data governance, regulatory compliance (HIPAA, GDPR), and cloud infrastructure.
* Experience with electronic health records (EHR) data, preferred.
* Ability to work cross\-functionally and mentor junior team members.
* Proven track record of managing projects independently and efficiently.
 We are committed to fostering a culture of continuous learning and innovation. If you are passionate about data engineering and eager to contribute to the future of healthcare, we would love to hear from you.
 Please send a current copy of your resume with work history to kevin@libertyjobs.com for consideration. All communications are 100% confidential.
 Kevin McCarthy
 Libertyjobs.com
 484\-238\-1949
* Keywords:\*\* Data Engineer, Senior Data Engineer, ETL, ELT, Cloud Technologies, Healthcare Data, Azure, AWS, Databricks, EHR, HIPAA Compliance, Data Governance</t>
        </is>
      </c>
    </row>
    <row r="211">
      <c r="A211" t="inlineStr">
        <is>
          <t>li-4349505443</t>
        </is>
      </c>
      <c r="B211" t="inlineStr">
        <is>
          <t>Data Engineer - Fundamentals</t>
        </is>
      </c>
      <c r="C211" t="inlineStr">
        <is>
          <t>Expand Energy</t>
        </is>
      </c>
      <c r="D211" t="inlineStr">
        <is>
          <t>linkedin</t>
        </is>
      </c>
      <c r="E211">
        <f>HYPERLINK("https://www.linkedin.com/jobs/view/4349505443", "https://www.linkedin.com/jobs/view/4349505443")</f>
        <v/>
      </c>
      <c r="F211">
        <f>HYPERLINK("https://jobs.expandenergy.com/job/Spring-Data-Engineer-Fundamentals-TX-77389/1338970700/&amp;urlHash=GZZj", "https://jobs.expandenergy.com/job/Spring-Data-Engineer-Fundamentals-TX-77389/1338970700/&amp;urlHash=GZZj")</f>
        <v/>
      </c>
      <c r="G211" t="inlineStr">
        <is>
          <t>Spring, TX</t>
        </is>
      </c>
      <c r="H211" t="inlineStr"/>
      <c r="I211" t="inlineStr">
        <is>
          <t>Our core values — Stewardship, Character, Collaborate, Learn, Disrupt — are the lens through which we evaluate every business decision. As a dynamic, growing company that offers extremely competitive compensation and benefits, our employees are our most valued assets and the foundation of Expands performance among our E\&amp;P competitors.
 We seek applicants from all backgrounds to ensure we get the best, most creative talent on our team. We realize that, historically, underrepresented groups feel the need to be 100% qualified in order to apply. If you meet any combination of our requirements, we encourage you to apply. We strive to hire people from a wide variety of backgrounds, not just because it’s the right thing to do, but because it makes our company stronger.
**Job Summary**
 The Data Engineer \- Energy Trading will be re\-imagining and designing solutions tailored to the dynamic and market\-driven needs of the Marketing \&amp; Commercial division (analysts, traders, originators and executive leadership). This role involves building robust data infrastructure across natural gas, LNGs, power, and related commodities while understanding the unique challenges of energy market data \- from pipeline flows and storage dynamics to the explosion in AI\-driven power demand. You'll work within our Fundamental \&amp; Quantitative Analytics team, collaborating closely with data scientists and traders while having the autonomy to move quickly and define best practices. We operate strategically to design commercial\-focused data architecture in collaboration with our IT teams, while serving as "special forces" for bespoke, short lead\-time data needs. Reporting structure within Fundamental \&amp; Quantitative Analytics team will be determined based on team composition and individual experience levels.
**Job Duties \&amp; Responsibilities**
* Design and implement data onboarding processes for diverse energy commodity datasets including gas flows, power generation, oil and gas production data, market pricing, weather, and other market fundamentals
* Build and maintain data pipelines across various integration methods including Snowflake data sharing, APIs, SFTP transfers, web scraping, and automation tools
* Work efficiently as part of Marketing \&amp; Commercial (analytics trading, origination) team, effectively coordinating with IT teams to rapidly onboard new datasets, and understand evolving business requirements
* Apply understanding of energy market data, commodity flows, and trading applications to optimize data models, integration approaches, and integrity checks/alerting, including developing robust processes and technical documentation
* Appropriately scope out projects and implement efficiently to meet requirements of commercial stakeholders (trading, analytics)
* Contribute to technical decision\-making to balance speed and scalability with long\-term objectives, ensuring data architecture supports current needs and future applications including AI/ML and LLM technologies
* Share knowledge with team members and help establish best practices for data engineering initiatives
* Develop and maintain data quality frameworks and validation processes critical for trading decisions
**Job Specific Skills**
* Solid understanding of energy commodity data characteristics and market structures, with demonstrated ability to quickly learn and work with stakeholders to address the unique challenges of integrating energy datasets
* Hands\-on experience with diverse data integration methods including Snowflake data sharing, REST APIs, SFTP/FTP, web scraping, and automation scripting
* Expert\-level experience with cloud data platforms (Snowflake preferred), Python/Pandas, SQL, and orchestration tools (Airflow, dbt)
* Proven ability to work effectively with business stakeholders, understand requirements quickly, and translate business needs into technical solutions
**Education**
 Minimum: High school diploma or GED
 Preferred: Bachelor’s degree \- from accredited university \- IT, MIS, Computer Science or related field
**Experience**
 Minimum: 2 \- 5 years related work experience
 Preferred: 3\+ years experience in data engineering with exposure to energy commodities (natural gas/NGL, power markets, crude oil, LNG, or related markets)
**Additional Qualifications**
* Natural Gas Market Experience: Experience with natural gas market data sources, pipeline flow data, storage reporting, and basis/location\-specific pricing datasets. Candidates from adjacent energy markets with strong technical skills will be considered
* Energy Trading Background: Experience at energy trading firms, commodity companies, or related commercially\-oriented energy organizations
* Cloud Platforms: Snowflake experience strongly preferred; AWS, Azure, or GCP experience with relevant services (Redshift, Lambda, S3, etc.)
* Real\-Time Data: Experience with streaming data and low\-latency requirements for trading applications
* Data Visualization: Experience with PowerBI, Spotfire, Tableau, or similar tools for energy market analysis
* Leadership Experience: Track record of leading technical projects and mentoring data engineering teams
* Vendor Management: Experience working with energy data vendors and managing complex data acquisition relationships
 Expand Energy takes necessary action to ensure that all applicants are treated without regard to their race, color, religion, sex, sexual orientation, age, gender identity, national origin, genetic information, disability, pregnancy, military or veteran status or any other protected characteristic as established by law.
 Expand Energy Corporation's operations are focused on discovering and developing its large and geographically diverse resource base of unconventional oil and natural gas assets onshore in the United States.
**Nearest Major Market:** 
 Houston
**Job Segment:** 
 Pipeline, Data Architect, Computer Science, Database, SQL, Energy, Data, Technology</t>
        </is>
      </c>
    </row>
    <row r="212">
      <c r="A212" t="inlineStr">
        <is>
          <t>li-4376203760</t>
        </is>
      </c>
      <c r="B212" t="inlineStr">
        <is>
          <t>Data Engineer</t>
        </is>
      </c>
      <c r="C212" t="inlineStr">
        <is>
          <t>EA Engineering, Science, and Technology, Inc., PBC</t>
        </is>
      </c>
      <c r="D212" t="inlineStr">
        <is>
          <t>linkedin</t>
        </is>
      </c>
      <c r="E212">
        <f>HYPERLINK("https://www.linkedin.com/jobs/view/4376203760", "https://www.linkedin.com/jobs/view/4376203760")</f>
        <v/>
      </c>
      <c r="F212" t="inlineStr"/>
      <c r="G212" t="inlineStr">
        <is>
          <t>Hunt Valley, MD</t>
        </is>
      </c>
      <c r="H212" t="inlineStr"/>
      <c r="I212" t="inlineStr">
        <is>
          <t>**About Us**
 At EA, you’ll find yourself surrounded by dynamic professionals that embrace collaboration and curiosity to foster innovation and problem\-solving. This culture forms the essence of our value proposition to apply high\-quality, objective, and interdisciplinary services to complex environmental challenges. With a strong foundation in servant leadership and community service, EA employees are encouraged to pursue personal and professional passions. As a team, we empower each other to share ideas, believe in our common purpose, and value differing perspectives.
* This position does not offer visa sponsorship now or in the future. Applicants who require sponsorship at any point will not be considered.\*\*
**Position Overview**
 The Data Engineer is responsible for designing, building, and optimizing large‑scale data ingestion, storage, and processing solutions within the enterprise data lake environment. This role ensures that high‑quality, well‑structured data is available for analytics, reporting, data science, and downstream applications. The ideal candidate has strong experience in distributed data systems, cloud‑native data platforms, and modern ETL/ELT pipelines
**Responsibilities**
* Build data architecture and storage solutions, including data lake houses, data lakes, data warehouse, and data marts to support analytics and reporting.
* Design, develop and maintain data pipelines, and extract, transform, load (ETL) processes to collect, process and store structured and unstructured data.
* Design graph database models and schemas, and develop and implement graph database solutions.
* Partner with BI and AI/ML teams to expose trusted datasets and features.
* Develop data reliability, efficiency, and quality checks and processes.
* Contribute to data governance practices including cataloging, lineage, classification, and access control.
* Administer testing and troubleshooting related to performance, reliability, and scalability.
**Required Qualifications**
* Bachelor’s or Master’s degree in Computer Science, Engineering, or related field.
* 5\+ years of experience in data engineering or AI/ML production systems.
* Technical Skills: SQL, Python/Scala, ETL/ELT tools, Azure Cloud Platforms, Data Warehousing, Data Modeling, API Integration.
* Strong understanding of data modeling, warehousing, and data lake architecture.
* Experience building data pipelines, managing data lakes, working with structured \&amp; unstructured data
* Experience in Graph data modeling, graph databases (e.g., Neo4j, MongoDB) and Proficiency in graph query languages
* Knowledge of data formats (Parquet, Avro, JSON, Delta Lake).
* Strong understanding of data modeling, warehousing, and data lake architecture.
* Excellent communication and collaboration skills.
* Strong problem‑solving and analytical thinking.
* Ability to work in cross\-functional teams and translate technical concepts for non‑technical audiences.
* Attention to detail and focus on delivering reliable, scalable data solutions.
**Desired Qualifications**
* Hands\-on experience with modern data pipeline orchestration tools (Azure Data Factory).
* Working knowledge of Azure data and AI services (Azure Data Lake, Azure Machine Learning, Azure Cognitive Services, Azure OpenAI).
* Knowledge of records management practices and demonstrated skills in training and process improvement.
* Experience with electronic records/document management systems (ERMS/EDMS) such as SharePoint, OpenText, or equivalent platforms
 Note: This position requires specific driving duties. You must be able to pass a motor vehicle records check required by our insurer.
**Use Of AI In The Application Process**
 Applications should represent your own work and experience. AI generated resumes will not be considered.
**Sponsorship Statement**
 This position does not offer visa sponsorship now or in the future. Applicants who require sponsorship at any point will not be considered.
**Drug Screen Statement**
 Offers of employment are contingent upon successful completion of a drug screen.
 Pay Range
 $100,000—$125,000 USD
 The EA pay range for this position is intended as a general guideline and does not guarantee specific compensation or salary. Factors considered when making an offer include job responsibilities, education, experience, knowledge, skills, abilities, internal equity, alignment with market data, and compliance with federal and state laws.
 Why Join EA?
 At EA, our core values are openness, balance, and challenge and we strive to improve the quality of the environment in which we live, one project at a time. Our professional, team\-centric culture promotes collaboration and flexibility and allows employees to guide their own career development path. To that end, we provide training and coaching to support ongoing development for our project managers and consulting engineers.
**What We Provide**
 EA prides itself on servant leadership, career development for staff in all areas, and maintaining work\-life balance including flexible schedules. We have a tremendous base of positive client relationships that has resulted in a stable backlog of projects and opportunities for growth. We offer paid volunteer time, tuition reimbursement, knowledge sharing, industry advancement, professional associations, and industry conferences. EA is proud to offer a fantastic benefits package that includes the following:
* 401k with Employee Stock Ownership Plan (ESOP)
* Competitive Salary
* Low deductible health coverage for you and your family through Medical, Dental and Vision plans
* Generous paid\-time\-off policy
* Paid volunteer time
* Tuition reimbursement
* Professional Development
* Healthcare and Dependent Care Flexible Spending Accounts
* Employee wellness program
**Accommodation Information**
 If you are interested in applying for employment with EA and require special assistance or accommodation during any part of the pre\-employment process, please contact the EA Talent Acquisition Office at recruitment@eaest.com. For TTY users, dial 711\.
**Equal Opportunity Employer Statement**
 EA is dedicated to providing equal employment opportunities without regard to race, color, ancestry, religion, sex, national origin, sexual orientation, age, citizenship, marital status, disability, gender identity, or veteran status.
 Recruiting Agency Disclaimer
 Recruiting agencies should not contact EA Engineering, Science and Technology, Inc., PBC directly with unsolicited resumes. Any unsolicited resumes submitted by a recruiting agency to EA via this website or email will be deemed the sole property of EA, and EA will not be responsible for any fee associated with such unsolicited resume.</t>
        </is>
      </c>
    </row>
    <row r="213">
      <c r="A213" t="inlineStr">
        <is>
          <t>li-4340999817</t>
        </is>
      </c>
      <c r="B213" t="inlineStr">
        <is>
          <t>Senior Data Engineer</t>
        </is>
      </c>
      <c r="C213" t="inlineStr">
        <is>
          <t>Vanna Health</t>
        </is>
      </c>
      <c r="D213" t="inlineStr">
        <is>
          <t>linkedin</t>
        </is>
      </c>
      <c r="E213">
        <f>HYPERLINK("https://www.linkedin.com/jobs/view/4340999817", "https://www.linkedin.com/jobs/view/4340999817")</f>
        <v/>
      </c>
      <c r="F213">
        <f>HYPERLINK("https://job-boards.greenhouse.io/vannahealth/jobs/4631805005&amp;urlHash=pJwb", "https://job-boards.greenhouse.io/vannahealth/jobs/4631805005&amp;urlHash=pJwb")</f>
        <v/>
      </c>
      <c r="G213" t="inlineStr"/>
      <c r="H213" t="inlineStr"/>
      <c r="I213" t="inlineStr">
        <is>
          <t>Salary Range: $190,000\-$210,000 per year
 Note: This is a remote position.
**About Vanna Health**
 Vanna is reimagining care and community for people living with serious mental illness (SMI).
 The current system is failing individuals with SMI, resulting in a high risk of loneliness (2\.3x), homelessness (6x), unemployment (30x), incarceration (25x), and reduced life expectancy (by 20 years). Vanna believes that no person is too ill to recover and that the solution is social, not just medical. Our mission is to empower people with SMI to flourish by finding purpose and a sense of belonging in their community.
 We are deploying community\-based care teams from diverse backgrounds that have a variety of lived experiences and know their communities inside and out. In close collaboration with existing community organizations and healthcare providers, our teams outreach and build trust with individuals to support the navigation of each individual’s personalized recovery journey.
 We are committed to providing individuals with culturally inclusive support for all races, ethnicities, religions, sexual orientations, gender identities, and other social factors, such as history of incarceration.
**About The Role**
 As Vanna continues to grow, we’re looking for a Senior Data Engineer to build and mature the data platform capabilities that are foundational to Vanna’s success across several key domains, including population evaluation and selection, member outreach and engagement, and optimization of clinical and financial outcomes for both individual members and our populations as a whole. You’ll work closely with our engineering, product, operations, and clinical teams to develop the technology that enables our community\-based teams to provide compassionate care to our members living with severe mental illness.
 This is an opportunity to join a small but growing team, where you’ll have the opportunity to develop many of our foundational data capabilities from scratch and own projects end\-to\-end. You have a growth mindset and are excited about expanding your technical skills and stepping into new responsibilities as the team and company grow.
 What you’ll work on
* Design, build, and operate cloud\-based data infrastructure, optimizing for scale, performance, and cost efficiency as the size of our data grows
* Automate data flows, and layer in monitoring, alerting, and data quality tests to ensure data is accurate and up\-to\-date
* Build interfaces that allow for exposing data and associated processing functionality directly to end users and other systems
* Design and implement production\-grade ML/AI infrastructure, and partner with data scientists to take models into production
* Build frameworks and internal self\-service tooling that helps the data team deliver value faster
**About You**
* 6\+ years of experience in data, ML, or back\-end software engineering
* Advanced Python skills
* Databricks and Spark experience strongly preferred
* Experience with analytical data stores (e.g. Delta Lake, Snowflake, BigQuery) and relational databases (e.g. Postgres, MySQL)
* Intermediate to advanced SQL knowledge (experience with dbt a big plus)
* Experience building and operating production\-grade ML/AI systems
* Familiarity with CI/CD
* Obsessive focus on end users and business impact
***Bonus points if you have:***
* Familiarity with healthcare data
* Experience with (or a desire to learn) infrastructure as code tools like Terraform or Databricks Asset Bundles
* Experience working in highly\-regulated environments
* Experience at an early\-stage startup
* Familiarity with streaming and event\-driven architectures
**Benefits**
* Full health, dental, and vision benefits
* Health Savings Account (HSA)
* Flexible Spending Account (FSA) and Dependent Care FSA
* 401K
* Unlimited PTO</t>
        </is>
      </c>
    </row>
    <row r="214">
      <c r="A214" t="inlineStr">
        <is>
          <t>li-4376434457</t>
        </is>
      </c>
      <c r="B214" t="inlineStr">
        <is>
          <t>Associate, Data Engineer</t>
        </is>
      </c>
      <c r="C214" t="inlineStr">
        <is>
          <t>KPMG US</t>
        </is>
      </c>
      <c r="D214" t="inlineStr">
        <is>
          <t>linkedin</t>
        </is>
      </c>
      <c r="E214">
        <f>HYPERLINK("https://www.linkedin.com/jobs/view/4376434457", "https://www.linkedin.com/jobs/view/4376434457")</f>
        <v/>
      </c>
      <c r="F214" t="inlineStr"/>
      <c r="G214" t="inlineStr">
        <is>
          <t>Albany, NY</t>
        </is>
      </c>
      <c r="H214" t="inlineStr"/>
      <c r="I214"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215">
      <c r="A215" t="inlineStr">
        <is>
          <t>li-4379048016</t>
        </is>
      </c>
      <c r="B215" t="inlineStr">
        <is>
          <t>Databricks Data Engineer</t>
        </is>
      </c>
      <c r="C215" t="inlineStr">
        <is>
          <t>Guidehouse</t>
        </is>
      </c>
      <c r="D215" t="inlineStr">
        <is>
          <t>linkedin</t>
        </is>
      </c>
      <c r="E215">
        <f>HYPERLINK("https://www.linkedin.com/jobs/view/4379048016", "https://www.linkedin.com/jobs/view/4379048016")</f>
        <v/>
      </c>
      <c r="F215">
        <f>HYPERLINK("https://guidehouse.wd1.myworkdayjobs.com/External/job/US\u002d\u002d-VA-Arlington/Databricks-Data-Engineer_36141-1/apply?source=REC_LINKEDIN?utm_source=linkedin.com&amp;utm_medium=job_posting&amp;utm_campaign=Core_Media&amp;utm_content=social_media&amp;utm_term=277974857&amp;ss=paid&amp;urlHash=OTjE", "https://guidehouse.wd1.myworkdayjobs.com/External/job/US\u002d\u002d-VA-Arlington/Databricks-Data-Engineer_36141-1/apply?source=REC_LINKEDIN?utm_source=linkedin.com&amp;utm_medium=job_posting&amp;utm_campaign=Core_Media&amp;utm_content=social_media&amp;utm_term=277974857&amp;ss=paid&amp;urlHash=OTjE")</f>
        <v/>
      </c>
      <c r="G215" t="inlineStr">
        <is>
          <t>Arlington, VA</t>
        </is>
      </c>
      <c r="H215" t="inlineStr"/>
      <c r="I215" t="inlineStr">
        <is>
          <t>**Job Family**
 Data Engineering \&amp; Architecture Consulting
**Travel Required**
 Up to 10%
**Clearance Required**
 Ability to Obtain Public Trust
**What You Will Do**
* Develop and implement CI/CD pipelines for Databricks notebooks and jobs.
* Develop ETL pipelines using PySpark and Databricks.
* Implement Delta Lake for ACID transactions and data reliability.
* Optimize ingestion from APIs, streaming, and batch sources.
* Ensure compliance with data governance and security standards.
* Collaborate with data engineers and scientists to support data pipelines and ML workflows.
* Conduct ETL and data quality analysis using various technologies (i.e., Python, Databricks).
* Ensure data governance and quality assurance standards are met.
* Organize and lead meetings, including scheduling meetings; drafting and delivering agendas and meeting minutes; providing and archiving required documentation; and documenting, tracking, and following up on action items.
* Summarize and present information and reports to the team and make recommendations (both oral and written).
**What You Will Need**
* US Citizenship is required
* Bachelor’s degree is required
* Minimum SEVEN (7\) years of total experience in cloud\-based data platforms
* Minimum FIVE (5\) years experience with Databricks
* Strong scripting skills (Python, Bash).
* Experience with Delta Lake and Unity Catalog.
* Strong knowledge of Spark architecture and distributed computing.
* Hands\-on experience with Terraform or other IaC tools.
* Experience with Unity Catalog and Delta Lake.
* Experience with data modeling and performance tuning.
* Experience with streaming technologies (Kafka, Event Hub).
* Experience with using CI/CD for data pipelines.
* Familiarity with Kubernetes and container orchestration.
* Excellent problem\-solving skills and attention to detail.
* Strong communication and collaboration skills, with the ability to work effectively in a team environment.
**What Would Be Nice To Have**
* Databricks Certified Data Engineer Associate or Professional.
* Azure Data Engineer Associate or AWS Big Data Specialty.
* Active Secret or Top Secret Clearance'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216">
      <c r="A216" t="inlineStr">
        <is>
          <t>li-4369682711</t>
        </is>
      </c>
      <c r="B216" t="inlineStr">
        <is>
          <t>Senior Data Engineer</t>
        </is>
      </c>
      <c r="C216" t="inlineStr">
        <is>
          <t>First American</t>
        </is>
      </c>
      <c r="D216" t="inlineStr">
        <is>
          <t>linkedin</t>
        </is>
      </c>
      <c r="E216">
        <f>HYPERLINK("https://www.linkedin.com/jobs/view/4369682711", "https://www.linkedin.com/jobs/view/4369682711")</f>
        <v/>
      </c>
      <c r="F216">
        <f>HYPERLINK("https://firstam.wd1.myworkdayjobs.com/firstamericancareers/job/USA-California-Santa-Ana/Senior-Data-Engineer_R054356?source=LINKED&amp;urlHash=z5GC", "https://firstam.wd1.myworkdayjobs.com/firstamericancareers/job/USA-California-Santa-Ana/Senior-Data-Engineer_R054356?source=LINKED&amp;urlHash=z5GC")</f>
        <v/>
      </c>
      <c r="G216" t="inlineStr">
        <is>
          <t>Santa Ana, CA</t>
        </is>
      </c>
      <c r="H216" t="inlineStr"/>
      <c r="I216" t="inlineStr">
        <is>
          <t>**Who We Are**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As an InfoSec Security Data Engineer (Data Security), you will support and enhance First American’s existing Data Security processes, standards, and tools across the enterprise. You will work with the Data Security team to reduce the risk for the organization by securing data through detection of sensitive data, classifying and labeling detected data, and applying encryption or other security controls to protect and ensure appropriate access to and use of sensitive data to fully comply with all applicable laws and regulatory guidance. Additionally, you will work with internal information security and business groups to identify opportunities for continuous improvement and maturity of the Data Security function.
 You will be joining a team that is looking to mature the tools and technology that is being utilized, as well as the end\-to\-end data remediation processes. Under the leadership of the manager, you would help develop programs to further secure our sensitive information in both structured and unstructured data environments.
 This role is hybrid 3 days per week onsite in Santa Ana, CA.
**HOW YOU'LL CONTRIBUTE:**
* Under general supervision, oversee small to medium scale projects or phases of a larger project. Such initiatives include expanding the use of Microsoft 365 Information Protection (MIP) and Purview Data Loss Prevention (DLP) for cloud\-based collaboration services.
* Participate in identifying business process requirements and related business/application solutions for a specific business need, for example, remediation of an audit finding or enhancing our data security capabilities.
* Identify/receive problem, research alternatives, prepare presentations, drive solutions, tests to confirm and gain consensus, and implement solutions for defined business processes.
* Generate and create reports; research and analyze data and report trends to management/business partner—metrics such as user adoption/labeling activity, high risk users/business units, or risk exposure/risk remediation.
* Assist with the creation, maintenance, and updates of Data Security process documents, including Data Remediation, sensitivity labeling, and process/workflows with ServiceNow integration.
* Interface with Business Units and data stewards to support Data Security initiatives across the enterprise.
* Responding in a timely manner as a subject matter expert to questions from end users and business stakeholders by sharing accurate information about data security policies, standards, and business processes.
* Support the team with resolution of alerts triggered by the automated detection of sensitive information stored as unstructured data residing on the First American network.
* Anticipate, identify, and escalate appropriate issues to Manager/Director.
* Keep abreast of industry advancements and incorporate that knowledge into daily work activities.
* Participate in evaluation and selection of new technology.
**WHAT YOU'LL BRING:**
**Knowledge, Skills \&amp; Technology**
* Bachelor’s Degree or equivalent experience
* Minimum 3 years of relevant work experience in Information Security, IT Risk Management
* M365 EMS E5 stack of online services, including but not limited to, Purview DLP, Microsoft Information Protection (MIP), and how these interact with Exchange, SharePoint, OneDrive, and Microsoft Defender (Cloud Apps \&amp; Endpoint)
* Extensive experience working with Microsoft technologies and infrastructure, with an emphasis on Active Directory/AAD
* Working knowledge of IT and Information Security control standards and frameworks (CIS, NIST, ISO27001, etc.) as well as financial services regulatory requirements (CCPA, PCI\-DSS, etc.)
* Familiarity with RegEx formulas, Sensitive Information Types (SITs), NPI/PI
* Team player with positive energy and good customer service skills
* Ability to work independently, demonstrates initiative, and is a self\-starter
* Understanding of modern cyber security methodologies and protocols
* Excellent verbal and written communication skills
* Experience in documenting processes, technical writing, and flow charts
* Manage multiple initiatives simultaneously, with strong ability to prioritize
* Customer focused in the context of balancing risk reduction with business needs
* High attention to detail to manage, analyze and finalize artifacts and documents
* Highly flexible, adapting to changes in priorities and requirements
* Ability to quickly learn, communicate and apply technical concepts
* Demonstrated judgement in effectively dealing with highly sensitive information
 Pay Range: $129,300\.00 \- $172,300\.00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217">
      <c r="A217" t="inlineStr">
        <is>
          <t>li-4377951134</t>
        </is>
      </c>
      <c r="B217" t="inlineStr">
        <is>
          <t>Data Engineer</t>
        </is>
      </c>
      <c r="C217" t="inlineStr">
        <is>
          <t>AgileEngine</t>
        </is>
      </c>
      <c r="D217" t="inlineStr">
        <is>
          <t>linkedin</t>
        </is>
      </c>
      <c r="E217">
        <f>HYPERLINK("https://www.linkedin.com/jobs/view/4377951134", "https://www.linkedin.com/jobs/view/4377951134")</f>
        <v/>
      </c>
      <c r="F217">
        <f>HYPERLINK("https://launchpod.agileengine.com?data=eyJ2IjoxLCJ0aXRsZSI6IkRhdGEgRW5naW5lZXIgSUQ1MDA2MiIsInNwZWNpYWxpemF0aW9uIjoiRGF0YSBFbmdpbmVlciIsInNraWxsIjoiRGF0YSBFbmdpbmVlciBQeXRob24iLCJqb2JQb3N0aW5nVXJsIjoiaHR0cHM6Ly9qb2luLmFnaWxlZW5naW5lLmNvbS9qb2Ivc29mdHdhcmUtZW5naW5lZXItbWlkZGxlLXBocC1pZGVyYS8iLCJ1dG1Tb3VyY2UiOiJJbmJvdW5kIiwidXRtUHJvdmlkZXIiOiJMaW5rZWRpbiBDb3Jwb3JhdGUifQ==&amp;urlHash=gUD4", "https://launchpod.agileengine.com?data=eyJ2IjoxLCJ0aXRsZSI6IkRhdGEgRW5naW5lZXIgSUQ1MDA2MiIsInNwZWNpYWxpemF0aW9uIjoiRGF0YSBFbmdpbmVlciIsInNraWxsIjoiRGF0YSBFbmdpbmVlciBQeXRob24iLCJqb2JQb3N0aW5nVXJsIjoiaHR0cHM6Ly9qb2luLmFnaWxlZW5naW5lLmNvbS9qb2Ivc29mdHdhcmUtZW5naW5lZXItbWlkZGxlLXBocC1pZGVyYS8iLCJ1dG1Tb3VyY2UiOiJJbmJvdW5kIiwidXRtUHJvdmlkZXIiOiJMaW5rZWRpbiBDb3Jwb3JhdGUifQ==&amp;urlHash=gUD4")</f>
        <v/>
      </c>
      <c r="G217" t="inlineStr"/>
      <c r="H217" t="inlineStr"/>
      <c r="I217" t="inlineStr">
        <is>
          <t>**About us** 
 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If you’re looking for a place to grow, make an impact, and work with people who care, we’d love to meet you!
**About the Role** 
 This
 **Senior Data Engineer (Python)** 
 role is central to transforming large, diverse datasets into reliable insights that support research and strategic decisions across a global financial platform. You will help shape a unified data ecosystem, partnering with data scientists, researchers, and stakeholders to connect technology with real business impact. What makes this opportunity unique is the scale of data, use of modern cloud, AI, and data engineering practices, and strong influence on platform evolution. It’s a chance to grow technically while contributing to a mission\-driven, collaborative environment.
**What you will do** 
* Design and build scalable Data Lakes, Data Warehouses, and Data Lakehouses;
* Design and implement robust ETL/ELT processes at scale using Python and pipeline orchestration tools like Airflow;
* Develop ingestion workflows from diverse third\-party APIs and data sources;
* Manage and optimize file formats such as Parquet, Avro, and ORC for high\-performance data retrieval;
* Work with AI development tools to support machine learning initiatives and advanced analytics;
* Act as a technical consultant to gather requirements, understand business goals, and translate them into technical roadmaps;
* Work with Terraform and other tools to build AWS and on\-prem infrastructure.
**Must haves** 
* You must be authorized to work for ANY employer in the US (e.g., Green card holders, TN visa holders, GC EAD, H4 EAD, U4U with EAD), as we are unable to sponsor or take over employment visa sponsorship at this time;
* **Bachelor’s degree in computer science/engineering** 
 or other technical field, or equivalent experience;
* **5\+ years of experience with Python** 
 with strong hands\-on expertise;
* **5\+ years of experience** 
 with data processing and analytics libraries such as
 **Pandas** 
 ,
 **Polars** 
 ,
 **PySpark** 
 , and
 **DuckDB** 
 ;
* **2\+ years of experience** 
 with Big Data technologies such as
 **Spark** 
 and
 **Snowflake** 
 ;
* **Expert\-level knowledge of Airflow** 
 or similar pipeline orchestration tools;
* **Deep understanding of Medallion Architecture** 
 , columnar file formats, and database technologies including
 **SQL** 
 ,
 **NoSQL** 
 , and Lakehouse architectures;
* Proven ability to work with third\-party APIs for complex data ingestion;
* **Proficiency with cloud platforms** 
 such as
 **AWS** 
 ,
 **GCP** 
 , and
 **Snowflake** 
 , including advanced SQL optimization;
* Upper\-intermediate English level.
**Nice to haves** 
* Familiarity with the fintech industry and financial data domains;
* Documentation skills for data pipelines, architecture designs, and best practices;
* **OpenSearch** 
 or
 **Elasticsearch** 
 ;
* **AWS SageMaker Studio** 
 and
 **Jupyter** 
 for data analysis;
* **Terraform** 
 ;
* **Scala** 
 .
**Perks and Benefits** 
* **Professional growth**
 Accelerate your professional journey with mentorship, TechTalks, and personalized growth roadmaps
* **Competitive compensation**
 We match your ever\-growing skills, talent, and contributions with competitive USD\-based compensation and budgets for education, fitness, and team activities
* **A selection of exciting projects**
 Join projects with modern solutions development and top\-tier clients that include Fortune 500 enterprises and leading product brands
* **Flextime**
 Tailor your schedule for an optimal work\-life balance, by having the options of working from home and going to the office – whatever makes you the happiest and most productive.</t>
        </is>
      </c>
    </row>
    <row r="218">
      <c r="A218" t="inlineStr">
        <is>
          <t>li-4363831303</t>
        </is>
      </c>
      <c r="B218" t="inlineStr">
        <is>
          <t>Staff Data Platform Engineer</t>
        </is>
      </c>
      <c r="C218" t="inlineStr">
        <is>
          <t>TouchTunes</t>
        </is>
      </c>
      <c r="D218" t="inlineStr">
        <is>
          <t>linkedin</t>
        </is>
      </c>
      <c r="E218">
        <f>HYPERLINK("https://www.linkedin.com/jobs/view/4363831303", "https://www.linkedin.com/jobs/view/4363831303")</f>
        <v/>
      </c>
      <c r="F218" t="inlineStr"/>
      <c r="G218" t="inlineStr">
        <is>
          <t>Schaumburg, IL</t>
        </is>
      </c>
      <c r="H218" t="inlineStr"/>
      <c r="I218" t="inlineStr">
        <is>
          <t>**Location:** 
 Schaumburg, Illinois (currently hybrid with up to 50% remote)
**Your Mission In The Data Engineering Team**
 At Touchtunes, your work matters. We are seeking a highly skilled and experienced Staff Data Platform Engineer to lead the design, development, and optimization of our data platform. This role is ideal for someone who thrives at the intersection of cloud architecture, big data engineering, and enabling AI/ML capabilities at scale. You will partner closely with data scientists, analysts, DevOps, and engineering teams to drive scalable, secure, and high\-performing data solutions.
**Your Day\-to\-day**
* Architect and build scalable data platforms using AWS services such as S3, Glue, Lambda, Redshift, EMR, and CloudWatch.
* Design and optimize end\-to\-end ETL/ELT pipelines using Databricks, PySpark, Python, and SQL to support batch and real\-time data workflows.
* Define, build, and maintain data models and warehouse structures optimized for analytics and ML workloads.
* Implement and maintain CI/CD pipelines for data workflows and ML models using Jenkins, Git, and other DevOps tools.
* Experience building and supporting real\-time data pipelines using tools such as Kafka, Kinesis, or Structured Streaming.
* Drive the adoption of DataOps and MLOps best practices, ensuring robust testing, observability, monitoring, and rollback strategies.
* Partner with machine learning engineers to enable scalable model training, deployment, and monitoring pipelines.
* Establish and enforce data quality, governance, security, and cataloging standards (e.g., Unity Catalog).
* Evaluate and recommend new tools and frameworks that enhance the scalability and reliability of the data ecosystem.
* Mentor junior engineers, promote engineering excellence, and participate in architectural decision\-making.
**Your Profile**
* Deep expertise in Databricks (clusters, jobs, Delta Lake, Unity Catalog, notebooks).
* Proficiency in Python and PySpark for developing large\-scale data processing jobs.
* Advanced SQL skills, including complex joins, window functions, CTEs, and performance tuning.
* Hands\-on experience with Jenkins for CI/CD automation in data/ML workflows.
* Solid understanding of DataOps/MLOps practices, including version control, testing, monitoring, and deployment of data pipelines and models.
* Experience with orchestration tools such as Airflow, dbt, or similar.
* Familiarity with data security, compliance, and governance frameworks.
* Strong problem\-solving and communication skills; ability to lead cross\-functional technical discussions.
**Even Better If You Have**
* Familiarity with AI development tools and environments such as Cursor, and other modern code generation, debugging, or co\-piloting platforms.
* Experience with containerization and orchestration (e.g., Docker, Kubernetes).
* AWS or Databricks certifications are a plus
**What’s In It For You**
 At TouchTunes, your work impacts our customers as part of interesting projects that transform the in\-venue entertainment industry. We foster open communication and collaboration across all levels, with approachable leaders who value all voices and empower you to excel and innovate. Our team thrives in an environment where fun meets hard work, and everyone is encouraged to be their authentic selves.
**Our Perks And Benefits**
* Hybrid Work Environment: Hybrid schedule with 50% work\-from\-home and in\-office time, with the ability to work anywhere in the world for up to 2 months per year.
* Financial Wellness:Annual performance bonus, long\-term company bonus, 401k matching, life insurances
* Comprehensive Benefits: Competitive health insurance and disability coverage, a Lifestyle Spending Account, access to telemedicine, and an unlimited sick days policy.
* Professional Development: Continuous hands\-on learning with access to e\-learning platform, tuition reimbursement, and peer mentorship.
* Accessibility: An inclusive workplace designed to accommodate people with disabilities.
**TouchTunes**
 At TouchTunes, the world’s largest in\-venue interactive music and entertainment platform, we’re all about sparking joy and human connection. That moment in a bar where someone at the next table cues the jukebox to play your favorite song? That’s what we do – our platform plays millions of songs daily – but we’re also so much more! We just bought the largest soft\-tipped darts business in the United States, we’re reinventing our mobile app for launch later this year, and we’re operating nearly 100,000 connected devices across North America and Europe. We’re innovators, strategic thinkers, people making the future possible today – and what a great time to join our team.
**Work Requirements:** 
 Must be authorized to work in the United States
 TouchTunes is an Equal Employment Opportunity / Affirmative Action employer. TouchTunes provides equal employment opportunities (EEO) to all employees and applicants for employment without regard to race, color, religion, creed, sex, gender identity or expression, age, national origin or ancestry, citizenship, disability, sexual orientation, marital status, pregnancy, veteran status, membership in the uniformed services, genetic information, or any other basis protected by applicable law. This policy applies to all terms and conditions of employment, including recruiting, hiring, placement, promotion, termination, layoff, recall, transfer, leaves of absence, compensation, and training.
 🌈TouchTunes is a proud ally of
 **QueerTech** 
 and
 **DiversityJobs.**</t>
        </is>
      </c>
    </row>
    <row r="219">
      <c r="A219" t="inlineStr">
        <is>
          <t>li-4379053309</t>
        </is>
      </c>
      <c r="B219" t="inlineStr">
        <is>
          <t>Remote AWS Data Engineer</t>
        </is>
      </c>
      <c r="C219" t="inlineStr">
        <is>
          <t>TestingXperts</t>
        </is>
      </c>
      <c r="D219" t="inlineStr">
        <is>
          <t>linkedin</t>
        </is>
      </c>
      <c r="E219">
        <f>HYPERLINK("https://www.linkedin.com/jobs/view/4379053309", "https://www.linkedin.com/jobs/view/4379053309")</f>
        <v/>
      </c>
      <c r="F219">
        <f>HYPERLINK("https://www.adzuna.com/details/5646686224?v=0D8931953C1095446DC0A07040D0D21DB96D542B&amp;frd=1cdabbd0e7ed19f491764ee2a41ecc9a&amp;r=21345521&amp;ccd=be56c10db51e8629efdc892f3beba3d3&amp;utm_source=linkedin7&amp;utm_medium=organic&amp;chnlid=1931&amp;title=Remote%20AWS%20Data%20Engineer&amp;a=e&amp;urlHash=fWFg", "https://www.adzuna.com/details/5646686224?v=0D8931953C1095446DC0A07040D0D21DB96D542B&amp;frd=1cdabbd0e7ed19f491764ee2a41ecc9a&amp;r=21345521&amp;ccd=be56c10db51e8629efdc892f3beba3d3&amp;utm_source=linkedin7&amp;utm_medium=organic&amp;chnlid=1931&amp;title=Remote%20AWS%20Data%20Engineer&amp;a=e&amp;urlHash=fWFg")</f>
        <v/>
      </c>
      <c r="G219" t="inlineStr">
        <is>
          <t>Washington, DC</t>
        </is>
      </c>
      <c r="H219" t="inlineStr"/>
      <c r="I219" t="inlineStr">
        <is>
          <t>Hi,
 My name is Sreeja and I represent TestingXperts Inc. TestingXperts is a Specialist QA \&amp; Software Testing Company, and an Independent Software Testing division of Damco Group, which is a leading IT Solutions and Services company working with Fortune Enterprises globally. Inheriting the virtues of job quality and optimal user satisfaction from Damco Group, TestingXperts aims at promoting the ethics of connected innovation, thereby seeding the integral values in our employees and achieving unmatched contentment in our clients. To know more about Testingxperts Inc., please visit our website www.testingxperts.com.
 If you are interested in the opportunity listed below, please forward your updated resume along with current contact information, or perhaps you can recommend someone who would be interested in this position
**Role: AWS Data Engineer**
**Location: Remote**
**Visa\- Only US Citizen \&amp; Green Card Holder Only.**
**Please share these details with Submission.**
**Skills**
**Primary Skills**
**Years Of Experience**
**Last Worked in Which Year**
**Rating 1\-10**
**AWS**
**Glue**
**SNS/SQS**
**Python**
**Py\-Spark**
**Data Lake**
**Cloud Watch**
**Cloud Trail**
**DB Design**
**SQL**
**Detail\- JDs;**
* Lead the team technically to complete milestones on time.
* Understand complete requirement, create Architecture and update all stakeholders.
* Create POCs
* Manage delivery/release to customer
* Develop Services to enable data ingestion from and synchronization with system which exposes required data access mechanisms ensuring near\-real\-time updates
* Ingest data from multiple sources using the python and any other ETL tools
* Design and implement an event\-driven architecture using AWS EventBridge, Kafka, or SNS/SQS for real\-time data streaming
* Design, implement, and maintain scalable data pipelines that integrate both on\-prem and AWS cloud environments.
* Develop efficient Python scripts and applications using libraries like pandas, NumPy, etc., to handle and process large datasets.
* Work with various NoSQL databases (e.g., MongoDB, Cassandra, DynamoDB) to support high\-performance data storage and retrieval.
* Develop and deploy applications in a cloud\-native architecture, leveraging modern cloud technologies for scalability and resilience.
* Continuously monitor data workflows and systems, troubleshoot issues, and optimize performance for reliability and scalability
* Transition existing pipeline to MSSQL server
* Collaborate with the business application owner on the existing data architecture, including data ingestion, data pipelines, business logic, data consumption patterns, and analytics requirements
* Design and document the target data architecture, pipelines, processing and analytics architecture
* Identify opportunities for optimization and consolidation
* Collaboration with data team on decomposition of business logic and data transformation patterns</t>
        </is>
      </c>
    </row>
    <row r="220">
      <c r="A220" t="inlineStr">
        <is>
          <t>li-4379048714</t>
        </is>
      </c>
      <c r="B220" t="inlineStr">
        <is>
          <t>Staff Analytics Engineer</t>
        </is>
      </c>
      <c r="C220" t="inlineStr">
        <is>
          <t>Engine</t>
        </is>
      </c>
      <c r="D220" t="inlineStr">
        <is>
          <t>linkedin</t>
        </is>
      </c>
      <c r="E220">
        <f>HYPERLINK("https://www.linkedin.com/jobs/view/4379048714", "https://www.linkedin.com/jobs/view/4379048714")</f>
        <v/>
      </c>
      <c r="F220">
        <f>HYPERLINK("https://grnh.se/6dcx1ow83us&amp;urlHash=GKHe", "https://grnh.se/6dcx1ow83us&amp;urlHash=GKHe")</f>
        <v/>
      </c>
      <c r="G220" t="inlineStr">
        <is>
          <t>Denver, CO</t>
        </is>
      </c>
      <c r="H220" t="inlineStr"/>
      <c r="I220" t="inlineStr">
        <is>
          <t>**About Engine**
 At Engine, we're transforming business travel into something personalized, rewarding, and simple. For too long, managing travel and spend has been overwhelming and fragmented — we're here to change that. We believe the future of travel should be seamless and powered by technology that delights customers at every step. That's why we're building a platform that brings together corporate travel, a powerful charge card, and modern spend management in one place.
 To make this vision real, we're looking for exceptional, mission\-driven people to help redefine how businesses manage and experience travel.
 More than 20,000 companies already rely on Engine to support over 1 million travelers and billions in annual bookings each year. Cash flow positive with rapid growth, we pair exclusive Engine\-only rates, industry\-leading rewards, and intelligent automation to help businesses save money while delivering world\-class personalization and convenience.
 Backed by Telescope Partners, Blackstone, and Permira, Engine has been recognized as one of the fastest\-growing travel and fintech platforms in North America, with honors including the Deloitte Fast 500 and Built In's Best Places to Work.
 Your Mission:
 As a Staff Analytics Engineer, you are the technical authority for Engine's data ecosystem. You will lead the transition from a monolithic legacy environment to a sophisticated, multi\-project Medallion Architecture. This role is designed for a high\-level Individual Contributor (IC) who thrives on solving "unsolvable" spaghetti\-code problems and establishing the engineering standards that allow our entire data org to move faster, with higher trust.
 High\-Impact Responsibilities
* Architectural Overhaul: Lead the design and execution of a massive migration from 1,200\+ legacy dbt models into a modular, three\-project Medallion structure (Bronze, Silver, Gold).
* Systems Governance: Define the "Engine Standard" for data contracts, naming conventions, and testing frameworks. You aren't just following a process; you are building the process others will follow.
* Performance \&amp; Scalability: Partner with the Principal Engineer to optimize our Snowflake footprint. You will identify systemic inefficiencies in our DAGs and warehouse usage to drive down costs while increasing query speed.
* Technical Mentorship: Act as a force multiplier for the team. You will lead high\-level design reviews, provide "Staff\-level" feedback on PRs, and elevate the technical bar for our Senior and Mid\-level engineers.
* Strategic Partnership: Bridge the gap between Engineering and Business. You'll ensure our infrastructure supports long\-term growth (3–5 years out) without compromising the day\-to\-day execution speed of our analysts.
 What You'll Bring to Engine
* Expert\-Level dbt Mastery: You don't just "use" dbt; you understand dbt Mesh, cross\-project dependencies, and how to refactor massive projects without breaking downstream BI tools like Looker.
* Legacy Refactoring Experience: 8\+ years of industry experience with a proven track record of migrating large\-scale, "messy" data environments into clean, governed architectures.
* The "Engineer" in Analytics Engineer: Deep proficiency in Python for data operations, Airflow for orchestration, and a rigorous approach to Version Control and CI/CD.
* Architectural Vision: Ability to look at 1,200 models and see the patterns. You prefer simple, elegant abstractions over complex, brittle "quick fixes."
* Influence without Authority: You can articulate technical debt and architectural trade\-offs to stakeholders, gaining buy\-in for long\-term infrastructure health.
*We accept applications for this role on an ongoing basis. We review applications as they are received and encourage interested candidates to apply early.*
**Compensation**
 Our compensation packages are based on several factors, including your experience, expertise, and location. In addition to a competitive base salary, total compensation may include equity and/or variable pay (OTE). Your recruiter will share your complete compensation package as you move through the process.
 Base Pay Range
 $140,000—$192,000 USD
**The Engine Edge: Perks \&amp; Compensation**
 We believe in rewarding great work with great benefits:
* **Compensation:** 
 Competitive base pay tied to role and experience, with opportunities for bonuses, commissions, and equity.
* **Benefits:** 
 Check out our full list at engine.com/culture.
* **Environments for Success:** 
 Different roles have different needs in terms of the environments that drive success which is why we have a hybrid\-hub model. Whether you are in one of our amazing offices or fully remote, we'll make sure you have what you need to succeed.
*Perks and benefits may vary based on employment type, location, and more.*
**Ready to Build the Future of Work Travel?**
 Join us on our mission to transform how work travel works—for businesses, for travelers, and for the industry. Apply now and let's make travel simpler, smarter, and more enjoyable—together.</t>
        </is>
      </c>
    </row>
    <row r="221">
      <c r="A221" t="inlineStr">
        <is>
          <t>li-4342451234</t>
        </is>
      </c>
      <c r="B221" t="inlineStr">
        <is>
          <t>Sr. Analytics Engineer</t>
        </is>
      </c>
      <c r="C221" t="inlineStr">
        <is>
          <t>Cyera</t>
        </is>
      </c>
      <c r="D221" t="inlineStr">
        <is>
          <t>linkedin</t>
        </is>
      </c>
      <c r="E221">
        <f>HYPERLINK("https://www.linkedin.com/jobs/view/4342451234", "https://www.linkedin.com/jobs/view/4342451234")</f>
        <v/>
      </c>
      <c r="F221">
        <f>HYPERLINK("https://www.comeet.com/jobs/cyera/17.008/sr_-analytics-engineer/C0.B42&amp;urlHash=LpkS", "https://www.comeet.com/jobs/cyera/17.008/sr_-analytics-engineer/C0.B42&amp;urlHash=LpkS")</f>
        <v/>
      </c>
      <c r="G221" t="inlineStr"/>
      <c r="H221" t="inlineStr"/>
      <c r="I221" t="inlineStr">
        <is>
          <t>**WHO WE ARE** 
 Come join the company reinventing data security, empowering businesses to realize the full potential of their data. As the leading data security platform purpose\-built for the cloud era, Cyera’s mission is to reinvent how businesses secure data, enable agile collaboration, and boldly pursue new business opportunities. Trusted by security teams at leading global businesses, our team is proving that data security is the next big thing in cyber. Backed by the world’s leading investors and working with a large and growing list of Fortune 1000 companies, we are looking for world\-class talent to join us as we usher in the new era of data security.
**THE OPPORTUNITY** 
 As a Sr. Analytics Engineer, you will drive the architecture, development, and optimization of our analytics infrastructure. You’ll work closely with cross\-functional teams (data science, engineering, security, and product) to ensure that the company leverages data insights effectively to drive business decisions, enhance product security, and support our growth. Your primary responsibility will be to design and implement data models, pipelines, and analytics frameworks that empower internal and external stakeholders with secure, accurate, and actionable data insights.
**RESPONSIBILITIES:** 
* Architect, build, and maintain robust, scalable data pipelines and analytics infrastructure that supports real\-time data insights and reporting.
* Design efficient and secure data models and warehouses that facilitate optimized querying, reporting, and analytics workflows.
* Implement, maintain, and optimize ETL/ELT processes that handle the ingestion, transformation, and loading of large, complex datasets, ensuring data quality and security at every step.
* Collaborate with data scientists, security engineers, and product managers to gather requirements, prioritize projects, and build analytics solutions that directly contribute to business objectives.
* Ensure that all data\-related processes meet the highest standards of security, privacy, and compliance (GDPR, CCPA, etc.). Work closely with the security team to design secure analytics environments.
* Continuously monitor and optimize data infrastructure performance for scalability, efficiency, and reliability.
* Develop data visualizations, dashboards, and reporting systems that enable stakeholders to easily access key insights and metrics.
* Automate routine tasks and processes, leveraging modern data tools and frameworks to improve team efficiency.
**REQUIRED QUALIFICATIONS:** 
* 5\+ years of experience as a data/analytics engineer, with at least 2\+ years in a senior role.
* Expert in SQL, Python, or R for data analysis and transformation.
* Proficient in data modeling and database design (e.g., Snowflake, Redshift, BigQuery).
* Deep experience with ETL/ELT tools (e.g., dbt, Airflow, Apache Spark) and cloud data platforms (AWS, GCP, or Azure).
* Strong understanding of data warehousing concepts, architecture, and technologies.
* Experience with modern BI tools (e.g., Looker, Tableau, PowerBI).
* Familiarity with data versioning, CI/CD, and DevOps practices for analytics engineering.
* A strong background or understanding of data security principles, encryption, and compliance standards (e.g., GDPR, CCPA).
* Proven ability to handle complex datasets, troubleshoot issues, and find innovative solutions.
* Strong written and verbal communication skills with the ability to convey technical information to non\-technical stakeholders.
**COMPENSATION INFORMATION:** 
 Compensation Range: $160,000\-$200,000\.
 The range represents total compensation, and may include company bonus, incentive for sales roles, equity or benefits, as applicable.
 This compensation range represents Cyera’s good faith and reasonable estimate of the range of possible compensation for this role at the time of posting, and Cyera may ultimately pay more or less than the posted range. The final salary for this position will be determined in Cyera’s sole discretion, consistent with applicable law, and based on a variety of factors, including but not limited to the employee’s work experience, skills, and qualifications for the role, as well as the needs of Cyera’s business and other operational considerations.
 Final compensation will vary based on seniority and relevance of experience, location, and position requirements.
 This role may be eligible for potential merit increases based on factors such as individual or company performance, time in role, and other discretionary factors.
**BENEFITS \- Why Cyera?** 
* Ability to work remotely, with office setup reimbursement
* Competitive salary
* Unlimited PTO
* Paid holidays and sick time
* Health, vision, and dental insurance
* Life, short and long\-term disability insurance</t>
        </is>
      </c>
    </row>
    <row r="222">
      <c r="A222" t="inlineStr">
        <is>
          <t>li-4379085508</t>
        </is>
      </c>
      <c r="B222" t="inlineStr">
        <is>
          <t>Data Platform Engineer</t>
        </is>
      </c>
      <c r="C222" t="inlineStr">
        <is>
          <t>Capgemini</t>
        </is>
      </c>
      <c r="D222" t="inlineStr">
        <is>
          <t>linkedin</t>
        </is>
      </c>
      <c r="E222">
        <f>HYPERLINK("https://www.linkedin.com/jobs/view/4379085508", "https://www.linkedin.com/jobs/view/4379085508")</f>
        <v/>
      </c>
      <c r="F222" t="inlineStr"/>
      <c r="G222" t="inlineStr">
        <is>
          <t>New York, NY</t>
        </is>
      </c>
      <c r="H222" t="inlineStr"/>
      <c r="I22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 Newark, NJ (Onsite/Hybrid)**
**Job Description**
* We are seeking a highly skilled Data Platform Engineer to design, build, and optimize data solutions using Microsoft Fabric, OneLake, and modern data architecture patterns. The ideal candidate will have strong experience in building scalable data pipelines, enabling Fabric‑native data capabilities, and driving cloud modernization initiatives within the Microsoft ecosystem.
* Design and develop data pipelines and models using Microsoft Fabric and OneLake, with a strong focus on interoperability and performance using columnar formats like Parquet and efficient serialization formats like Protobuf.
* Collaborate with cross\-functional teams (Product Owners, Azure Solution Architects, Data \&amp; Software Engineers) to drive a Fabric\-native data platform that integrates seamlessly with Power BI.
* Enable modern data architecture patterns, including Lakehouse, near real\-time streaming, schema evolution, and efficient serialization in messaging and APIs.
* Maintain and automate scalable data pipelines, emphasizing performance, metadata consistency, and optimal use of storage formats such as Parquet within the Microsoft ecosystem.
* Champion DevOps practices, implementing CI/CD pipelines (via Azure DevOps or GitLab Pipelines) and Infrastructure\-as\-Code for consistent, secure deployment of Fabric\-based solutions.
* Monitor and optimize platform performance using observability tools, ensuring health, reliability, and cost\-efficiency.Drive cloud migration and modernization efforts, guiding the transition to Microsoft Azure and Fabric, ensuring format and schema'
**Qualifications**
* Strong experience with Microsoft Fabric, OneLake, and Azure data services.
* Hands\-on expertise with Parquet, Protobuf, and modern serialization/storage formats.
* Experience designing and automating scalable data pipelines.
* Solid understanding of data modeling, schema evolution, streaming architectures, and lakehouse principles.
* Strong background in DevOps practices, CI/CD automation, and IaC tools.
* Experience collaborating with cross\-functional engineering and product teams.
* Strong problem‑solving, optimization, and analytical skills.
 The base compensation range for this role in the posted location is: USD $90000 \- $110786 Per Year.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223">
      <c r="A223" t="inlineStr">
        <is>
          <t>li-4379069016</t>
        </is>
      </c>
      <c r="B223" t="inlineStr">
        <is>
          <t>Assoc. Analytics Engineer</t>
        </is>
      </c>
      <c r="C223" t="inlineStr">
        <is>
          <t>Numerator</t>
        </is>
      </c>
      <c r="D223" t="inlineStr">
        <is>
          <t>linkedin</t>
        </is>
      </c>
      <c r="E223">
        <f>HYPERLINK("https://www.linkedin.com/jobs/view/4379069016", "https://www.linkedin.com/jobs/view/4379069016")</f>
        <v/>
      </c>
      <c r="F223">
        <f>HYPERLINK("https://recruit.hirebridge.com/v3/careercenter/v2/details.aspx?jid=608503&amp;cid=7844&amp;locvalue=10261026&amp;bid=8&amp;src=LinkedIn&amp;urlHash=_1tr", "https://recruit.hirebridge.com/v3/careercenter/v2/details.aspx?jid=608503&amp;cid=7844&amp;locvalue=10261026&amp;bid=8&amp;src=LinkedIn&amp;urlHash=_1tr")</f>
        <v/>
      </c>
      <c r="G223" t="inlineStr">
        <is>
          <t>Chicago, IL</t>
        </is>
      </c>
      <c r="H223" t="inlineStr"/>
      <c r="I223" t="inlineStr">
        <is>
          <t>**We’re reinventing the market research industry. Let’s reinvent it together.**
 At Numerator, we believe tomorrow’s success starts with today’s market intelligence. We empower the world’s leading brands and retailers with unmatched insights into consumer behavior and the influencers that drive it.
 Numerator is looking for a talented and passionate Analytics Engineer to join our team in our Chicago office. As part of our Insights analytics team, you will be building new and improving existing services powering the Insights platform. This is a fast\-paced role with high growth, visibility, impact, and where many of the decisions for new projects will be driven by you and your team from inception through production. If you are seeking an environment where you get to do meaningful work with other great engineers, then we want to hear from you!
**What You'll Be Doing:**
* Develop reports on top of our analytics platform, Numerator Insights, that will combine multiple data sets using Pandas and SQLAlchemy to answer business questions and uncover insights.
* Actively help our on\-site consultants with questions about data and functionality of the analytics platform.
* Explore new paradigms and frameworks to help the Insights team accelerate implementation.
**What You'll Bring to Numerator**
* A minimum of 1\-2 years of software development experience or equivalent education
* Experience with Python, as well as Pandas or something similar
* Experience with relational databases, SQL and SQLAlchemy
* Knowledge of Airflow and task orchestration concepts
* Solid understanding of django framework and FastApi
**Nice to haves:**
* Bachelor’s in Computer Science or equivalent coursework at undergraduate/graduate level
* Experience in developing web applications using UI Frameworks such as React
* Experience with cloud computing technologies \- AWS and Snowflake
* Experience with best practices on CI/CD \&amp; Git based source control
* Business analysis \&amp; delivery for projects with visualization is a differentiator
* Strong eye for design quality and intuitive user experiences
 What we offer you
* An inclusive and collaborative company culture \- we work in an open environment while working together to get things done, and adapt to the changing needs as they come.
* An opportunity to have an impact in a technologically data\-driven company.
* Ownership over platforms and environments in an industry\-leading product.
* Market competitive total compensation package.
* Volunteer time off and charitable donation matching.
* Strong support for career growth, including mentorship programs, leadership training, access to conferences and employee resources groups.
* Regular hackathons to build your own projects and Engineering Lunch and Learns.
* Great benefits package including health/vision/dental, flexible PTO, flexible schedule, RRSPs matching, travel reimbursement and more.
* An opportunity to work in a fast moving growth company.
 If this sounds like something you would like to be part of, we’d love for you to apply! Don't worry if you think that you don't meet all the qualifications here, the tools, technology, and methodologies we use are constantly changing and we value talent and interest over specific experience.</t>
        </is>
      </c>
    </row>
    <row r="224">
      <c r="A224" t="inlineStr">
        <is>
          <t>li-4369138685</t>
        </is>
      </c>
      <c r="B224" t="inlineStr">
        <is>
          <t>Data Engineer - Senior Associate</t>
        </is>
      </c>
      <c r="C224" t="inlineStr">
        <is>
          <t>PwC</t>
        </is>
      </c>
      <c r="D224" t="inlineStr">
        <is>
          <t>linkedin</t>
        </is>
      </c>
      <c r="E224">
        <f>HYPERLINK("https://www.linkedin.com/jobs/view/4369138685", "https://www.linkedin.com/jobs/view/4369138685")</f>
        <v/>
      </c>
      <c r="F224">
        <f>HYPERLINK("https://ad.doubleclick.net/ddm/clk/438405794;254302458;m?https://jobs.us.pwc.com/job/-/-/932/91375324064?utm_source=linkedin.com&amp;utm_campaign=core_media&amp;utm_medium=social_media&amp;utm_content=job_posting&amp;ss=paid&amp;urlHash=0FFH", "https://ad.doubleclick.net/ddm/clk/438405794;254302458;m?https://jobs.us.pwc.com/job/-/-/932/91375324064?utm_source=linkedin.com&amp;utm_campaign=core_media&amp;utm_medium=social_media&amp;utm_content=job_posting&amp;ss=paid&amp;urlHash=0FFH")</f>
        <v/>
      </c>
      <c r="G224" t="inlineStr">
        <is>
          <t>San Diego, CA</t>
        </is>
      </c>
      <c r="H224" t="inlineStr"/>
      <c r="I224"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25">
      <c r="A225" t="inlineStr">
        <is>
          <t>li-4377924919</t>
        </is>
      </c>
      <c r="B225" t="inlineStr">
        <is>
          <t>Senior Data Engineer</t>
        </is>
      </c>
      <c r="C225" t="inlineStr">
        <is>
          <t>Tango</t>
        </is>
      </c>
      <c r="D225" t="inlineStr">
        <is>
          <t>linkedin</t>
        </is>
      </c>
      <c r="E225">
        <f>HYPERLINK("https://www.linkedin.com/jobs/view/4377924919", "https://www.linkedin.com/jobs/view/4377924919")</f>
        <v/>
      </c>
      <c r="F225" t="inlineStr"/>
      <c r="G225" t="inlineStr"/>
      <c r="H225" t="inlineStr"/>
      <c r="I225" t="inlineStr">
        <is>
          <t>**\*Applicants must be authorized to work in the U.S. for any employer.** 
**\*We cannot sponsor employment\-based visas at this time.** 
**Remote Flexible.** 
**Let’s Tango! Where Innovation Meets Impact.** 
 At Tango we’re all about helping businesses make smarter decisions through powerful technology, insightful data, and a whole lot of collaboration. Whether you're a creative thinker, a strategic planner, a tech wizard, or a customer champion, there's a place for you on our team. We believe work should be meaningful
 *and* 
 fun — so if you're ready to make a difference while enjoying the journey, come join us and let's Tango!
 We are looking for a
 **Senior Data Engineer** 
 to join our dynamic and growing R\&amp;D team.
**Responsibilities:** 
**Data Pipeline Ownership** 
 · Design, build, and maintain scalable ETL/ELT pipelines using AWS\-native services (Glue, Lambda, Step Functions, S3\).
 · Develop automated workflows to ingest, transform, and validate large volumes of structured and semi\-structured data.
 · Monitor pipeline performance, reliability, and cost efficiency; implement proactive improvements.
**Database \&amp; Warehouse Management** 
 · Manage and optimize production databases (Postgres, TimescaleDB) and our OLAP data warehouse (Redshift, etc).
 · Implement database performance tuning, indexing strategies, query optimizations, and schema evolution best practices.
 · Oversee data retention, partitioning, and backup/restore strategies.
**Data Quality \&amp; Governance** 
 · Build automated data validation frameworks and anomaly detection.
 · Establish and enforce data quality SLAs across ingestion and reporting layers.
 · Maintain metadata, lineage, and documentation standards to support auditability (SOC 1/2, ISO).
**Cross\-Functional Collaboration** 
 · Work with application engineering teams to design APIs, microservices, and data contracts.
 · Support Product and Data Analytics teams with curated datasets and high\-performance query patterns.
 · Troubleshoot production issues and improve observability using monitoring and alerting tools (CloudWatch, Datadog, etc.).
**About You:** 
**Required** 
 · 5\+ years of professional experience as a Data Engineer or similar role.
 · Strong expertise with Python and SQL, and modern data engineering frameworks.
 · Deep experience with AWS data services (Glue, Lambda, Step Functions, S3, Redshift, RDS/Postgres).
 · Hands\-on experience with ETL/ELT pipeline design, orchestration, and performance tuning.
 · Strong experience with production databases (Postgres, TimescaleDB, etc.).
 · Solid understanding of data modeling (OLTP, OLAP/star schema), warehousing, and analytics workloads.
 · Experience with data quality frameworks, validation, and monitoring.
**Preferred** 
 · Experience with time\-series data and high\-volume ingestion pipelines.
 · Background in the Energy, Sustainability, or IoT data domain.
**What We Offer**
 We’re committed to creating an environment where you can thrive—professionally and personally. Our offerings include:
* **Competitive Compensation** 
 We recognize and reward your contributions with a salary package that reflects your value.
* **Comprehensive Benefits** 
 Including health, dental, and vision insurance, a 401(k) plan with company match, and generous paid time off to support your well\-being.
* **Flexible Work Environment** 
 Whether remote, hybrid, or in\-office, we support work arrangements that promote productivity and balance.
* **Inclusive \&amp; Collaborative Culture** 
 We foster a workplace where diverse perspectives are valued, teamwork is encouraged, and everyone has a voice.
 Tango is proud to be an equal opportunity employer. We are committed to equal opportunity regardless of race, ethnicity, religion, parental status, sexual orientation, age, citizenship, disability, or veteran status.</t>
        </is>
      </c>
    </row>
    <row r="226">
      <c r="A226" t="inlineStr">
        <is>
          <t>li-4369142091</t>
        </is>
      </c>
      <c r="B226" t="inlineStr">
        <is>
          <t>Data Engineer - Senior Associate</t>
        </is>
      </c>
      <c r="C226" t="inlineStr">
        <is>
          <t>PwC</t>
        </is>
      </c>
      <c r="D226" t="inlineStr">
        <is>
          <t>linkedin</t>
        </is>
      </c>
      <c r="E226">
        <f>HYPERLINK("https://www.linkedin.com/jobs/view/4369142091", "https://www.linkedin.com/jobs/view/4369142091")</f>
        <v/>
      </c>
      <c r="F226">
        <f>HYPERLINK("https://ad.doubleclick.net/ddm/clk/438405794;254302458;m?https://jobs.us.pwc.com/job/-/-/932/91375324064?utm_source=linkedin.com&amp;utm_campaign=core_media&amp;utm_medium=social_media&amp;utm_content=job_posting&amp;ss=paid&amp;urlHash=0FFH", "https://ad.doubleclick.net/ddm/clk/438405794;254302458;m?https://jobs.us.pwc.com/job/-/-/932/91375324064?utm_source=linkedin.com&amp;utm_campaign=core_media&amp;utm_medium=social_media&amp;utm_content=job_posting&amp;ss=paid&amp;urlHash=0FFH")</f>
        <v/>
      </c>
      <c r="G226" t="inlineStr">
        <is>
          <t>Chicago, IL</t>
        </is>
      </c>
      <c r="H226" t="inlineStr"/>
      <c r="I226"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27">
      <c r="A227" t="inlineStr">
        <is>
          <t>li-4369129890</t>
        </is>
      </c>
      <c r="B227" t="inlineStr">
        <is>
          <t>Data Engineer - Senior Associate</t>
        </is>
      </c>
      <c r="C227" t="inlineStr">
        <is>
          <t>PwC</t>
        </is>
      </c>
      <c r="D227" t="inlineStr">
        <is>
          <t>linkedin</t>
        </is>
      </c>
      <c r="E227">
        <f>HYPERLINK("https://www.linkedin.com/jobs/view/4369129890", "https://www.linkedin.com/jobs/view/4369129890")</f>
        <v/>
      </c>
      <c r="F227">
        <f>HYPERLINK("https://ad.doubleclick.net/ddm/clk/438405794;254302458;m?https://jobs.us.pwc.com/job/-/-/932/91375324064?utm_source=linkedin.com&amp;utm_campaign=core_media&amp;utm_medium=social_media&amp;utm_content=job_posting&amp;ss=paid&amp;urlHash=0FFH", "https://ad.doubleclick.net/ddm/clk/438405794;254302458;m?https://jobs.us.pwc.com/job/-/-/932/91375324064?utm_source=linkedin.com&amp;utm_campaign=core_media&amp;utm_medium=social_media&amp;utm_content=job_posting&amp;ss=paid&amp;urlHash=0FFH")</f>
        <v/>
      </c>
      <c r="G227" t="inlineStr">
        <is>
          <t>Houston, TX</t>
        </is>
      </c>
      <c r="H227" t="inlineStr"/>
      <c r="I227"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28">
      <c r="A228" t="inlineStr">
        <is>
          <t>li-4377947465</t>
        </is>
      </c>
      <c r="B228" t="inlineStr">
        <is>
          <t>ML Data Engineer</t>
        </is>
      </c>
      <c r="C228" t="inlineStr">
        <is>
          <t>Jobs via Dice</t>
        </is>
      </c>
      <c r="D228" t="inlineStr">
        <is>
          <t>linkedin</t>
        </is>
      </c>
      <c r="E228">
        <f>HYPERLINK("https://www.linkedin.com/jobs/view/4377947465", "https://www.linkedin.com/jobs/view/4377947465")</f>
        <v/>
      </c>
      <c r="F228" t="inlineStr"/>
      <c r="G228" t="inlineStr">
        <is>
          <t>Reston, VA</t>
        </is>
      </c>
      <c r="H228" t="inlineStr"/>
      <c r="I228" t="inlineStr">
        <is>
          <t>Dice is the leading career destination for tech experts at every stage of their careers. Our client, CloudBCLabs, is seeking the following. Apply via Dice today!
**Role: ML Data Engineer**
**Location: Reston, VA (Hybrid)**
**Duration: Long term**
**Responsibilities**
**Job Description**
* Own the monitoring, tracking, and maintenance of ML models across Domino and SageMaker platforms.
* Implement MLflow for parameters, metrics, artifact management, and end to end lineage.
* Build and maintain scalable data pipelines for training, validation, and inference processes.
* Develop custom evaluation metrics, explainability components, and fairness/bias testing frameworks.
* Package models for deployment and support model lifecycle transitions across environments.
* Collaborate with data scientists, engineering teams, and governance stakeholders to ensure compliance and operational readiness.
**Required Skills \&amp; Experience**
* Strong experience with AWS and ML engineering
* Proficiency in Python and MLflow
* Hands on expertise with Domino and SageMaker SDKs
* Experience with feature engineering and scalable data pipelines
* Knowledge of model validation, explainability, and bias/fairness tooling
* Familiarity with Git based workflows, version control, and MLOps practices
 Some of that data might live in relational systems, but its increasingly moving towards NoSQL systems and data lakes.
**Skills** 
 :
 This IT role requires a significant set of technical skills, including a deep knowledge of SQL, data modeling, and tools like Spark/Hive/Airflow.
**Education/Work Exprerience:**
* Bachelor degree in Computer Science, Information Systems or related field
* Post\-graduate degree desired
* Professional certification(s) desired 15\+ years relevant experience</t>
        </is>
      </c>
    </row>
    <row r="229">
      <c r="A229" t="inlineStr">
        <is>
          <t>li-4369133876</t>
        </is>
      </c>
      <c r="B229" t="inlineStr">
        <is>
          <t>Data Engineer - Senior Associate</t>
        </is>
      </c>
      <c r="C229" t="inlineStr">
        <is>
          <t>PwC</t>
        </is>
      </c>
      <c r="D229" t="inlineStr">
        <is>
          <t>linkedin</t>
        </is>
      </c>
      <c r="E229">
        <f>HYPERLINK("https://www.linkedin.com/jobs/view/4369133876", "https://www.linkedin.com/jobs/view/4369133876")</f>
        <v/>
      </c>
      <c r="F229" t="inlineStr"/>
      <c r="G229" t="inlineStr">
        <is>
          <t>Raleigh, NC</t>
        </is>
      </c>
      <c r="H229" t="inlineStr"/>
      <c r="I229"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30">
      <c r="A230" t="inlineStr">
        <is>
          <t>li-4369126871</t>
        </is>
      </c>
      <c r="B230" t="inlineStr">
        <is>
          <t>Data Engineer - Senior Associate</t>
        </is>
      </c>
      <c r="C230" t="inlineStr">
        <is>
          <t>PwC</t>
        </is>
      </c>
      <c r="D230" t="inlineStr">
        <is>
          <t>linkedin</t>
        </is>
      </c>
      <c r="E230">
        <f>HYPERLINK("https://www.linkedin.com/jobs/view/4369126871", "https://www.linkedin.com/jobs/view/4369126871")</f>
        <v/>
      </c>
      <c r="F230">
        <f>HYPERLINK("https://ad.doubleclick.net/ddm/clk/438405794;254302458;m?https://jobs.us.pwc.com/job/-/-/932/91375324064?utm_source=linkedin.com&amp;utm_campaign=core_media&amp;utm_medium=social_media&amp;utm_content=job_posting&amp;ss=paid&amp;urlHash=0FFH", "https://ad.doubleclick.net/ddm/clk/438405794;254302458;m?https://jobs.us.pwc.com/job/-/-/932/91375324064?utm_source=linkedin.com&amp;utm_campaign=core_media&amp;utm_medium=social_media&amp;utm_content=job_posting&amp;ss=paid&amp;urlHash=0FFH")</f>
        <v/>
      </c>
      <c r="G230" t="inlineStr">
        <is>
          <t>Florham Park, NJ</t>
        </is>
      </c>
      <c r="H230" t="inlineStr"/>
      <c r="I230"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31">
      <c r="A231" t="inlineStr">
        <is>
          <t>li-4348445070</t>
        </is>
      </c>
      <c r="B231" t="inlineStr">
        <is>
          <t>Senior Data Platform Engineer (Hybrid)</t>
        </is>
      </c>
      <c r="C231" t="inlineStr">
        <is>
          <t>Securian Financial</t>
        </is>
      </c>
      <c r="D231" t="inlineStr">
        <is>
          <t>linkedin</t>
        </is>
      </c>
      <c r="E231">
        <f>HYPERLINK("https://www.linkedin.com/jobs/view/4348445070", "https://www.linkedin.com/jobs/view/4348445070")</f>
        <v/>
      </c>
      <c r="F231">
        <f>HYPERLINK("https://hq.wd12.myworkdayjobs.com/Securian_External/job/Saint-Paul-MN-Campus/Senior-Data-Platform-Engineer_R-010301?source=LinkedIn&amp;urlHash=OK5X", "https://hq.wd12.myworkdayjobs.com/Securian_External/job/Saint-Paul-MN-Campus/Senior-Data-Platform-Engineer_R-010301?source=LinkedIn&amp;urlHash=OK5X")</f>
        <v/>
      </c>
      <c r="G231" t="inlineStr">
        <is>
          <t>St Paul, MN</t>
        </is>
      </c>
      <c r="H231" t="inlineStr"/>
      <c r="I231" t="inlineStr">
        <is>
          <t>* At Securian Financial the internal title for this position is Infrastructure Sr. Consultant.
**Overview**
 We have an exciting opportunity for a Senior Data Platform Engineer passionate about building secure, scalable, and compliant data platforms that enable enterprise\-wide analytics and AI. In this role, you will design and implement data solutions that adhere to data governance standards, security policies, and industry best practices, ensuring trusted, high\-quality data is available for business decision\-making.
 Our team partners with Data Engineering, Data Governance, Data Science, and Analytics to deliver platforms and tools that power advanced analytics and AI use cases. You will lead efforts to architect and onboard new technologies, enforce governance frameworks, and ensure compliance while driving innovation.
**Some of the groundbreaking technology and project opportunities include working with:**
* Cloud Data Platforms: Snowflake, AWS Redshift, RDS, Postgres
* Data Governance \&amp; Cataloging: Informatica Intelligent Data Management Cloud™ (IDMC), Cloud Data Governance and Catalog (CDGC)
* Master Data Management: Reltio MDM for authoritative data domains
* AI Enablement: SageMaker, AWS Bedrock, Textract, etc. for AI development, MLflow for model lifecycle management
**Responsibilities Include But Not Limited To**
* Architect and implement secure, compliant data solutions that align with enterprise governance and security standards.
* Direct and prioritize the engineering backlog for data platform infrastructure and tooling to include vulnerability management, tool configurations and upgrades, and level 3 incident management.
* Champion platform selection and onboarding, ensuring adherence to data governance frameworks and regulatory requirements.
* Level 3 support for various data solutions and tools
* Collaborate with Data Engineering and Governance teams to design solutions that meet business needs while enforcing security and compliance.
* Execute proof\-of\-concept projects to validate new technologies and ensure they meet governance and security requirements.
* Maintain platform security posture, addressing vulnerabilities and implementing best practices for data protection.
* Stay current with emerging technologies and recommend solutions that balance innovation with compliance.
**Required Qualifications**
* Proven experience designing and building cloud\-based data solutions on a major data warehouse platform (Snowflake, Redshift, RDS, Postgres, DynamoDB, S3\).
* Hands\-on experience with CI/CD deployment pipelines and version control (Git/GitHub) with integrated Infrastructure\-as\-Code IaC (Terraform/CloudFormation) for automated provisioning and repeatable deployments
* Strong understanding of data governance principles, security policies, and compliance frameworks.
* Experience providing level\-3 operation support and engineering for data tools and platforms , DevOps
* Ability to translate governance and security requirements into technical designs.
* Experience with application of data security and governance policy enforcement within data solutions and platforms
* Passion for emerging trends in data platforms, analytics, and AI, with a commitment to continuous learning.
**Preferred Qualifications**
* Degree in Computer Science or equivalent
* Experience supporting Data Management platform technologies such as Informatica IDMC Platform, Informatica CDGC Data Catalog, \&amp; Reltio Master Data Management MDM.
* AWS Certifications or experience using AWS cloud tools and services.
* Implementing new technology platforms and AWS services or application development
* Experience with tools supporting the implementation or operation of data platforms
* Control\-M enterprise scheduler, Integrating solutions with IIQ, Splunk Monitoring, Control\-M job scheduling
* Creative and innovative mindset with the ability to drive to outcomes.
* Ability to work with ambiguity and collaborate with internal and external stakeholders.
**Why Join Us?**
 You’ll play a critical role in building secure, trusted data ecosystems that power analytics and AI across the enterprise. If you thrive at the intersection of data architecture, governance, and innovation, this is your opportunity to make a lasting impact.
**Securian Financial believes in hybrid work** 
 as an integral part of our culture. Associates get the benefit of working both virtually and in our offices. If you’re in a commutable distance (90 minutes), you’ll join us 3 days each week in our offices to collaborate and build relationships. Our policy allows flexibility for the reality of business and personal schedules.
**The Estimated Base Pay Range For This Job Is**
 $111,300\.00 \- $207,800\.00
**Pay may vary depending on job\-related factors and individual experience, skills, knowledge, etc. More information on base pay and incentive pay (if applicable) can be discussed with a member of the Securian Financial Talent Acquisition team.**
**Paid Time Off**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 We want you to take time off for what matters most to you. Our PTO program provides flexibility for associates to take meaningful time away from work to relax, recharge and spend time doing what’s important to them. And Securian Financial rewards associates for their service by providing additional PTO the longer you stay at Securian.
* Leave programs: Securian’s flexible leave programs allow time off from work for parental leave, caregiver leave for family members, bereavement and military leave.
* Holidays: Securian provides nine company paid holidays.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 Mental Wellness and Disability
* Pride at Securian Financial
* Securian Young Professionals Network
* Securian Multicultural Network
* Securian Women and Allies Network
* Servicemember Associate Resource Group
 For more information regarding Securian’s benefits, please review our Benefits page.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
 To view our privacy statement click here
 To view our legal statement click here</t>
        </is>
      </c>
    </row>
    <row r="232">
      <c r="A232" t="inlineStr">
        <is>
          <t>li-4377938726</t>
        </is>
      </c>
      <c r="B232" t="inlineStr">
        <is>
          <t>Sr. Data Engineer -Python, data Modelling</t>
        </is>
      </c>
      <c r="C232" t="inlineStr">
        <is>
          <t>Jobs via Dice</t>
        </is>
      </c>
      <c r="D232" t="inlineStr">
        <is>
          <t>linkedin</t>
        </is>
      </c>
      <c r="E232">
        <f>HYPERLINK("https://www.linkedin.com/jobs/view/4377938726", "https://www.linkedin.com/jobs/view/4377938726")</f>
        <v/>
      </c>
      <c r="F232">
        <f>HYPERLINK("https://click.appcast.io/t/JsG4UrF_ia08e5tJ83iNJAVvu7XGK6CasPAtPtri9vg=&amp;urlHash=jMa7", "https://click.appcast.io/t/JsG4UrF_ia08e5tJ83iNJAVvu7XGK6CasPAtPtri9vg=&amp;urlHash=jMa7")</f>
        <v/>
      </c>
      <c r="G232" t="inlineStr">
        <is>
          <t>Denver, CO</t>
        </is>
      </c>
      <c r="H232" t="inlineStr"/>
      <c r="I232" t="inlineStr">
        <is>
          <t>Dice is the leading career destination for tech experts at every stage of their careers. Our client, Atika Tech, is seeking the following. Apply via Dice today!
 Position: Sr. Data Engineer \-Python, data Modelling
 Location: Denver, CO
 Type: Fulltime
 Experience: 8\+ Years
**Skills: Python, Data Modeling, Document Databases, SQL**
 JD:
 Python, Data Modeling and Document Databases and Key Value
 Strong Experience in designing for Privacy (Visibility)
 Strong SQL and Quantitative Skills
**Thanks \&amp; Regards,**
**Bhupender Singh**
**XL Impex Inc dba**
**Atika Technologies**
**5 Independence Way, Suite 300,**
**Princeton, NJ 08540**
**LinkedIn URL:**</t>
        </is>
      </c>
    </row>
    <row r="233">
      <c r="A233" t="inlineStr">
        <is>
          <t>li-4369133894</t>
        </is>
      </c>
      <c r="B233" t="inlineStr">
        <is>
          <t>Data Engineer - Senior Manager</t>
        </is>
      </c>
      <c r="C233" t="inlineStr">
        <is>
          <t>PwC</t>
        </is>
      </c>
      <c r="D233" t="inlineStr">
        <is>
          <t>linkedin</t>
        </is>
      </c>
      <c r="E233">
        <f>HYPERLINK("https://www.linkedin.com/jobs/view/4369133894", "https://www.linkedin.com/jobs/view/4369133894")</f>
        <v/>
      </c>
      <c r="F233" t="inlineStr"/>
      <c r="G233" t="inlineStr">
        <is>
          <t>New York, NY</t>
        </is>
      </c>
      <c r="H233" t="inlineStr"/>
      <c r="I233"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34">
      <c r="A234" t="inlineStr">
        <is>
          <t>li-4369130892</t>
        </is>
      </c>
      <c r="B234" t="inlineStr">
        <is>
          <t>Data Engineer - Manager</t>
        </is>
      </c>
      <c r="C234" t="inlineStr">
        <is>
          <t>PwC</t>
        </is>
      </c>
      <c r="D234" t="inlineStr">
        <is>
          <t>linkedin</t>
        </is>
      </c>
      <c r="E234">
        <f>HYPERLINK("https://www.linkedin.com/jobs/view/4369130892", "https://www.linkedin.com/jobs/view/4369130892")</f>
        <v/>
      </c>
      <c r="F234" t="inlineStr"/>
      <c r="G234" t="inlineStr">
        <is>
          <t>Detroit, MI</t>
        </is>
      </c>
      <c r="H234" t="inlineStr"/>
      <c r="I234"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35">
      <c r="A235" t="inlineStr">
        <is>
          <t>li-4369135821</t>
        </is>
      </c>
      <c r="B235" t="inlineStr">
        <is>
          <t>Data Engineer - Manager</t>
        </is>
      </c>
      <c r="C235" t="inlineStr">
        <is>
          <t>PwC</t>
        </is>
      </c>
      <c r="D235" t="inlineStr">
        <is>
          <t>linkedin</t>
        </is>
      </c>
      <c r="E235">
        <f>HYPERLINK("https://www.linkedin.com/jobs/view/4369135821", "https://www.linkedin.com/jobs/view/4369135821")</f>
        <v/>
      </c>
      <c r="F235">
        <f>HYPERLINK("https://ad.doubleclick.net/ddm/clk/438405794;254302458;m?https://jobs.us.pwc.com/job/-/-/932/91375324112?utm_source=linkedin.com&amp;utm_campaign=core_media&amp;utm_medium=social_media&amp;utm_content=job_posting&amp;ss=paid&amp;urlHash=CYR6", "https://ad.doubleclick.net/ddm/clk/438405794;254302458;m?https://jobs.us.pwc.com/job/-/-/932/91375324112?utm_source=linkedin.com&amp;utm_campaign=core_media&amp;utm_medium=social_media&amp;utm_content=job_posting&amp;ss=paid&amp;urlHash=CYR6")</f>
        <v/>
      </c>
      <c r="G235" t="inlineStr">
        <is>
          <t>Orlando, FL</t>
        </is>
      </c>
      <c r="H235" t="inlineStr"/>
      <c r="I235"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36">
      <c r="A236" t="inlineStr">
        <is>
          <t>li-4369519453</t>
        </is>
      </c>
      <c r="B236" t="inlineStr">
        <is>
          <t>Senior Data Engineer</t>
        </is>
      </c>
      <c r="C236" t="inlineStr">
        <is>
          <t>Capital One</t>
        </is>
      </c>
      <c r="D236" t="inlineStr">
        <is>
          <t>linkedin</t>
        </is>
      </c>
      <c r="E236">
        <f>HYPERLINK("https://www.linkedin.com/jobs/view/4369519453", "https://www.linkedin.com/jobs/view/4369519453")</f>
        <v/>
      </c>
      <c r="F236" t="inlineStr"/>
      <c r="G236" t="inlineStr">
        <is>
          <t>Richmond, VA</t>
        </is>
      </c>
      <c r="H236" t="inlineStr"/>
      <c r="I23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2\+ years of experience working with Databricks
* 3\+ years experience with Distributed data or 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 or 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Plano, TX: $147,100 \- $167,900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7">
      <c r="A237" t="inlineStr">
        <is>
          <t>li-4369127873</t>
        </is>
      </c>
      <c r="B237" t="inlineStr">
        <is>
          <t>Data Engineer - Manager</t>
        </is>
      </c>
      <c r="C237" t="inlineStr">
        <is>
          <t>PwC</t>
        </is>
      </c>
      <c r="D237" t="inlineStr">
        <is>
          <t>linkedin</t>
        </is>
      </c>
      <c r="E237">
        <f>HYPERLINK("https://www.linkedin.com/jobs/view/4369127873", "https://www.linkedin.com/jobs/view/4369127873")</f>
        <v/>
      </c>
      <c r="F237" t="inlineStr"/>
      <c r="G237" t="inlineStr">
        <is>
          <t>Fort Worth, TX</t>
        </is>
      </c>
      <c r="H237" t="inlineStr"/>
      <c r="I237"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38">
      <c r="A238" t="inlineStr">
        <is>
          <t>li-4369132865</t>
        </is>
      </c>
      <c r="B238" t="inlineStr">
        <is>
          <t>Data Engineer - Senior Associate</t>
        </is>
      </c>
      <c r="C238" t="inlineStr">
        <is>
          <t>PwC</t>
        </is>
      </c>
      <c r="D238" t="inlineStr">
        <is>
          <t>linkedin</t>
        </is>
      </c>
      <c r="E238">
        <f>HYPERLINK("https://www.linkedin.com/jobs/view/4369132865", "https://www.linkedin.com/jobs/view/4369132865")</f>
        <v/>
      </c>
      <c r="F238" t="inlineStr"/>
      <c r="G238" t="inlineStr">
        <is>
          <t>Des Moines, IA</t>
        </is>
      </c>
      <c r="H238" t="inlineStr"/>
      <c r="I238"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39">
      <c r="A239" t="inlineStr">
        <is>
          <t>li-4369139609</t>
        </is>
      </c>
      <c r="B239" t="inlineStr">
        <is>
          <t>Data Engineer - Manager</t>
        </is>
      </c>
      <c r="C239" t="inlineStr">
        <is>
          <t>PwC</t>
        </is>
      </c>
      <c r="D239" t="inlineStr">
        <is>
          <t>linkedin</t>
        </is>
      </c>
      <c r="E239">
        <f>HYPERLINK("https://www.linkedin.com/jobs/view/4369139609", "https://www.linkedin.com/jobs/view/4369139609")</f>
        <v/>
      </c>
      <c r="F239" t="inlineStr"/>
      <c r="G239" t="inlineStr">
        <is>
          <t>Irvine, CA</t>
        </is>
      </c>
      <c r="H239" t="inlineStr"/>
      <c r="I239"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40">
      <c r="A240" t="inlineStr">
        <is>
          <t>li-4377937748</t>
        </is>
      </c>
      <c r="B240" t="inlineStr">
        <is>
          <t>100% Remote - Sr Google Cloud Platform Data Engineer</t>
        </is>
      </c>
      <c r="C240" t="inlineStr">
        <is>
          <t>Jobs via Dice</t>
        </is>
      </c>
      <c r="D240" t="inlineStr">
        <is>
          <t>linkedin</t>
        </is>
      </c>
      <c r="E240">
        <f>HYPERLINK("https://www.linkedin.com/jobs/view/4377937748", "https://www.linkedin.com/jobs/view/4377937748")</f>
        <v/>
      </c>
      <c r="F240">
        <f>HYPERLINK("https://click.appcast.io/t/Pope5N5i5uVZV_AUHVKoHRFSZQdvV-ItIXoH4ihk8xo=&amp;urlHash=w6w7", "https://click.appcast.io/t/Pope5N5i5uVZV_AUHVKoHRFSZQdvV-ItIXoH4ihk8xo=&amp;urlHash=w6w7")</f>
        <v/>
      </c>
      <c r="G240" t="inlineStr"/>
      <c r="H240" t="inlineStr"/>
      <c r="I240" t="inlineStr">
        <is>
          <t>Dice is the leading career destination for tech experts at every stage of their careers. Our client, Empower Professionals, is seeking the following. Apply via Dice today!
**Role: Sr Data Engineer
 Duration: 12\+ Months
 Location: 100% Remote
 Client Location: Atlanta, GA**
**Job Description**
 We are looking for Sr Data Engineer Role experience for a remote position in US.
**Job Description:**
 As a Data Engineer, you'll guide Google customers to develop, configure, deploy and administer their data platform solutions.
 Together with the team, you will support customer implementations of Google Cloud products through architecture guidance, best practices, data migration, database design, database management, performance tuning, CI/CD, capacity planning, implementation, troubleshooting, monitoring, dataflow, cloud functions and more.
**Responsibilities** 
 :
 Data Flow Design, Code Reviews and Feedback, Address Tech Debt (AI generated code base)
**Preferred Qualifications :**
 (PQs) Experience with database management tools for backups, recovery, snapshot management, sharding, partitioning and database performance tuning.
 Experience working with cloud databases such as AlloyDB, CloudSQL, Big Query Experience with MLOps, data warehousing, and data pipeline development, including ETL and ELT, dataflow, cloud functions.
 Experience with application development.
 Experience developing, deploying, and managing machine learning models, including experience writing software in one or more languages, such as Java, Python, GolangIf you have suitable candidates available immediately.</t>
        </is>
      </c>
    </row>
    <row r="241">
      <c r="A241" t="inlineStr">
        <is>
          <t>li-4369131828</t>
        </is>
      </c>
      <c r="B241" t="inlineStr">
        <is>
          <t>Data Engineer - Manager</t>
        </is>
      </c>
      <c r="C241" t="inlineStr">
        <is>
          <t>PwC</t>
        </is>
      </c>
      <c r="D241" t="inlineStr">
        <is>
          <t>linkedin</t>
        </is>
      </c>
      <c r="E241">
        <f>HYPERLINK("https://www.linkedin.com/jobs/view/4369131828", "https://www.linkedin.com/jobs/view/4369131828")</f>
        <v/>
      </c>
      <c r="F241">
        <f>HYPERLINK("https://ad.doubleclick.net/ddm/clk/438405794;254302458;m?https://jobs.us.pwc.com/job/-/-/932/91375324112?utm_source=linkedin.com&amp;utm_campaign=core_media&amp;utm_medium=social_media&amp;utm_content=job_posting&amp;ss=paid&amp;urlHash=CYR6", "https://ad.doubleclick.net/ddm/clk/438405794;254302458;m?https://jobs.us.pwc.com/job/-/-/932/91375324112?utm_source=linkedin.com&amp;utm_campaign=core_media&amp;utm_medium=social_media&amp;utm_content=job_posting&amp;ss=paid&amp;urlHash=CYR6")</f>
        <v/>
      </c>
      <c r="G241" t="inlineStr">
        <is>
          <t>St Louis, MO</t>
        </is>
      </c>
      <c r="H241" t="inlineStr"/>
      <c r="I241"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42">
      <c r="A242" t="inlineStr">
        <is>
          <t>li-4369126884</t>
        </is>
      </c>
      <c r="B242" t="inlineStr">
        <is>
          <t>Data Engineer - Manager</t>
        </is>
      </c>
      <c r="C242" t="inlineStr">
        <is>
          <t>PwC</t>
        </is>
      </c>
      <c r="D242" t="inlineStr">
        <is>
          <t>linkedin</t>
        </is>
      </c>
      <c r="E242">
        <f>HYPERLINK("https://www.linkedin.com/jobs/view/4369126884", "https://www.linkedin.com/jobs/view/4369126884")</f>
        <v/>
      </c>
      <c r="F242" t="inlineStr"/>
      <c r="G242" t="inlineStr">
        <is>
          <t>Nashville, TN</t>
        </is>
      </c>
      <c r="H242" t="inlineStr"/>
      <c r="I242"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43">
      <c r="A243" t="inlineStr">
        <is>
          <t>li-4377952304</t>
        </is>
      </c>
      <c r="B243" t="inlineStr">
        <is>
          <t>Palantir Foundry Data Engineer</t>
        </is>
      </c>
      <c r="C243" t="inlineStr">
        <is>
          <t>Jobs via Dice</t>
        </is>
      </c>
      <c r="D243" t="inlineStr">
        <is>
          <t>linkedin</t>
        </is>
      </c>
      <c r="E243">
        <f>HYPERLINK("https://www.linkedin.com/jobs/view/4377952304", "https://www.linkedin.com/jobs/view/4377952304")</f>
        <v/>
      </c>
      <c r="F243" t="inlineStr"/>
      <c r="G243" t="inlineStr">
        <is>
          <t>Detroit, MI</t>
        </is>
      </c>
      <c r="H243" t="inlineStr"/>
      <c r="I243" t="inlineStr">
        <is>
          <t>Dice is the leading career destination for tech experts at every stage of their careers. Our client, System One, is seeking the following. Apply via Dice today!
 Position Title: Palantir Foundry Data Engineer
 Position Location: Detroit ,MI OR Remote
 Duration – Contract\-to\-Hire after 6 Months
 Employment Type \- This is for W2 Employment
 Required qualifications :
* Strong proficiency with Palantir Foundry, including experience with tools like Pipeline Builder, Code Workbooks, Ontology Manager, and Quiver.
* Advanced skills in data engineering, particularly with PySpark, Python and SQL.
* Experience designing and implementing complex ontologies within Palantir Foundry, including creating Object Types, Link Types, and Property Types.
* Expertise in developing and managing data pipelines, including batch, incremental, and streaming pipelines.
* Proficiency in semantic object linking and leveraging Foundry''s semantic model for data transformation and enrichment.
* Knowledge of data quality processes and the ability to implement testing and codification methods.
* Understanding of program management principles and the ability to work in Agile/Scrum development teams.
* Strong communication skills and the ability to collaborate with various stakeholders, including product owners and end\-users.
* BS/MS degree in Computer Science, Engineering, or a related field, or equivalent experience.
 Desired Skills:
* Certification in Palantir Foundry is strongly desired
 Please apply to the job if you are interested and have the experience to
 \#L1 \- RG1
 \#M1
 Ref: \#404\-IT Pittsburgh</t>
        </is>
      </c>
    </row>
    <row r="244">
      <c r="A244" t="inlineStr">
        <is>
          <t>li-4362910619</t>
        </is>
      </c>
      <c r="B244" t="inlineStr">
        <is>
          <t>Lead Data Engineer</t>
        </is>
      </c>
      <c r="C244" t="inlineStr">
        <is>
          <t>Capital One</t>
        </is>
      </c>
      <c r="D244" t="inlineStr">
        <is>
          <t>linkedin</t>
        </is>
      </c>
      <c r="E244">
        <f>HYPERLINK("https://www.linkedin.com/jobs/view/4362910619", "https://www.linkedin.com/jobs/view/4362910619")</f>
        <v/>
      </c>
      <c r="F244">
        <f>HYPERLINK("https://dsp.prng.co/4xerCQb&amp;urlHash=83P5", "https://dsp.prng.co/4xerCQb&amp;urlHash=83P5")</f>
        <v/>
      </c>
      <c r="G244" t="inlineStr">
        <is>
          <t>McLean, VA</t>
        </is>
      </c>
      <c r="H244" t="inlineStr"/>
      <c r="I24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Plano, TX: $179,400 \- $204,700 for Lead Data Engineer
 Richmond, VA: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5">
      <c r="A245" t="inlineStr">
        <is>
          <t>li-4369130891</t>
        </is>
      </c>
      <c r="B245" t="inlineStr">
        <is>
          <t>Data Engineer - Senior Manager</t>
        </is>
      </c>
      <c r="C245" t="inlineStr">
        <is>
          <t>PwC</t>
        </is>
      </c>
      <c r="D245" t="inlineStr">
        <is>
          <t>linkedin</t>
        </is>
      </c>
      <c r="E245">
        <f>HYPERLINK("https://www.linkedin.com/jobs/view/4369130891", "https://www.linkedin.com/jobs/view/4369130891")</f>
        <v/>
      </c>
      <c r="F245">
        <f>HYPERLINK("https://ad.doubleclick.net/ddm/clk/438405794;254302458;m?https://jobs.us.pwc.com/job/-/-/932/91375324016?utm_source=linkedin.com&amp;utm_campaign=core_media&amp;utm_medium=social_media&amp;utm_content=job_posting&amp;ss=paid&amp;urlHash=VRkX", "https://ad.doubleclick.net/ddm/clk/438405794;254302458;m?https://jobs.us.pwc.com/job/-/-/932/91375324016?utm_source=linkedin.com&amp;utm_campaign=core_media&amp;utm_medium=social_media&amp;utm_content=job_posting&amp;ss=paid&amp;urlHash=VRkX")</f>
        <v/>
      </c>
      <c r="G245" t="inlineStr">
        <is>
          <t>Las Vegas, NV</t>
        </is>
      </c>
      <c r="H245" t="inlineStr"/>
      <c r="I245"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46">
      <c r="A246" t="inlineStr">
        <is>
          <t>li-4362930337</t>
        </is>
      </c>
      <c r="B246" t="inlineStr">
        <is>
          <t>Lead Data Engineer</t>
        </is>
      </c>
      <c r="C246" t="inlineStr">
        <is>
          <t>Capital One</t>
        </is>
      </c>
      <c r="D246" t="inlineStr">
        <is>
          <t>linkedin</t>
        </is>
      </c>
      <c r="E246">
        <f>HYPERLINK("https://www.linkedin.com/jobs/view/4362930337", "https://www.linkedin.com/jobs/view/4362930337")</f>
        <v/>
      </c>
      <c r="F246" t="inlineStr"/>
      <c r="G246" t="inlineStr">
        <is>
          <t>Richmond, VA</t>
        </is>
      </c>
      <c r="H246" t="inlineStr"/>
      <c r="I24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Plano, TX: $179,400 \- $204,700 for Lead Data Engineer
 Richmond, VA: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7">
      <c r="A247" t="inlineStr">
        <is>
          <t>li-4377940713</t>
        </is>
      </c>
      <c r="B247" t="inlineStr">
        <is>
          <t>Snowflake Data Engineer (Only GA Profiles) F2F Interview</t>
        </is>
      </c>
      <c r="C247" t="inlineStr">
        <is>
          <t>Jobs via Dice</t>
        </is>
      </c>
      <c r="D247" t="inlineStr">
        <is>
          <t>linkedin</t>
        </is>
      </c>
      <c r="E247">
        <f>HYPERLINK("https://www.linkedin.com/jobs/view/4377940713", "https://www.linkedin.com/jobs/view/4377940713")</f>
        <v/>
      </c>
      <c r="F247" t="inlineStr"/>
      <c r="G247" t="inlineStr">
        <is>
          <t>Atlanta, GA</t>
        </is>
      </c>
      <c r="H247" t="inlineStr"/>
      <c r="I247" t="inlineStr">
        <is>
          <t>Dice is the leading career destination for tech experts at every stage of their careers. Our client, CloudBlue Technologies, is seeking the following. Apply via Dice today!
 Job Summary:
 We are seeking a skilled Snowflake Data Engineer to design, develop, optimize, and maintain scalable data solutions using Snowflake Cloud Data Platform. The ideal candidate will have strong experience in data warehousing, ETL/ELT development, cloud platforms, and performance tuning.
 Key Responsibilities:
* Design and implement scalable data models in Snowflake
* Develop and optimize ETL/ELT pipelines using Snowflake and orchestration tools
* Build data ingestion frameworks for structured and semi\-structured data
* Optimize Snowflake performance (clustering, partitioning, query tuning)
* Implement data security, role\-based access control (RBAC), and governance
* Work with cloud platforms (AWS/Azure/Google Cloud Platform) for storage and compute integration
* Develop and maintain data marts and reporting layers
* Collaborate with BI, analytics, and business teams
* Troubleshoot data issues and ensure data quality
* Automate deployment using CI/CD pipelines
* Monitor warehouse usage and manage cost optimization
 Required Skills:
* Strong hands\-on experience with Snowflake
* Expertise in SQL (advanced queries, CTEs, window functions)
* Experience with ETL/ELT tools (Informatica, Talend, Matillion, dbt, etc.)
* Experience with Python or Scala for data processing
* Knowledge of cloud platforms (AWS / Azure / Google Cloud Platform)
* Experience with data modeling (Star schema, Snowflake schema)
* Understanding of performance tuning and query optimization
* Familiarity with Git and DevOps practices</t>
        </is>
      </c>
    </row>
    <row r="248">
      <c r="A248" t="inlineStr">
        <is>
          <t>li-4315485492</t>
        </is>
      </c>
      <c r="B248" t="inlineStr">
        <is>
          <t>Manager II, Data Engineering</t>
        </is>
      </c>
      <c r="C248" t="inlineStr">
        <is>
          <t>Kroll</t>
        </is>
      </c>
      <c r="D248" t="inlineStr">
        <is>
          <t>linkedin</t>
        </is>
      </c>
      <c r="E248">
        <f>HYPERLINK("https://www.linkedin.com/jobs/view/4315485492", "https://www.linkedin.com/jobs/view/4315485492")</f>
        <v/>
      </c>
      <c r="F248" t="inlineStr"/>
      <c r="G248" t="inlineStr">
        <is>
          <t>Atlanta, GA</t>
        </is>
      </c>
      <c r="H248" t="inlineStr"/>
      <c r="I248" t="inlineStr">
        <is>
          <t>At Kroll, our professionals combine analytical rigor, deep market insight, and independence to deliver defensible analysis and practical solutions. We think globally, act with transparency, and encourage our people to do the same. Join our collaborative and supportive environment, where your work makes a real impact, this is the Kroll difference.
 We are strengthening our data engineering capabilities to transform how we deliver internal business intelligence and external client reporting. As a
 **Lead Data Engineer** 
 , you will take ownership of complex initiatives, guide best practices, and mentor other engineers — while remaining deeply hands\-on. This role will report to the Portfolio Valuation service line, supporting their strategic data initiatives and client delivery goals.
 At Kroll, your work helps protect, restore, and maximize value for our clients. Join us—and together, we’ll maximize the value of your career.
**Responsibilities**
* Design and build scalable, reliable data infrastructure and pipelines.
* Mentor junior and mid\-level engineers through code reviews, coaching, and knowledge sharing.
* Identify and implement process improvements (automation, optimization, monitoring).
* Collaborate with valuation professionals to understand the business needs and requirements.
* Lead complex technical implementation work, ensuring performance and quality standards.
* Collaborate with global teams to deliver fault\-tolerant, high\-quality data solutions.
* Drive engineering excellence by enforcing coding standards, automated unit testing, and CI/CD best practices.
* Lead and participate in global trainings to enhance the understanding of the infrastructure by valuation professions.
* Contribute to architecture discussions and proof\-of\-concepts, providing input without direct ownership of roadmap.
**Requirements**
* Bachelor’s degree in computer science, Engineering, or related field (master’s preferred). Equivalent experience considered.
* 5\+ years of experience in data engineering or software engineering, with at least 2 years in a senior or lead role.
* Proven experience building and managing ETL/ELT pipelines
* Advanced proficiency with Azure, AWS, and Databricks (with a focus on data services)
* Deep knowledge of Python, Spark ecosystem (PySpark, Spark SQL), and relational databases
* Experience building REST APIs, Python SDKs, libraries, Spark\-based data services and tools like FastAPI, Pydantic, Polars, Pandas, Delta Lake, Docker, Kubernetes
* Understanding of Lakehouse architecture, Medallion architecture, and data governance
* Experience with pipeline orchestration tools (e.g., Airflow, Azure Data Factory)
* Strong communication skills and ability to work cross\-functionally with international teams
* Skilled in data profiling, cataloging, and mapping for technical data flows
* Understanding of API product management principles, including lifecycle strategy, documentation standards, and versioning
* Experience with CI/CD, Git, and DevOps best practices
**Desired Skills**
* Familiarity with financial statements and valuation methodologies (income approach, market approach, etc.).
* Broader cloud architecture awareness (networking, security, cost optimization).
* Experience tuning complex SQL/Spark queries and pipelines for performance.
* Hands\-on experience building Lakehouse solutions using Azure Databricks, ADLS, and/or Snowflake as part of a modern data platform architecture.
 Your recruiter will be happy to walk you through your U.S.\-specific benefits, which include:
* Healthcare Coverage: Comprehensive medical, dental, and vision plans.
* Time Off and Leave Policies: Generous paid time off (PTO), paid company holidays, generous parental and family leave.
* Protective Insurances: Life insurance, short\- and long\-term disability coverage, and accident protection.
* Compensation and Rewards: Competitive salary structures, performance\-based incentives, and merit\-based compensation reviews.
* Retirement Plans: 401(k) plans with company matching.
 Please note that benefits may vary by region, department and role. We encourage you to speak with your recruiter to learn more about the specific benefits available for your position.
**About Kroll**
 Join the global leader in risk and financial advisory solutions—Kroll. With a nearly century\-long legacy, we blend trusted expertise with cutting\-edge technology to navigate and redefine industry complexities. As a part of One Team, One Kroll, you'll contribute to a collaborative and empowering environment, propelling your career to new heights. Ready to build, protect, restore and maximize our clients’ value? Your journey begins with Kroll.
 In order to be considered for a position, you must formally apply via careers.kroll.com.
*We are proud to be an equal opportunity employer and will consider all qualified applicants regardless of gender, gender identity, race, religion, color, nationality, ethnic origin, sexual orientation, marital status, veteran status, age or disability.*
 The current salary range for this position is $90,000 to $200,000</t>
        </is>
      </c>
    </row>
    <row r="249">
      <c r="A249" t="inlineStr">
        <is>
          <t>li-4369121921</t>
        </is>
      </c>
      <c r="B249" t="inlineStr">
        <is>
          <t>Data Engineer - Senior Manager</t>
        </is>
      </c>
      <c r="C249" t="inlineStr">
        <is>
          <t>PwC</t>
        </is>
      </c>
      <c r="D249" t="inlineStr">
        <is>
          <t>linkedin</t>
        </is>
      </c>
      <c r="E249">
        <f>HYPERLINK("https://www.linkedin.com/jobs/view/4369121921", "https://www.linkedin.com/jobs/view/4369121921")</f>
        <v/>
      </c>
      <c r="F249">
        <f>HYPERLINK("https://ad.doubleclick.net/ddm/clk/438405794;254302458;m?https://jobs.us.pwc.com/job/-/-/932/91375324016?utm_source=linkedin.com&amp;utm_campaign=core_media&amp;utm_medium=social_media&amp;utm_content=job_posting&amp;ss=paid&amp;urlHash=VRkX", "https://ad.doubleclick.net/ddm/clk/438405794;254302458;m?https://jobs.us.pwc.com/job/-/-/932/91375324016?utm_source=linkedin.com&amp;utm_campaign=core_media&amp;utm_medium=social_media&amp;utm_content=job_posting&amp;ss=paid&amp;urlHash=VRkX")</f>
        <v/>
      </c>
      <c r="G249" t="inlineStr">
        <is>
          <t>Indianapolis, IN</t>
        </is>
      </c>
      <c r="H249" t="inlineStr"/>
      <c r="I249"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50">
      <c r="A250" t="inlineStr">
        <is>
          <t>li-4369127870</t>
        </is>
      </c>
      <c r="B250" t="inlineStr">
        <is>
          <t>Data Engineer - Senior Manager</t>
        </is>
      </c>
      <c r="C250" t="inlineStr">
        <is>
          <t>PwC</t>
        </is>
      </c>
      <c r="D250" t="inlineStr">
        <is>
          <t>linkedin</t>
        </is>
      </c>
      <c r="E250">
        <f>HYPERLINK("https://www.linkedin.com/jobs/view/4369127870", "https://www.linkedin.com/jobs/view/4369127870")</f>
        <v/>
      </c>
      <c r="F250">
        <f>HYPERLINK("https://ad.doubleclick.net/ddm/clk/438405794;254302458;m?https://jobs.us.pwc.com/job/-/-/932/91375324016?utm_source=linkedin.com&amp;utm_campaign=core_media&amp;utm_medium=social_media&amp;utm_content=job_posting&amp;ss=paid&amp;urlHash=VRkX", "https://ad.doubleclick.net/ddm/clk/438405794;254302458;m?https://jobs.us.pwc.com/job/-/-/932/91375324016?utm_source=linkedin.com&amp;utm_campaign=core_media&amp;utm_medium=social_media&amp;utm_content=job_posting&amp;ss=paid&amp;urlHash=VRkX")</f>
        <v/>
      </c>
      <c r="G250" t="inlineStr">
        <is>
          <t>Columbus, OH</t>
        </is>
      </c>
      <c r="H250" t="inlineStr"/>
      <c r="I250"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51">
      <c r="A251" t="inlineStr">
        <is>
          <t>li-4377932982</t>
        </is>
      </c>
      <c r="B251" t="inlineStr">
        <is>
          <t>Lead Data Engineer/Architect</t>
        </is>
      </c>
      <c r="C251" t="inlineStr">
        <is>
          <t>Jobs via Dice</t>
        </is>
      </c>
      <c r="D251" t="inlineStr">
        <is>
          <t>linkedin</t>
        </is>
      </c>
      <c r="E251">
        <f>HYPERLINK("https://www.linkedin.com/jobs/view/4377932982", "https://www.linkedin.com/jobs/view/4377932982")</f>
        <v/>
      </c>
      <c r="F251">
        <f>HYPERLINK("https://click.appcast.io/t/lihbCSaUV716R3jRjWl-4o9rpyDGZRK0kouLZIKobnw=&amp;urlHash=43_b", "https://click.appcast.io/t/lihbCSaUV716R3jRjWl-4o9rpyDGZRK0kouLZIKobnw=&amp;urlHash=43_b")</f>
        <v/>
      </c>
      <c r="G251" t="inlineStr">
        <is>
          <t>Chicago, IL</t>
        </is>
      </c>
      <c r="H251" t="inlineStr"/>
      <c r="I251" t="inlineStr">
        <is>
          <t>Dice is the leading career destination for tech experts at every stage of their careers. Our client, Swan Tech Solution LLC, is seeking the following. Apply via Dice today!
**Lead Data Engineer/Architect**
**Primary Skills**
* Athena, Step Functions, Spark \- Pyspark, ETL Fundamentals, SQL (Basic \+ Advanced), Glue, Python, Lambda, Data Warehousing, EBS /EFS, AWS EC2, Lake Formation, Aurora, S3, Modern Data Platform Fundamentals, PLSQL, Data Modelling Fundamentals, Cloud front
 Job requirements
* About the Role
* We are seeking an experienced Data Architect to design and build scalable, cloud\-native data platforms supporting IoT, operational systems, and enterprise analytics.
* This role requires a hands\-on technical leader who can architect modern data pipelines, enable real\-time and batch ingestion, and design performant serving layers for APIs and applications.
* The ideal candidate blends deep AWS expertise, strong data modeling skills, and the ability to translate business requirements into scalable technical solutions.
**Key Responsibilities**
* Data Engineering \&amp; Architecture
* Architect ingestion pipelines for streaming and event\-based data (IoT telemetry)
* Implement time\-window logic and event\-to\-state transformations
* Design, build, and optimize data pipelines using AWS Glue, Lambda, and Step Functions for ingestion, transformation, and curation.
* Develop and maintain data lakes (S3 \+ Lake Formation) and data warehouses (Redshift) to support analytics and visualization.
* Integrate Aurora (PostgreSQL/MySQL) as a serving layer for APIs and dashboards.
* Design APIs or direct query interfaces that expose curated datasets for React\-based dashboards and web applications.
* Define and implement data models, partitioning strategies, and schema evolution best practices for performance and scalability.
* Security, Governance \&amp; Compliance
* Implement data security policies, encryption, and role\-based access controls using AWS IAM, KMS, Lake Formation, and Secrets Manager.
* Ensure compliance with organizational data governance and privacy standards.
* Maintain data cataloging, lineage, and access tracking within AWS Glue Data Catalog and Lake Formation.
* Implement CI/CD pipelines for data workflows in collaboration with DevOps teams.
**Required Skills \&amp; Qualifications**
* 12\+ years of experience in data engineering and AWS data architecture.
* Strong expertise with AWS Glue, Redshift, S3, Lake Formation, Aurora (Postgres/MySQL).
* Proven experience building APIs or exposing curated datasets for web applications (preferably React or similar front\-end frameworks).
* Strong programming skills in Python and SQL.
* Experience with data modeling, ETL/ELT frameworks, and performance optimization.
* Working knowledge of Terraform/CloudFormation and CI/CD practices.
* Understanding of data security, IAM policies, encryption, and governance frameworks.
**Preferred Skills**
* Experience with Athena for ad\-hoc analytics.
* Familiarity with API Gateway, AppSync, or GraphQL APIs for serving data to front\-end applications.
* Knowledge of event\-driven pipelines (Kinesis, EventBridge, kafka) and data quality monitoring.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2026-02-27T23:56:35Z</dcterms:created>
  <dcterms:modified xsi:type="dcterms:W3CDTF">2026-02-27T23:56:35Z</dcterms:modified>
</cp:coreProperties>
</file>