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deed" sheetId="1" state="visible" r:id="rId1"/>
    <sheet name="linkedin" sheetId="2" state="visible" r:id="rId2"/>
  </sheets>
  <definedNames/>
  <calcPr calcId="124519" fullCalcOnLoad="1"/>
</workbook>
</file>

<file path=xl/styles.xml><?xml version="1.0" encoding="utf-8"?>
<styleSheet xmlns="http://schemas.openxmlformats.org/spreadsheetml/2006/main">
  <numFmts count="4">
    <numFmt numFmtId="164" formatCode="yyyy-mm-dd h:mm:ss"/>
    <numFmt numFmtId="165" formatCode="YYYY-MM-DD HH:MM:SS"/>
    <numFmt numFmtId="166" formatCode="yyyy-mm-dd"/>
    <numFmt numFmtId="167" formatCode="YYYY-MM-DD"/>
  </numFmts>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4">
    <xf numFmtId="0" fontId="0" fillId="0" borderId="0" pivotButton="0" quotePrefix="0" xfId="0"/>
    <xf numFmtId="0" fontId="1" fillId="0" borderId="1" applyAlignment="1" pivotButton="0" quotePrefix="0" xfId="0">
      <alignment horizontal="center" vertical="top"/>
    </xf>
    <xf numFmtId="165" fontId="0" fillId="0" borderId="0" pivotButton="0" quotePrefix="0" xfId="0"/>
    <xf numFmtId="167"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sheetData>
    <row r="1">
      <c r="A1" s="1" t="inlineStr">
        <is>
          <t>job id</t>
        </is>
      </c>
      <c r="B1" s="1" t="inlineStr">
        <is>
          <t>title</t>
        </is>
      </c>
      <c r="C1" s="1" t="inlineStr">
        <is>
          <t>company</t>
        </is>
      </c>
      <c r="D1" s="1" t="inlineStr">
        <is>
          <t>site</t>
        </is>
      </c>
      <c r="E1" s="1" t="inlineStr">
        <is>
          <t>job_url</t>
        </is>
      </c>
      <c r="F1" s="1" t="inlineStr">
        <is>
          <t>job_url_direct</t>
        </is>
      </c>
      <c r="G1" s="1" t="inlineStr">
        <is>
          <t>location</t>
        </is>
      </c>
      <c r="H1" s="1" t="inlineStr">
        <is>
          <t>date posted</t>
        </is>
      </c>
      <c r="I1" s="1" t="inlineStr">
        <is>
          <t>description</t>
        </is>
      </c>
    </row>
    <row r="2">
      <c r="A2" t="inlineStr">
        <is>
          <t>in-8541d7d91754e92a</t>
        </is>
      </c>
      <c r="B2" t="inlineStr">
        <is>
          <t>Engineer 3, Data Engineer-Xumo</t>
        </is>
      </c>
      <c r="C2" t="inlineStr">
        <is>
          <t>Comcast</t>
        </is>
      </c>
      <c r="D2" t="inlineStr">
        <is>
          <t>indeed</t>
        </is>
      </c>
      <c r="E2" t="inlineStr"/>
      <c r="F2" t="inlineStr"/>
      <c r="G2" t="inlineStr">
        <is>
          <t>Irvine, CA, US</t>
        </is>
      </c>
      <c r="H2" s="2" t="n">
        <v>46056</v>
      </c>
      <c r="I2" t="inlineStr">
        <is>
          <t>Xumo, a joint venture between Comcast and Charter Communications, was formed to develop and offer a next\-generation streaming platform for the entire entertainment industry. The company consists of three primary lines of business: Xumo devices, Xumo Play, and Xumo Enterprise. Powered by Comcast’s global entertainment platform, Xumo devices feature a world\-class user interface with universal voice search capabilities, making it easy for consumers to find and enjoy their favorite streaming content. Xumo Play is a free ad\-supported streaming TV (FAST) service offering hundreds of linear channels and on\-demand options. Xumo Enterprise provides tools and services for content creators, distributors, and advertisers to make FAST content more accessible. **Job Summary**
The Data Engineer will play a pivotal role in extracting, transforming, and analyzing data to provide actionable insights and drive data\-informed decisions. This role involves designing and implementing data pipelines, building data models, and developing analytical solutions to optimize ad performance and operational efficiency. The ideal candidate will have a strong background in data engineering, analytics, and a solid understanding of digital advertising principles.**Job Description**
**Key Responsibilities:**
* **Data Pipeline Development:**
	+ Design, develop, and maintain robust data pipelines to ingest data from various sources into Xumo’s Enterprise Data Warehouse.
	+ Also process and store data from various sources (e.g., ad serving logs, campaign data, user behavior data).
	+ Monitor data pipeline performance and identify areas for optimization.
* **Data Modeling and Warehousing:**
	+ Develop and maintain data models and schemas optimized for analytical querying and reporting.
	+ Design and implement data warehousing solutions to support efficient data storage and retrieval.
	+ Work with cloud\-based data platforms (e.g., Google BigQuery, Snowflake).
	+ Clear understanding of Enterprise Data Warehouse concepts.
* **Analytical Solutions Development:**
	+ Develop and implement analytical solutions, including dashboards, reports, and visualizations, to monitor ad performance, identify trends, and provide actionable insights.
	+ Utilize data mining and statistical techniques to uncover data patterns and correlations in ad data.
	+ Build and maintain reporting systems that provide key performance indicators (KPIs) related to ad campaigns and system performance.
	+ Analyze ad performance data to identify opportunities for campaign optimization and revenue growth.
	+ Provide data\-driven recommendations to improve ad targeting, delivery, and reporting.
* **Performance Monitoring and Optimization:**
	+ Implement ETL/ELT processes to transform raw data into a structured, normalized enterprise level Data Marts in a usable format for analysis.
	+ Ensure data quality, consistency, and reliability throughout the various lifecycle of the ingested data.
* **Collaboration and Communication:**
	+ Collaborate with software engineers, product managers, and other stakeholders to understand data requirements and deliver data\-driven solutions.
	+ Communicate complex data insights effectively to both technical and non\-technical audiences.
	+ Work closely with the QA team to validate data accuracy.
**Required Qualifications:**
* Strong programming skills in Python, SQL.
* Experience with data pipeline development and ETL/ELT processes.
* Experience with big data technologies (e.g., Spark, Hadoop).
* Proficiency in working with both relational and NoSQL databases.
* Experience with cloud\-based data platforms (e.g., AWS, Google Cloud).
* Clear understanding of Data Warehousing concepts and technologies.
* Experience with data visualization tools (e.g., Tableau, Power BI, Looker, Periscope/Sisense).
* Strong analytical and problem\-solving skills.
* Understanding of digital advertising principles and metrics.
* Understanding of data governance.
**Nice to Have:**
* Knowledge of machine learning techniques and applications.
* Knowledge of Data Modeling.
* Experience with real\-time data processing and streaming.
* Familiarity with ad server technologies and protocols (e.g., VAST, VPAID).
* Experience with version control systems (Git).
* Experience with data quality tools.
**Employees at all levels are expected to:**
* Understand our Operating Principles; make them the guidelines for how you do your job.
* Own the customer experience \- think and act in ways that put our customers first, give them seamless digital options at every touchpoint, and make them promoters of our products and services.
* Know your stuff \- be enthusiastic learners, users and advocates of our game\-changing technology, products and services, especially our digital tools and experiences.
* Win as a team \- make big things happen by working together and being open to new ideas.
* Be an active part of the Net Promoter System \- a way of working that brings more employee and customer feedback into the company \- by joining huddles, making call backs and helping us elevate opportunities to do better for our customers.
* Drive results and growth.
* Support a culture of inclusion in how you work and lead.
* Do what's right for each other, our customers, investors and our communities.
**Disclaimer:**
* This information has been designed to indicate the general nature and level of work performed by employees in this role. It is not designed to contain or be interpreted as a comprehensive inventory of all duties, responsibilities and qualifications.
Comcast is an equal opportunity workplace. We will consider all qualified applicants for employment without regard to race, color, religion, age, sex, sexual orientation, gender identity, national origin, disability, veteran status, genetic information, or any other basis protected by applicable law. Comcast will consider for employment applicants with arrest or conviction records in accordance with the requirements of applicable law, including the San Francisco Fair Chance Ordinance, the Los Angeles Fair Chance Initiative for Hiring Ordinance, the Los Angeles County Fair Chance Ordinance for Employers and the California Fair Chance Act. Please note that federal state, or local laws and regulations may restrict or prohibit Comcast from hiring individuals convicted of certain crimes. Additionally, an applicant’s criminal history may have a direct, adverse, and negative relationship on the job duties of this position, which may result in the withdrawal of a conditional offer of employment.
 **Skills:**
Data Modeling; Data Visualization; Structured Query Language (SQL); Python (Programming Language)
 **Salary:**
Primary Location Pay Range: This job can be performed in California with a good faith estimated pay range upon hire of $120,212\.52 \- $160,283\.36 USD.
Comcast intends to offer the selected candidate base pay within the posted range for this role at the time of posting dependent on job\-related, non\-discriminatory factors such as experience. The application window is 30 days from the date job is posted, unless the number of applicants requires it to close sooner or later.
Base pay is one part of the Total Rewards that Comcast provides to compensate and recognize employees for their work. Most sales positions are eligible for a Commission under the terms of an applicable plan, while most non\-sales positions are eligible for a Bonus. Additionally, Comcast provides best\-in\-class Benefits to eligible employees. We believe that benefits should connect you to the support you need when it matters most, and should help you care for those who matter most. That?s why we provide an array of options, expert guidance and always\-on tools, that are personalized to meet the needs of your reality ? to help support you physically, financially and emotionally through the big milestones and in your everyday life. Please visit the compensation and benefits summary on our careers site for more details.
 **Education**
Bachelor's Degree
While possessing the stated degree is preferred, Comcast also may consider applicants who hold some combination of coursework and experience, or who have extensive related professional experience.
**Relevant Work Experience**
5\-7 Years</t>
        </is>
      </c>
    </row>
    <row r="3">
      <c r="A3" t="inlineStr">
        <is>
          <t>in-0ceebdc8d043a123</t>
        </is>
      </c>
      <c r="B3" t="inlineStr">
        <is>
          <t>Data Engineer</t>
        </is>
      </c>
      <c r="C3" t="inlineStr">
        <is>
          <t>AEM Corporation</t>
        </is>
      </c>
      <c r="D3" t="inlineStr">
        <is>
          <t>indeed</t>
        </is>
      </c>
      <c r="E3" t="inlineStr"/>
      <c r="F3" t="inlineStr"/>
      <c r="G3" t="inlineStr">
        <is>
          <t>Washington, DC, US</t>
        </is>
      </c>
      <c r="H3" s="2" t="n">
        <v>46056</v>
      </c>
      <c r="I3" t="inlineStr">
        <is>
          <t>**Data Engineer**  
**Position Summary**  
Join our team as a Data Engineer and become a key contributor to building trusted, high\-quality data products for Federal clients. You will design, implement, and operate scalable data pipelines and lakehouse solutions using Microsoft Azure services including, Azure Synapse, ADLS Gen2, and Azure Functions, and Logic apps. You will collaborate closely with product owners, analysts, and stakeholders in a Scrum environment. The ideal candidate is hands\-on, curious, collaborative, comfortable asking for help, offering help, and proposing ideas that improve team velocity and value.  
**What You’ll Do**
* Design and implement secure, scalable data pipelines in Azure (Synapse Notebooks, Python, Pandas, pySpark, Synapse Pipelines, Azure Functions, Logic Apps, etc.) to ingest, profile, transform, improve data quality, and publish trusted data.
* Engineer robust lake storage on ADLS Gen2 using Parquet, Iceberg, partitioning techniques, and performance optimization techniques.
* Establish data quality controls: profiling, validation rules, reproducible transformations, and automated tests with monitoring/alerting.
* Operationalize pipelines with CI/CD, environment promotion, secrets management, and run\-time observability (e.g., Azure DevOps).
* Model and serve data for analytics/BI (e.g., Power BI), including row\-level security and refresh orchestration.
* Document design decisions, lineage, and data contracts; contribute to catalog/metadata management (e.g., Microsoft Purview).
* Collaborate within a Scrum team—participate in sprint planning, reviews, and retros—and partner with product owners/stakeholders to refine user stories.
* Continuously improve team ways of working: propose automation, standardization, and quality practices that increase throughput and reliability.
**What You’ll Bring (Required Qualifications)**
* U.S. citizen with the ability to obtain a Public Trust background investigation.
* 5\+ years of professional data engineering experience and a bachelor’s degree (or 3\+ years with a related advanced degree).
* **Strong Python (pandas, PySpark) and SQL**; experience building reproducible, testable data transformations.
* Hands\-on expertise with Azure Synapse Analytics (Notebooks/SQL/Spark) and ADLS Gen2\.
* **Production experience** with Synapse or Azure Data Factory, Functions, and Logic Apps for event\-driven orchestration.
* **Solid data architecture fundamentals** (lakehouse patterns, partitioning, schema management) and performance tuning at scale.
* **Data quality, lineage, and governance mindset**; familiarity with Microsoft Purview or equivalent catalog/lineage tooling.
* Version control (Git) and CI/CD practices (e.g., Azure DevOps) for data solutions.
* **Excellent communication skills** and a collaborative, help\-seeking/help\-giving approach in a Scrum team.
**Preferred Qualifications**
* Experience integrating with AWS data services (S3, Glue/Glue Data Catalog, Lambda) and/or cross\-cloud data patterns.
* **Experience enabling BI/analytics** (Power BI, model design, RLS) and supporting analysts with performant datasets.
* **Experience building observability** for data systems (usage/cost telemetry, data SLAs, pipeline health dashboards).
* **Familiarity with MDM** **and reference data** concepts and enterprise governance.
* **Relevant certifications:** Microsoft Azure Data Engineer (DP\-203\), Azure Enterprise Data Analyst, or AWS data certifications.
* **E****xisting Federal** **G****overnment Clearance.**
**How We Work**
* **Scrum\-aligned:** contribute to clear user stories, sizing, and acceptance criteria; continually update documentation for work items in progress; participate actively in planning, reviews, and retros.
* **Team\-first:** seek help early, offer help freely, and elevate team standards through code reviews, pairing, and documentation.
* **Outcome\-driven:** measure impact (performance, quality, cycle time) and iterate on process and tooling to increase value delivery.
AEM and its affiliates are equal opportunity employers, and all qualified applicants will receive consideration for employment without regard to race, color, religion, sex, national origin, sexual orientation, gender identity, disability or protected veteran status, or any other characteristic protected by law. – AA M/F/Vet/Disability  
Federal law requires AEM and its affiliates to verify identity and employment eligibility with information from your Form I\-9\. The E\-Verify system is used.  
The California Consumer Privacy Act of 2018 (“CCPA”) imposes specific obligations on businesses processing personal information of California residents. Pursuant to the CCPA, AEM and its affiliates are required to provide applicants who are California residents a notice, used at or before the point of collection of such personal information, which identifies the categories of personal information that may be collected and why AEM and its affiliates collect such information. Applicants can find information about AEM’s privacy policy and CCPA here.  
AEM is an equal opportunity employer and all qualified applicants will receive consideration for employment without regard to race, color, religion, sex, national origin, disability status, protected veteran status, or any other characteristic protected by law.  
XJ6</t>
        </is>
      </c>
    </row>
    <row r="4">
      <c r="A4" t="inlineStr">
        <is>
          <t>in-680421d0447b96bf</t>
        </is>
      </c>
      <c r="B4" t="inlineStr">
        <is>
          <t>Data Engineer</t>
        </is>
      </c>
      <c r="C4" t="inlineStr">
        <is>
          <t>Fiduciary Tech</t>
        </is>
      </c>
      <c r="D4" t="inlineStr">
        <is>
          <t>indeed</t>
        </is>
      </c>
      <c r="E4" t="inlineStr"/>
      <c r="F4" t="inlineStr"/>
      <c r="G4" t="inlineStr">
        <is>
          <t>Bellevue, WA, US</t>
        </is>
      </c>
      <c r="H4" s="2" t="n">
        <v>46058</v>
      </c>
      <c r="I4" t="inlineStr">
        <is>
          <t>**Data Engineer**
**About This Position**
We develop and operate a **cloud\-based internal platform on AWS** for a large enterprise customer. The system is actively evolving through close coordination with multiple technology partners, and continuous improvements are a core part of the work.
The Data Engineer will become part of an established delivery team that has supported this platform over an extended period and possesses strong domain and system knowledge. This role offers the opportunity to contribute meaningfully to a mature yet growing environment.
Our standard hiring model is **full\-time employment for consulting engagements**. Depending on experience and alignment, this role may be structured as either a full\-time position or a project\-based engagement.  
The client and primary stakeholders are located in **Bellevue, Washington**.
**Role Overview**
In this role, you will support ongoing IT and data initiatives by designing, building, and improving data\-related systems and services. You will work across the lifecycle—from enhancing existing components to developing new capabilities—while balancing short\-term delivery needs with long\-term scalability and reliability.
We are seeking an engineer who is comfortable tackling complex technical challenges, understands the operational impact of data systems, and takes ownership of delivering solutions that are practical, maintainable, and aligned with real business use cases.
Job Type: Full\-time
Pay: $80,000\.00 \- $100,000\.00 per year
Benefits:
* 401(k)
* Dental insurance
* Health insurance
Work Location: In person</t>
        </is>
      </c>
    </row>
    <row r="5">
      <c r="A5" t="inlineStr">
        <is>
          <t>in-abdddfeb19324585</t>
        </is>
      </c>
      <c r="B5" t="inlineStr">
        <is>
          <t>Data Platform Engineer</t>
        </is>
      </c>
      <c r="C5" t="inlineStr">
        <is>
          <t>Charles Schwab</t>
        </is>
      </c>
      <c r="D5" t="inlineStr">
        <is>
          <t>indeed</t>
        </is>
      </c>
      <c r="E5" t="inlineStr"/>
      <c r="F5" t="inlineStr"/>
      <c r="G5" t="inlineStr">
        <is>
          <t>Southlake, TX, US</t>
        </is>
      </c>
      <c r="H5" s="2" t="n">
        <v>46057</v>
      </c>
      <c r="I5" t="inlineStr">
        <is>
          <t>**Your opportunity**
--------------------
Schwab Asset Management (SAM) is a leading asset manager supporting mutual funds, ETFs, and managed account products governed under stringent regulatory and compliance requirements. SAM operates in a **multi‑cloud, multi‑custodian, multi‑vendor ecosystem**, relying on a diverse set of external platforms such as Vestmark, Aladdin, Eagle, and others to serve its investment, operational, and regulatory functions.
This role sits directly within **SAM Data Platform Engineering**, the team responsible for designing, building, operating, and enhancing the shared platform capabilities underpinning SAM Data platform. As a junior platform engineer, you will help expand and operate the cloud infrastructure, CI/CD tooling, orchestration layers, and Snowflake resources that support all SAMDA tenants. **Role Summary**
The SAM Data Platform Engineering team builds and operates the Schwab Asset Management Data platform — a unified, multi‑tenant, cloud‑native data platform that supports regulatory, operational, and analytical workloads across SAM. The platform leverages **GCP services** and **Snowflake** to deliver scalable data ingestion, transformation, governance, and consumption capabilities.
As a **Data Platform Engineer (Level 55\)**, you will contribute to the build‑out, automation, and operation of the SAMDA platform. This junior role is ideal for early‑career engineers who want to work across cloud infrastructure, DevOps tooling, Snowflake platform configuration, and data‑pipeline enablement while learning modern cloud‑native data engineering patterns. **What You Will Do (Responsibilities)**
**Platform Infrastructure \&amp; Environment Engineering**
* Support creation and configuration of **GCP infrastructure** including Cloud Storage, Composer, Cloud Run, and IAM roles.
* Assist in provisioning **Snowflake resources** (databases, schemas, compute warehouses, RBAC roles, service accounts) aligned with tenant isolation and platform governance models.
* Follow platform patterns for **networking and secure connectivity**, including Private Service Connect and controlled access paths between Snowflake and GCP.
**DevOps, CI/CD \&amp; Automation**
* Contribute to **Git repository setup**, branching strategies, and automated CI/CD pipelines for pipelines, Snowflake DDL, configuration, and platform components.
* Help build automation templates for tenant‑specific resources, notifications, dashboards, and deployment patterns.
**Data Platform Capabilities**
* Support ingestion workflows for **file‑based ingestion**, vendor Snowflake **secure data shares**, and internal source ingestion to SAMDA raw/curated data zones.
* Assist in implementing **transformations** using Snowflake SQL, Python, and Composer as part of the PLT (Push‑Load‑Transform) orchestration model.
* Support standardized **data quality checks** baked into platform pipelines and tenant workflows.
**Observability, Monitoring \&amp; Platform Operations**
* Configure monitoring and alerting using **GCP Operations**, Snowflake usage monitoring, and platform dashboards for pipeline health and SLAs.
* Collaborate with production support on incident triage, pipeline monitoring, and environment troubleshooting.
**Platform Enablement**
* Help onboard new tenant applications, including infra creation, repository setup, Snowflake footprint provisioning, RBAC setup, and pipeline patterns.
* Learn and apply platform governance covering data segmentation, tenancy isolation, information barriers, and security guardrails.
**What you have**
-----------------
 **Required Qualifications**
* Bachelor’s degree in Computer Science, IT, Engineering, or related field, or equivalent practical experience.
* 1–2 years of experience or relevant project work with cloud platforms (GCP, AWS, Azure).
* Foundational experience with Python, SQL, Git, and CI/CD concepts.
* Exposure to cloud‑native services (GCS, Cloud Run, Composer, Pub/Sub) or Snowflake.
* Strong analytical, troubleshooting, and communication skills; ability to learn quickly and collaborate in a team environment.
**Preferred Qualifications**
* Exposure to Snowflake or other cloud data warehouses (BigQuery, Redshift).
* Experience with IaC tools such as Terraform or Deployment Manager.
* Understanding of data governance, secure data handling, or enterprise RBAC models.
* Familiarity with observability tools (Stackdriver/Cloud Operations, Prometheus, etc.).
**What’s in it for you**
------------------------
At Schwab, you’re empowered to shape your future. We champion your growth through meaningful work, continuous learning, and a culture of trust and collaboration—so you can build the skills to make a lasting impact. Our Hybrid Work and Flexibility approach balances our ongoing commitment to workplace flexibility, serving our clients, and our strong belief in the value of being together in person on a regular basis.
We offer a competitive benefits package that takes care of the whole you – both today and in the future:
* 401(k) with company match and Employee stock purchase plan
* Paid time for vacation, volunteering, and 28\-day sabbatical after every 5 years of service for eligible positions
* Paid parental leave and family building benefits
* Tuition reimbursement
* Health, dental, and vision insurance</t>
        </is>
      </c>
    </row>
    <row r="6">
      <c r="A6" t="inlineStr">
        <is>
          <t>in-c6afeca1bb887d37</t>
        </is>
      </c>
      <c r="B6" t="inlineStr">
        <is>
          <t>DATA ENGINEER - DATA FABRIC</t>
        </is>
      </c>
      <c r="C6" t="inlineStr">
        <is>
          <t>VSolvit LLC</t>
        </is>
      </c>
      <c r="D6" t="inlineStr">
        <is>
          <t>indeed</t>
        </is>
      </c>
      <c r="E6" t="inlineStr"/>
      <c r="F6" t="inlineStr"/>
      <c r="G6" t="inlineStr">
        <is>
          <t>US</t>
        </is>
      </c>
      <c r="H6" s="2" t="n">
        <v>46057</v>
      </c>
      <c r="I6" t="inlineStr">
        <is>
          <t>**\*\*\*POSITION IS REMOTE\*\*\***
 **Overview**
The Data Engineer \- Data Fabric Architecture designs, builds, and maintains scalable data pipelines and analytics platforms using modern lakehouse principles. This role supports enterprise data initiatives through Python\-based development and implementation of medallion architecture patterns (bronze, silver, gold). The Data Engineer collaborates with analytics, business, and technology teams to deliver trusted, high\-quality data that enables reporting, advanced analytics, AI, and data\-driven decision\-making.
As with any VSolvit position, additional expectations exist. Some of these include, but are not limited to, adhering to normal working hours, meeting deadlines, following company policies as outlined by the Employee Handbook, communicating regularly with assigned supervisor(s), staying focused on assigned tasks, and completing other tasks as assigned.
**Key Responsibilities**
* Design, develop, and maintain scalable data pipelines using Python and modern orchestration tools
* Build and optimize lakehouse architectures following medallion\-layer best practices
* Develop ingestion, transformation, and data quality processes for structured and unstructured data sources
* Support analytics and reporting teams with curated, high\-performance datasets
* Collaborate on data governance, metadata management, and data lineage initiatives
* Ensure scalability, reliability, performance, and security of the data platform
* Support enterprise data modernization efforts using platforms such as Microsoft Fabric
* Troubleshoot and resolve data pipeline and platform issues
**Required Qualifications**
* Design, develop, and maintain scalable data pipelines using Python and modern orchestration tools
* Build and optimize lakehouse architectures following medallion\-layer best practices
* Develop ingestion, transformation, and data quality processes for structured and unstructured data sources
* Support analytics and reporting teams with curated, high\-performance datasets
* Collaborate on data governance, metadata management, and data lineage initiatives
* Ensure scalability, reliability, performance, and security of the data platform
* Support enterprise data modernization efforts using platforms such as Microsoft Fabric
* Troubleshoot and resolve data pipeline and platform issues
**Preferred Qualifications**
* Experience with Microsoft Fabric and Power BI
* Familiarity with orchestration tools and modern analytics architectures
* Experience supporting enterprise analytics, BI, or AI initiatives
* Experience working in cloud\-based or large\-scale data environments
**Company Summary**
Join the VSolvit Team! Founded in 2006, VSolvit (pronounced 'We Solve It') is a technology services provider that specializes in cybersecurity, cloud computing, geographic information systems (GIS), business intelligence (BI) systems, data warehousing, engineering services, and custom database and application development. VSolvit is an award winning WOSB, CA CDB, MBE, WBE, and CMMI Level 3 certified company. We offer a customizable health benefits program that best meets the needs of its employees. Offering may include: medical, dental, and vision insurance, life insurance, long and short\-term disability and other insurance products, Health Savings Account, Flexible Spending Account, 401K Retirement Plan options, Tuition Reimbursement, and assorted voluntary benefits. Our goal is to grow together and enjoy the work that we do as a team.
*VSolvit LLC is an Equal Opportunity/Affirmative Action employer and will consider all qualified applicants for employment without regard to race, color, religion, sex, national origin, protected veteran status, or disability status.*</t>
        </is>
      </c>
    </row>
    <row r="7">
      <c r="A7" t="inlineStr">
        <is>
          <t>in-a850c01e64937e6c</t>
        </is>
      </c>
      <c r="B7" t="inlineStr">
        <is>
          <t>Cybersecurity Analytics Engineer</t>
        </is>
      </c>
      <c r="C7" t="inlineStr">
        <is>
          <t>Lafayette Group</t>
        </is>
      </c>
      <c r="D7" t="inlineStr">
        <is>
          <t>indeed</t>
        </is>
      </c>
      <c r="E7" t="inlineStr"/>
      <c r="F7" t="inlineStr"/>
      <c r="G7" t="inlineStr">
        <is>
          <t>Arlington, VA, US</t>
        </is>
      </c>
      <c r="H7" s="2" t="n">
        <v>46056</v>
      </c>
      <c r="I7" t="inlineStr">
        <is>
          <t>Lafayette Group is seeking experienced professionals to provide advanced consulting support for federal cybersecurity programs. The Cybersecurity Analytics Engineer is an experienced, collaborative team member who shares our passion for supporting cybersecurity, has an innate curiosity to learn, and drives to excel with a team of like\-minded colleagues in a dynamic environment. This role provides thought\-leadership, technical support, and data analytics services across a broad portfolio of cybersecurity and risk management programs. This position is ideal for candidates with a blend of experience in data extraction and transformation, data analysis, and infrastructure optimization, combined with strong consulting skills.
**Job Responsibilities**
* Design, build, and maintain modular, maintainable data pipelines for data ingestion and transformation in Python
* Develop and maintain data pipelines for analytics and reporting in Python, SQL, or Power Query
* Optimize data storage and retrieval by leveraging Paraquets columnar format using Python
* Utilize Jupyter Notebooks to accomplish tasks such as exploratory data analysis, prototyping data transformations, and validating data pipeline outputs
* Query data using Python and SQL to support ad\-hoc business requests and identify actionable insights
* Work with diverse data formats including relational databases, structured files, and unstructured data
* Analyze and manage diverse data sets to improve federal and national risk insights; understand how partner organizations receive and use information from the client to drive down cyber risk.
* Develop and deliver high\-quality products (e.g., reports, briefings, demos, presentations) for data projects, tailored to the stakeholder audience
* Provide reports that organize data analysis in a consumable format for stakeholders, including interactive data visualizations and infographics.
* Provide advice and guidance on data analysis, processing, and data cleansing activities using innovative tools and approaches to organize qualitative and quantitative data for analysis.
* Ability to take initiative and work independently while maintaining excellent communication with project leadership.
**Required Skills:**
* Bachelor’s or Masters’ degree in computer science, information systems management, mathematics, engineering, or other relevant discipline.
* 6\+ years of professional experience in business intelligence, data analytics, or similar roles.
* Advanced Python skills for building modular, maintainable ETL pipelines purely in Python
* Experience with Jupyter Notebooks
* Experience writing and reading Parquet files using Pandas and PyArrow or FastParquet
* Ability to understand and translate SQL/Postgres\-based logic into Python\-based workflows
* Ability to work with a variety of structured and unstructured data formats
* Strong grasp of data architecture and performance optimization (partitioning, compression, schema design)
* Experience collaborating with BI teams to deliver data models that meet reporting requirements
* Ability to query created data and provide ad\-hoc reporting
* Possession of excellent oral and written communication skills; demonstrated ability to clearly communicate technical concepts to both technical and non\-technical users.
**Desired Skills**
* Experience with data validation/testing frameworks
* High\-level understanding of Power BI consumption needs and data formats
* US citizenship with the ability to obtain and maintain DHS Suitability (EOD).
* Prior consulting or program support experience with DHS, CISA, or other federal cybersecurity organizations.
**Location:** Hybrid (Arlington, VA); Remote  
**Salary Range**: $80,000\-$115,000  
**Federal Contracts:** This position involves working on federal contracts that require all workers on the contract to be U.S. Citizens. Additionally, some contracts may require the ability to obtain a security clearance.  
*LGI is committed to the full inclusion of all qualified individuals. As part of this commitment, we will ensure that persons with disabilities are provided reasonable accommodations for the hiring process. If reasonable accommodation is needed, please contact* *talent@lafayettegroup.com**. This email address is for accommodation requests only. Non\-related messages will be disregarded.*  
Lafayette Group provides equal employment opportunities to all persons and prohibits employment decisions based on race, religion, color, creed, national origin, sex, age, disability, political affiliation, protected veteran status, or sexual orientation.  
Equal Opportunity Employer, Including disabled and veterans  
XJ6</t>
        </is>
      </c>
    </row>
    <row r="8">
      <c r="A8" t="inlineStr">
        <is>
          <t>in-8541d7d91754e92a</t>
        </is>
      </c>
      <c r="B8" t="inlineStr">
        <is>
          <t>Engineer 3, Data Engineer-Xumo</t>
        </is>
      </c>
      <c r="C8" t="inlineStr">
        <is>
          <t>Comcast</t>
        </is>
      </c>
      <c r="D8" t="inlineStr">
        <is>
          <t>indeed</t>
        </is>
      </c>
      <c r="E8">
        <f>HYPERLINK("https://www.indeed.com/viewjob?jk=8541d7d91754e92a", "https://www.indeed.com/viewjob?jk=8541d7d91754e92a")</f>
        <v/>
      </c>
      <c r="F8">
        <f>HYPERLINK("https://jobs.comcast.com/job/-/-/45483/91383790000?source=ind_orga_at", "https://jobs.comcast.com/job/-/-/45483/91383790000?source=ind_orga_at")</f>
        <v/>
      </c>
      <c r="G8" t="inlineStr">
        <is>
          <t>Irvine, CA, US</t>
        </is>
      </c>
      <c r="H8" s="3" t="n">
        <v>46056</v>
      </c>
      <c r="I8" t="inlineStr">
        <is>
          <t>Xumo, a joint venture between Comcast and Charter Communications, was formed to develop and offer a next\-generation streaming platform for the entire entertainment industry. The company consists of three primary lines of business: Xumo devices, Xumo Play, and Xumo Enterprise. Powered by Comcast’s global entertainment platform, Xumo devices feature a world\-class user interface with universal voice search capabilities, making it easy for consumers to find and enjoy their favorite streaming content. Xumo Play is a free ad\-supported streaming TV (FAST) service offering hundreds of linear channels and on\-demand options. Xumo Enterprise provides tools and services for content creators, distributors, and advertisers to make FAST content more accessible. **Job Summary**
The Data Engineer will play a pivotal role in extracting, transforming, and analyzing data to provide actionable insights and drive data\-informed decisions. This role involves designing and implementing data pipelines, building data models, and developing analytical solutions to optimize ad performance and operational efficiency. The ideal candidate will have a strong background in data engineering, analytics, and a solid understanding of digital advertising principles.**Job Description**
**Key Responsibilities:**
* **Data Pipeline Development:**
	+ Design, develop, and maintain robust data pipelines to ingest data from various sources into Xumo’s Enterprise Data Warehouse.
	+ Also process and store data from various sources (e.g., ad serving logs, campaign data, user behavior data).
	+ Monitor data pipeline performance and identify areas for optimization.
* **Data Modeling and Warehousing:**
	+ Develop and maintain data models and schemas optimized for analytical querying and reporting.
	+ Design and implement data warehousing solutions to support efficient data storage and retrieval.
	+ Work with cloud\-based data platforms (e.g., Google BigQuery, Snowflake).
	+ Clear understanding of Enterprise Data Warehouse concepts.
* **Analytical Solutions Development:**
	+ Develop and implement analytical solutions, including dashboards, reports, and visualizations, to monitor ad performance, identify trends, and provide actionable insights.
	+ Utilize data mining and statistical techniques to uncover data patterns and correlations in ad data.
	+ Build and maintain reporting systems that provide key performance indicators (KPIs) related to ad campaigns and system performance.
	+ Analyze ad performance data to identify opportunities for campaign optimization and revenue growth.
	+ Provide data\-driven recommendations to improve ad targeting, delivery, and reporting.
* **Performance Monitoring and Optimization:**
	+ Implement ETL/ELT processes to transform raw data into a structured, normalized enterprise level Data Marts in a usable format for analysis.
	+ Ensure data quality, consistency, and reliability throughout the various lifecycle of the ingested data.
* **Collaboration and Communication:**
	+ Collaborate with software engineers, product managers, and other stakeholders to understand data requirements and deliver data\-driven solutions.
	+ Communicate complex data insights effectively to both technical and non\-technical audiences.
	+ Work closely with the QA team to validate data accuracy.
**Required Qualifications:**
* Strong programming skills in Python, SQL.
* Experience with data pipeline development and ETL/ELT processes.
* Experience with big data technologies (e.g., Spark, Hadoop).
* Proficiency in working with both relational and NoSQL databases.
* Experience with cloud\-based data platforms (e.g., AWS, Google Cloud).
* Clear understanding of Data Warehousing concepts and technologies.
* Experience with data visualization tools (e.g., Tableau, Power BI, Looker, Periscope/Sisense).
* Strong analytical and problem\-solving skills.
* Understanding of digital advertising principles and metrics.
* Understanding of data governance.
**Nice to Have:**
* Knowledge of machine learning techniques and applications.
* Knowledge of Data Modeling.
* Experience with real\-time data processing and streaming.
* Familiarity with ad server technologies and protocols (e.g., VAST, VPAID).
* Experience with version control systems (Git).
* Experience with data quality tools.
**Employees at all levels are expected to:**
* Understand our Operating Principles; make them the guidelines for how you do your job.
* Own the customer experience \- think and act in ways that put our customers first, give them seamless digital options at every touchpoint, and make them promoters of our products and services.
* Know your stuff \- be enthusiastic learners, users and advocates of our game\-changing technology, products and services, especially our digital tools and experiences.
* Win as a team \- make big things happen by working together and being open to new ideas.
* Be an active part of the Net Promoter System \- a way of working that brings more employee and customer feedback into the company \- by joining huddles, making call backs and helping us elevate opportunities to do better for our customers.
* Drive results and growth.
* Support a culture of inclusion in how you work and lead.
* Do what's right for each other, our customers, investors and our communities.
**Disclaimer:**
* This information has been designed to indicate the general nature and level of work performed by employees in this role. It is not designed to contain or be interpreted as a comprehensive inventory of all duties, responsibilities and qualifications.
Comcast is an equal opportunity workplace. We will consider all qualified applicants for employment without regard to race, color, religion, age, sex, sexual orientation, gender identity, national origin, disability, veteran status, genetic information, or any other basis protected by applicable law. Comcast will consider for employment applicants with arrest or conviction records in accordance with the requirements of applicable law, including the San Francisco Fair Chance Ordinance, the Los Angeles Fair Chance Initiative for Hiring Ordinance, the Los Angeles County Fair Chance Ordinance for Employers and the California Fair Chance Act. Please note that federal state, or local laws and regulations may restrict or prohibit Comcast from hiring individuals convicted of certain crimes. Additionally, an applicant’s criminal history may have a direct, adverse, and negative relationship on the job duties of this position, which may result in the withdrawal of a conditional offer of employment.
 **Skills:**
Data Modeling; Data Visualization; Structured Query Language (SQL); Python (Programming Language)
 **Salary:**
Primary Location Pay Range: This job can be performed in California with a good faith estimated pay range upon hire of $120,212\.52 \- $160,283\.36 USD.
Comcast intends to offer the selected candidate base pay within the posted range for this role at the time of posting dependent on job\-related, non\-discriminatory factors such as experience. The application window is 30 days from the date job is posted, unless the number of applicants requires it to close sooner or later.
Base pay is one part of the Total Rewards that Comcast provides to compensate and recognize employees for their work. Most sales positions are eligible for a Commission under the terms of an applicable plan, while most non\-sales positions are eligible for a Bonus. Additionally, Comcast provides best\-in\-class Benefits to eligible employees. We believe that benefits should connect you to the support you need when it matters most, and should help you care for those who matter most. That?s why we provide an array of options, expert guidance and always\-on tools, that are personalized to meet the needs of your reality ? to help support you physically, financially and emotionally through the big milestones and in your everyday life. Please visit the compensation and benefits summary on our careers site for more details.
 **Education**
Bachelor's Degree
While possessing the stated degree is preferred, Comcast also may consider applicants who hold some combination of coursework and experience, or who have extensive related professional experience.
**Relevant Work Experience**
5\-7 Years</t>
        </is>
      </c>
    </row>
    <row r="9">
      <c r="A9" t="inlineStr">
        <is>
          <t>in-abdddfeb19324585</t>
        </is>
      </c>
      <c r="B9" t="inlineStr">
        <is>
          <t>Data Platform Engineer</t>
        </is>
      </c>
      <c r="C9" t="inlineStr">
        <is>
          <t>Charles Schwab</t>
        </is>
      </c>
      <c r="D9" t="inlineStr">
        <is>
          <t>indeed</t>
        </is>
      </c>
      <c r="E9">
        <f>HYPERLINK("https://www.indeed.com/viewjob?jk=abdddfeb19324585", "https://www.indeed.com/viewjob?jk=abdddfeb19324585")</f>
        <v/>
      </c>
      <c r="F9">
        <f>HYPERLINK("https://www.schwabjobs.com/job/-/-/33727/91384774272", "https://www.schwabjobs.com/job/-/-/33727/91384774272")</f>
        <v/>
      </c>
      <c r="G9" t="inlineStr">
        <is>
          <t>Southlake, TX, US</t>
        </is>
      </c>
      <c r="H9" s="3" t="n">
        <v>46057</v>
      </c>
      <c r="I9" t="inlineStr">
        <is>
          <t>**Your opportunity**
--------------------
Schwab Asset Management (SAM) is a leading asset manager supporting mutual funds, ETFs, and managed account products governed under stringent regulatory and compliance requirements. SAM operates in a **multi‑cloud, multi‑custodian, multi‑vendor ecosystem**, relying on a diverse set of external platforms such as Vestmark, Aladdin, Eagle, and others to serve its investment, operational, and regulatory functions.
This role sits directly within **SAM Data Platform Engineering**, the team responsible for designing, building, operating, and enhancing the shared platform capabilities underpinning SAM Data platform. As a junior platform engineer, you will help expand and operate the cloud infrastructure, CI/CD tooling, orchestration layers, and Snowflake resources that support all SAMDA tenants. **Role Summary**
The SAM Data Platform Engineering team builds and operates the Schwab Asset Management Data platform — a unified, multi‑tenant, cloud‑native data platform that supports regulatory, operational, and analytical workloads across SAM. The platform leverages **GCP services** and **Snowflake** to deliver scalable data ingestion, transformation, governance, and consumption capabilities.
As a **Data Platform Engineer (Level 55\)**, you will contribute to the build‑out, automation, and operation of the SAMDA platform. This junior role is ideal for early‑career engineers who want to work across cloud infrastructure, DevOps tooling, Snowflake platform configuration, and data‑pipeline enablement while learning modern cloud‑native data engineering patterns. **What You Will Do (Responsibilities)**
**Platform Infrastructure \&amp; Environment Engineering**
* Support creation and configuration of **GCP infrastructure** including Cloud Storage, Composer, Cloud Run, and IAM roles.
* Assist in provisioning **Snowflake resources** (databases, schemas, compute warehouses, RBAC roles, service accounts) aligned with tenant isolation and platform governance models.
* Follow platform patterns for **networking and secure connectivity**, including Private Service Connect and controlled access paths between Snowflake and GCP.
**DevOps, CI/CD \&amp; Automation**
* Contribute to **Git repository setup**, branching strategies, and automated CI/CD pipelines for pipelines, Snowflake DDL, configuration, and platform components.
* Help build automation templates for tenant‑specific resources, notifications, dashboards, and deployment patterns.
**Data Platform Capabilities**
* Support ingestion workflows for **file‑based ingestion**, vendor Snowflake **secure data shares**, and internal source ingestion to SAMDA raw/curated data zones.
* Assist in implementing **transformations** using Snowflake SQL, Python, and Composer as part of the PLT (Push‑Load‑Transform) orchestration model.
* Support standardized **data quality checks** baked into platform pipelines and tenant workflows.
**Observability, Monitoring \&amp; Platform Operations**
* Configure monitoring and alerting using **GCP Operations**, Snowflake usage monitoring, and platform dashboards for pipeline health and SLAs.
* Collaborate with production support on incident triage, pipeline monitoring, and environment troubleshooting.
**Platform Enablement**
* Help onboard new tenant applications, including infra creation, repository setup, Snowflake footprint provisioning, RBAC setup, and pipeline patterns.
* Learn and apply platform governance covering data segmentation, tenancy isolation, information barriers, and security guardrails.
**What you have**
-----------------
 **Required Qualifications**
* Bachelor’s degree in Computer Science, IT, Engineering, or related field, or equivalent practical experience.
* 1–2 years of experience or relevant project work with cloud platforms (GCP, AWS, Azure).
* Foundational experience with Python, SQL, Git, and CI/CD concepts.
* Exposure to cloud‑native services (GCS, Cloud Run, Composer, Pub/Sub) or Snowflake.
* Strong analytical, troubleshooting, and communication skills; ability to learn quickly and collaborate in a team environment.
**Preferred Qualifications**
* Exposure to Snowflake or other cloud data warehouses (BigQuery, Redshift).
* Experience with IaC tools such as Terraform or Deployment Manager.
* Understanding of data governance, secure data handling, or enterprise RBAC models.
* Familiarity with observability tools (Stackdriver/Cloud Operations, Prometheus, etc.).
**What’s in it for you**
------------------------
At Schwab, you’re empowered to shape your future. We champion your growth through meaningful work, continuous learning, and a culture of trust and collaboration—so you can build the skills to make a lasting impact. Our Hybrid Work and Flexibility approach balances our ongoing commitment to workplace flexibility, serving our clients, and our strong belief in the value of being together in person on a regular basis.
We offer a competitive benefits package that takes care of the whole you – both today and in the future:
* 401(k) with company match and Employee stock purchase plan
* Paid time for vacation, volunteering, and 28\-day sabbatical after every 5 years of service for eligible positions
* Paid parental leave and family building benefits
* Tuition reimbursement
* Health, dental, and vision insurance</t>
        </is>
      </c>
    </row>
    <row r="10">
      <c r="A10" t="inlineStr">
        <is>
          <t>in-a850c01e64937e6c</t>
        </is>
      </c>
      <c r="B10" t="inlineStr">
        <is>
          <t>Cybersecurity Analytics Engineer</t>
        </is>
      </c>
      <c r="C10" t="inlineStr">
        <is>
          <t>Lafayette Group</t>
        </is>
      </c>
      <c r="D10" t="inlineStr">
        <is>
          <t>indeed</t>
        </is>
      </c>
      <c r="E10">
        <f>HYPERLINK("https://www.indeed.com/viewjob?jk=a850c01e64937e6c", "https://www.indeed.com/viewjob?jk=a850c01e64937e6c")</f>
        <v/>
      </c>
      <c r="F10">
        <f>HYPERLINK("https://jobs.localjobnetwork.com/j/t-cybersecurity-analytics-engineer-e-lafayette-group-inc-l-arlington,-va-jobs-j86183088.html", "https://jobs.localjobnetwork.com/j/t-cybersecurity-analytics-engineer-e-lafayette-group-inc-l-arlington,-va-jobs-j86183088.html")</f>
        <v/>
      </c>
      <c r="G10" t="inlineStr">
        <is>
          <t>Arlington, VA, US</t>
        </is>
      </c>
      <c r="H10" s="3" t="n">
        <v>46056</v>
      </c>
      <c r="I10" t="inlineStr">
        <is>
          <t>Lafayette Group is seeking experienced professionals to provide advanced consulting support for federal cybersecurity programs. The Cybersecurity Analytics Engineer is an experienced, collaborative team member who shares our passion for supporting cybersecurity, has an innate curiosity to learn, and drives to excel with a team of like\-minded colleagues in a dynamic environment. This role provides thought\-leadership, technical support, and data analytics services across a broad portfolio of cybersecurity and risk management programs. This position is ideal for candidates with a blend of experience in data extraction and transformation, data analysis, and infrastructure optimization, combined with strong consulting skills.
**Job Responsibilities**
* Design, build, and maintain modular, maintainable data pipelines for data ingestion and transformation in Python
* Develop and maintain data pipelines for analytics and reporting in Python, SQL, or Power Query
* Optimize data storage and retrieval by leveraging Paraquets columnar format using Python
* Utilize Jupyter Notebooks to accomplish tasks such as exploratory data analysis, prototyping data transformations, and validating data pipeline outputs
* Query data using Python and SQL to support ad\-hoc business requests and identify actionable insights
* Work with diverse data formats including relational databases, structured files, and unstructured data
* Analyze and manage diverse data sets to improve federal and national risk insights; understand how partner organizations receive and use information from the client to drive down cyber risk.
* Develop and deliver high\-quality products (e.g., reports, briefings, demos, presentations) for data projects, tailored to the stakeholder audience
* Provide reports that organize data analysis in a consumable format for stakeholders, including interactive data visualizations and infographics.
* Provide advice and guidance on data analysis, processing, and data cleansing activities using innovative tools and approaches to organize qualitative and quantitative data for analysis.
* Ability to take initiative and work independently while maintaining excellent communication with project leadership.
**Required Skills:**
* Bachelor’s or Masters’ degree in computer science, information systems management, mathematics, engineering, or other relevant discipline.
* 6\+ years of professional experience in business intelligence, data analytics, or similar roles.
* Advanced Python skills for building modular, maintainable ETL pipelines purely in Python
* Experience with Jupyter Notebooks
* Experience writing and reading Parquet files using Pandas and PyArrow or FastParquet
* Ability to understand and translate SQL/Postgres\-based logic into Python\-based workflows
* Ability to work with a variety of structured and unstructured data formats
* Strong grasp of data architecture and performance optimization (partitioning, compression, schema design)
* Experience collaborating with BI teams to deliver data models that meet reporting requirements
* Ability to query created data and provide ad\-hoc reporting
* Possession of excellent oral and written communication skills; demonstrated ability to clearly communicate technical concepts to both technical and non\-technical users.
**Desired Skills**
* Experience with data validation/testing frameworks
* High\-level understanding of Power BI consumption needs and data formats
* US citizenship with the ability to obtain and maintain DHS Suitability (EOD).
* Prior consulting or program support experience with DHS, CISA, or other federal cybersecurity organizations.
**Location:** Hybrid (Arlington, VA); Remote  
**Salary Range**: $80,000\-$115,000  
**Federal Contracts:** This position involves working on federal contracts that require all workers on the contract to be U.S. Citizens. Additionally, some contracts may require the ability to obtain a security clearance.  
*LGI is committed to the full inclusion of all qualified individuals. As part of this commitment, we will ensure that persons with disabilities are provided reasonable accommodations for the hiring process. If reasonable accommodation is needed, please contact* *talent@lafayettegroup.com**. This email address is for accommodation requests only. Non\-related messages will be disregarded.*  
Lafayette Group provides equal employment opportunities to all persons and prohibits employment decisions based on race, religion, color, creed, national origin, sex, age, disability, political affiliation, protected veteran status, or sexual orientation.  
Equal Opportunity Employer, Including disabled and veterans  
XJ6</t>
        </is>
      </c>
    </row>
    <row r="11">
      <c r="A11" t="inlineStr">
        <is>
          <t>in-0ceebdc8d043a123</t>
        </is>
      </c>
      <c r="B11" t="inlineStr">
        <is>
          <t>Data Engineer</t>
        </is>
      </c>
      <c r="C11" t="inlineStr">
        <is>
          <t>AEM Corporation</t>
        </is>
      </c>
      <c r="D11" t="inlineStr">
        <is>
          <t>indeed</t>
        </is>
      </c>
      <c r="E11">
        <f>HYPERLINK("https://www.indeed.com/viewjob?jk=0ceebdc8d043a123", "https://www.indeed.com/viewjob?jk=0ceebdc8d043a123")</f>
        <v/>
      </c>
      <c r="F11">
        <f>HYPERLINK("https://jobs.localjobnetwork.com/j/t-data-engineer-e-aem-corporation-l-washington,-dc-jobs-j86183843.html", "https://jobs.localjobnetwork.com/j/t-data-engineer-e-aem-corporation-l-washington,-dc-jobs-j86183843.html")</f>
        <v/>
      </c>
      <c r="G11" t="inlineStr">
        <is>
          <t>Washington, DC, US</t>
        </is>
      </c>
      <c r="H11" s="3" t="n">
        <v>46056</v>
      </c>
      <c r="I11" t="inlineStr">
        <is>
          <t>**Data Engineer**  
**Position Summary**  
Join our team as a Data Engineer and become a key contributor to building trusted, high\-quality data products for Federal clients. You will design, implement, and operate scalable data pipelines and lakehouse solutions using Microsoft Azure services including, Azure Synapse, ADLS Gen2, and Azure Functions, and Logic apps. You will collaborate closely with product owners, analysts, and stakeholders in a Scrum environment. The ideal candidate is hands\-on, curious, collaborative, comfortable asking for help, offering help, and proposing ideas that improve team velocity and value.  
**What You’ll Do**
* Design and implement secure, scalable data pipelines in Azure (Synapse Notebooks, Python, Pandas, pySpark, Synapse Pipelines, Azure Functions, Logic Apps, etc.) to ingest, profile, transform, improve data quality, and publish trusted data.
* Engineer robust lake storage on ADLS Gen2 using Parquet, Iceberg, partitioning techniques, and performance optimization techniques.
* Establish data quality controls: profiling, validation rules, reproducible transformations, and automated tests with monitoring/alerting.
* Operationalize pipelines with CI/CD, environment promotion, secrets management, and run\-time observability (e.g., Azure DevOps).
* Model and serve data for analytics/BI (e.g., Power BI), including row\-level security and refresh orchestration.
* Document design decisions, lineage, and data contracts; contribute to catalog/metadata management (e.g., Microsoft Purview).
* Collaborate within a Scrum team—participate in sprint planning, reviews, and retros—and partner with product owners/stakeholders to refine user stories.
* Continuously improve team ways of working: propose automation, standardization, and quality practices that increase throughput and reliability.
**What You’ll Bring (Required Qualifications)**
* U.S. citizen with the ability to obtain a Public Trust background investigation.
* 5\+ years of professional data engineering experience and a bachelor’s degree (or 3\+ years with a related advanced degree).
* **Strong Python (pandas, PySpark) and SQL**; experience building reproducible, testable data transformations.
* Hands\-on expertise with Azure Synapse Analytics (Notebooks/SQL/Spark) and ADLS Gen2\.
* **Production experience** with Synapse or Azure Data Factory, Functions, and Logic Apps for event\-driven orchestration.
* **Solid data architecture fundamentals** (lakehouse patterns, partitioning, schema management) and performance tuning at scale.
* **Data quality, lineage, and governance mindset**; familiarity with Microsoft Purview or equivalent catalog/lineage tooling.
* Version control (Git) and CI/CD practices (e.g., Azure DevOps) for data solutions.
* **Excellent communication skills** and a collaborative, help\-seeking/help\-giving approach in a Scrum team.
**Preferred Qualifications**
* Experience integrating with AWS data services (S3, Glue/Glue Data Catalog, Lambda) and/or cross\-cloud data patterns.
* **Experience enabling BI/analytics** (Power BI, model design, RLS) and supporting analysts with performant datasets.
* **Experience building observability** for data systems (usage/cost telemetry, data SLAs, pipeline health dashboards).
* **Familiarity with MDM** **and reference data** concepts and enterprise governance.
* **Relevant certifications:** Microsoft Azure Data Engineer (DP\-203\), Azure Enterprise Data Analyst, or AWS data certifications.
* **E****xisting Federal** **G****overnment Clearance.**
**How We Work**
* **Scrum\-aligned:** contribute to clear user stories, sizing, and acceptance criteria; continually update documentation for work items in progress; participate actively in planning, reviews, and retros.
* **Team\-first:** seek help early, offer help freely, and elevate team standards through code reviews, pairing, and documentation.
* **Outcome\-driven:** measure impact (performance, quality, cycle time) and iterate on process and tooling to increase value delivery.
AEM and its affiliates are equal opportunity employers, and all qualified applicants will receive consideration for employment without regard to race, color, religion, sex, national origin, sexual orientation, gender identity, disability or protected veteran status, or any other characteristic protected by law. – AA M/F/Vet/Disability  
Federal law requires AEM and its affiliates to verify identity and employment eligibility with information from your Form I\-9\. The E\-Verify system is used.  
The California Consumer Privacy Act of 2018 (“CCPA”) imposes specific obligations on businesses processing personal information of California residents. Pursuant to the CCPA, AEM and its affiliates are required to provide applicants who are California residents a notice, used at or before the point of collection of such personal information, which identifies the categories of personal information that may be collected and why AEM and its affiliates collect such information. Applicants can find information about AEM’s privacy policy and CCPA here.  
AEM is an equal opportunity employer and all qualified applicants will receive consideration for employment without regard to race, color, religion, sex, national origin, disability status, protected veteran status, or any other characteristic protected by law.  
XJ6</t>
        </is>
      </c>
    </row>
    <row r="12">
      <c r="A12" t="inlineStr">
        <is>
          <t>in-ed30af338900081d</t>
        </is>
      </c>
      <c r="B12" t="inlineStr">
        <is>
          <t>Data Engineering Senior Specialist</t>
        </is>
      </c>
      <c r="C12" t="inlineStr">
        <is>
          <t>Southern California Edison</t>
        </is>
      </c>
      <c r="D12" t="inlineStr">
        <is>
          <t>indeed</t>
        </is>
      </c>
      <c r="E12">
        <f>HYPERLINK("https://www.indeed.com/viewjob?jk=ed30af338900081d", "https://www.indeed.com/viewjob?jk=ed30af338900081d")</f>
        <v/>
      </c>
      <c r="F12">
        <f>HYPERLINK("https://SouthernCaliforniaEdison.contacthr.com/150919551", "https://SouthernCaliforniaEdison.contacthr.com/150919551")</f>
        <v/>
      </c>
      <c r="G12" t="inlineStr">
        <is>
          <t>Pomona, CA, US</t>
        </is>
      </c>
      <c r="H12" s="3" t="n">
        <v>46057</v>
      </c>
      <c r="I12" t="inlineStr">
        <is>
          <t>**Join the Clean Energy Revolution**
Become a **Data Engineering, Senior Specialist**, at Southern California Edison (SCE) and build a better tomorrow. In this job, you will step into a high\-impact role where you’ll shine a light on billion\-dollar Capital portfolios across Distribution, Transmission, and Substation by transforming system data into comprehensive datamarts that power meaningful and decision\-oriented dashboards. You’ll collaborate directly with influential stakeholders along the end\-to\-end project value chain, integrating critical data sources that will directly empower portfolio management teams to make informed decisions on tradeoffs that will drive SCE’s mission forward.
As a **Data Engineering, Senior Specialist**, your work will help power our planet, reduce carbon emissions and create cleaner air for everyone. Are you ready to take on the challenge to help us build the future?
**Responsibilities**
--------------------
* Optimizes performance and scalability of critical data pipelines.
* Develops reusable and parameterized pipeline components and templates. Performs analysis and support to Data Scientists for model development.
* Designs pipeline architectures and ETL processes using big data technologies to support business initiatives.
* Collaborates with stakeholders to elicit pipeline requirements and identify improvement opportunities. Utilizes data ingestion capabilities to ingest and preprocess data from various sources, designed and
* Optimized.
* Troubleshoots and resolves issues with production pipelines.
* Ensures data pipeline continuity and integrity through testing and change management. Contributes to data dictionary and data mapping from sources to the target from SCIM Data Model Design and develop Data\-as\-a\-Service solutions to improve data consumption.
* A material job duty of all positions within the Company is ensuring the protection of all its physical, ﬁnancial and cybersecurity assets, and properly accessing and managing private customer data, proprietary information, conﬁdential medical records, and other types of highly sensitive information and data with the highest standards of conduct and integrity.
**Minimum Qualifications**
--------------------------
* Bachelor's Degree in Computer Science, Information Systems, Engineering, Statistics/ Mathematics or equivalent STEM major
* Five or more years of experience in data processing large data sets, hands\-on with data transformation, aggregation, and ﬁltering.
 **Preferred Qualifications**
* Experience in writing queries using SQL.
* Experience in creating dashboards and visual reporting using Power BI, SAS Viya, or Palantir.
* Experience using Python and/or R for data manipulation and integration.
* Experience with SAP HANA, SAS EG, Palantir.
* Knowledge of relational database systems and concepts.
* Experience in creating ETL workflows.
* Experience in process improvement and automation.
* Exposure to OLAP systems such as Snowflake or GCP.
 **Additional Information**
* This position’s work mode is **hybrid.** The employee will report to an SCE facility for a set number of days with the option to work remotely on the remaining days. Unless otherwise noted, employees are required to work and reside in the state of California. Further details of this work mode will be discussed at the interview stage. The work mode can be changed based on business needs.
* Visit our Candidate Resource page to get meaningful information related to benefits, perks, resources, testing information, hiring process, and more!
* Qualified applications with arrest or conviction records will be considered for employment in accordance with the Los Angeles County Fair Chance Ordinance for Employers and the California Fair Chance Act.
* The primary work location for this position is Pomona, CA. (PIV3 building). However, the successful candidate may also be asked to work for an extended amount of time at (alternate work location).
 **About Southern California Edison**
The people at SCE don't just keep the lights on. Our mission is so much bigger. We’re fueling the kind of innovation that’s changing an entire industry, and quite possibly the planet. Join us and create a future with cleaner energy, while providing our customers with the safety and reliability they demand. At SCE, you’ll have a chance to grow personally and professionally, making a real impact in Southern California and around the world.
Southern California Edison is a proud Equal Opportunity Employer, including disability and protected veteran status.
We are committed to ensuring that individuals with disabilities are provided reasonable accommodation to participate in the job application or interview process, to perform essential job functions, and to receive other benefits and privileges of employment. Please contact us to request accommodations at (833\) 343\-0727\.</t>
        </is>
      </c>
    </row>
    <row r="13">
      <c r="A13" t="inlineStr">
        <is>
          <t>in-2fc76f08218d2e25</t>
        </is>
      </c>
      <c r="B13" t="inlineStr">
        <is>
          <t>Data Engineering Senior Specialist</t>
        </is>
      </c>
      <c r="C13" t="inlineStr">
        <is>
          <t>Southern California Edison</t>
        </is>
      </c>
      <c r="D13" t="inlineStr">
        <is>
          <t>indeed</t>
        </is>
      </c>
      <c r="E13">
        <f>HYPERLINK("https://www.indeed.com/viewjob?jk=2fc76f08218d2e25", "https://www.indeed.com/viewjob?jk=2fc76f08218d2e25")</f>
        <v/>
      </c>
      <c r="F13">
        <f>HYPERLINK("https://SouthernCaliforniaEdison.contacthr.com/150919579", "https://SouthernCaliforniaEdison.contacthr.com/150919579")</f>
        <v/>
      </c>
      <c r="G13" t="inlineStr">
        <is>
          <t>Pomona, CA, US</t>
        </is>
      </c>
      <c r="H13" s="3" t="n">
        <v>46057</v>
      </c>
      <c r="I13" t="inlineStr">
        <is>
          <t>**Join the Clean Energy Revolution**
Become a **Data Engineering, Senior Specialist**, at Southern California Edison (SCE) and build a better tomorrow. In this job, you will step into a high\-impact role where you’ll shine a light on billion\-dollar Capital portfolios across Distribution, Transmission, and Substation by transforming system data into comprehensive datamarts that power meaningful and decision\-oriented dashboards. You’ll collaborate directly with influential stakeholders along the end\-to\-end project value chain, integrating critical data sources that will directly empower portfolio management teams to make informed decisions on tradeoffs that will drive SCE’s mission forward.
As a **Data Engineering, Senior Specialist**, your work will help power our planet, reduce carbon emissions and create cleaner air for everyone. Are you ready to take on the challenge to help us build the future?
**Responsibilities**
--------------------
* Optimizes performance and scalability of critical data pipelines.
* Develops reusable and parameterized pipeline components and templates. Performs analysis and support to Data Scientists for model development.
* Designs pipeline architectures and ETL processes using big data technologies to support business initiatives.
* Collaborates with stakeholders to elicit pipeline requirements and identify improvement opportunities. Utilizes data ingestion capabilities to ingest and preprocess data from various sources, designed and
* Optimized.
* Troubleshoots and resolves issues with production pipelines.
* Ensures data pipeline continuity and integrity through testing and change management. Contributes to data dictionary and data mapping from sources to the target from SCIM Data Model Design and develop Data\-as\-a\-Service solutions to improve data consumption.
* A material job duty of all positions within the Company is ensuring the protection of all its physical, ﬁnancial and cybersecurity assets, and properly accessing and managing private customer data, proprietary information, conﬁdential medical records, and other types of highly sensitive information and data with the highest standards of conduct and integrity.
**Minimum Qualifications**
--------------------------
* Bachelor's Degree in Computer Science, Information Systems, Engineering, Statistics/ Mathematics or equivalent STEM major
* Five or more years of experience in data processing large data sets, hands\-on with data transformation, aggregation, and ﬁltering.
 **P****referred Qualifications**
* Experience in writing queries using SQL.
* Experience in creating dashboards and visual reporting using Power BI, SAS Viya, or Palantir.
* Experience using Python and/or R for data manipulation and integration.
* Experience with SAP HANA, SAS EG, Palantir.
* Knowledge of relational database systems and concepts.
* Experience in creating ETL workflows.
* Experience in process improvement and automation.
* Exposure to OLAP systems such as Snowflake or GCP.
 **Additional Information**
* This position’s work mode is **hybrid.** The employee will report to an SCE facility for a set number of days with the option to work remotely on the remaining days. Unless otherwise noted, employees are required to work and reside in the state of California. Further details of this work mode will be discussed at the interview stage. The work mode can be changed based on business needs.
* Visit our Candidate Resource page to get meaningful information related to benefits, perks, resources, testing information, hiring process, and more!
* Qualified applications with arrest or conviction records will be considered for employment in accordance with the Los Angeles County Fair Chance Ordinance for Employers and the California Fair Chance Act.
* The primary work location for this position is Pomona, CA. (PIV3 building). However, the successful candidate may also be asked to work for an extended amount of time at (alternate work location).
 **About Southern California Edison**
The people at SCE don't just keep the lights on. Our mission is so much bigger. We’re fueling the kind of innovation that’s changing an entire industry, and quite possibly the planet. Join us and create a future with cleaner energy, while providing our customers with the safety and reliability they demand. At SCE, you’ll have a chance to grow personally and professionally, making a real impact in Southern California and around the world.
Southern California Edison is a proud Equal Opportunity Employer, including disability and protected veteran status.
We are committed to ensuring that individuals with disabilities are provided reasonable accommodation to participate in the job application or interview process, to perform essential job functions, and to receive other benefits and privileges of employment. Please contact us to request accommodations at (833\) 343\-0727\.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1"/>
  <sheetViews>
    <sheetView workbookViewId="0">
      <selection activeCell="A1" sqref="A1"/>
    </sheetView>
  </sheetViews>
  <sheetFormatPr baseColWidth="8" defaultRowHeight="15"/>
  <sheetData>
    <row r="1">
      <c r="A1" s="1" t="inlineStr">
        <is>
          <t>job id</t>
        </is>
      </c>
      <c r="B1" s="1" t="inlineStr">
        <is>
          <t>title</t>
        </is>
      </c>
      <c r="C1" s="1" t="inlineStr">
        <is>
          <t>company</t>
        </is>
      </c>
      <c r="D1" s="1" t="inlineStr">
        <is>
          <t>site</t>
        </is>
      </c>
      <c r="E1" s="1" t="inlineStr">
        <is>
          <t>job_url</t>
        </is>
      </c>
      <c r="F1" s="1" t="inlineStr">
        <is>
          <t>job_url_direct</t>
        </is>
      </c>
      <c r="G1" s="1" t="inlineStr">
        <is>
          <t>location</t>
        </is>
      </c>
      <c r="H1" s="1" t="inlineStr">
        <is>
          <t>date posted</t>
        </is>
      </c>
      <c r="I1" s="1" t="inlineStr">
        <is>
          <t>description</t>
        </is>
      </c>
    </row>
    <row r="2">
      <c r="A2" t="inlineStr">
        <is>
          <t>li-4314930088</t>
        </is>
      </c>
      <c r="B2" t="inlineStr">
        <is>
          <t>Analytics Engineer 4 - Commerce Core</t>
        </is>
      </c>
      <c r="C2" t="inlineStr">
        <is>
          <t>Netflix</t>
        </is>
      </c>
      <c r="D2" t="inlineStr">
        <is>
          <t>linkedin</t>
        </is>
      </c>
      <c r="E2" t="inlineStr"/>
      <c r="F2" t="inlineStr"/>
      <c r="G2" t="inlineStr">
        <is>
          <t>Los Gatos, CA</t>
        </is>
      </c>
      <c r="H2" t="inlineStr"/>
      <c r="I2" t="inlineStr">
        <is>
          <t>At Netflix, our mission is to entertain the world. Together, we are writing the next episode \- pushing the boundaries of storytelling, global fandom and making the unimaginable a reality. We are a dream team obsessed with the uncomfortable excitement of discovering what happens when you merge creativity, intuition and cutting\-edge technology. Come be a part of what’s next.
 As Netflix's business grows, it becomes increasingly important to support a wide set of business stakeholders with the right data, metrics, and analytic tools. Our Commerce Core team within Finance Data Science and Engineering ensures we accurately measure Netflix’s business success, enabling our partners to access key metrics and leverage data efficiently to deepen their understanding of the business and optimize our business around the globe.
 We are searching for an Analytics Engineer who is passionate about building scalable analytics solutions, developing metrics that drive executive decision\-making, and experimenting with modern technologies. You will collaborate with cross\-functional partners including Data Engineering, Finance, Product, and Engineering teams, to develop insights and tools that support critical business decisions and operational excellence at Netflix.
**In This Role, You Will**
* Partner with Data Engineers to design and implement robust data models and pipelines that enable richer, faster, and more accurate analysis.
* Design, build, and maintain scalable, self\-service analytics tools and data products to drive adoption across the business.
* Develop, define, and maintain key metrics and dashboards for executive and business\-critical reporting.
* Proactively identify gaps and opportunities for innovation in analytics engineering, and drive initiatives to address them.
* Experiment with and evaluate new technologies, including Generative AI solutions, to improve analytics, reporting, and data accessibility.
* Translate complex data insights and technical concepts into clear, actionable recommendations for technical and non\-technical stakeholders.
 We’d love to hear from you if you have:
* A degree in a quantitative field (e.g., mathematics, statistics, computer science, engineering, or similar), and 3\+ years of experience in data engineering, data science, analytics engineering, or a similar data field.
* Proficient in PySpark or Scala Spark, with experience building and scaling data models, pipelines, and analytics tools.
* Advanced SQL skills, with experience working in complex data environments.
* Experience with scripting languages, particularly Python.
* Familiarity with modern data technologies such as Trino, Spark, and Snowflake.
* Understanding of data governance, data lineage, and cataloging, and their importance for data quality and automation.
* Experience with data visualization platforms (e.g., Tableau, Looker, Plotly) and a strong ability to communicate data\-driven stories.
* Familiarity with Generative AI/ML concepts and a passion for experimenting with new technologies.
* Excellent verbal and written communication skills, with the ability to articulate metric definitions, data insights, and project roadmaps to diverse audiences.
* You relate to and embody many aspects of Netflix's Culture. You love working independently, are comfortable with ambiguity, and have a passion for continuous learning.
* Experience in e\-commerce or subscription\-oriented businesses is a plus.
 Generally, our compensation structure consists solely of an annual salary; we do not have bonuses. You choose each year how much of your compensation you want in salary versus stock options. To determine your personal top of market compensation, we rely on market indicators and consider your specific job family, background, skills, and experience to determine your compensation in the market range. The range for this role is $250,000\.00 \- $421,000\.00\.
 Netflix provides comprehensive benefits including Health Plans, Mental Health support, a 401(k) Retirement Plan with employer match, Stock Option Program, Disability Programs, Health Savings and Flexible Spending Accounts, Family\-forming benefits, and Life and Serious Injury Benefits. We also offer paid leave of absence programs. Full\-time hourly employees accrue 35 days annually for paid time off to be used for vacation, holidays, and sick paid time off. Full\-time salaried employees are immediately entitled to flexible time off. See more details about our Benefits here.
 Netflix is a unique culture and environment. Learn more here.
 Inclusion is a Netflix value and we strive to host a meaningful interview experience for all candidates. If you want an accommodation/adjustment for a disability or any other reason during the hiring process, please send a request to your recruiting partner.
 We are an equal\-opportunity employer and celebrate diversity, recognizing that diversity builds stronger teams. We approach diversity and inclusion seriously and thoughtfully. We do not discriminate on the basis of race, religion, color, ancestry, national origin, caste, sex, sexual orientation, gender, gender identity or expression, age, disability, medical condition, pregnancy, genetic makeup, marital status, or military service.</t>
        </is>
      </c>
    </row>
    <row r="3">
      <c r="A3" t="inlineStr">
        <is>
          <t>li-4353048419</t>
        </is>
      </c>
      <c r="B3" t="inlineStr">
        <is>
          <t>Data Engineer, Product Analytics</t>
        </is>
      </c>
      <c r="C3" t="inlineStr">
        <is>
          <t>Meta</t>
        </is>
      </c>
      <c r="D3" t="inlineStr">
        <is>
          <t>linkedin</t>
        </is>
      </c>
      <c r="E3" t="inlineStr"/>
      <c r="F3" t="inlineStr"/>
      <c r="G3" t="inlineStr">
        <is>
          <t>New York, NY</t>
        </is>
      </c>
      <c r="H3" t="inlineStr"/>
      <c r="I3" t="inlineStr">
        <is>
          <t>As a Data Engineer at Meta, you will shape the future of people\-facing and business\-facing products we build across our entire family of applications (Facebook, Instagram, Messenger, WhatsApp, Reality Labs, Threads). Your technical skills and analytical mindset will be utilized designing and building some of the world's most extensive data sets, helping to craft experiences for billions of people and hundreds of millions of businesses worldwide.In this role, you will collaborate with software engineering, data science, and product management teams to design/build scalable data solutions across Meta to optimize growth, strategy, and user experience for our 3 billion plus users, as well as our internal employee community.You will be at the forefront of identifying and solving some of the most interesting data challenges at a scale few companies can match. By joining Meta, you will become part of a world\-class data engineering community dedicated to skill development and career growth in data engineering and beyond.Data Engineering: You will guide teams by building optimal data artifacts (including datasets and visualizations) to address key questions. You will refine our systems, design logging solutions, and create scalable data models. Ensuring data security and quality, and with a strong focus on efficiency, you will suggest architecture and development approaches and data management standards to address complex analytical problems.Product leadership: You will use data to shape product development, identify new opportunities, and tackle upcoming challenges. You'll ensure our products add value for users and businesses, by prioritizing projects, and driving innovative solutions to respond to challenges or opportunities.Communication and influence: You won't simply present data, but tell data\-driven stories. You will convince and influence your partners using clear insights and recommendations. You will build credibility through structure and clarity, and be a trusted strategic partner.
 Data Engineer, Product Analytics Responsibilities:
* Manage and execute data warehouse plans for a product or a group of products to solve well\-scoped problems
* Identify the data needed for a business problem and implement logging required to ensure availability of data, while working with data infrastructure to triage issues and resolve
* Collaborate with engineers, product managers and data scientists to understand data needs, representing key data insights in a meaningful way
* Build data expertise and leverage data controls to ensure privacy, security, compliance, data quality, and operations for allocated areas of ownership
* Design, build and launch new data models and visualizations in production, leveraging common development toolkits
* Independently design, build and launch new data extraction, transformation and loading processes in production, mentoring others around efficient queries
* Support existing processes running in production and implement optimized solutions with limited guidance
* Define and manage Service Level Agreements for data sets in allocated areas of ownership
 Minimum Qualifications:
* Bachelor's degree in Computer Science, Computer Engineering, relevant technical field, or equivalent practical experience
* 2\+ years of experience where the primary responsibility involves working with data. This could include roles such as data analyst, data scientist, data engineer, or similar positions
* 2\+ years of experience with SQL, ETL, data modeling, and at least one programming language (e.g., Python, C\+\+, C\#, Scala or others.)
 Preferred Qualifications:
* Master's or Ph.D degree in a STEM field
 About Meta:
 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
 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
 Meta is committed to providing reasonable accommodations for candidates with disabilities in our recruiting process. If you need any assistance or accommodations due to a disability, please let us know at accommodations\-ext@meta.com.
 $114,000/year to $173,000/year \+ bonus \+ equity \+ benefits
 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Learn more about benefits at Meta.</t>
        </is>
      </c>
    </row>
    <row r="4">
      <c r="A4" t="inlineStr">
        <is>
          <t>li-4335810007</t>
        </is>
      </c>
      <c r="B4" t="inlineStr">
        <is>
          <t>Analytics Engineer</t>
        </is>
      </c>
      <c r="C4" t="inlineStr">
        <is>
          <t>Verkada</t>
        </is>
      </c>
      <c r="D4" t="inlineStr">
        <is>
          <t>linkedin</t>
        </is>
      </c>
      <c r="E4" t="inlineStr"/>
      <c r="F4" t="inlineStr"/>
      <c r="G4" t="inlineStr">
        <is>
          <t>San Mateo, CA</t>
        </is>
      </c>
      <c r="H4" t="inlineStr"/>
      <c r="I4" t="inlineStr">
        <is>
          <t>**Who We Are**
 Verkada is transforming how organizations protect their people and places with an integrated, AI\-powered platform. A leader in cloud physical security, Verkada helps organizations strengthen safety and efficiency through one connected software platform that includes solutions for video security, access control, air quality sensors, alarms, intercoms, and visitor management.
 Over 30,000 organizations worldwide, including more than 100 companies in the Fortune 500, trust Verkada as their physical security layer for easier management, intelligent control, and scalable deployments. Founded in 2016, Verkada has expanded rapidly with 15 offices and 2,200\+ full\-time employees.
**About The Role**
 Verkada’s Growth Ops team is looking for a talented individual to play an integral role in leveraging our data and technology to help our marketing team run better, faster, and smarter. You will have the opportunity to play a vital role in both creating and driving world\-class insights that will drive the next phase of growth here at Verkada.
 Successful Marketing Analytics leaders at Verkada are fluent in SQL and data modeling, understand the principles of effective data visualization, and know how to contextualize their work within the business in order to drive growth. This role reports to our Sr. Manager, Analytics Engineering. We are committed to a thriving in\-office culture. This role requires that you be on\-site at our office in San Mateo, CA 5 days a week.
**What You'll Do**
* Own the full analytics workflow, from transforming raw data in dbt to building dashboards in Looker and presenting findings that influence strategy.
* Collaborate with stakeholders to design metrics that align with company objectives and inform decision\-making.
* Build and maintain scalable, well\-documented data models in dbt and Looker/LookML that power reporting and analysis across the org.
* Help shape data governance and foster data literacy, empowering stakeholders to self\-serve with trustworthy and accurate data.
* Deliver high\-impact, data\-driven insights and recommendations; collaborate with leadership to influence key decisions and optimize the growth funnel
**What You Bring**
* 3–5 years of experience in data analytics or data science.
* Advanced SQL proficiency and experience working with modern databases (BigQuery, Snowflake, Redshift)
* Experience building dashboards with data visualization tools (Looker, Tableau, Power BI).
* Demonstrated track record of success in a high\-growth, self\-directed business environment.
* Strong analytical mindset; enjoys solving complex and ambiguous problems.
* Excellent verbal and written communication skills, with ability to translate complex data into clear business narratives.
* Must be willing and able to commute 5 days in office.
**Nice to Have**
* Direct relevant experience in Marketing Analytics or a similar function (Growth Analytics, Data Science, Product Analytics, etc.)
* Experience with data modeling, ETL/ELT, and data warehousing.
* Experience with dbt
* Experience with Looker/LookML
* Proficiency with Python, R, and statistical analysis.
* Familiarity with business systems: Salesforce, Marketo, Outreach, or similar.
**Employee Benefits**
 Verkada is committed to fostering a workplace environment that prioritizes the holistic health and wellbeing of our employees and their families by offering comprehensive wellness perks, benefits, and resources. Our benefits and perks programs include, but are not limited to:
* Healthcare programs that can be tailored to meet the personal health and financial well\-being needs \- Premiums are 100% covered for the employee under at least one plan and 80% for family premiums under all plans Nationwide medical, vision and dental coverage
* Health Saving Account (HSA) with annual employer contributions and Flexible Spending Account (FSA) with tax saving options
* Expanded mental health support
* Paid parental leave policy \&amp; fertility benefits
* Time off to relax and recharge through our paid holidays, firmwide extended holidays, flexible PTO and personal sick time
* Professional development stipend
* Fertility Stipend
* Wellness/fitness benefits
* Healthy lunches provided daily
* Commuter benefits
 Additional Information
* You must be independently authorized to work in the U.S. We are unable to sponsor or take over sponsorship of an employment visa for this role, at this time.
**Annual Pay Range**
 At Verkada, we want to attract and retain the best employees, and compensate them in a way that appropriately and fairly values their individual contribution to the company. With that in mind, we carefully consider a number of factors to determine the appropriate starting pay for an employee, including their primary work location and an assessment of a candidate's skills and experience, as well as market demands and internal parity. A Verkada employee may be eligible for additional forms of compensation, depending on their role, including sales incentives, discretionary bonuses, and/or equity in the company in the form of restricted stock units (RSUs)
 Below is the annual on\-target earnings (OTE) range for full\-time employees for this position, comprised of base compensation and commissions (if applicable).
 Estimated Annual Pay Range
 $130,000—$180,000 USD
**Verkada Is An Equal Opportunity Employer**
 As an equal opportunity employer, Verkada is committed to providing employment opportunities to all individuals. All applicants for positions at Verkada will be treated without regard to race, color, ethnicity, religion, sex, gender, gender identity and expression, sexual orientation, national origin, disability, age, marital status, veteran status, pregnancy, or any other basis prohibited by applicable law.
*Your application will be handled in accordance with our Candidate Privacy Policy.*</t>
        </is>
      </c>
    </row>
    <row r="5">
      <c r="A5" t="inlineStr">
        <is>
          <t>li-4353088437</t>
        </is>
      </c>
      <c r="B5" t="inlineStr">
        <is>
          <t>Data Engineer, Product Analytics</t>
        </is>
      </c>
      <c r="C5" t="inlineStr">
        <is>
          <t>Meta</t>
        </is>
      </c>
      <c r="D5" t="inlineStr">
        <is>
          <t>linkedin</t>
        </is>
      </c>
      <c r="E5" t="inlineStr"/>
      <c r="F5" t="inlineStr"/>
      <c r="G5" t="inlineStr">
        <is>
          <t>Burlingame, CA</t>
        </is>
      </c>
      <c r="H5" t="inlineStr"/>
      <c r="I5" t="inlineStr">
        <is>
          <t>As a Data Engineer at Meta, you will shape the future of people\-facing and business\-facing products we build across our entire family of applications (Facebook, Instagram, Messenger, WhatsApp, Reality Labs, Threads). Your technical skills and analytical mindset will be utilized designing and building some of the world's most extensive data sets, helping to craft experiences for billions of people and hundreds of millions of businesses worldwide.In this role, you will collaborate with software engineering, data science, and product management teams to design/build scalable data solutions across Meta to optimize growth, strategy, and user experience for our 3 billion plus users, as well as our internal employee community.You will be at the forefront of identifying and solving some of the most interesting data challenges at a scale few companies can match. By joining Meta, you will become part of a world\-class data engineering community dedicated to skill development and career growth in data engineering and beyond.Data Engineering: You will guide teams by building optimal data artifacts (including datasets and visualizations) to address key questions. You will refine our systems, design logging solutions, and create scalable data models. Ensuring data security and quality, and with a strong focus on efficiency, you will suggest architecture and development approaches and data management standards to address complex analytical problems.Product leadership: You will use data to shape product development, identify new opportunities, and tackle upcoming challenges. You'll ensure our products add value for users and businesses, by prioritizing projects, and driving innovative solutions to respond to challenges or opportunities.Communication and influence: You won't simply present data, but tell data\-driven stories. You will convince and influence your partners using clear insights and recommendations. You will build credibility through structure and clarity, and be a trusted strategic partner.
 Data Engineer, Product Analytics Responsibilities:
* Manage and execute data warehouse plans for a product or a group of products to solve well\-scoped problems
* Identify the data needed for a business problem and implement logging required to ensure availability of data, while working with data infrastructure to triage issues and resolve
* Collaborate with engineers, product managers and data scientists to understand data needs, representing key data insights in a meaningful way
* Build data expertise and leverage data controls to ensure privacy, security, compliance, data quality, and operations for allocated areas of ownership
* Design, build and launch new data models and visualizations in production, leveraging common development toolkits
* Independently design, build and launch new data extraction, transformation and loading processes in production, mentoring others around efficient queries
* Support existing processes running in production and implement optimized solutions with limited guidance
* Define and manage Service Level Agreements for data sets in allocated areas of ownership
 Minimum Qualifications:
* Bachelor's degree in Computer Science, Computer Engineering, relevant technical field, or equivalent practical experience
* 2\+ years of experience where the primary responsibility involves working with data. This could include roles such as data analyst, data scientist, data engineer, or similar positions
* 2\+ years of experience with SQL, ETL, data modeling, and at least one programming language (e.g., Python, C\+\+, C\#, Scala or others.)
 Preferred Qualifications:
* Master's or Ph.D degree in a STEM field
 About Meta:
 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
 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
 Meta is committed to providing reasonable accommodations for candidates with disabilities in our recruiting process. If you need any assistance or accommodations due to a disability, please let us know at accommodations\-ext@meta.com.
 $114,000/year to $173,000/year \+ bonus \+ equity \+ benefits
 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Learn more about benefits at Meta.</t>
        </is>
      </c>
    </row>
    <row r="6">
      <c r="A6" t="inlineStr">
        <is>
          <t>li-4353260839</t>
        </is>
      </c>
      <c r="B6" t="inlineStr">
        <is>
          <t>Data Engineer, Product Analytics</t>
        </is>
      </c>
      <c r="C6" t="inlineStr">
        <is>
          <t>Meta</t>
        </is>
      </c>
      <c r="D6" t="inlineStr">
        <is>
          <t>linkedin</t>
        </is>
      </c>
      <c r="E6" t="inlineStr"/>
      <c r="F6" t="inlineStr"/>
      <c r="G6" t="inlineStr">
        <is>
          <t>Menlo Park, CA</t>
        </is>
      </c>
      <c r="H6" t="inlineStr"/>
      <c r="I6" t="inlineStr">
        <is>
          <t>As a Data Engineer at Meta, you will shape the future of people\-facing and business\-facing products we build across our entire family of applications (Facebook, Instagram, Messenger, WhatsApp, Reality Labs, Threads). Your technical skills and analytical mindset will be utilized designing and building some of the world's most extensive data sets, helping to craft experiences for billions of people and hundreds of millions of businesses worldwide.In this role, you will collaborate with software engineering, data science, and product management teams to design/build scalable data solutions across Meta to optimize growth, strategy, and user experience for our 3 billion plus users, as well as our internal employee community.You will be at the forefront of identifying and solving some of the most interesting data challenges at a scale few companies can match. By joining Meta, you will become part of a world\-class data engineering community dedicated to skill development and career growth in data engineering and beyond.Data Engineering: You will guide teams by building optimal data artifacts (including datasets and visualizations) to address key questions. You will refine our systems, design logging solutions, and create scalable data models. Ensuring data security and quality, and with a strong focus on efficiency, you will suggest architecture and development approaches and data management standards to address complex analytical problems.Product leadership: You will use data to shape product development, identify new opportunities, and tackle upcoming challenges. You'll ensure our products add value for users and businesses, by prioritizing projects, and driving innovative solutions to respond to challenges or opportunities.Communication and influence: You won't simply present data, but tell data\-driven stories. You will convince and influence your partners using clear insights and recommendations. You will build credibility through structure and clarity, and be a trusted strategic partner.
 Data Engineer, Product Analytics Responsibilities:
* Manage and execute data warehouse plans for a product or a group of products to solve well\-scoped problems
* Identify the data needed for a business problem and implement logging required to ensure availability of data, while working with data infrastructure to triage issues and resolve
* Collaborate with engineers, product managers and data scientists to understand data needs, representing key data insights in a meaningful way
* Build data expertise and leverage data controls to ensure privacy, security, compliance, data quality, and operations for allocated areas of ownership
* Design, build and launch new data models and visualizations in production, leveraging common development toolkits
* Independently design, build and launch new data extraction, transformation and loading processes in production, mentoring others around efficient queries
* Support existing processes running in production and implement optimized solutions with limited guidance
* Define and manage Service Level Agreements for data sets in allocated areas of ownership
 Minimum Qualifications:
* Bachelor's degree in Computer Science, Computer Engineering, relevant technical field, or equivalent practical experience
* 2\+ years of experience where the primary responsibility involves working with data. This could include roles such as data analyst, data scientist, data engineer, or similar positions
* 2\+ years of experience with SQL, ETL, data modeling, and at least one programming language (e.g., Python, C\+\+, C\#, Scala or others.)
 Preferred Qualifications:
* Master's or Ph.D degree in a STEM field
 About Meta:
 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
 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
 Meta is committed to providing reasonable accommodations for candidates with disabilities in our recruiting process. If you need any assistance or accommodations due to a disability, please let us know at accommodations\-ext@meta.com.
 $114,000/year to $173,000/year \+ bonus \+ equity \+ benefits
 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Learn more about benefits at Meta.</t>
        </is>
      </c>
    </row>
    <row r="7">
      <c r="A7" t="inlineStr">
        <is>
          <t>li-4369463725</t>
        </is>
      </c>
      <c r="B7" t="inlineStr">
        <is>
          <t>Data Engineer</t>
        </is>
      </c>
      <c r="C7" t="inlineStr">
        <is>
          <t>Accelerant</t>
        </is>
      </c>
      <c r="D7" t="inlineStr">
        <is>
          <t>linkedin</t>
        </is>
      </c>
      <c r="E7" t="inlineStr"/>
      <c r="F7" t="inlineStr"/>
      <c r="G7" t="inlineStr"/>
      <c r="H7" t="inlineStr"/>
      <c r="I7" t="inlineStr">
        <is>
          <t>Data Engineer
 Please note: this role is remote but candidates need to be on Eastern timezone.
 Job Description
 At Accelerant, we're not just keeping pace with technological advancements, we're leading the charge. As we refine and expand our operations, we're looking for a forward\-thinking Data Engineer to join our dynamic team.
 As a Data Engineer, you will take on a central role in constructing and optimizing our robust data platform. This platform is at the heart of our operations\-it drives our SaaS platform, underpins our internal analytics, and fuels our operational systems.
 In this role, you'll have the unique opportunity to design and build solutions that don't just deliver insights but lay the foundation for Accelerant's success in the digital landscape. Whether it's shaping unique selling propositions or pushing the boundaries of what our technology can do, your work will influence every corner of our organization.
 Key Responsibilities
* Analyse and ingest new datasets from varied sources
* Design, build, and support cloud infrastructure
* Design, build, and support AI and ML processes and infrastructure
* Design and build modern, metadata driven data pipelines and data streams
* Design and build data service APIs
* Transform and cleanse complex datasets
* Analyse current business practices, processes and procedures
* Implement effective metrics and monitoring processes
* A commitment to learning and sharing knowledge
 Required Skills/Experience
* 2 or more years' experience working as a Data Engineer
* Experience of developing in AWS
* Snowflake
* SQL
* Python
* Experience with DataOps methodologies, tools, and processes.
 Desirable Skills
* dbt
* Experience handling structured and unstructured datasets
* Experience in AI and Machine Learning
* Experienced in real\-time and batch mode data ingestion
* Experience in Data Warehouse development
* General P\&amp;C Insurance business knowledge</t>
        </is>
      </c>
    </row>
    <row r="8">
      <c r="A8" t="inlineStr">
        <is>
          <t>li-4353138471</t>
        </is>
      </c>
      <c r="B8" t="inlineStr">
        <is>
          <t>Data Engineer, Product Analytics</t>
        </is>
      </c>
      <c r="C8" t="inlineStr">
        <is>
          <t>Meta</t>
        </is>
      </c>
      <c r="D8" t="inlineStr">
        <is>
          <t>linkedin</t>
        </is>
      </c>
      <c r="E8" t="inlineStr"/>
      <c r="F8" t="inlineStr"/>
      <c r="G8" t="inlineStr">
        <is>
          <t>Bellevue, WA</t>
        </is>
      </c>
      <c r="H8" t="inlineStr"/>
      <c r="I8" t="inlineStr">
        <is>
          <t>As a Data Engineer at Meta, you will shape the future of people\-facing and business\-facing products we build across our entire family of applications (Facebook, Instagram, Messenger, WhatsApp, Reality Labs, Threads). Your technical skills and analytical mindset will be utilized designing and building some of the world's most extensive data sets, helping to craft experiences for billions of people and hundreds of millions of businesses worldwide.In this role, you will collaborate with software engineering, data science, and product management teams to design/build scalable data solutions across Meta to optimize growth, strategy, and user experience for our 3 billion plus users, as well as our internal employee community.You will be at the forefront of identifying and solving some of the most interesting data challenges at a scale few companies can match. By joining Meta, you will become part of a world\-class data engineering community dedicated to skill development and career growth in data engineering and beyond.Data Engineering: You will guide teams by building optimal data artifacts (including datasets and visualizations) to address key questions. You will refine our systems, design logging solutions, and create scalable data models. Ensuring data security and quality, and with a strong focus on efficiency, you will suggest architecture and development approaches and data management standards to address complex analytical problems.Product leadership: You will use data to shape product development, identify new opportunities, and tackle upcoming challenges. You'll ensure our products add value for users and businesses, by prioritizing projects, and driving innovative solutions to respond to challenges or opportunities.Communication and influence: You won't simply present data, but tell data\-driven stories. You will convince and influence your partners using clear insights and recommendations. You will build credibility through structure and clarity, and be a trusted strategic partner.
 Data Engineer, Product Analytics Responsibilities:
* Manage and execute data warehouse plans for a product or a group of products to solve well\-scoped problems
* Identify the data needed for a business problem and implement logging required to ensure availability of data, while working with data infrastructure to triage issues and resolve
* Collaborate with engineers, product managers and data scientists to understand data needs, representing key data insights in a meaningful way
* Build data expertise and leverage data controls to ensure privacy, security, compliance, data quality, and operations for allocated areas of ownership
* Design, build and launch new data models and visualizations in production, leveraging common development toolkits
* Independently design, build and launch new data extraction, transformation and loading processes in production, mentoring others around efficient queries
* Support existing processes running in production and implement optimized solutions with limited guidance
* Define and manage Service Level Agreements for data sets in allocated areas of ownership
 Minimum Qualifications:
* Bachelor's degree in Computer Science, Computer Engineering, relevant technical field, or equivalent practical experience
* 2\+ years of experience where the primary responsibility involves working with data. This could include roles such as data analyst, data scientist, data engineer, or similar positions
* 2\+ years of experience with SQL, ETL, data modeling, and at least one programming language (e.g., Python, C\+\+, C\#, Scala or others.)
 Preferred Qualifications:
* Master's or Ph.D degree in a STEM field
 About Meta:
 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
 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
 Meta is committed to providing reasonable accommodations for candidates with disabilities in our recruiting process. If you need any assistance or accommodations due to a disability, please let us know at accommodations\-ext@meta.com.
 $114,000/year to $173,000/year \+ bonus \+ equity \+ benefits
 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Learn more about benefits at Meta.</t>
        </is>
      </c>
    </row>
    <row r="9">
      <c r="A9" t="inlineStr">
        <is>
          <t>li-4369112775</t>
        </is>
      </c>
      <c r="B9" t="inlineStr">
        <is>
          <t>Data Engineer</t>
        </is>
      </c>
      <c r="C9" t="inlineStr">
        <is>
          <t>AARATECH</t>
        </is>
      </c>
      <c r="D9" t="inlineStr">
        <is>
          <t>linkedin</t>
        </is>
      </c>
      <c r="E9" t="inlineStr"/>
      <c r="F9" t="inlineStr"/>
      <c r="G9" t="inlineStr"/>
      <c r="H9" t="inlineStr"/>
      <c r="I9" t="inlineStr">
        <is>
          <t>**Location:** 
 United States (Remote / On\-site – based on client needs)
**Employment Type:** 
 Full\-time (Contract or Contract\-to\-Hire)
**Experience Level:** 
 Entry\-level (0–2 years)
**Company:** 
 Aaratech Inc
 🛑
 **Eligibility:** 
 Open to U.S. Citizens and Green Card holders only. We do not offer visa sponsorship.
 🔍
 **About Aaratech Inc** 
 Aaratech Inc is a specialized IT consulting and staffing company focused on placing talented individuals across data, cloud, and software disciplines. We work with top U.S. enterprises to deliver long\-term roles, competitive compensation, and opportunities to grow in modern data environments.
 🎯
 **Position Overview** 
 We are seeking a
 **Junior Data Analyst** 
 with 0–2 years of experience to support data analysis, reporting, and dashboard development for enterprise clients. This role is ideal for early\-career candidates who want to gain hands\-on experience working with real\-world datasets, analytical tools, and business teams. You will collaborate with senior analysts and data engineers to deliver clean, reliable insights that support business decisions.
 🛠️
 **Key Responsibilities** 
* Assist in analyzing datasets to identify trends and insights
* Support the creation of dashboards and reports using Power BI, Tableau, or Excel
* Write basic SQL queries for data extraction and validation
* Clean, organize, and prepare datasets for analysis
* Document findings and prepare simple data summaries for business teams
* Collaborate with senior analysts on KPIs, metrics, and data requirements
* Help with data quality checks and troubleshoot data discrepancies
* Maintain documentation for reports, dashboards, and data processes
 ✅
 **Required Skills \&amp; Experience** 
* 0–2 years of experience in Data Analysis or a related field
* Basic proficiency in SQL
* Hands\-on experience with Excel (pivot tables, formulas, charts)
* Familiarity with any BI tool (Power BI, Tableau, or Looker)
* Understanding of data cleaning, validation, and analytical concepts
* Knowledge of Python (optional but preferred) for basic data manipulation
* Strong attention to detail and analytical thinking
* Good communication skills and willingness to learn
 ⭐
 **Nice to Have** 
* Exposure to data visualization tools or dashboard building
* Familiarity with data models or basic statistics
* Internship or academic projects related to data analysis
* Experience with Google Analytics, Power Query, or data cleansing tools
* Understanding of cloud platforms (AWS/GCP/Azure) at a basic level</t>
        </is>
      </c>
    </row>
    <row r="10">
      <c r="A10" t="inlineStr">
        <is>
          <t>li-4368978586</t>
        </is>
      </c>
      <c r="B10" t="inlineStr">
        <is>
          <t>Data Engineer II</t>
        </is>
      </c>
      <c r="C10" t="inlineStr">
        <is>
          <t>Yahoo</t>
        </is>
      </c>
      <c r="D10" t="inlineStr">
        <is>
          <t>linkedin</t>
        </is>
      </c>
      <c r="E10" t="inlineStr"/>
      <c r="F10" t="inlineStr"/>
      <c r="G10" t="inlineStr"/>
      <c r="H10" t="inlineStr"/>
      <c r="I10" t="inlineStr">
        <is>
          <t>Yahoo Mail is the ultimate consumer inbox with hundreds of millions of users. It’s the best way to access your email and stay organized from a computer, phone or tablet. With its beautiful design and lightning fast speed, Yahoo Mail makes reading, organizing, and sending emails easier than ever.
 The Mail Analytics Infrastructure \&amp; Data Engineering team at Yahoo is responsible for building mission critical data serving, pipelines, lakehouse, analytics systems and infrastructures for the Yahoo Mail business. We are constantly pushing the envelope of data \&amp; analytics platforms due to the massive volume of data we need to harness in order to drive the explosive growth of AI advances.
 Power the Future of Data \&amp; Analytics at Yahoo Mail
 As part of the Mail Analytics Infrastructure \&amp; Data Engineering team, you will be working on large\-scale batch pipelines, data serving, data lakehouse, and analytics systems, enabling mission critical decision making, downstream, AI\-powered capabilities, and more.
 If you're passionate about building data infrastructure and platforms that power modern Data\- and AI\-driven business at scale, we want to hear from you!
****Your Day****
* Develop new or improve and maintain existing large\-scale data infrastructures and systems for data processing or serving, optimizing complex code through advanced algorithmic concepts and in\-depth understanding of underlying data system stacks
* Create and contribute to frameworks that improve the efficacy of the management and deployment of data platforms and systems, while working with data infrastructure to triage and resolve issues
* Prototype new metrics or data systems
* Define and manage Service Level Agreements for all data sets in allocated areas of ownership
* Develop complex queries, very large volume data pipelines, and analytics applications to solve analytics and data engineering problems
* Collaborate with engineers, data scientists, and product managers to understand business problems, technical requirements to deliver data solutions
* Engineering consulting on large and complex data lakehouse data
**Qualifications:**
* BS in Computer Science/Engineering, relevant technical field, or equivalent practical experience, with specialization in Data Engineering
* 3\-5 years of experience in Data Engineering (ETL, data lakehouse, Data Modeling)
* Strong fundamentals: algorithms, distributed computing, data structure, database, data warehouse
* Fluency with: Python/Java/SQL
* Self\-driven, challenge\-loving, detail oriented, teamwork spirit, excellent communication skills, ability to multitask and manage expectations
****Preferred Qualifications:****
* MS/PhD in Computer Science/Engineering or relevant technical field, with specialization in Data Engineering
* 2\+ years experience in Hadoop/Apache technologies (Pig, Hive, HBase, Storm, Spark, Kafka, Oozie)
* 2\+ years experience in Google Cloud Platform technologies (BiqQuery, Dataproc, Dataflow, Composer, Looker)
 The material job duties and responsibilities of this role include those listed above as well as adhering to Yahoo policies; exercising sound judgment; working effectively, safely and inclusively with others; exhibiting trustworthiness and meeting expectations; and safeguarding business operations and brand integrity.
 At Yahoo, we offer flexible hybrid work options that our employees love! While most roles don’t require regular office attendance, you may occasionally be asked to attend in\-person events or team sessions. You’ll always get notice to make arrangements. Your recruiter will let you know if a specific job requires regular attendance at a Yahoo office or facility. If you have any questions about how this applies to the role, just ask the recruiter!
 Yahoo is proud to be an equal opportunity workplace. All qualified applicants will receive consideration for employment without regard to, and will not be discriminated against based on age, race, gender, color, religion, national origin, sexual orientation, gender identity, veteran status, disability or any other protected category. Yahoo will consider for employment qualified applicants with criminal histories in a manner consistent with applicable law. Yahoo is dedicated to providing an accessible environment for all candidates during the application process and for employees during their employment. If you need accessibility assistance and/or a reasonable accommodation due to a disability, please submit a request via the Accommodation Request Form (www.yahooinc.com/careers/contact\-us.html) or call \+1\.866\.772\.3182\. Requests and calls received for non\-disability related issues, such as following up on an application, will not receive a response.
 We believe that a diverse and inclusive workplace strengthens Yahoo and deepens our relationships. When you support everyone to be their best selves, they spark discovery, innovation and creativity. Among other efforts, our 11 employee resource groups (ERGs) enhance a culture of belonging with programs, events and fellowship that help educate, support and create a workplace where all feel welcome.
 The compensation for this position ranges from $111,000\.00 \- $231,250\.00/yr and will vary depending on factors such as your location, skills and experience.The compensation package may also include incentive compensation opportunities in the form of discretionary annual bonus or commissions. Our comprehensive benefits include healthcare, a great 401k, backup childcare, education stipends and much (much) more.
*Currently work for Yahoo? Please apply on our internal career site.*</t>
        </is>
      </c>
    </row>
    <row r="11">
      <c r="A11" t="inlineStr">
        <is>
          <t>li-4369111570</t>
        </is>
      </c>
      <c r="B11" t="inlineStr">
        <is>
          <t>Data Engineer</t>
        </is>
      </c>
      <c r="C11" t="inlineStr">
        <is>
          <t>Invictus</t>
        </is>
      </c>
      <c r="D11" t="inlineStr">
        <is>
          <t>linkedin</t>
        </is>
      </c>
      <c r="E11" t="inlineStr"/>
      <c r="F11" t="inlineStr"/>
      <c r="G11" t="inlineStr">
        <is>
          <t>Dallas, TX</t>
        </is>
      </c>
      <c r="H11" t="inlineStr"/>
      <c r="I11" t="inlineStr">
        <is>
          <t>**INVICTUS** 
 is looking for a skilled and motivated
 **Data Engineer** 
 to join our growing data engineering team in the
 **United States** 
 . If you enjoy building scalable data platforms and working with modern data technologies, we’d love to connect.
 📍
 **Location:** 
 USA (Onsite )
 💼
 **Experience:** 
 3–4 years
 ⚡
 **Availability:** 
 Immediate joiners preferred
**Key Responsibilities:** 
* Design, build, and maintain scalable ETL/ELT pipelines
* Work with modern data platforms such as Spark, Snowflake, BigQuery, or Redshift
* Ensure data quality, reliability, and availability across systems
* Collaborate with analytics, data science, and business teams
* Implement best practices in data modeling, warehousing, and pipeline optimization
**Required Skills:** 
 • Strong experience with SQL and Python or Scala
 • Hands\-on experience with cloud platforms (AWS, GCP, or Azure)
 • Familiarity with orchestration tools like Airflow, DBT, or similar
 • Solid understanding of data warehousing and modern data stacks
 • Experience with Git and CI/CD workflows
**Nice to Have:** 
 • Exposure to streaming technologies (Kafka, Kinesis, etc.)
 • Knowledge of containerization (Docker, Kubernetes)
 • Experience in FinTech, E\-commerce, or SaaS environments
**What We Offer:** 
 • Competitive compensation and growth opportunities
 • Collaborative, fast\-growing work culture
 • Opportunity to work on complex, high\-impact data problems
 📩
 **Interested or know someone who’d be a great fit?** 
 DM me or email your resume at
 **gowri.k@invictusdata.ai / whatsapp : \+91 \- 6305071675** 
 Let’s build data solutions that scale.
 \#INVICTUS \#HiringNow \#DataEngineer \#USJobs \#DataEngineering \#SQL \#Python \#Cloud \#ETL \#TechCareers</t>
        </is>
      </c>
    </row>
    <row r="12">
      <c r="A12" t="inlineStr">
        <is>
          <t>li-4369496346</t>
        </is>
      </c>
      <c r="B12" t="inlineStr">
        <is>
          <t>Data Engineer</t>
        </is>
      </c>
      <c r="C12" t="inlineStr">
        <is>
          <t>Hirenza</t>
        </is>
      </c>
      <c r="D12" t="inlineStr">
        <is>
          <t>linkedin</t>
        </is>
      </c>
      <c r="E12" t="inlineStr"/>
      <c r="F12" t="inlineStr"/>
      <c r="G12" t="inlineStr"/>
      <c r="H12" t="inlineStr"/>
      <c r="I12" t="inlineStr">
        <is>
          <t>**About The Company**
 Brains Workgroup, Inc. is a leading technology solutions provider dedicated to delivering innovative and reliable services to clients across various industries. With a strong focus on financial services, our company specializes in leveraging cutting\-edge data engineering and cloud technologies to help organizations optimize their data infrastructure, enhance analytics capabilities, and achieve strategic objectives. We pride ourselves on fostering a collaborative and inclusive work environment that encourages professional growth, continuous learning, and excellence in delivery.
**About The Role**
 Our client, a major bank based in New York City, is seeking a skilled Cloud Data Engineer to join their dynamic team. This is a permanent position offering a competitive compensation package, with a base salary range of 135,000 to 145,000 USD, along with excellent benefits and a targeted bonus scheme. The role requires a candidate who is comfortable working both independently and collaboratively, with the flexibility to work in the office two to three days per week in New York City.
 The Cloud Data Engineer will be responsible for supporting all facets of data engineering activities, including designing, developing, testing, debugging, documenting, deploying, and providing ongoing production support for data pipelines. The ideal candidate will have extensive experience working with big data technologies, particularly in building and managing scalable data pipelines using PySpark, Python, SQL, and Airflow. This position offers an exciting opportunity to work on large\-scale financial data processing, real\-time analytics, and reporting, contributing directly to the bank’s data\-driven decision\-making processes.
**Qualifications**
* Minimum of 3 years of hands\-on experience with Databricks and PySpark in a financial services environment.
* At least 5 years of strong programming experience in Python and advanced SQL.
* Practical knowledge of workflow orchestration tools, particularly Airflow, including designing and managing complex DAGs.
* Experience working with cloud platforms such as Azure or AWS, including data lake architectures and related services like Azure Data Lake Storage or AWS S3\.
* Understanding of financial domain data, regulatory requirements, and handling sensitive financial information.
* Excellent problem\-solving skills and the ability to communicate complex technical concepts effectively.
* Proven ability to work collaboratively within cross\-functional teams.
**Responsibilities**
* Design, develop, and optimize scalable data pipelines on Databricks using PySpark to process large volumes of financial data for real\-time analytics and reporting.
* Implement ETL pipelines for structured and semi\-structured financial data from batch and streaming sources, leveraging tools such as Apache Kafka, Airflow, and SQL.
* Develop and maintain Gold Layer transformations within Databricks to produce curated, high\-quality datasets that support business intelligence and analytics initiatives.
* Collaborate with data scientists, analysts, and business stakeholders to understand data requirements and deliver high\-quality, reliable data solutions.
* Implement DevOps best practices, including CI/CD pipelines, to streamline data workflows and ensure operational efficiency and reliability.
* Ensure data quality, governance, and compliance with financial regulations to support accurate and compliant financial reporting.
* Automate workflow scheduling and orchestration using Airflow to improve operational efficiency and reduce manual intervention.
* Optimize Spark jobs and SQL queries for performance and cost efficiency, ensuring timely data processing and delivery.
**Benefits**
 Joining our client’s team offers a comprehensive benefits package that includes competitive salary, health insurance, retirement plans, paid time off, and professional development opportunities. The role provides exposure to cutting\-edge data engineering technologies and practices within a major financial institution, fostering career growth and skill enhancement. Additionally, the position offers flexibility with a hybrid work model, enabling a healthy work\-life balance, and the chance to work in a vibrant New York City environment with a talented team of professionals.
 Equal Opportunity
 Brains Workgroup, Inc. is committed to fostering an inclusive and diverse workplace. We are an equal opportunity employer and do not discriminate based on race, color, religion, gender, sexual orientation, gender identity or expression, age, national origin, disability, or any other protected characteristic. We believe in creating a welcoming environment where all employees can thrive and contribute to our collective success.</t>
        </is>
      </c>
    </row>
    <row r="13">
      <c r="A13" t="inlineStr">
        <is>
          <t>li-4369107922</t>
        </is>
      </c>
      <c r="B13" t="inlineStr">
        <is>
          <t>Data Engineer</t>
        </is>
      </c>
      <c r="C13" t="inlineStr">
        <is>
          <t>AARATECH</t>
        </is>
      </c>
      <c r="D13" t="inlineStr">
        <is>
          <t>linkedin</t>
        </is>
      </c>
      <c r="E13" t="inlineStr"/>
      <c r="F13" t="inlineStr"/>
      <c r="G13" t="inlineStr"/>
      <c r="H13" t="inlineStr"/>
      <c r="I13" t="inlineStr">
        <is>
          <t>Job Title: Data Engineer – Retail / E\-Commerce
 🏢 Company: Aaratech Inc
 🛑 Eligibility: Only U.S. Citizens and Green Card holders are eligible.
 Please note that we do not offer visa sponsorship.
 Job Summary:
 Aaratech Inc. is seeking a results\-driven
 **Data Engineer – Retail / E\-Commerce** 
 to support customer, sales, and product data platforms. The role focuses on building scalable pipelines that enable real\-time and batch analytics for business growth.
 Key Responsibilities:
 🔹 Data Pipeline Development
 Develop and maintain data pipelines for sales, customer, and product data.
 Integrate data from e\-commerce platforms and marketing systems.
 🔹 Data Modeling
 Design data models to support analytics and BI reporting.
 Optimize performance and scalability.
 🔹 Data Quality
 Ensure data accuracy, completeness, and consistency.
 Implement monitoring and error\-handling processes.
 🔹 Collaboration
 Work closely with data analysts, product, and marketing teams.
 🔹 Tools \&amp; Technologies
 Use SQL, Python, ETL tools, and cloud data platforms.
 Qualifications:
 ✅ Bachelor’s degree in Computer Science, Engineering, or related field
 ✅ Minimum 2 years of Data Engineering experience
 ✅ Strong SQL and Python skills
 ✅ Experience with data pipelines and analytics platforms
 ✅ Retail or e\-commerce data experience preferred
 ✅ Strong problem\-solving skills</t>
        </is>
      </c>
    </row>
    <row r="14">
      <c r="A14" t="inlineStr">
        <is>
          <t>li-4368998563</t>
        </is>
      </c>
      <c r="B14" t="inlineStr">
        <is>
          <t>Analytics Engineer</t>
        </is>
      </c>
      <c r="C14" t="inlineStr">
        <is>
          <t>Grow Therapy</t>
        </is>
      </c>
      <c r="D14" t="inlineStr">
        <is>
          <t>linkedin</t>
        </is>
      </c>
      <c r="E14" t="inlineStr"/>
      <c r="F14" t="inlineStr"/>
      <c r="G14" t="inlineStr"/>
      <c r="H14" t="inlineStr"/>
      <c r="I14" t="inlineStr">
        <is>
          <t>**About Us:**
 Grow Therapy is on a mission to serve as the trusted partner for therapists growing their practice, and patients accessing high\-quality care. Powered by technology, we are a three\-sided marketplace that empowers providers, augments insurance payors, and serves patients. Following the mass increase in depression and anxiety, the need for accessibility is more important than ever. To make our vision for mental healthcare a reality, we’re building a team of entrepreneurs and mission\-driven go\-getters. Since launching in February 2021, we’ve empowered more than ten thousand therapists and hundreds of thousands of clients across the country and insurance landscape. We’ve raised more than $178mm of funding from Sequoia Capital, Transformation Capital, TCV, SignalFire, and others.
**The Opportunity:**
 As an Analytics Engineer at Grow Therapy, you’ll build the data foundation that powers key decisions across product, operations, and strategy. Along the way, you’ll gain deep exposure to the inner workings of a fast\-growing healthcare marketplace, master advanced tools in modern data engineering and analytics, and help evolve our data culture from infrastructure to impact.
 It’s a rare opportunity to join a mission\-driven company at the inflection point of scale, where your technical craft directly improves access to mental health care nationwide.
**What You'll Be Doing:**
* You will ensure every team can leverage trusted, actionable insights to better serve providers and clients.You’ll take ownership of our data stack from ingestion through modeling in dbt to build efficient, robust data pipelines.
* You’ll collaborate daily with Analysts, Data Scientists, and Machine Learning Engineers, as well as stakeholders from Product and Engineering to make sure that the models we build drive value for the business.
**You'll Be a Good Fit if:**
* 3\-5 years of Analytics Engineering / Data Engineering experience building products, ideally in a high\-growth, fast\-paced environment.
* Excel at writing complex SQL pipelines and working within a modern data stack (Snowflake, dbt, Fivetran, Prefect, Looker/LookML)
* Possess strong foundations in Python, data modeling and system design
* Excellent communication and collaboration skills, and can work effectively with cross\-functional teams to achieve common goals.
* Comfort with ambiguity \- You thrive in dynamic environments and are skilled at turning loosely defined problems into clear technical direction.
**Bonus Points:**
* Hands\-on experience working with stakeholders to prioritize, define, own, and implement metric definitions
* Experience implementing a semantic/metrics layer for analysts, data scientists, and machine learning engineers to use
* Hands\-on experience building impactful dashboards and reports using Hex, Looker, or other data visualization products.
**Engineering Team Principles:**
* You own what you build. You will feel ownership of the code you write, articulate the importance of the feature, and follow up to ensure it's successful.
* We build solutions for our providers and clients. We write code to solve user problems, not just for the sake of solving technical problems.
* You are not part of the tech team, but rather part of the team itself! Grow is a tech\-enabled business and not a pure software business, so understanding how the business works is integral to your job.
**Role Details:** 
* Employment Type: Full\-Time, Exempt
* Base Compensation: The base compensation range for this position is
+ Hybrid Commitment: $124,000–$145,000 USD Annually
+ Fully Remote Commitment: $103,000–$120,000 USD Annually
 This role can be
 **hybrid** 
 (onsite from our NYC, San Francisco, or Seattle hub location
 **three days per week: Tuesday, Wednesday, Thursday** 
 ) or
 **fully remote.** 
 Both arrangements include travel
 **2–3 times per year** 
 (e.g., company and department offsites).
*The base compensation for this role will vary depending on several factors, including relevant experience, qualifications, and the candidate’s working location.*
**Full Time Employee Benefits:**
* Comprehensive Health Coverage: Medical, dental, and vision insurance, plus life and disability coverage.
* Parental Leave \&amp; Family Support: Up to 18 weeks paid leave and a new child stipend.
* Financial Wellness: 401(k) program and equity opportunities.
* Meals \&amp; Home Office Support: Stipends for home office setup and ongoing funds for meals, with tailored perks for both remote and in\-office employees.
* Time Off to Recharge: Flexible PTO, 12 paid holidays, and a full winter break week.
* Wellness \&amp; Development: Annual stipends to put towards personal \&amp; professional growth.
* Mental \&amp; Physical Health Support: No\-cost access to therapy through the Grow platform, weekly flexible hours for self\-care (“Mental Health Mornings/Afternoons”) and memberships to leading wellness apps (such as One Medical, Headspace, and Talkspace).
* Extra Perks: Pet insurance discounts, commuter benefits, and global travel assistance.
*Research shows that some groups hesitate to apply unless they meet every qualification. If you’re excited about this role but don’t check every box, we encourage you to apply. At Grow, we value diverse experiences, transferable skills, and the unique strengths each person brings.*
*Grow Therapy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***Use of AI Tools:***
*By submitting your application, you acknowledge and consent to the use of automated tools as part of our recruitment process. Specifically, we use a third\-party AI tool,* 
*Gem* 
*, to assist in the* 
***initial screening of resumes***
*. This tool analyzes resumes based on role\-specific criteria provided by our recruiters to identify potentially strong matches for the role.* 
***I***
***mportantly, no hiring decisions are made by the AI tool***
***.***
*All decisions about which candidates move forward are made by our human recruiting team after independent review.* 
*More information about Gem’s approach to compliance with* 
*California FEHA regulations on automated decision systems* 
*and* 
*New York Local Law 144* 
*can be found on the Gem compliance website.* 
*We are committed to transparency and fairness in our hiring practices. If you have questions about how our AI tools work, or would like more information about how your application will be processed, please contact us at talentops@growtherapy.com* 
*.* 
*If you require an accommodation due to a disability, or have concerns about the use of AI in the hiring process, please also contact us. We are happy to provide assistance or offer an alternative method of participating in the recruitment process.*</t>
        </is>
      </c>
    </row>
    <row r="15">
      <c r="A15" t="inlineStr">
        <is>
          <t>li-4369109938</t>
        </is>
      </c>
      <c r="B15" t="inlineStr">
        <is>
          <t>Data Engineer</t>
        </is>
      </c>
      <c r="C15" t="inlineStr">
        <is>
          <t>AARATECH</t>
        </is>
      </c>
      <c r="D15" t="inlineStr">
        <is>
          <t>linkedin</t>
        </is>
      </c>
      <c r="E15" t="inlineStr"/>
      <c r="F15" t="inlineStr"/>
      <c r="G15" t="inlineStr"/>
      <c r="H15" t="inlineStr"/>
      <c r="I15" t="inlineStr">
        <is>
          <t>Job Title: Data Engineer – Retail / E\-Commerce
 🏢 Company: Aaratech Inc
 🛑 Eligibility: Only U.S. Citizens and Green Card holders are eligible.
 Please note that we do not offer visa sponsorship.
 Job Summary:
 Aaratech Inc. is seeking a results\-driven
 **Data Engineer – Retail / E\-Commerce** 
 to support customer, sales, and product data platforms. The role focuses on building scalable pipelines that enable real\-time and batch analytics for business growth.
 Key Responsibilities:
 🔹 Data Pipeline Development
 Develop and maintain data pipelines for sales, customer, and product data.
 Integrate data from e\-commerce platforms and marketing systems.
 🔹 Data Modeling
 Design data models to support analytics and BI reporting.
 Optimize performance and scalability.
 🔹 Data Quality
 Ensure data accuracy, completeness, and consistency.
 Implement monitoring and error\-handling processes.
 🔹 Collaboration
 Work closely with data analysts, product, and marketing teams.
 🔹 Tools \&amp; Technologies
 Use SQL, Python, ETL tools, and cloud data platforms.
 Qualifications:
 ✅ Bachelor’s degree in Computer Science, Engineering, or related field
 ✅ Minimum 2 years of Data Engineering experience
 ✅ Strong SQL and Python skills
 ✅ Experience with data pipelines and analytics platforms
 ✅ Retail or e\-commerce data experience preferred
 ✅ Strong problem\-solving skills</t>
        </is>
      </c>
    </row>
    <row r="16">
      <c r="A16" t="inlineStr">
        <is>
          <t>li-4369119100</t>
        </is>
      </c>
      <c r="B16" t="inlineStr">
        <is>
          <t>Data Engineer</t>
        </is>
      </c>
      <c r="C16" t="inlineStr">
        <is>
          <t>AARATECH</t>
        </is>
      </c>
      <c r="D16" t="inlineStr">
        <is>
          <t>linkedin</t>
        </is>
      </c>
      <c r="E16" t="inlineStr"/>
      <c r="F16" t="inlineStr"/>
      <c r="G16" t="inlineStr"/>
      <c r="H16" t="inlineStr"/>
      <c r="I16" t="inlineStr">
        <is>
          <t>Job Title: Data Engineer – Healthcare
 🏢 Company: Aaratech Inc
 🛑 Eligibility: Only U.S. Citizens and Green Card holders are eligible.
 Please note that we do not offer visa sponsorship.
 Job Summary:
 Aaratech Inc. is seeking a skilled and detail\-oriented
 **Data Engineer – Healthcare** 
 to design, build, and maintain data pipelines that support healthcare analytics and reporting. The ideal candidate will work with large healthcare datasets to ensure data reliability, scalability, and availability for analytics and decision\-making.
 Key Responsibilities:
 🔹 Data Pipeline Development
 Design, build, and maintain scalable ETL/ELT pipelines for healthcare data.
 Integrate data from multiple internal and external sources.
 🔹 Data Engineering \&amp; Storage
 Develop and manage data warehouses and data lakes.
 Optimize data models for performance and analytics use cases.
 🔹 Data Quality \&amp; Reliability
 Ensure data accuracy, consistency, and integrity across systems.
 Implement monitoring and validation checks.
 🔹 Collaboration
 Work with data analysts, business teams, and IT stakeholders.
 Support analytics and reporting requirements.
 🔹 Tools \&amp; Technologies
 Use SQL, Python, cloud platforms, and ETL tools.
 Qualifications:
 ✅ Bachelor’s degree in Computer Science, Engineering, or related field
 ✅ Minimum 2 years of Data Engineering experience
 ✅ Strong SQL and Python skills
 ✅ Experience with data pipelines and data warehouses
 ✅ Knowledge of healthcare data is a plus
 ✅ Strong problem\-solving and communication skills</t>
        </is>
      </c>
    </row>
    <row r="17">
      <c r="A17" t="inlineStr">
        <is>
          <t>li-4362338115</t>
        </is>
      </c>
      <c r="B17" t="inlineStr">
        <is>
          <t>Senior Data Engineer</t>
        </is>
      </c>
      <c r="C17" t="inlineStr">
        <is>
          <t>Atlassian</t>
        </is>
      </c>
      <c r="D17" t="inlineStr">
        <is>
          <t>linkedin</t>
        </is>
      </c>
      <c r="E17" t="inlineStr"/>
      <c r="F17" t="inlineStr"/>
      <c r="G17" t="inlineStr">
        <is>
          <t>San Francisco, CA</t>
        </is>
      </c>
      <c r="H17" t="inlineStr"/>
      <c r="I17" t="inlineStr">
        <is>
          <t>**Overview**
 Our Data Engineering Team is comprised of data experts. We build world\-class data solutions and applications that power crucial business decisions throughout the organisation. We manage multiple analytical data models and pipelines across Atlassian, covering finance, growth, product analysis, customer analysis, sales and marketing, and so on. We maintain Atlassian's data lake that provide a unified way of analysing our customers, our products, our operations, and the interactions among them.
 We're hiring a Senior Data Engineer, reporting to the Data Engineering Manager based in Sydney. Here, you'll enable a world\-class engineering practice, drive the approach with which we use data, develop backend systems and data models to serve the needs of insights, and help build Atlassian's data\-driven culture. You love thinking about the ways the business can consume data and then figuring out how to build it
**Working at Atlassian**
 Atlassians can choose where they work – whether in an office, from home, or a combination of the two. That way, Atlassians have more control over supporting their family, personal goals, and other priorities. We can hire people in any country where we have a legal entity.
**Responsibilities**
* You'll partner with the product analytics and data scientist team to build the data solutions that allow them to obtain more insights from our data and use that to support important business decisions.
* You'll work with different stakeholders to understand their needs and architect/build the data models, data acquisition/ingestion processes and data applications to address those requirements.
* You'll add new sources, code business rules, and produce new metrics that support the product analysts and data scientists.
* You'll be the data domain expert who understand all the nitty\-gritty of our products.
* You'll own a problem end\-to\-end. Requirements could be vague, and iterations will be rapid
* You'll improve data quality by using \&amp; improving internal tools/frameworks to automatically detect DQ issues.
**Qualifications**
* A BS in Computer Science or equivalent experience with 5\+ years of professional experience as a Sr. Data Engineer or in a similar role.
* Strong programming skills using Python
* Working knowledge of relational databases and query authoring (SQL).
* Experience designing data models for optimal storage and retrieval to meet product and business requirements.
* Experience building scalable data pipelines using Spark (SparkSQL) with Airflow scheduler/executor framework or similar scheduling tools.
* Experience working with AWS data services or similar Apache projects (Spark, Flink, Hive, and Kafka).
* Understanding of Data Engineering tools/frameworks and standards to improve the productivity and quality of output for Data Engineers across the team.
* Well versed in modern software development practices (Agile, TDD, CICD)
**Compensation**
 At Atlassian, we strive to design equitable, explainable, and competitive compensation programs. To support this goal, the baseline of our range is higher than that of the typical market range, but in turn we expect to hire most candidates near this baseline. Base pay within the range is ultimately determined by a candidate's skills, expertise, or experience. In the United States, we have three geographic pay zones. For this role, our current base pay ranges for new hires in each zone are:
 Zone A: USD 163800 \- USD 213850
 Zone B: USD 147600 \- USD 192700
 Zone C: USD 136800 \- USD 178600
 This role may also be eligible for benefits, bonuses, commissions, and equity.
 Please visit go.atlassian.com/payzones for more information on which locations are included in each of our geographic pay zones. However, please confirm the zone for your specific location with your recruiter.
**Benefits \&amp; Perks**
 Atlassian offers a wide range of perks and benefits designed to support you, your family and to help you engage with your local community. Our offerings include health and wellbeing resources, paid volunteer days, and so much more. To learn more, visit
 **go.atlassian.com/perksandbenefits** 
**.**
**About Atlassian**
 At Atlassian, we're motivated by a common goal: to unleash the potential of every team. Our software products help teams all over the planet and our solutions are designed for all types of work. Team collaboration through our tools makes what may be impossible alone, possible together.
 We believe that the unique contributions of all Atlassians create our success. To ensure that our products and culture continue to incorporate everyone's perspectives and experience, we never discriminate based on race, religion, national origin, gender identity or expression, sexual orientation, age, or marital, veteran, or disability status. All your information will be kept confidential according to EEO guidelines.
 To provide you the best experience, we can support with accommodations or adjustments at any stage of the recruitment process. Simply inform our Recruitment team during your conversation with them.
 To learn more about our culture and hiring process, visit
 **go.atlassian.com/crh** 
**.**</t>
        </is>
      </c>
    </row>
    <row r="18">
      <c r="A18" t="inlineStr">
        <is>
          <t>li-4362465690</t>
        </is>
      </c>
      <c r="B18" t="inlineStr">
        <is>
          <t>Senior Data Engineer</t>
        </is>
      </c>
      <c r="C18" t="inlineStr">
        <is>
          <t>Atlassian</t>
        </is>
      </c>
      <c r="D18" t="inlineStr">
        <is>
          <t>linkedin</t>
        </is>
      </c>
      <c r="E18" t="inlineStr"/>
      <c r="F18" t="inlineStr"/>
      <c r="G18" t="inlineStr">
        <is>
          <t>San Francisco, CA</t>
        </is>
      </c>
      <c r="H18" t="inlineStr"/>
      <c r="I18" t="inlineStr">
        <is>
          <t>**Overview**
 Our Data Engineering Team is comprised of data experts. We build world\-class data solutions and applications that power crucial business decisions throughout the organisation. We manage multiple analytical data models and pipelines across Atlassian, covering finance, growth, product analysis, customer analysis, sales and marketing, and so on. We maintain Atlassian's data lake that provide a unified way of analysing our customers, our products, our operations, and the interactions among them.
 We're hiring a Senior Data Engineer, reporting to the Data Engineering Manager based in Sydney. Here, you'll enable a world\-class engineering practice, drive the approach with which we use data, develop backend systems and data models to serve the needs of insights, and help build Atlassian's data\-driven culture. You love thinking about the ways the business can consume data and then figuring out how to build it
**Working at Atlassian**
 Atlassians can choose where they work – whether in an office, from home, or a combination of the two. That way, Atlassians have more control over supporting their family, personal goals, and other priorities. We can hire people in any country where we have a legal entity.
**Responsibilities**
* You'll partner with the product analytics and data scientist team to build the data solutions that allow them to obtain more insights from our data and use that to support important business decisions.
* You'll work with different stakeholders to understand their needs and architect/build the data models, data acquisition/ingestion processes and data applications to address those requirements.
* You'll add new sources, code business rules, and produce new metrics that support the product analysts and data scientists.
* You'll be the data domain expert who understand all the nitty\-gritty of our products.
* You'll own a problem end\-to\-end. Requirements could be vague, and iterations will be rapid
* You'll improve data quality by using \&amp; improving internal tools/frameworks to automatically detect DQ issues.
**Qualifications**
* A BS in Computer Science or equivalent experience with 5\+ years of professional experience as a Sr. Data Engineer or in a similar role.
* Strong programming skills using Python
* Working knowledge of relational databases and query authoring (SQL).
* Experience designing data models for optimal storage and retrieval to meet product and business requirements.
* Experience building scalable data pipelines using Spark (SparkSQL) with Airflow scheduler/executor framework or similar scheduling tools.
* Experience working with AWS data services or similar Apache projects (Spark, Flink, Hive, and Kafka).
* Understanding of Data Engineering tools/frameworks and standards to improve the productivity and quality of output for Data Engineers across the team.
* Well versed in modern software development practices (Agile, TDD, CICD)
**Compensation**
 At Atlassian, we strive to design equitable, explainable, and competitive compensation programs. To support this goal, the baseline of our range is higher than that of the typical market range, but in turn we expect to hire most candidates near this baseline. Base pay within the range is ultimately determined by a candidate's skills, expertise, or experience. In the United States, we have three geographic pay zones. For this role, our current base pay ranges for new hires in each zone are:
 Zone A: USD 163800 \- USD 213850
 Zone B: USD 147600 \- USD 192700
 Zone C: USD 136800 \- USD 178600
 This role may also be eligible for benefits, bonuses, commissions, and equity.
 Please visit go.atlassian.com/payzones for more information on which locations are included in each of our geographic pay zones. However, please confirm the zone for your specific location with your recruiter.
**Benefits \&amp; Perks**
 Atlassian offers a wide range of perks and benefits designed to support you, your family and to help you engage with your local community. Our offerings include health and wellbeing resources, paid volunteer days, and so much more. To learn more, visit
 **go.atlassian.com/perksandbenefits** 
**.**
**About Atlassian**
 At Atlassian, we're motivated by a common goal: to unleash the potential of every team. Our software products help teams all over the planet and our solutions are designed for all types of work. Team collaboration through our tools makes what may be impossible alone, possible together.
 We believe that the unique contributions of all Atlassians create our success. To ensure that our products and culture continue to incorporate everyone's perspectives and experience, we never discriminate based on race, religion, national origin, gender identity or expression, sexual orientation, age, or marital, veteran, or disability status. All your information will be kept confidential according to EEO guidelines.
 To provide you the best experience, we can support with accommodations or adjustments at any stage of the recruitment process. Simply inform our Recruitment team during your conversation with them.
 To learn more about our culture and hiring process, visit
 **go.atlassian.com/crh** 
**.**</t>
        </is>
      </c>
    </row>
    <row r="19">
      <c r="A19" t="inlineStr">
        <is>
          <t>li-4369117470</t>
        </is>
      </c>
      <c r="B19" t="inlineStr">
        <is>
          <t>Data Engineer</t>
        </is>
      </c>
      <c r="C19" t="inlineStr">
        <is>
          <t>AARATECH</t>
        </is>
      </c>
      <c r="D19" t="inlineStr">
        <is>
          <t>linkedin</t>
        </is>
      </c>
      <c r="E19" t="inlineStr"/>
      <c r="F19" t="inlineStr"/>
      <c r="G19" t="inlineStr"/>
      <c r="H19" t="inlineStr"/>
      <c r="I19" t="inlineStr">
        <is>
          <t>Job Title: Data Engineer – CRM / Salesforce
 🏢 Company: Aaratech Inc
 🛑 Eligibility: Only U.S. Citizens and Green Card holders are eligible.
 Please note that we do not offer visa sponsorship.
 Job Summary:
 Aaratech Inc. is seeking a skilled
 **Data Engineer – CRM / Salesforce** 
 to support customer and sales data integration initiatives. The ideal candidate will ensure reliable data pipelines and data models for CRM analytics and reporting.
 Key Responsibilities:
 🔹 Data Integration
 Build and maintain pipelines to extract and load CRM/Salesforce data.
 Integrate CRM data with enterprise data platforms.
 🔹 Data Engineering
 Design data models to support sales and marketing analytics.
 Optimize data pipelines for performance.
 🔹 Data Quality
 Ensure CRM data accuracy and consistency.
 Support data validation and governance processes.
 🔹 Collaboration
 Work with sales, marketing, and analytics teams.
 🔹 Tools \&amp; Technologies
 Use SQL, Python, ETL tools, Salesforce connectors, and cloud platforms.
 Qualifications:
 ✅ Bachelor’s degree in Computer Science, Engineering, or related field
 ✅ 2\+ years of Data Engineering experience
 ✅ Strong SQL and Python skills
 ✅ Experience with CRM or Salesforce data preferred
 ✅ Strong analytical and communication skills</t>
        </is>
      </c>
    </row>
    <row r="20">
      <c r="A20" t="inlineStr">
        <is>
          <t>li-4369468626</t>
        </is>
      </c>
      <c r="B20" t="inlineStr">
        <is>
          <t>Data Engineer</t>
        </is>
      </c>
      <c r="C20" t="inlineStr">
        <is>
          <t>Scalepex</t>
        </is>
      </c>
      <c r="D20" t="inlineStr">
        <is>
          <t>linkedin</t>
        </is>
      </c>
      <c r="E20" t="inlineStr"/>
      <c r="F20" t="inlineStr"/>
      <c r="G20" t="inlineStr"/>
      <c r="H20" t="inlineStr"/>
      <c r="I20" t="inlineStr">
        <is>
          <t>**About The Company**
 Scalepex is a dynamic services firm specializing in providing innovative solutions for premium brands such as Nike, Pepsi, Toyota, Virgin, and Walgreens. Our mission is to connect prominent market leaders with top\-tier professionals from around the world, fostering collaboration, efficiency, and growth. We are committed to delivering excellence and driving transformation across various industries by leveraging cutting\-edge technologies and industry best practices. At Scalepex, we believe in empowering our clients through tailored solutions that meet their unique business needs, helping them stay ahead in competitive markets. Join us to be part of a forward\-thinking organization that values innovation, professionalism, and impact.
**About The Role**
 We are seeking an experienced AWS Data Engineer with a strong background in building scalable data solutions and expertise in utilities\-related datasets. The ideal candidate will have at least 5 years of experience in data engineering, with a deep understanding of distributed systems and proficiency with AWS services and tools such as Step Functions, Lambda, Glue, and Redshift. This role involves designing, developing, and optimizing data pipelines to support analytics and decision\-making processes within the utilities industry. The successful candidate will play a critical role in managing large\-scale utility data, ensuring data integrity, security, and availability while enabling advanced analytics for energy consumption forecasting, grid management, and other use cases. This position offers an exciting opportunity to work on impactful projects within a collaborative environment that promotes innovation and professional growth.
**Qualifications**
* Minimum of 5 years of experience in data engineering.
* Proficiency in AWS services such as Step Functions, Lambda, Glue, S3, DynamoDB, and Redshift.
* Strong programming skills in Python, with experience using PySpark and Pandas for large\-scale data processing.
* Hands\-on experience with distributed systems and scalable architectures.
* Knowledge of ETL/ELT processes for integrating diverse datasets into centralized systems.
* Familiarity with utilities\-specific datasets, such as smart meters and energy grids, is highly desirable.
* Strong analytical skills with the ability to work on unstructured datasets.
* Understanding of data governance practices to ensure data accuracy, consistency, and security.
* Excellent problem\-solving and troubleshooting skills with mature judgment.
* Ability to work independently and collaboratively within cross\-functional teams.
* Professional communication skills, both oral and written.
* Ability to obtain and maintain necessary security clearances.
**Responsibilities**
* Design and develop scalable, reliable data pipelines utilizing AWS services such as Glue, S3, and Redshift to process large datasets from utility systems.
* Use AWS Step Functions to orchestrate complex workflows across data pipelines, ensuring seamless integration and automation.
* Implement ETL/ELT processes using PySpark, Python, and Pandas to clean, transform, and consolidate data from multiple sources into unified datasets for analytics.
* Leverage expertise in distributed systems to ensure the reliability, scalability, and high performance of data processing architectures.
* Develop serverless applications using AWS Lambda to automate data processing and operational tasks.
* Design and optimize data models tailored for utilities\-specific use cases such as energy consumption forecasting and grid management.
* Monitor, troubleshoot, and enhance the performance of data pipelines to reduce latency and increase throughput.
* Implement and enforce data security measures to protect sensitive utility data in compliance with industry standards and regulations.
* Collaborate with data analysts, data scientists, and business stakeholders to understand data requirements and deliver effective solutions.
* Maintain documentation of data engineering processes, workflows, and architecture for transparency and future reference.
**Benefits**
* Competitive salary package commensurate with experience.
* Health insurance coverage for employees and their dependents.
* Opportunities for professional development and training.
* Flexible working hours and remote work options.
* Inclusive and collaborative work environment.
* Participation in innovative projects with leading industry clients.
* Supportive organizational culture that values diversity and inclusion.
 Equal Opportunity
 Scalepex is an equal opportunity employer. We celebrate diversity and are committed to creating an inclusive environment for all employees. All qualified applicants will receive consideration for employment without regard to race, color, religion, sex, national origin, age, disability, or any other protected status in accordance with applicable laws and regulations.</t>
        </is>
      </c>
    </row>
    <row r="21">
      <c r="A21" t="inlineStr">
        <is>
          <t>li-4341005269</t>
        </is>
      </c>
      <c r="B21" t="inlineStr">
        <is>
          <t>Senior Data Engineer (Remote)</t>
        </is>
      </c>
      <c r="C21" t="inlineStr">
        <is>
          <t>Experian</t>
        </is>
      </c>
      <c r="D21" t="inlineStr">
        <is>
          <t>linkedin</t>
        </is>
      </c>
      <c r="E21" t="inlineStr"/>
      <c r="F21" t="inlineStr"/>
      <c r="G21" t="inlineStr"/>
      <c r="H21" t="inlineStr"/>
      <c r="I21" t="inlineStr">
        <is>
          <t>Job Posting \- Salary Range: $115,747 \- $208,344
**Company Description**
 Experian is a global data and technology company, powering opportunities for people and businesses around the world. We help to redefine lending practices, uncover and prevent fraud, simplify healthcare, create marketing solutions, and gain deeper insights into the automotive market, all using our unique combination of data, analytics and software. We also assist millions of people to realize their financial goals and help them save time and money.
 We operate across a range of markets, from financial services to healthcare, automotive, agribusiness, insurance, and many more industry segments.
 We invest in people and new advanced technologies to unlock the power of data. As a FTSE 100 Index company listed on the London Stock Exchange (EXPN), we have a team of 22,500 people across 32 countries. Our corporate headquarters are in Dublin, Ireland. Learn more at experianplc.com.
**Job Description**
 The role is with NeuroID, part of Experian North America. We create products that detect fraud by analyzing how people type data on web forms and mobile apps (how cool is that?). We are powered by data, and you will be at the heart of what we do.
 We are looking for a Senior Data Engineer to manage and transform our data pipeline. We are a Snowflake and DBT shop with lots of semi\-structured data. The job combines product development and research, so there are both project\-based and operational aspects of the job.
 You will report to the Chief Data Science Officer.
**You'll Have The Opportunity To**
* Handle the daily management of data pipeline using DBT.
* Implement changes to Snowflake guided by product changes and research needs.
* Monitor and make changes to manage pipeline costs.
* Troubleshoot and resolve data, system, and performance issues.
**Qualifications**
**Your background:**
* 5\+ years' of experience as a Data/Analytics Engineer using DBT.
* DBT experience that includes working with semi\-structured data, custom macros, incremental models, job scheduling and streaming data.
* Experience working with Snowflake or other cloud data warehouses. Understand clones, pipes, external stages, and optimizing queries.
* Terraform, Python, and AWS experience.
* Very comfortable with modern SQL (CTE, window functions).
* Bachelor's Degree in Data Science/Analytics, Computer Science, Information Systems, or Math or an equivalent combination of education and experience.
**Benefits/Perks**
**Additional Information**
* Great compensation package and bonus plan.
* Core benefits including medical, dental, vision, and matching 401K.
* Flexible work environment, ability to work remote, hybrid or in\-office.
* Flexible time off including volunteer time off, vacation, sick and 12\-paid holidays.
* Explore all our exciting benefits here: https://yourexperianbenefits.com/cand\-index.html.
 At Experian, our people and culture set us apart. We're deeply committed to creating an environment where everyone feels they belong and can excel. From inclusion and authenticity to work/life balance, development, wellness, collaboration, and recognition, we focus on what truly matters. Our people\-first approach has earned us global recognition: World's Best Workplaces™ 2024 (Fortune Top 25\), Great Place To Work™ 2025 in 26 countries, and Glassdoor Best Places to Work 2024, among others.
 Want to see what life at Experian is really like? Explore Experian Life on social or visit our careers site.
 Our compensation reflects the cost of labor across several U.S. geographic markets. The base pay range for this position is listed above. Within this range, individual pay is determined by work location and additional factors such as job\-related skills, experience, and education. You will be also eligible for a variable pay opportunity.
 Experian is proud to be an Equal Opportunity Employer for all groups protected under applicable federal, state and local law, including protected veterans and individuals with disabilities. If you have a disability or special need that requires accommodation, please let us know at the earliest opportunity.
 This is a remote position.</t>
        </is>
      </c>
    </row>
    <row r="22">
      <c r="A22" t="inlineStr">
        <is>
          <t>li-4366746605</t>
        </is>
      </c>
      <c r="B22" t="inlineStr">
        <is>
          <t>Data Engineer</t>
        </is>
      </c>
      <c r="C22" t="inlineStr">
        <is>
          <t>Goodwill of Central &amp; Southern Indiana</t>
        </is>
      </c>
      <c r="D22" t="inlineStr">
        <is>
          <t>linkedin</t>
        </is>
      </c>
      <c r="E22" t="inlineStr"/>
      <c r="F22" t="inlineStr"/>
      <c r="G22" t="inlineStr">
        <is>
          <t>Indianapolis, IN</t>
        </is>
      </c>
      <c r="H22" t="inlineStr"/>
      <c r="I22" t="inlineStr">
        <is>
          <t>***While this position is hybrid, candidates will need to reside around the Indianapolis, IN area for on\-site meetings and support needs.***
 The Database Administrator \&amp; Data Engineer supports Goodwill’s enterprise data platforms with a primary focus on data engineering, system integration, and business\-driven analytics. While the role includes foundational database administration responsibilities, its core function is designing, delivering, and maintaining scalable data solutions that enable operational insight and informed decision\-making.
 This role partners directly with business sponsors, operational leaders, and end users to understand data needs, translate business use cases into technical solutions, and deliver reliable data pipelines, models, and reporting assets. Regular in\-person meetings and site visits are required to understand Goodwill’s various business models, workflows, and data usage across locations. This position reports to the Director of Development \&amp; Integration.
**Example Duties and Activities** 
* Designs, builds, and maintains ETL/ELT pipelines integrating data from multiple internal and external source systems.
* Engineers scalable, reliable datasets aligned to documented business requirements and operational use cases.
* Develops unified and trusted data models to support reporting, analytics, and operational insights.
* Ensures data accuracy, consistency, integrity, and reliability across all data solutions.
* Maintains SQL Server environments, including monitoring, backups, recovery, patching, and basic performance optimization.
* Implements and maintains database security, access controls, and compliance with PCI, PII, FERPA, and HIPAA requirements.
* Partners directly with business sponsors, operational leaders, and end users to understand workflows, decision\-making needs, and data challenges.
* Translates business questions into technical data models, pipelines, and analytics solutions.
* Conducts site visits to Goodwill locations to understand operational processes, customer models, and data generation methods.
* Advises stakeholders on data availability, limitations, best practices, and appropriate analytical approaches.
* Collaborates with IT leadership, developers, analysts, and business partners on enterprise data initiatives.
* Troubleshoots data quality, performance, and accessibility issues to improve user trust and adoption.
* Maintains technical documentation for databases, pipelines, data models, and data health metrics.
* Provides visibility into data usage, reliability, and improvement opportunities.
* Evaluates, pilots, and supports deployment of new data platforms, tools, and technologies in collaboration with IT leadership.
* Balances operational support responsibilities with project\-based data engineering and analytics work.
**Required Competencies** 
* **Degree and Credential Requirements** 
 \- Bachelor’s degree in Computer Science, Information Systems, or a related field, or equivalent professional experience. Five (5\) or more years of experience in database administration, data engineering, or related technical roles.
* **Data Engineering \&amp; Database Expertise** 
 \- Strong expertise in SQL Server and relational data architectures. Proven experience designing and delivering data pipelines and datasets based on business requirements. Experience ensuring data integrity, accuracy, and reliability across multiple systems.
* **Project Management (IT)** 
 \- Oversees multiple workstreams and delivers against complex scopes implementing strategies that outline time, resources, requirements, deadlines, and answers to unexpected events in order to streamline operations. Comprehends the needs of the end\-user and translates them into network requirements. Produces outline designs and estimates costs of new systems, specifies the operations the system performs, and the way data will be viewed by the end\-user. Presents the design to the users and works closely with the users to implement the solution.
* **Communication Skills** 
 \- Articulates thoughts and expresses ideas effectively using oral, written, visual, and non\-verbal communication skills, as well as listening skills to comprehend customers' needs. Delivers information in person, in writing, and in a digital world.
* **Building Collaborative Relationships** 
 \- Develops, maintains, and strengthens partnerships at all levels with others inside or outside the organization who can provide information, assistance, and support. Is able to receive as well as provide feedback to improve performance or processes.
* **Adaptability** 
 \- Adjusts priorities quickly in response to frequently changing circumstances while maintaining a positive attitude. Continually assesses tasks and responds to those requiring extra attention. Foresees and seeks to avoid crisis management.
* **Organizational Aptitude \-** 
 Plans and attends to details and pursues quality in accomplishing multiple tasks in an organized and timely fashion.
* **Informed Decision\-Making** 
 \- Identifies and comprehends issues, problems, and opportunities; compares data from different sources to draw conclusions; uses effective approaches for choosing a course of action or developing appropriate solutions; takes action that is consistent with available facts, constraints, and probable consequences.
* **Continuous Learning** 
 \- Stays current on trends related to IT industry technologies and trends. Has a thirst for knowledge and applies it appropriately. Compelled to find answers through research and collaboration.
**Preferred Competencies** 
* Experience with cloud data platforms such as Azure SQL or AWS RDS (Azure preferred and the future standard).
* Experience with modern ETL/orchestration tools and analytics architectures.
* Scripting experience using Python and/or PowerShell.
* Familiarity with BI and reporting tools (Power BI and Domo preferred).
**Other Requirements** 
* Willing to travel to various locations throughout the territory of Goodwill locations.
* Is available to work a 24x7 on\-call duty rotation with occasional after\-hours and weekends.
* **Background Screening \-** 
 All candidates must pass a pre\-employment background check. Must have a valid driver’s license, up\-to\-date auto insurance, and a good driving record.
**Benefits:** 
 Full\-time employees may participate in a comprehensive benefits program that includes:
* Continuing education and leadership development as well as tuition reimbursement
* Comprehensive health plan
* Generous paid time off (PTO) and paid holidays
* Sabbatical and parental leaves
* Life, dental and vision insurance
* Short\- and long\-term disability plans
* Nationally recognized preventive health and wellness program
* Section 125 pretax health spending account, dependent care spending account, and premiums
* Retirement planning options with generous company % match
* Eligible for the Public Student Loan Forgiveness (PSLF) program</t>
        </is>
      </c>
    </row>
    <row r="23">
      <c r="A23" t="inlineStr">
        <is>
          <t>li-4369123056</t>
        </is>
      </c>
      <c r="B23" t="inlineStr">
        <is>
          <t>Data Engineer</t>
        </is>
      </c>
      <c r="C23" t="inlineStr">
        <is>
          <t>Brooksource</t>
        </is>
      </c>
      <c r="D23" t="inlineStr">
        <is>
          <t>linkedin</t>
        </is>
      </c>
      <c r="E23" t="inlineStr"/>
      <c r="F23" t="inlineStr"/>
      <c r="G23" t="inlineStr">
        <is>
          <t>Cincinnati, OH</t>
        </is>
      </c>
      <c r="H23" t="inlineStr"/>
      <c r="I23" t="inlineStr">
        <is>
          <t>***Data Engineer Consultant***
***Cincinnati, Ohio***
*We are* 
 is seeking a Data Engineer Consultant to support a rapidly growing analytics and data engineering practice. This is an exciting opportunity to work in a fast\-paced environment where you’ll design modern data solutions, solve real\-world business problems, and collaborate with a team of top\-tier consultants. This role is ideal for someone who thrives in dynamic client environments, understands how to optimize or reimagine enterprise data architecture, and is passionate about driving meaningful business transformation. If you are a natural problem solver, critical thinker, and eager to take on new challenges, this role will offer constant variety and growth.
**Key Responsibilities** 
* Design, build, and maintain scalable and efficient data pipeline architectures
* Assemble and manage large, complex datasets to meet functional and non\-functional business requirements
* Identify and implement process improvements such as automation, data delivery optimization, and infrastructure scalability enhancements
* Develop and support ETL/ELT frameworks for data extraction, transformation, and loading from diverse source systems
* Build analytical tools and data models that support insights related to customer behavior, operational efficiencies, and key business metrics
* Partner with Executive, Product, Data, and Design teams to resolve data\-related technical issues and support infrastructure needs
* Define project scope, milestones, phases, and deliverables for client data initiatives
* Execute project plans, monitor progress, remove obstacles, and recommend next steps
* Delegate and coordinate tasks across project teams as needed
* Develop and deliver training, documentation, and adoption materials for stakeholders
**Qualifications** 
* Advanced SQL expertise with hands\-on experience working with relational databases and various data systems
* Experience designing and optimizing data pipelines, architectures, and data sets
* Proficiency in performing root cause analysis across both data and processes to identify insights and solution opportunities
* Strong analytical abilities with experience handling structured and unstructured datasets
* Experience building processes for data transformation, metadata management, workload orchestration, and dependencies
* Proven history of manipulating, processing, and extracting value from large or disparate datasets
* Ability to collaborate effectively with cross\-functional internal and external business partners
* Interest in developing data literacy and analytics capabilities across client teams
* Curiosity, creativity, and a mindset geared toward questioning assumptions and exploring new approaches
* Availability to travel as needed to support client engagements
**Bonus Skills** 
* Experience with Databricks, dbt, or modern cloud data platforms</t>
        </is>
      </c>
    </row>
    <row r="24">
      <c r="A24" t="inlineStr">
        <is>
          <t>li-4369476149</t>
        </is>
      </c>
      <c r="B24" t="inlineStr">
        <is>
          <t>Data Engineer (SQL)</t>
        </is>
      </c>
      <c r="C24" t="inlineStr">
        <is>
          <t>Meduvi</t>
        </is>
      </c>
      <c r="D24" t="inlineStr">
        <is>
          <t>linkedin</t>
        </is>
      </c>
      <c r="E24" t="inlineStr"/>
      <c r="F24" t="inlineStr"/>
      <c r="G24" t="inlineStr">
        <is>
          <t>Boston, MA</t>
        </is>
      </c>
      <c r="H24" t="inlineStr"/>
      <c r="I24" t="inlineStr">
        <is>
          <t>Full\-Time
 Permanent Hire
 Salary Range: $100,000\-$115,000
 Reporting Mode: Hybrid \- 2 days onsite / 3 days remote per week \- or \- 100% remote
 We’re looking for a Data Engineer to transform, standardize, and model data that powers the business. This role focuses on improving existing ETL pipelines, building new ones to support evolving business needs, and refactoring legacy data pipelines into reliable, scalable, and maintainable data workflows. Also creating new data tables, fields and objects to support upcoming business needs.
 Responsibilities
* Transform, standardize, and aggregate raw data into business\-ready datasets
* Maintain and enhance existing data pipelines, including making code updates to current pipeline loads
* Design and build new ETL pipelines to support new data sources and business requirements
* **Develop and maintain SQL\-based data models, including creating new tables and leveraging existing tables**
* **Develop SQL views and procedures**
* Improve pipeline reliability, performance, and readability by simplifying and standardizing SQL logic
* Partner with business and analytics stakeholders to understand data needs and translate them into scalable data solutions
* Troubleshoot data quality issues and pipeline failures, ensuring accurate and timely data delivery
 Required Skills \&amp; Experience
* 3\+ years data engineering experience.
* Bachelor's degree
* Strong SQL skills, including complex queries, transformations, and data modeling
* Hands\-on experience working with ETL pipelines and data transformations
* Experience using SQL tools such as DBeaver and/or SQL Workbench
* Ability to work with existing legacy pipelines and refactor them into cleaner, more maintainable solutions
 \-\-\-\-\-\-\-\-\-\-\-\-\-\-\-\-\-\-\-\-\-\-\-\-\-\-\-
 Compensation Statement. Please see pay rate within this job posting.
 EEO Statement. We welcome all applicants and qualified individuals, who will receive consideration for employment without regard to their race, color, religion, national origin, sex, sexual orientation, gender identity, protected veteran status or disability.</t>
        </is>
      </c>
    </row>
    <row r="25">
      <c r="A25" t="inlineStr">
        <is>
          <t>li-4369107875</t>
        </is>
      </c>
      <c r="B25" t="inlineStr">
        <is>
          <t>Data Engineer</t>
        </is>
      </c>
      <c r="C25" t="inlineStr">
        <is>
          <t>TalentAlly</t>
        </is>
      </c>
      <c r="D25" t="inlineStr">
        <is>
          <t>linkedin</t>
        </is>
      </c>
      <c r="E25" t="inlineStr"/>
      <c r="F25" t="inlineStr"/>
      <c r="G25" t="inlineStr">
        <is>
          <t>Dallas, TX</t>
        </is>
      </c>
      <c r="H25" t="inlineStr"/>
      <c r="I25" t="inlineStr">
        <is>
          <t>**Guild Mortgage Company** 
 , closing loans and opening doors since 1960\. As a mortgage banking firm we are dedicated to serving the home owner/buyer. Our goal is to provide affordable home financing for our customers, utilizing the best terms available while providing a level of professionalism and service unsurpassed in the lending industry.
**Position Summary**
 The Data Engineer is a key technical position and plays an important role in the organization by performing several activities related to the company’s Information Technology functions. The role is primarily responsible, under limited supervision, for executing the data strategy and analysis efforts within the company’s enterprise data platform by expanding and optimizing data and data pipeline architecture, as well as optimizing data flow and collection from cross functional areas. Responsibilities include supporting software developer, database architects, data analysts and data scientists on various data initiatives as well as ensuring optimal data delivery architecture is maintained as needs grow.
**Compensation**
 This role is an exempt position with a Targeted Salary Range of $92,000 \- $132,000 annually.
 Compensation at Guild is influenced by a wide array of factors including but not limited to local and federal minimum wage requirements, education, level of experience, and applicant’s geographical location.
**Essential Functions**
* Collaborate with key stakeholders, including the business unit leaders, Product, Data \&amp; Technology teams, to assist with their data\-related technical issues and support their data infrastructure needs by collecting data from primary sources and optimizing the data architecture, improving quality of sourced data, and ensuring consistent delivery of data to key stakeholders in a timely manner.
* Extract, Load \&amp; Transform (ELT) data from various primary data sources (internal \&amp; 3rd party) into the data lake to create optimal data pipeline architecture utilizing Snowflake and Informatica tool suites.
* Assemble large, complex data sets that meet functional / non\-functional business requirements.
* Identify, design, and implement internal process improvements: automating manual processes, optimizing data delivery, re\-designing infrastructure for greater scalability, etc.
* Build the infrastructure required for optimal extraction, transformation, and loading of data from a wide variety of data sources using SQL and leading ELT tools. This will include set up and configure Informatica Intelligent Cloud Services Environment and Tools.
* Design and Implement Processes to govern usage of the tools and platform at enterprise level for performance, security and audit compliance.
* Build analytics tools that utilize the data pipeline to provide actionable insights into customer acquisition, operational efficiency and other key business performance metrics.
* Keep our Personally Identifiable Information (PII) data separated and secured through table splitting, data masking, access control restrictions and redundancy (high availability across multiple zones).
* Create data tools for data scientist and analytics team members that assist them in building and optimizing data analysis and reporting.
* Improve the quality of data used for analysis by assessing the accuracy of new data sources and the effectiveness of new data gathering techniques.
* Develop processes and tools to monitor and analyze data warehouse performance and data accuracy.
* Contribute to the team of data professionals by using expertise to answer questions and sharing repeatable design patterns with less experienced teammates, enhancing skillsets and competencies of team members, and sharing technical knowledge throughout the team.
* Participate in stakeholder reviews, and design sessions.
* Provide data, reports, and information to management as needed.
* Identify, track, and monitor trends and avoidable technology\-related errors; work across functions to develop complex solutions, improvements, and stop\-gaps.
* Focus on the continual improvement of policies, procedures, and processes falling under scope of authority.
* Stay abreast of latest technology trends and participate in high\-level decisions impacting the direction of Information Technology function.
* Consistently monitor and model platform usage, database sizes, compute resources and third\-party costs to ensure that the data teams spend is as cost\-efficient as possible.
* Champion data transformation to new ways of working and generating insights.
* Drive strong communications, partnerships, and stakeholder management with senior leaders, functional managers, and staff.
* Perform other duties as assigned.
**Qualifications**
* Bachelors Degree directly related to the position or equivalent, required. BS in Statistics, Computer Science, Data Science, or related quantitative field is required.
* Minimum three years' experience to five years' experience in Data Engineer related role(s).
* Proficient in building and optimizing Big Data pipelines, architecture, and data sets.
* Proficient with data loading, processing, and data warehouse design techniques: star or snowflake schema designs, etc.
* Well versed in Informatica Intelligent Cloud Services, Administration, Environment configuration and set up of various tool suite (Mass Ingestion, CDC, Data Catalog, Data Quality, Data Integration, API Management).
* Proven expertise in developing in Informatica Intelligent Cloud Services and various tools.
* Proven experience with data lake and warehouse best practices and leading products in the marketplace.
* Expert at creating data integrations using Extract, Transform and Load (ETL) tools and modern data pipes.
* Strong knowledge of Kafka, Sparks, ESB and/or other messaging queues, real\-time data integration \&amp; stream processing technologies.
* Proven experience with querying and analyzing data from SQL relational databases such as AuroraDB, IBM DB2, MemSQL, MS SQL Server, MySQL, Postgres, Redshift or Snowflake, and NoSQL Databases such as Cassandra, DynamoDB, Redis, or MongoDB
* Experience with data science languages such as R, and Python as well as general purpose languages such as Java, Scala, C\# or JavaScript.
* Experience collecting structured, semi\-structured and unstructured data in various popular formats and sourced from internal core systems as well as 3rd partner providers such as Google Analytics, Facebook Insights, Zillow, CoreLogic, MLS Data, Public Records, and Property Data
* Experience with data pipeline and workflow management tools: Azkaban, Luigi, Airflow, etc.
* Experience performing root cause analysis on internal and external data and processes to answer specific business questions and identify opportunities for improvement.
* Strong analytical skills to build processes supporting data transformation, data structures, metadata, dependency, and workload management.
* Strong data governance skills to ensure highest quality of data is made available for data analysis and accuracy in reporting.
* Problem solver with an ability to work as a team towards a solution.
* Ability to prioritize multiple tasks in a deadline\-driven environment, strong sense of urgency and responsiveness.
* Strong detail orientation and highly organized with proven ability to lead effectively and drive results in a matrixed management environment.
* Ability to think critically, including the ability to evaluate facts and data to draw conclusions, determine the downstream impact of decisions and associated risks.
* Excellent verbal and written communication skills plus demonstrate strong leadership capabilities.
* Strong interpersonal and team building skills.
* Self\-starter with the demonstrated ability to learn/adapt to new technologies and techniques.
* Highly organized and detail\-oriented; ability to work in a fast\-paced, metrics\-driven environment required.
* Proficiency in Microsoft Office Suite, Word, Excel, Wiki, collaborative cloud\-based programs, and third\-party software applications required.
* Commitment to company values.
* Customer Service \- Proactive attention to each person
* Integrity \- Do and say what's right
* Respect \- Treat others with dignity
* Collaboration \- Listen and work together
* Learning \- Seek knowledge and strive for improvement
* Excellence \- Deliver the unexpected
**Supervision**
* Job Scope: Responsible for understanding the department/functional area objectives and goals and how own job contributes to achievement of these goals; may recommend changes and enhancements based on analysis and evaluation of circumstances.
* Complexity: General precedents may exist for most problems; conducts independent research/analysis to identify the appropriate approach.
* Impact: Decisions and actions primarily impact own work with limited impact on peers in their area, contributes as team member rather than leader.
* Interaction/Supervision: Acts as a mentor/guide to less experienced professional contributor staff in a similar role; works independently and only under general direction; guided by professional standards, desired outcomes, and project plan specifications.
**Requirements**
 Physical: Work is primarily sedentary; mobility in an office setting.
 Manual Dexterity: Frequent use of computer keyboard and mouse.
 Audio/Visual: Ability to accurately interpret sounds and associated meanings at a volume consistent with interpersonal conversation. Regularly required to accurately perceive, distinguish and interpret information received visually and through audio, e.g., words, numbers and other data broadcasted aloud/viewed on a screen, as well as print and other media.
 Environmental: Office environment \- moderate noise, no substantial exposure to adverse environmental conditions.
 Mental: Learn new tasks, remember processes, maintain focus, complete tasks independently, and make timely decisions in the context of a workflow. This role requires effective adaptation to workplace stressors, including customer service complaints, security responsibilities, and competing priorities. Must be able to adhere to process protocol. Must be able to apply established protocols in a timely manner.
 Schedules: Work is primarily performed during the business week, Monday \- Friday.
 Travel: 5% or less
 Guild offers a pleasant work environment, competitive compensation and excellent benefits package; including medical, dental, vision, life insurance, AD\&amp;D, LTD and 401(k) with employer match.
 Guild Mortgage Company is an Equal Opportunity Employer.
 REQ\#: DATAE017824
 Equal Opportunity Employer
 This employer is required to notify all applicants of their rights pursuant to federal employment laws. For further information, please review the Know Your Rights notice from the Department of Labor.PDN\-a1011906\-b496\-45a9\-989f\-90cf2042be6b</t>
        </is>
      </c>
    </row>
    <row r="26">
      <c r="A26" t="inlineStr">
        <is>
          <t>li-4369478371</t>
        </is>
      </c>
      <c r="B26" t="inlineStr">
        <is>
          <t>Sr Data Engineer - Cloud / Systems Administrator</t>
        </is>
      </c>
      <c r="C26" t="inlineStr">
        <is>
          <t>Disney Experiences</t>
        </is>
      </c>
      <c r="D26" t="inlineStr">
        <is>
          <t>linkedin</t>
        </is>
      </c>
      <c r="E26" t="inlineStr"/>
      <c r="F26" t="inlineStr"/>
      <c r="G26" t="inlineStr">
        <is>
          <t>Celebration, FL</t>
        </is>
      </c>
      <c r="H26" t="inlineStr"/>
      <c r="I26" t="inlineStr">
        <is>
          <t>At Disney Experiences Technology, our team creates world\-class immersive digital experiences for the Company’s premier vacation brands including Disney’s Parks \&amp; Resorts worldwide, Disney Cruise Line, Aulani, A Disney Resort \&amp; Spa, and Disney Vacation Club. The Disney Experiences Technology team is responsible for the end\-to\-end digital and physical Guest experience for all technology \&amp; digital\-led initiatives across the Attractions \&amp; Entertainment, Food \&amp; Beverage, Resorts \&amp; Transportation, and Merchandise lines of business as well as other initiatives including the MyDisneyExperience app and Hey, Disney!
**About The Role**
 We’re looking for a Senior Data Engineer \- Cloud Engineer / Systems Administrator to join the Data Analytics \&amp; Innovation Team within Consumer Insight, Measurement \&amp; Analytics (CIMA). In this role, you’ll design, manage, and evolve AWS cloud infrastructure and other cloud technologies that power analytics, automation, and enterprise\-scale platforms across Disney Experiences.
 You’ll play a key role in architecting and securing the foundation of Disney’s data and cloud ecosystem, supporting Cloudera Data Platform (CDP) and other big data environments. This position blends cloud infrastructure expertise, DevOps practices, and security\-first practices to ensure scalability, reliability, and compliance across Disney’s global technology landscape.
 What You’ll Do
* Architect, deploy, and maintain AWS cloud infrastructure and other cloud platforms (S3, EC2, Lambda, ECS, RDS, CloudFormation, VPCs, IAM, etc.) supporting enterprise\-scale data and application workloads
* Build, deploy, and manage containerized environments using Docker, ensuring portability, reliability, and consistent deployments across systems
* Lead the administration and operation of CI/CD platforms such as Jenkins, GitHub Actions, and related automation tools, including pipeline development, configuration, plugin management, and integration with source control
* Support and optimize Cloudera Data Platform (CDP) environments within the cloud ecosystem, ensuring stability, scalability, and secure connectivity with data services and applications
* Develop \&amp; support Infrastructure as Code (IaC) using Terraform and CloudFormation to automate provisioning and configuration management
* Oversee certificate management—including SSL/TLS lifecycle management, PKI integration, and secure communication protocols across services
* Champion security\-first practices, such as IAM governance, KMS encryption, network segmentation, and adherence to Disney Information Security standards
* Monitor and optimize system health through CloudWatch, Datadog, and other observability tools to ensure reliability, performance, and cost efficiency
* Collaborate across CIMA and Disney Experiences to deliver high\-availability, compliant, and cost\-optimized cloud and data systems
* Contribute to Disney’s DevOps culture, emphasizing automation, continuous improvement, and secure infrastructure delivery
**Required Qualifications \&amp; Skills**
* 5\+ years of experience in cloud infrastructure engineering, systems administration, or DevOps roles
* Expertise in AWS services (S3, EC2, Lambda, ECS, RDS, CloudFormation, IAM) and familiarity with other cloud technologies (e.g., GCP or Azure)
* Experience supporting or integrating with Cloudera Data Platform (CDP) or similar large\-scale data platforms
* Proven experience in Jenkins administration or equivalent CI/CD systems—managing users, plugins, jobs, and automation frameworks
* Strong proficiency with Docker and container deployment \&amp; orchestration (ECS, EKS, Kubernetes, or similar technologies)
* Deep understanding of security best practices, including SSL/TLS, certificate management, encryption standards, and secure system design
* Hands\-on experience with Terraform and scripting languages such as Python, Bash, or PowerShell
* Strong communication, troubleshooting, and collaboration skills in an agile, cross\-functional environment
**Preferred Qualifications**
* Experience managing multi\-cloud or hybrid architectures
* Familiarity with big data and analytics ecosystems (Snowflake, Databricks, Spark, Cloudera)
* AWS certifications such as Solutions Architect, SysOps Administrator, or DevOps Engineer
* Understanding of Zero Trust architecture, CSPM tools, or cloud compliance frameworks (Tanium, Splunk, Crowdstrike, wiz.io)
* Strong understanding of Object Oriented Engineering Principles
**Education**
* Bachelor’s degree in computer science, Information Systems, Software, Electrical or Electronics Engineering, or comparable field of study and/or equivalent work experience</t>
        </is>
      </c>
    </row>
    <row r="27">
      <c r="A27" t="inlineStr">
        <is>
          <t>li-4360543925</t>
        </is>
      </c>
      <c r="B27" t="inlineStr">
        <is>
          <t>Senior BI Engineer</t>
        </is>
      </c>
      <c r="C27" t="inlineStr">
        <is>
          <t>Taglynk</t>
        </is>
      </c>
      <c r="D27" t="inlineStr">
        <is>
          <t>linkedin</t>
        </is>
      </c>
      <c r="E27" t="inlineStr"/>
      <c r="F27" t="inlineStr"/>
      <c r="G27" t="inlineStr"/>
      <c r="H27" t="inlineStr"/>
      <c r="I27" t="inlineStr">
        <is>
          <t>As a
 **Sr.BI Engineer** 
 , you are a detail\-oriented problem solver with a passion for turning complex data into actionable insights. You have a deep understanding of data structures, business requirements, and reporting needs, enabling you to design and implement scalable data solutions. Your technical expertise spans data warehousing, pipeline development, and visualization tools, allowing you to empower stakeholders with reliable and efficient data\-driven decisions. You thrive in a collaborative environment, take ownership of data governance, and are proactive in identifying opportunities for process automation and optimization.
**What You’ll Be Doing:** 
**Data Strategy, Architecture, and Ownership** 
 \- Own the end\-to\-end data lifecycle, from ingestion and transformation to delivery, ensuring alignment with business priorities and analytical goals.
 \- Architect and oversee scalable, high\-performance data pipelines and warehouse structures that serve as the foundation for company\-wide analytics and automation.
 \- Partner with Engineering and Product teams to establish data design standards, naming conventions, and quality benchmarks, ensuring long\-term sustainability and performance.
 \- Drive decisions on data architecture, tooling, and storage optimization, balancing scalability, cost, and performance tradeoffs.
**Data Modelling, Quality, and Governance** 
 \- Lead data modeling efforts that transform complex, cross\-domain data into clear and accessible models supporting business\-critical dashboards, experimentation, and AI workloads.
 \- Implement robust data validation frameworks and monitoring systems to proactively detect and resolve data quality issues.
 \- Champion data governance — define standards for access control, lineage, cataloging, and compliance.
 \- Collaborate with security and platform teams to institutionalize best practices for data stewardship and democratized analytics.
**Advanced Analytics and Stakeholder Partnership** 
 \- Partner with senior business stakeholders to identify high\-impact analytical opportunities and translate business questions into scalable data solutions.
 \- Use strong command of SQL, Snowflake, and Python to design complex analytical models and build self\-serve dashboards in Tableau or Looker.
 \- Develop and deliver insight frameworks that enable data\-informed decision\-making across Marketing, Product, and Operations teams.
 \- Mentor analysts and engineers, fostering an environment of learning and technical excellence.
**Innovation, Automation, and Continuous Improvement** 
 \- Continuously evaluate and implement emerging data tools and frameworks to enhance speed, accuracy, and reliability of analytics delivery.
 \- Lead initiatives to automate reporting workflows and implement CI/CD for data pipelines, ensuring reproducibility and scalability.
 \- Partner cross\-functionally to identify and eliminate data bottlenecks, optimizing for both velocity and reliability in decision support.
 \- Drive a culture of proactive problem\-solving through documentation, standardization, and data enablement across teams.
**What You’ll Bring:** 
 To perform this job successfully, an individual must be able to perform each essential duty satisfactorily. The requirements listed below are representative of the knowledge, skill, and/or ability required. Reasonable accommodations may be made to enable individuals with disabilities to perform the essential functions.
**Experience/Education/Certifications Required:** 
 \- 5\+ years of experience in business intelligence, data engineering, analytics, or a related field.
 \- Advanced SQL expertise with experience handling complex queries and data transformations.
 \- Strong knowledge of engineering and operations best practices, including version control, data quality assurance, testing, and monitoring.
 \- Data modeling expertise with experience in ETL, Data Warehousing, and Data Lakes.
 \- Data visualization skills using Tableau to create compelling dashboards and reports.
 \- Programming proficiency in one or more languages (e.g., Python, Java) for data processing and analysis.
 \- Basic knowledge of statistical measures and techniques.
 \- Exceptional communication and collaboration skills, with the ability to communicate complex technical information to less technically sophisticated stakeholders and data professionals.</t>
        </is>
      </c>
    </row>
    <row r="28">
      <c r="A28" t="inlineStr">
        <is>
          <t>li-4260188553</t>
        </is>
      </c>
      <c r="B28" t="inlineStr">
        <is>
          <t>Senior Data Engineer</t>
        </is>
      </c>
      <c r="C28" t="inlineStr">
        <is>
          <t>Maven Clinic</t>
        </is>
      </c>
      <c r="D28" t="inlineStr">
        <is>
          <t>linkedin</t>
        </is>
      </c>
      <c r="E28" t="inlineStr"/>
      <c r="F28" t="inlineStr"/>
      <c r="G28" t="inlineStr">
        <is>
          <t>New York, NY</t>
        </is>
      </c>
      <c r="H28" t="inlineStr"/>
      <c r="I28" t="inlineStr">
        <is>
          <t>Maven is the world's largest virtual clinic for women and families on a mission to make healthcare work for all of us. Maven's award\-winning digital programs provide clinical, emotional, and financial support all in one platform, spanning fertility \&amp; family building, maternity \&amp; newborn care, parenting \&amp; pediatrics, and menopause \&amp; midlife. More than 2,000 employers and health plans trust Maven's end\-to\-end platform to improve clinical outcomes, reduce healthcare costs, and provide equity in benefits programs. Recognized for innovation and industry leadership, Maven has been named to the Time 100 Most Influential Companies, CNBC Disruptor 50, Fast Company Most Innovative Companies, and FORTUNE Best Places to Work. Founded in 2014 by CEO Kate Ryder, Maven has raised more than $425 million in funding from top healthcare and technology investors including General Catalyst, Sequoia, Dragoneer Investment Group, Oak HC/FT, StepStone Group, Icon Ventures, and Lux Capital. To learn more about Maven, visit us at mavenclinic.com.
**An award\-winning culture working towards an important mission – Maven Clinic is a recipient of over 30 workplace and innovation awards, including:**
* Fortune Change the World (2024\)
* CNBC Disruptor 50 List (2022, 2023, 2024\)
* Fortune Best Workplaces for Millennials (2024\)
* Fortune Best Workplaces in Health Care (2024\)
* TIME 100 Most Influential Companies (2023\)
* Fast Company Most Innovative Companies (2020, 2023\)
* Built In Best Places to Work (2023\)
* Fortune Best Workplaces NY (2020, 2021, 2022, 2023, 2024\)
* Great Place to Work certified (2020, 2021, 2022, 2023, 2024\)
* Fast Company Best Workplaces for Innovators (2022\)
* Built In LGBTQIA\+ Advocacy Award (2022\)
 As a Senior Data Engineer at Maven Clinic, you will be responsible for designing, implementing, and maintaining performant and cost\-efficient data pipelines (both batch and streaming). You will also play a key role in shaping Maven’s overall data architecture to expand our data warehouse capabilities and enhance our analytics, machine learning, and AI functions.
 You will work closely with cross\-functional teams to ensure the delivery of high\-quality, well\-governed datasets and data products that empower data\-driven decision\-making across the business and product landscape, ultimately driving Maven’s growth and customer success. You will also collaborate with product and leadership teams to help shape the strategic roadmap for Maven’s data functions.
**As a Senior Data Engineer at Maven, you will:**
* Lead the design, development, and maintenance of high\-performance, cost\-efficient data pipelines \- both batch and streaming.
* Build and maintain robust data ingestion and export workflows that ensure end\-to\-end data quality, observability, and reliability in production environments.
* Collaborate with data platform and backend engineering teams to evolve a scalable, secure, and fault\-tolerant data architecture.
* Drive technical design reviews and provide mentorship on engineering best practices, data architecture principles, and high coding standards.
* Partner with product and service engineering teams to shape and model source datasets, ensuring alignment with a unified data vision across systems.
* Stay ahead of emerging technologies, frameworks, and trends in the data space to inform architectural decisions and drive innovation within the team.
**We’re looking for you to bring:**
* Bachelor's or Master's degree in Computer Science or related field, or equivalent experience.
* 6\+ years of experience in data engineering or backend systems development, with a track record of building scalable, performant, and reliable data solutions.
* Highly proficient in SQL or similar languages for data transformation / ETL and analysis.
* Deep experience in data modeling for large\-scale distributed data warehouses (e.g., BigQuery, Redshift, Snowflake), with a strong understanding of design trade\-offs and best practices.
* Demonstrated ability to collaborate effectively with cross\-functional partners, particularly product, analytics, and operations teams.
* Working proficiency in one of the programming languages (Java, Python, Go, etc.), and hand\-on experience with one of the workflow orchestration tools (eg. Apache Airflow)
* Product\-oriented mindset with a strong focus on scalable, maintainable engineering solutions that meet real business needs.
* Experience leading design reviews and setting engineering standards and architecture direction.
* Strong problem\-solving abilities, with a bias for action and a drive to deliver high\-quality solutions in a fast\-paced environment.
 For candidates in NYC or CO, the salary range for this role is $196,000 \- $230,000 per year. You may also be entitled to receive a bonus, equity, and benefits. Individual pay decisions are based on a number of factors, including qualifications for the role, experience level, and skillset.
 Maven embraces a flexible hybrid work model. Our teams primarily operate from the New York Metropolitan area, NY, and remotely via San Francisco/Bay Area, CA, Seattle, WA, Boston, MA, Chicago, IL, and Washington, D.C. For those in our New York City office, we encourage in\-person collaboration by requiring team members to work onsite three days a week (Tuesday, Wednesday, Thursday). For those based in San Francisco/Bay Area, CA, Seattle, WA, Boston, MA, Chicago, IL, and Washington, D.C., we encourage in\-person collaboration by requiring team members to attend quarterly Work Together Days within these cities. This policy aims to balance remote work flexibility with the benefits of face\-to\-face interaction.
 At Maven we believe that a diverse set of backgrounds and experiences enrich our teams and allow us to achieve above and beyond our goals. If you do not have experience in all of the areas detailed above, we hope that you will share your unique background with us in your application and how it can be additive to our teams.
**Benefits That Work For You**
 Our benefits are designed to support your health, well\-being and career development, helping you thrive both personally and professionally. We remain focused on providing a competitive benefits package for our employees. On top of standards such as employer\-covered health, dental, and insurance plan options, we offer an inclusive approach to benefits:
* Maven for Mavens: access to the full platform and specialists, including care for mental health, reproductive health, family planning and pediatrics.
* Whole\-self care through wellness partnerships
* Hybrid work, in office meals, and work together days
* 16 weeks 100% paid parental leave and new parent stipend (for Mavens who've been with us for 1 year\+)
* Annual professional development stipend and access to a personal career coach through Maven for Mavens
* 401K matching for US\-based employees, with immediate vesting
**These benefits are applicable to Maven Clinic Co., US\-based, full\-time employees only. 1099/Contract Providers are ineligible for these benefits.**
 Maven is an affirmative action and equal opportunity employer. All qualified applicants will receive consideration for employment without regard to race, color, religion, sex, disability, age, sexual orientation, gender identity, national origin, veteran status, or genetic information. Maven is committed to providing access, equal opportunity and reasonable accommodation for individuals with disabilities in employment, its services, programs, and activities. Maven Clinic interview requests and job offers only originate from an @mavenclinic.com email address (e.g jsmith@mavenclinic.com). Maven Clinic will never ask for sensitive information to be delivered over email or phone. If you receive a scam issue or a security issue involving Maven Clinic please notify us at: security@mavenclinic.com. For general and additional inquiries, please contact us at careers@mavenclinic.com.</t>
        </is>
      </c>
    </row>
    <row r="29">
      <c r="A29" t="inlineStr">
        <is>
          <t>li-4234728410</t>
        </is>
      </c>
      <c r="B29" t="inlineStr">
        <is>
          <t>Sr. Data Engineer</t>
        </is>
      </c>
      <c r="C29" t="inlineStr">
        <is>
          <t>Anduril Industries</t>
        </is>
      </c>
      <c r="D29" t="inlineStr">
        <is>
          <t>linkedin</t>
        </is>
      </c>
      <c r="E29" t="inlineStr"/>
      <c r="F29" t="inlineStr"/>
      <c r="G29" t="inlineStr">
        <is>
          <t>Costa Mesa, CA</t>
        </is>
      </c>
      <c r="H29" t="inlineStr"/>
      <c r="I29" t="inlineStr">
        <is>
          <t>Anduril Industries is a defense technology company with a mission to transform U.S. and allied military capabilities with advanced technology. By bringing the expertise, technology, and business model of the 21st century’s most innovative companies to the defense industry, Anduril is changing how military systems are designed, built and sold. Anduril’s family of systems is powered by Lattice OS, an AI\-powered operating system that turns thousands of data streams into a realtime, 3D command and control center. As the world enters an era of strategic competition, Anduril is committed to bringing cutting\-edge autonomy, AI, computer vision, sensor fusion, and networking technology to the military in months, not years.
**About The Team**
 As a Senior Data Engineer on the Analytics Team, you will be collaborating with stakeholders across the company to design, build and implement data pipelines and models that enable our next generation of technology to be deployed around the world. You will have a hand in helping shape the data platform vision at Anduril.
**About The Job**
 We’re looking for software and data engineers who are seeking high impact collaborative roles focused on driving operational execution. Ideally you are looking to learn what it takes to build the next generation of defense technology.
**What You'll Do**
* Lead the design and roadmap for our data platform
* Partner with operations, product, and engineering to advocate best practices and build supporting systems and infrastructure for the various data needs
* Own the ingest and egress frameworks for data pipelines that stitch together various data sources in order to produce valuable data products that drive the business
* Palantir Foundry is our central hub for data driven applications, visualizations and large scale data analysis across the Anduril org. We manage a large user base and provide true data self service at scale.
* We use SQLMesh for data transformations, giving our engineers the ability to work with SQL while enjoying software engineering best practices like version control, testing, and CI/CD for data pipelines.
* For querying data, we utilize Athena, an aws serverless solution that allows our team to run analytics directly on our data lake without managing infrastructure.
* We've implemented Apache Iceberg as our table format, providing advanced data management capabilities like schema evolution and time travel queries.
* We use Flyte for orchestration. It is a highly scalable, kubernetes native modern orchestration platform similar to Airflow or Dagster.
**Required Qualifications**
* 5\+ years of experience in a data engineering role building products, ideally in a fast\-paced environment
* You are motivated by our mission. We are working to solve the biggest problems in defense
* Good foundations in Python or another language
* Experience with Spark, PySpark, SQL and dbt
* Experience with Enterprise Data Systems like Palantir Foundry
* Experience with or interest in learning how to develop data services and data products
* Experience with AWS, Azure, or GCP security ecosystem, containerization, and associated tooling
* Knowledge of data \&amp; visualization tools, such as Tableau
* Understand the importance of engineering with security’s best practices in mind
* You are empathetic: you are eager to see the world from your users’ perspective
* You’re energized by business impact \&amp; a self\-starter: you love to drive the direction of ambiguous projects
* Drive to take ownership of and debug complex data transformation pipelines and data models
* Must be a U.S. Person due to required access to U.S. export controlled information or facilities
 US Salary Range
 $166,000—$220,000 USD
**Healthcare Benefits**
 The salary range for this role is an estimate based on a wide range of compensation factors, inclusive of base salary only. Actual salary offer may vary based on (but not limited to) work experience, education and/or training, critical skills, and/or business considerations. Highly competitive equity grants are included in the majority of full time offers; and are considered part of Anduril's total compensation package. Additionally, Anduril offers top\-tier benefits for full\-time employees, including:
* US Roles: Comprehensive medical, dental, and vision plans at little to no cost to you.
* UK \&amp; AUS Roles: We cover full cost of medical insurance premiums for you and your dependents.
* IE Roles: We offer an annual contribution toward your private health insurance for you and your dependents.
**Additional Benefits**
* Income Protection: Anduril covers life and disability insurance for all employees.
* Generous time off: Highly competitive PTO plans with a holiday hiatus in December. Caregiver \&amp; Wellness Leave is available to care for family members, bond with a new baby, or address your own medical needs.
* Family Planning \&amp; Parenting Support: Coverage for fertility treatments (e.g., IVF, preservation), adoption, and gestational carriers, along with resources to support you and your partner from planning to parenting.
* Mental Health Resources: Access free mental health resources 24/7, including therapy and life coaching. Additional work\-life services, such as legal and financial support, are also available.
* Professional Development: Annual reimbursement for professional development
* Commuter Benefits: Company\-funded commuter benefits based on your region.
* Relocation Assistance: Available depending on role eligibility.
**Retirement Savings Plan**
* US Roles: Traditional 401(k), Roth, and after\-tax (mega backdoor Roth) options.
* UK \&amp; IE Roles: Pension plan with employer match.
* AUS Roles: Superannuation plan.
 The recruiter assigned to this role can share more information about the specific compensation and benefit details associated with this role during the hiring process.
 To view Anduril's candidate data privacy policy, please visit https://anduril.com/applicant\-privacy\-notice/.</t>
        </is>
      </c>
    </row>
    <row r="30">
      <c r="A30" t="inlineStr">
        <is>
          <t>li-4362810100</t>
        </is>
      </c>
      <c r="B30" t="inlineStr">
        <is>
          <t>Senior Associate: Data Engineer</t>
        </is>
      </c>
      <c r="C30" t="inlineStr">
        <is>
          <t>New York Life Insurance Company</t>
        </is>
      </c>
      <c r="D30" t="inlineStr">
        <is>
          <t>linkedin</t>
        </is>
      </c>
      <c r="E30" t="inlineStr"/>
      <c r="F30" t="inlineStr"/>
      <c r="G30" t="inlineStr">
        <is>
          <t>New York, NY</t>
        </is>
      </c>
      <c r="H30" t="inlineStr"/>
      <c r="I30" t="inlineStr">
        <is>
          <t>**Location Designation:** 
 Hybrid \- 3 days per week
 As part of Technology, you'll have the opportunity to contribute to groundbreaking initiatives that shape New York Life's digital landscape. Leverage cutting\-edge technologies like Generative AI to increase productivity, streamline processes, and create seamless experiences for clients, agents, and employees. Your expertise fuels innovation, agility, and growth — driving the company's success.
 At New York Life will join a team of analytics engineers focused on delivering clean, well\-structured, and reliable data to power various business and AI solutions across the enterprise. In this role, you will help define and uphold data and engineering standards, ensuring consistency, quality, and scalability. You will be an instrumental member of the Data and Analytics Engineering team, enabling enterprise\-wide data activation and supporting advanced analytics initiatives.
**What You’ll Do**
* Build and maintain dbt data pipelines to deliver clean, reliable, and well\-structured data for data science and analytics use cases.
* Implement real\-time data ingestion and processing using PySpark and AWS Glue.
* Apply software engineering best practices—including version control, testing, and integration—to all analytics and data development work.
* Review code changes and approve pull requests (PRs) in Git to ensure quality and consistency.
* Partner with stakeholders to explore, analyze, and source data from strategic enterprise data assets.
* Collaborate closely with data scientists on data quality, availability, and business value to support model development and analysis.
* Translate business and technical requirements into Jira stories, define milestones, and manage progress.
* Work with data stewards across New York Life to ensure alignment on data governance and standards.
* Build strong relationships with Technology (IT) teams to support tooling, data strategy, system integrations, and deployment processes.
* Communicate information and ideas effectively to diverse audiences across the organization.
**What You’ll Bring**
* 3\-7\+ years of experience with hands\-on experience building and maintaining dbt data models and transformation pipelines.
* Proficiency with AWS Glue, including ETL development, job orchestration, and catalog integration.
* Strong working knowledge of Databricks, including SQL, notebooks, and distributed data processing.
* Experience with Kafka and streaming data pipelines for real\-time ingestion and processing.
* Strong analytical thinking and problem\-solving skills, with the ability to troubleshoot complex data issues.
* Ability to work collaboratively in cross\-functional teams and communicate technical concepts to non\-technical stakeholders.
* Experience in the insurance industry or other regulated industries (preferred).
**Pay Transparency**
 Salary Range: $100,000\-$143,000
 Overtime eligible: Exempt
 Discretionary bonus eligible: Yes
 Sales bonus eligible: No
 Actual base salary will be determined based on several factors but not limited to individual’s experience, skills, qualifications, and job location. Additionally, employees are eligible for an annual discretionary bonus. In addition to base salary, employees may also be eligible to participate in an incentive program.
**Company Overview**
 At New York Life, our 180\-year legacy of purpose and integrity fuels our future. As we evolve into a more technology\-, data\-, and AI\-enabled organization, we remain grounded in the values that drive lasting impact.
 Our diverse business portfolio creates opportunities to make a difference across industries and communities—inviting bold thinking, collaborative problem\-solving, and purpose\-driven innovation. Here, you’ll find the rare balance of long\-standing stability and forward momentum, supported by an inclusive team that honors tradition while embracing progress.
 As a Fortune 100 mutual company, we offer a place to grow your skills, contribute to meaningful work, and deliver solutions that matter. Your ideas drive what’s next, and your growth powers it.
**Our Benefits**
 We provide a full package of benefits for employees – and have unique offerings for a modern workforce, including leave programs, adoption assistance, and student loan repayment programs. Based on feedback from our employees, we continue to refine and add benefits to our offering, so that you can flourish both inside and outside of work. Click here to discover more about our comprehensive benefit options or visit our NYL Benefits Site.
**Our Commitment to Inclusion**
 At New York Life, fostering an inclusive workplace is fundamental to who we are and how we serve our communities. We have a longstanding commitment to creating an environment where individuals can contribute their best and succeed together. This foundation is rooted in our core values of humanity and integrity, ensuring that every employee feels valued and supported. By embracing a broad range of perspectives and experiences, we achieve greater success and fulfill our promise of providing financial security and peace of mind to families across all communities. Click here to learn more about New York Life’s leadership in this space.
 Recognized as one of
 *Fortune’s* 
 World’s Most Admired Companies, New York Life is committed to improving local communities through a culture of employee giving and volunteerism, supported by the Foundation. We're proud that due to our mutuality, we operate in the best interests of our policy owners. To learn more about career opportunities at New York Life, please visit the Careers page of www.NewYorkLife.com.
 Visit our LinkedIn to see how our employees and agents are leading the industry and impacting communities.
 Visit our Newsroom to learn more about how our company is constantly evolving to meet our clients' and employees’ needs.
 Job Requisition ID: 93045</t>
        </is>
      </c>
    </row>
    <row r="31">
      <c r="A31" t="inlineStr">
        <is>
          <t>li-4322162912</t>
        </is>
      </c>
      <c r="B31" t="inlineStr">
        <is>
          <t>Senior Data Engineer</t>
        </is>
      </c>
      <c r="C31" t="inlineStr">
        <is>
          <t>Hinge</t>
        </is>
      </c>
      <c r="D31" t="inlineStr">
        <is>
          <t>linkedin</t>
        </is>
      </c>
      <c r="E31" t="inlineStr"/>
      <c r="F31" t="inlineStr"/>
      <c r="G31" t="inlineStr">
        <is>
          <t>New York, NY</t>
        </is>
      </c>
      <c r="H31" t="inlineStr"/>
      <c r="I31" t="inlineStr">
        <is>
          <t>**Hinge is the dating app designed to be deleted** 
 In today's digital world, finding genuine relationships is tougher than ever. At Hinge, we’re on a mission to inspire intimate connection to create a less lonely world. We’re obsessed with understanding our users’ behaviors to help them find love, and our success is defined by one simple metric– setting up great dates. With millions of users across the globe, we’ve become the most trusted way to find a relationship, for all.
**About the Role:** 
 As a Senior Data Engineer at Hinge, you will create essential data processes and contribute to components of a modern data pipeline that will be the foundation of Hinge’s decision\-making ability. The systems you help create, the problems you help solve, and the support of our analytical minds, will be pivotal to the success of Hinge. Your work will enable the organization to make data\-driven decisions and drive improvements, which will affect the love lives of millions of people.
 As a Senior Data Engineer on the team, you will be improving core functionality and implementing critical pipelines that will not only aid the Data Engineering team but also the rest of the organization. You will be working on an actual big data architecture while concentrating on real\-world problems.
**Responsibilities:** 
- Work with our data teams to ensure data is flowing accurately through data creation to our presentation layers
- Improve our Data Engineering stack through containerization, data modeling, developing our ETL pipelines, and more
- Use your expertise in data modeling to design, build, and maintain our analytics data warehouse, which provides clean, accurate, and robust data sets that can be leveraged for reporting, analytics, and machine learning initiatives
- Work with stakeholders and translate their needs and expectations into action items and deliverables
- Continue to learn more about the Data Engineering discipline, utilize that knowledge in your deliverables, and identify opportunities to enhance our pipelines
- Participate in our on\-call rotation to ensure system reliability, promptly addressing issues to ensure smooth operations
**What We're Looking For:** 
- 5\+ years of professional/industry experience
- Proficient in Python, SQL, DevOps, and databases
- 5\+ years of professional/industry experience
- Experience delivering data products from conception to delivery and with the infrastructure that supports their underlying processes
- Experience modeling data sets for different types of sources and business processes
- Passionate about designing elegant data infrastructure, tooling, and pipelines
- **Familiarity with our stack** 
 : Kubernetes, Docker, Terraform, Kafka, Airflow, dbt, Looker, AWS technologies (S3, Redshift), GCP technologies (Dataflow, BigQuery). and CI/CD technologies (CircleCI). Spark/Databricks a plus!
**As a member of our team, you’ll enjoy:** 
**401(k) Matching:** 
 We match 100% of the first 10% of pre\-tax 401(k) contributions you make, up to a maximum of $10,000 per year.
**Professional Growth:** 
 Get an annual Learning \&amp; Development stipend once you’ve been with us for three months. You also get free access to Udemy, an online learning and teaching marketplace with over 6000 courses, starting your first day.
**Parental Leave \&amp; Planning:** 
 When you become a new parent, you’re eligible for 100% paid parental leave (20 paid weeks for both birth and non\-birth parents.)
**Fertility Support:** 
 You’ll get easy access to fertility care through Carrot, from basic treatments to fertility preservation. We also provide a stipend towards fertility preservation. You and your spouse/domestic partner are both eligible.
**Date Stipend:** 
 All Hinge employees receive a $100 monthly stipend for epic dates– Romantic or otherwise. Hinge Premium is also free for employees and their loved ones.
**ERGs:** 
 We have eight Employee Resource Groups (ERGs)—Asian, Unapologetic, Disability, LGBTQIA\+, R
 aices
 , Women/Nonbinary, Parents —that hold regular meetings, host events, and provide dedicated support to the organization \&amp; its community.
**At Hinge, our core values are…** 
**Authenticity:** 
 We share, never hide, our words, actions and intentions.
**Courage:** 
 We embrace lofty goals and tough challenges.
**Empathy:** 
 We deeply consider the perspective of others.
**Diversity inspires innovation** 
 Hinge is an equal\-opportunity employer. We value diversity at our company and do not discriminate on the basis of race, religion, color, national origin, gender, sexual orientation, age, marital status, veteran status, or disability status. We believe success is created by a diverse workforce of individuals with different ideas, strengths, interests, and cultural backgrounds.
***If you require reasonable accommodation to complete a job application, pre\-employment testing, or a job interview or to otherwise participate in the hiring process, please let your Talent Acquisition partner know.***
*\#Hinge* 
 Factors such as scope and responsibilities of the position, candidate's work experience, education/training, job\-related skills, internal peer equity, as well as market and business considerations may influence base pay offered. This salary range is reflective of a position based in New York City. This salary will be subject to a geographic adjustment (according to a specific city and state), if an authorization is granted to work outside of the location listed in this posting.</t>
        </is>
      </c>
    </row>
    <row r="32">
      <c r="A32" t="inlineStr">
        <is>
          <t>li-4341569418</t>
        </is>
      </c>
      <c r="B32" t="inlineStr">
        <is>
          <t>Data Platform Engineer Co-op - Fall 2026</t>
        </is>
      </c>
      <c r="C32" t="inlineStr">
        <is>
          <t>Ahold Delhaize USA</t>
        </is>
      </c>
      <c r="D32" t="inlineStr">
        <is>
          <t>linkedin</t>
        </is>
      </c>
      <c r="E32" t="inlineStr"/>
      <c r="F32" t="inlineStr"/>
      <c r="G32" t="inlineStr">
        <is>
          <t>Quincy, MA</t>
        </is>
      </c>
      <c r="H32" t="inlineStr"/>
      <c r="I32" t="inlineStr">
        <is>
          <t>**Category/Area of Expertise:** 
 Co\-Ops
**Job Requisition:** 
 455336
**Address:** 
 USA\-MA\-Quincy\-1385 Hancock Street
**Store Code:** 
 Arch/Data \- Business Intell \&amp; Analy (5119320\)
 Ahold Delhaize USA, a division of global food retailer Ahold Delhaize, is part of the U.S. family of brands, which includes five leading omnichannel grocery brands \- Food Lion, Giant Food, The GIANT Company, Hannaford and Stop \&amp; Shop. Our associates support the brands with a wide range of services, including Finance, Legal, Sustainability, Commercial, Digital and E\-commerce, Technology and more.
**Co\-op Program Overview:**
 Get an insider view of the fast\-changing grocery retail industry while developing relevant business, technical and leadership skills geared towards enhancing your career. This paid Co\-op experience is an opportunity to help drive business results in an environment designed to promote and reward diversity, innovation and leadership. Our mission is to create impactful early talent programs that provide cohorts with meaningful project work, learning and development sessions, and mentorship opportunities.
* Applicants must be currently enrolled in a bachelor's or master's degree program. Applicants must be currently authorized to work in the United States on a full\-time basis and be available from July 13, 2026 through December 4, 2026\. We have a hybrid work environment that requires a minimum of three days a week in the office. Please submit your resume including your cumulative GPA. Transcripts may be requested at a future date.\*\*
* Approximate 6\-month Co\-op session with competitive pay
* Impactful project work to develop your skills/knowledge
* Career assistance \&amp; mentoring in obtaining full time positions within ADUSA
* Leadership speaker sessions and development activities
* One\-on\-one mentoring in your area of interest
* Involvement in group community service events
* Networking and professional engagement opportunities
* Access to online career development tools and resources
* Opportunity to present project work to company leaders and gain executive visibility
**Department/Position Description:**
 Are you passionate about data? Do you like solving complex problems? Then come and join our Business Intelligence \&amp; Analytics team at Ahold Delhaize USA, a startup environment in the middle of a big corporate office. We are looking for creative out\-of\-the\-box problem solvers.
 Our Data \&amp; Analytics teams specialize in delivery of next generation data platform, information driven reporting solutions and works to align technology solutions with business objectives. This development position exposes associates to Cloud technologies and Business Intelligence tools including enterprise data lake, large scale databases, streaming technologies, ETL/ELT, and reporting tools. This position will be responsible for technical design and development of data products, translating requirements into data pipelines and reporting solutions, user acceptance testing to deliver effective solutions.
**Qualifications:**
* Must be enrolled in a BS/BA, MS, or PhD program or a recent graduate in related field
* Genuine excitement and passion for analyzing complex datasets and converting them into the information/insights that drive business decisions at all levels of the organization
* Basic understanding of fundamentals in computer science and programming
* Possess an understanding of business intelligence solutions utilizing advanced excel skills, BI tools in a data warehouse or data mart environment
* Excellent communication skills
* Must be able to adapt quickly to change without being afraid to take on new responsibilities in a fast\-paced team environment while being proactive and action\-oriented
* Experience writing, analyzing, and troubleshooting SQL code in relational database management systems
* Experience with any one of the programming languages Java, Scala, and Python
* Exposure to ETL/ELT, Data warehouse and dimensional modeling concepts
* Ability to propose analytical strategies and solutions as a business need
* Exposure to big data technologies
* Manipulating high\-volume, high\-dimensionality data from varying sources to highlight patterns, anomalies, relationships, and trends
* Ability to work on data pipelines
* Excellent diagnostic, debugging, and troubleshooting skills
**Skills:**
* Computer programming
* Data Management
* Data Analysis
* Data/Software Engineering
* Teamwork
* Good Communication
* Technical Writing
* Gen AI \+ MLOps
 Individual cohort pay rates vary based on location, academic year, and position.
 ME/NC/PA/SC Salary Range: $20\.90 \- $35\.70
 IL/MA/MD Salary Range: $22\.80 \- $37\.30
 At Ahold Delhaize USA, we provide services to one of the largest portfolios of grocery companies in the nation, and we're actively seeking top talent.
 Our team shares a common motivation to drive change, take ownership and enable our brands to better care for their customers. We thrive on supporting great local grocery brands and their strategies.
 Our associates are the heartbeat of our organization. We are committed to offering a welcoming work environment where all associates can succeed and thrive. Guided by our values of courage, care, teamwork, integrity (and even a little humor), we are dedicated to being a great place to work.
 We believe in collaboration, curiosity, and continuous learning in all that we think, create and do. While building a culture where personal and professional growth are just as important as business growth, we invest in our people, empowering them to learn, grow and deliver at all levels of the business.</t>
        </is>
      </c>
    </row>
    <row r="33">
      <c r="A33" t="inlineStr">
        <is>
          <t>li-4362485550</t>
        </is>
      </c>
      <c r="B33" t="inlineStr">
        <is>
          <t>Lead Data Engineer</t>
        </is>
      </c>
      <c r="C33" t="inlineStr">
        <is>
          <t>Salesforce</t>
        </is>
      </c>
      <c r="D33" t="inlineStr">
        <is>
          <t>linkedin</t>
        </is>
      </c>
      <c r="E33" t="inlineStr"/>
      <c r="F33" t="inlineStr"/>
      <c r="G33" t="inlineStr">
        <is>
          <t>Palo Alto, CA</t>
        </is>
      </c>
      <c r="H33" t="inlineStr"/>
      <c r="I33" t="inlineStr">
        <is>
          <t>*To get the best candidate experience, please consider applying for a maximum of 3 roles within 12 months to ensure you are not duplicating efforts.*
 Job Category
 Software Engineering
 Job Details
**About Salesforce**
 Salesforce is the \#1 AI CRM, where humans with agents drive customer success together. Here, ambition meets action. Tech meets trust. And innovation isn’t a buzzword — it’s a way of life. The world of work as we know it is changing and we're looking for Trailblazers who are passionate about bettering business and the world through AI, driving innovation, and keeping Salesforce's core values at the heart of it all.
 Ready to level\-up your career at the company leading workforce transformation in the agentic era? You’re in the right place! Agentforce is the future of AI, and you are the future of Salesforce.
 Salesforce is embarking on our own Digital Transformation to deliver customer success for our customers and accelerate our growth. A key pillar of this transformation is building a strong data foundation to support all of our core marketing needs through intelligent data sets as a service.
 We are seeking a seasoned and committed Lead AI Data Engineer to architect and build next\-generation data pipelines and a central knowledge base for our Marketing organization at Salesforce. In this critical technical leadership role, you will work closely with business partners to translate complex sales and marketing needs into technical requirements, wrangle vast, real\-time data from various systems, and design automated, large\-scale pipelines. Your work will be instrumental in measuring the success of autonomous agents and enabling their global scale. This position requires an experienced professional who thrives in ambiguous, "0\-to\-1" environments and is passionate about building novel, high\-impact AI systems. You will collaborate with internal technology groups to automate the entire data collection and definition process.
**Responsibilities**
* AI/ML Systems at Scale: Design, build, and deploy production\-grade AI/ML systems, with a preference for expertise in agentic systems, search/recommendation platforms, or data\-intensive applications.
* LLM \&amp; Foundation Model Expertise: Extensive hands\-on experience with LLMs, including fine\-tuning, RAG, Context Engineering, Prompt Engineering, and deployment.
* Agent \&amp; Tooling: Develop systems enabling AI agents to reason, plan, and utilize external tools (APIs, databases).
* Technical Skills: Expert in Python and large\-scale data processing technologies.
* Partner with marketing to define data requirements, build rapid POCs, and document specs.
* Automate ETL in Snowflake and Big Query.
* Construct DBT ETL pipelines for data ingestion and transformation.
* Implement GIT CI/CD for DevOps.
* Analyze metrics with business stakeholders to generate actionable insights.
* Develop POC solutions for new marketing metrics to aid decision\-making.
* Design simple, repeatable, and reusable automation data frameworks.
* Oversee BI and data warehouse initiatives for Marketing.
* Review and validate designs against solution architecture and standards.
* Collaborate internally and externally on data collection, analysis, and reporting.
* Provide data support to Data Science teams for model production.
* Work effectively with global teams (North America, EMEA, APAC).
* Manage technical consultant(s).
**Required Skills/Experience**
 Minimum Qualifications:
* Bachelor's in Computer Science or related field with 10\+ years of progressive experience in data engineering, modeling, automation, and analytics.
* Solid, hands\-on expertise in AI/ML, specifically with Large Language Models (LLMs), including fine\-tuning, RAG, Context Engineering, Prompt Engineering, and deployment.
* Robust understanding and clear articulation of data engineering principles, database design, tools, and architecture.
* Proven ability to manage multiple high\-priority projects and meet deadlines.
* Proactive capacity to identify and implement operational improvements.
* Experience with Web analytics platforms and data sets (Google Analytics preferred).
* Proficient in Snowflake, Google Big Query, Redshift, or CDP.
* Solid experience with ETL technologies: DBT, IICS, and FiveTran.
* 10\+ years of proficiency in SQL, Bash, and Python scripting.
* 7\+ years of hands\-on experience with Airflow, CI/CD (Jenkins/similar), and GitHub.
* Substantial experience with AWS technologies: ECS, CloudWatch, and Lambda.
* Prior experience mentoring junior team members in a customer\-focused environment.
* Experience collaborating closely with Analytics/Data Science teams.
* Essential team\-first mentality and excellent interpersonal skills.
* Must proactively communicate status, identify risks, and drive results with minimal supervision.
* Highly motivated self\-starter, agile in adapting to shifting priorities, and a critical thinker for innovative solutions under stringent deadlines.
**Preferred**
* Experience working with globally distributed engineering teams.
* Experience with data visualization tools (e.g., Tableau).
* Experience with Marketing technology.
 Unleash Your Potential
 When you join Salesforce, you’ll be limitless in all areas of your life. Our benefits and resources support you to find balance and
 *be your best* 
 , and our AI agents accelerate your impact so you can
 *do your best* 
 . Together, we’ll bring the power of Agentforce to organizations of all sizes and deliver amazing experiences that customers love. Apply today to not only shape the future — but to redefine what’s possible — for yourself, for AI, and the world.
 Accommodations
 If you require assistance due to a disability applying for open positions please submit a request via this Accommodations Request Form.
 Posting Statement
 Salesforce is an equal opportunity employer and maintains a policy of non\-discrimination with all employees and applicants for employment. What does that mean exactly? It means that at Salesforce, we believe in equality for all. And we believe we can lead the path to equality in part by creating a workplace that’s inclusive, and free from discrimination. Know your rights: workplace discrimination is illegal. Any employee or potential employee will be assessed on the basis of merit, competence and qualifications – without regard to race, religion, color, national origin, sex, sexual orientation, gender expression or identity, transgender status, age, disability, veteran or marital status, political viewpoint, or other classifications protected by law. This policy applies to current and prospective employees, no matter where they are in their Salesforce employment journey. It also applies to recruiting, hiring, job assignment, compensation, promotion, benefits, training, assessment of job performance, discipline, termination, and everything in between. Recruiting, hiring, and promotion decisions at Salesforce are fair and based on merit. The same goes for compensation, benefits, promotions, transfers, reduction in workforce, recall, training, and education.
 In the United States, compensation offered will be determined by factors such as location, job level, job\-related knowledge, skills, and experience. Certain roles may be eligible for incentive compensation, equity, and benefits. Salesforce offers a variety of benefits to help you live well including: time off programs, medical, dental, vision, mental health support, paid parental leave, life and disability insurance, 401(k), and an employee stock purchasing program. More details about company benefits can be found at the following link: https://www.salesforcebenefits.com.Pursuant to the San Francisco Fair Chance Ordinance and the Los Angeles Fair Chance Initiative for Hiring, Salesforce will consider for employment qualified applicants with arrest and conviction records.
 At Salesforce, we believe in equitable compensation practices that reflect the dynamic nature of labor markets across various regions. The typical base salary range for this position is $167,300 \- $253,000 annually. In select cities within the San Francisco and New York City metropolitan area, the base salary range for this role is $200,800 \- $276,100 annually. The range represents base salary only, and does not include company bonus, incentive for sales roles, equity or benefits, as applicable.</t>
        </is>
      </c>
    </row>
    <row r="34">
      <c r="A34" t="inlineStr">
        <is>
          <t>li-4362456578</t>
        </is>
      </c>
      <c r="B34" t="inlineStr">
        <is>
          <t>Lead Data Engineer</t>
        </is>
      </c>
      <c r="C34" t="inlineStr">
        <is>
          <t>Salesforce</t>
        </is>
      </c>
      <c r="D34" t="inlineStr">
        <is>
          <t>linkedin</t>
        </is>
      </c>
      <c r="E34" t="inlineStr"/>
      <c r="F34" t="inlineStr"/>
      <c r="G34" t="inlineStr">
        <is>
          <t>San Francisco, CA</t>
        </is>
      </c>
      <c r="H34" t="inlineStr"/>
      <c r="I34" t="inlineStr">
        <is>
          <t>*To get the best candidate experience, please consider applying for a maximum of 3 roles within 12 months to ensure you are not duplicating efforts.*
 Job Category
 Software Engineering
 Job Details
**About Salesforce**
 Salesforce is the \#1 AI CRM, where humans with agents drive customer success together. Here, ambition meets action. Tech meets trust. And innovation isn’t a buzzword — it’s a way of life. The world of work as we know it is changing and we're looking for Trailblazers who are passionate about bettering business and the world through AI, driving innovation, and keeping Salesforce's core values at the heart of it all.
 Ready to level\-up your career at the company leading workforce transformation in the agentic era? You’re in the right place! Agentforce is the future of AI, and you are the future of Salesforce.
 Salesforce is embarking on our own Digital Transformation to deliver customer success for our customers and accelerate our growth. A key pillar of this transformation is building a strong data foundation to support all of our core marketing needs through intelligent data sets as a service.
 We are seeking a seasoned and committed Lead AI Data Engineer to architect and build next\-generation data pipelines and a central knowledge base for our Marketing organization at Salesforce. In this critical technical leadership role, you will work closely with business partners to translate complex sales and marketing needs into technical requirements, wrangle vast, real\-time data from various systems, and design automated, large\-scale pipelines. Your work will be instrumental in measuring the success of autonomous agents and enabling their global scale. This position requires an experienced professional who thrives in ambiguous, "0\-to\-1" environments and is passionate about building novel, high\-impact AI systems. You will collaborate with internal technology groups to automate the entire data collection and definition process.
**Responsibilities**
* AI/ML Systems at Scale: Design, build, and deploy production\-grade AI/ML systems, with a preference for expertise in agentic systems, search/recommendation platforms, or data\-intensive applications.
* LLM \&amp; Foundation Model Expertise: Extensive hands\-on experience with LLMs, including fine\-tuning, RAG, Context Engineering, Prompt Engineering, and deployment.
* Agent \&amp; Tooling: Develop systems enabling AI agents to reason, plan, and utilize external tools (APIs, databases).
* Technical Skills: Expert in Python and large\-scale data processing technologies.
* Partner with marketing to define data requirements, build rapid POCs, and document specs.
* Automate ETL in Snowflake and Big Query.
* Construct DBT ETL pipelines for data ingestion and transformation.
* Implement GIT CI/CD for DevOps.
* Analyze metrics with business stakeholders to generate actionable insights.
* Develop POC solutions for new marketing metrics to aid decision\-making.
* Design simple, repeatable, and reusable automation data frameworks.
* Oversee BI and data warehouse initiatives for Marketing.
* Review and validate designs against solution architecture and standards.
* Collaborate internally and externally on data collection, analysis, and reporting.
* Provide data support to Data Science teams for model production.
* Work effectively with global teams (North America, EMEA, APAC).
* Manage technical consultant(s).
**Required Skills/Experience**
 Minimum Qualifications:
* Bachelor's in Computer Science or related field with 10\+ years of progressive experience in data engineering, modeling, automation, and analytics.
* Solid, hands\-on expertise in AI/ML, specifically with Large Language Models (LLMs), including fine\-tuning, RAG, Context Engineering, Prompt Engineering, and deployment.
* Robust understanding and clear articulation of data engineering principles, database design, tools, and architecture.
* Proven ability to manage multiple high\-priority projects and meet deadlines.
* Proactive capacity to identify and implement operational improvements.
* Experience with Web analytics platforms and data sets (Google Analytics preferred).
* Proficient in Snowflake, Google Big Query, Redshift, or CDP.
* Solid experience with ETL technologies: DBT, IICS, and FiveTran.
* 10\+ years of proficiency in SQL, Bash, and Python scripting.
* 7\+ years of hands\-on experience with Airflow, CI/CD (Jenkins/similar), and GitHub.
* Substantial experience with AWS technologies: ECS, CloudWatch, and Lambda.
* Prior experience mentoring junior team members in a customer\-focused environment.
* Experience collaborating closely with Analytics/Data Science teams.
* Essential team\-first mentality and excellent interpersonal skills.
* Must proactively communicate status, identify risks, and drive results with minimal supervision.
* Highly motivated self\-starter, agile in adapting to shifting priorities, and a critical thinker for innovative solutions under stringent deadlines.
**Preferred**
* Experience working with globally distributed engineering teams.
* Experience with data visualization tools (e.g., Tableau).
* Experience with Marketing technology.
 Unleash Your Potential
 When you join Salesforce, you’ll be limitless in all areas of your life. Our benefits and resources support you to find balance and
 *be your best* 
 , and our AI agents accelerate your impact so you can
 *do your best* 
 . Together, we’ll bring the power of Agentforce to organizations of all sizes and deliver amazing experiences that customers love. Apply today to not only shape the future — but to redefine what’s possible — for yourself, for AI, and the world.
 Accommodations
 If you require assistance due to a disability applying for open positions please submit a request via this Accommodations Request Form.
 Posting Statement
 Salesforce is an equal opportunity employer and maintains a policy of non\-discrimination with all employees and applicants for employment. What does that mean exactly? It means that at Salesforce, we believe in equality for all. And we believe we can lead the path to equality in part by creating a workplace that’s inclusive, and free from discrimination. Know your rights: workplace discrimination is illegal. Any employee or potential employee will be assessed on the basis of merit, competence and qualifications – without regard to race, religion, color, national origin, sex, sexual orientation, gender expression or identity, transgender status, age, disability, veteran or marital status, political viewpoint, or other classifications protected by law. This policy applies to current and prospective employees, no matter where they are in their Salesforce employment journey. It also applies to recruiting, hiring, job assignment, compensation, promotion, benefits, training, assessment of job performance, discipline, termination, and everything in between. Recruiting, hiring, and promotion decisions at Salesforce are fair and based on merit. The same goes for compensation, benefits, promotions, transfers, reduction in workforce, recall, training, and education.
 In the United States, compensation offered will be determined by factors such as location, job level, job\-related knowledge, skills, and experience. Certain roles may be eligible for incentive compensation, equity, and benefits. Salesforce offers a variety of benefits to help you live well including: time off programs, medical, dental, vision, mental health support, paid parental leave, life and disability insurance, 401(k), and an employee stock purchasing program. More details about company benefits can be found at the following link: https://www.salesforcebenefits.com.Pursuant to the San Francisco Fair Chance Ordinance and the Los Angeles Fair Chance Initiative for Hiring, Salesforce will consider for employment qualified applicants with arrest and conviction records.
 At Salesforce, we believe in equitable compensation practices that reflect the dynamic nature of labor markets across various regions. The typical base salary range for this position is $167,300 \- $253,000 annually. In select cities within the San Francisco and New York City metropolitan area, the base salary range for this role is $200,800 \- $276,100 annually. The range represents base salary only, and does not include company bonus, incentive for sales roles, equity or benefits, as applicable.</t>
        </is>
      </c>
    </row>
    <row r="35">
      <c r="A35" t="inlineStr">
        <is>
          <t>li-4341799003</t>
        </is>
      </c>
      <c r="B35" t="inlineStr">
        <is>
          <t>Data Platform Engineer Co-op - Fall 2026</t>
        </is>
      </c>
      <c r="C35" t="inlineStr">
        <is>
          <t>Ahold Delhaize USA</t>
        </is>
      </c>
      <c r="D35" t="inlineStr">
        <is>
          <t>linkedin</t>
        </is>
      </c>
      <c r="E35" t="inlineStr"/>
      <c r="F35" t="inlineStr"/>
      <c r="G35" t="inlineStr">
        <is>
          <t>Quincy, MA</t>
        </is>
      </c>
      <c r="H35" t="inlineStr"/>
      <c r="I35" t="inlineStr">
        <is>
          <t>**Category/Area of Expertise:** 
 Co\-Ops
**Job Requisition:** 
 455358
**Address:** 
 USA\-MA\-Quincy\-1385 Hancock Street
**Store Code:** 
 Arch/Data \- Business Intell \&amp; Analy (5119320\)
 Ahold Delhaize USA, a division of global food retailer Ahold Delhaize, is part of the U.S. family of brands, which includes five leading omnichannel grocery brands \- Food Lion, Giant Food, The GIANT Company, Hannaford and Stop \&amp; Shop. Our associates support the brands with a wide range of services, including Finance, Legal, Sustainability, Commercial, Digital and E\-commerce, Technology and more.
**Co\-op Program Overview:**
 Get an insider view of the fast\-changing grocery retail industry while developing relevant business, technical and leadership skills geared towards enhancing your career. This paid Co\-op experience is an opportunity to help drive business results in an environment designed to promote and reward diversity, innovation and leadership. Our mission is to create impactful early talent programs that provide cohorts with meaningful project work, learning and development sessions, and mentorship opportunities.
* Applicants must be currently enrolled in a bachelor's or master's degree program. Applicants must be currently authorized to work in the United States on a full\-time basis and be available from July 13, 2026 through December 4, 2026\. We have a hybrid work environment that requires a minimum of three days a week in the office. Please submit your resume including your cumulative GPA. Transcripts may be requested at a future date.\*\*
* Approximate 6\-month Co\-op session with competitive pay
* Impactful project work to develop your skills/knowledge
* Career assistance \&amp; mentoring in obtaining full time positions within ADUSA
* Leadership speaker sessions and development activities
* One\-on\-one mentoring in your area of interest
* Involvement in group community service events
* Networking and professional engagement opportunities
* Access to online career development tools and resources
* Opportunity to present project work to company leaders and gain executive visibility
**Department/Position Description:**
 Are you passionate about data? Do you like solving complex problems? Then come and join our Business Intelligence \&amp; Analytics team at Ahold Delhaize USA, a startup environment in the middle of a big corporate office. We are looking for creative out\-of\-the\-box problem solvers.
 Our Data \&amp; Analytics teams specialize in delivery of next generation data platform, information driven reporting solutions and works to align technology solutions with business objectives. This development position exposes associates to Cloud technologies and Business Intelligence tools including enterprise data lake, large scale databases, streaming technologies, ETL/ELT, and reporting tools. This position will be responsible for technical design and development of data products, translating requirements into data pipelines and reporting solutions, user acceptance testing to deliver effective solutions.
**Qualifications:**
* Must be enrolled in a BS/BA, MS, or PhD program or a recent graduate in related field
* Genuine excitement and passion for analyzing complex datasets and converting them into the information/insights that drive business decisions at all levels of the organization
* Basic understanding of fundamentals in computer science and programming
* Possess an understanding of business intelligence solutions utilizing advanced excel skills, BI tools in a data warehouse or data mart environment
* Excellent communication skills
* Must be able to adapt quickly to change without being afraid to take on new responsibilities in a fast\-paced team environment while being proactive and action\-oriented
* Experience writing, analyzing, and troubleshooting SQL code in relational database management systems
* Experience with any one of the programming languages Java, Scala, and Python
* Exposure to ETL/ELT, Data warehouse and dimensional modeling concepts
* Ability to propose analytical strategies and solutions as a business need
* Exposure to big data technologies
* Manipulating high\-volume, high\-dimensionality data from varying sources to highlight patterns, anomalies, relationships, and trends
* Ability to work on data pipelines
* Excellent diagnostic, debugging, and troubleshooting skills
**Skills:**
* Computer programming
* Data Management
* Data Analysis
* Data/Software Engineering
* Teamwork
* Good Communication
* Technical Writing
* Gen AI \+ MLOps
 Individual cohort pay rates vary based on location, academic year, and position.
 ME/NC/PA/SC Salary Range: $20\.90 \- $35\.70
 IL/MA/MD Salary Range: $22\.80 \- $37\.30
 At Ahold Delhaize USA, we provide services to one of the largest portfolios of grocery companies in the nation, and we're actively seeking top talent.
 Our team shares a common motivation to drive change, take ownership and enable our brands to better care for their customers. We thrive on supporting great local grocery brands and their strategies.
 Our associates are the heartbeat of our organization. We are committed to offering a welcoming work environment where all associates can succeed and thrive. Guided by our values of courage, care, teamwork, integrity (and even a little humor), we are dedicated to being a great place to work.
 We believe in collaboration, curiosity, and continuous learning in all that we think, create and do. While building a culture where personal and professional growth are just as important as business growth, we invest in our people, empowering them to learn, grow and deliver at all levels of the business.</t>
        </is>
      </c>
    </row>
    <row r="36">
      <c r="A36" t="inlineStr">
        <is>
          <t>li-4357492872</t>
        </is>
      </c>
      <c r="B36" t="inlineStr">
        <is>
          <t>Data Engineer / Data Scientist / Data Architect - Full time</t>
        </is>
      </c>
      <c r="C36" t="inlineStr">
        <is>
          <t>Ztek Consulting</t>
        </is>
      </c>
      <c r="D36" t="inlineStr">
        <is>
          <t>linkedin</t>
        </is>
      </c>
      <c r="E36" t="inlineStr"/>
      <c r="F36" t="inlineStr"/>
      <c r="G36" t="inlineStr">
        <is>
          <t>Vienna, VA</t>
        </is>
      </c>
      <c r="H36" t="inlineStr"/>
      <c r="I36" t="inlineStr">
        <is>
          <t>Below are the 3 roles open:
 1\) Data Engineer
 2\) Data Scientist
 3\) Data Architect
**Job Descriptions:** 
**Data Engineer Job Description :** 
* Design, build, and optimize batch and real\-time data pipelines using Python, SQL, Airflow, Kafka, and AWS Glue
* Lead scalable ETL and data lake architectures across distributed cloud environments
* Ensure data quality, governance, security, and compliance while supporting analytics and data science needs
* Mentor junior engineers and collaborate with stakeholders to deliver reliable, well\-documented data solutions
**Data Scientist Job Description :** 
* 3\+ years of experience in statistical modeling and applied data analysis, including regression, classification, clustering, and time\-series analysis
* Proficient in Python or R, with hands\-on experience in data wrangling, visualization, and model development
* Strong experience with SQL/Spark SQL, basic data modeling, and cloud platforms (AWS, Azure, or GCP)
* Excellent ability to communicate complex insights and manage multiple priorities effectively
**Data Architect Job Description :** 
* Lead and mentor data engineering teams while architecting and building enterprise\-scale data platforms from design through production
* Develop and optimize production\-grade ETL/ELT pipelines, data models, and data warehouses using Python, SQL, PySpark, and cloud platforms (AWS/GCP)
* Implement CI/CD, data governance, quality frameworks, and secure, compliant data solutions aligned with federal/VA standards
* Collaborate with cross\-functional stakeholders to translate business requirements into scalable, high\-quality data solutions</t>
        </is>
      </c>
    </row>
    <row r="37">
      <c r="A37" t="inlineStr">
        <is>
          <t>li-4361001685</t>
        </is>
      </c>
      <c r="B37" t="inlineStr">
        <is>
          <t>Senior Data Engineer (Python, NodeJS, Java)</t>
        </is>
      </c>
      <c r="C37" t="inlineStr">
        <is>
          <t>Elsevier</t>
        </is>
      </c>
      <c r="D37" t="inlineStr">
        <is>
          <t>linkedin</t>
        </is>
      </c>
      <c r="E37" t="inlineStr"/>
      <c r="F37" t="inlineStr"/>
      <c r="G37" t="inlineStr">
        <is>
          <t>Philadelphia, PA</t>
        </is>
      </c>
      <c r="H37" t="inlineStr"/>
      <c r="I37" t="inlineStr">
        <is>
          <t>About the role: This position performs data engineering \- typically across multiple components; is developing the skills of mentoring junior members of the team and works with others to talk to users/customers and translates their requests into solutions. We are not looking to hire a Data Scientist.
 About the team: This diverse team is actively involved in developing advanced information and decision support tools for healthcare professionals. One notable initiative is the launch of ClinicalKey AI, a generative AI\-driven clinical decision support tool developed in partnership with OpenEvidence. This tool offers a conversational search interface, enabling physicians to quickly access accurate, evidence\-based medical information, thereby enhancing clinical decision\-making at the point of care.
 Qualifications
* Experience with backend programming languages including Python, NodeJS, Java
* Experience designing, developing and maintaining complex ETL pipelines
* ·Knowledge of Database technologies (SQL, NOSQL)
* Familiarity with cloud technologies (AWS, Azure, GCP)
* Experience with (shared) source control (Git, Github, Gitlab, SVN)
* Familiarity with unit/integration testing
* Experience documenting and sharing solutions
* Proficiency in giving great reviews of their peers' work. This includes being respectful, thorough, thoughtful, flexible, and not pedantic.
 Responsibilities
* Handling medium\- to larger\-sized tasks with minimal assistance needed.
* Designing components and modules pairing while mentoring more junior engineers in the activity.
* Troubleshooting and debugging issues, provide solutions, and collaborate with quality engineering and product teams.
* Communicating openly and clearly, whether discussing ideas, asking questions, or providing feedback. Be mindful of clarity and approach.
* Showing empathy towards colleagues, be open to feedback, and approach situations with humility, acknowledging that everyone can learn from others.
 Elsevier employs 10,000 people worldwide, including over 2,500 technologists. We have supported the work of our research and health partners for more than 140 years. Growing from our roots in publishing, we offer knowledge and valuable analytics that help our users make breakthroughs and drive societal progress.
 Digital solutions such as ScienceDirect, Scopus, SciVal, ClinicalKey and Sherpath support strategic research management, R\&amp;D performance, clinical decision support, medical education, and nursing education. Researchers and healthcare professionals rely on over 2,800 journals, including The Lancet and Cell; 46,000\+ eBook titles; and iconic reference works, such as Gray's Anatomy. With the Elsevier Foundation and our external Inclusion \&amp; Diversity Advisory Board, we work in partnership with diverse stakeholders to advance inclusion and diversity in science, research and healthcare in developing countries and around the world.
 Elsevier is part of RELX a global provider of information\-based analytics and decision tools for professional and business customers</t>
        </is>
      </c>
    </row>
    <row r="38">
      <c r="A38" t="inlineStr">
        <is>
          <t>li-4366318819</t>
        </is>
      </c>
      <c r="B38" t="inlineStr">
        <is>
          <t>2-Senior Data Engineers Needed | Major NYC Hospital | Snowflake Exp. | Salary + Bonus!</t>
        </is>
      </c>
      <c r="C38" t="inlineStr">
        <is>
          <t>Integris Group</t>
        </is>
      </c>
      <c r="D38" t="inlineStr">
        <is>
          <t>linkedin</t>
        </is>
      </c>
      <c r="E38" t="inlineStr"/>
      <c r="F38" t="inlineStr"/>
      <c r="G38" t="inlineStr"/>
      <c r="H38" t="inlineStr"/>
      <c r="I38" t="inlineStr">
        <is>
          <t>Integris Group is partnering with a leading New York City hospital to hire
 **(2\) Senior Data Engineers** 
 for full\-time, permanent roles who have strong experience with
 **Snowflake!** 
 This is a
 **Hybrid position
 *(4 days Onsite, 1 Day Remote – no exceptions)***
 offering a competitive salary, annual bonus, 401(k), PTO, and top\-tier medical, dental, and vision benefits, along with additional excellent company perks.
**Job Title:** 
**2\-Senior Data Engineer's** 
 (last two spots left on the team).
**Location:** 
 New York, NY
**Position Type:** 
***Full\-Time, Hybrid (4 day's Onsite \| 1 day Remote)***
**About the Role:** 
 Our client is seeking 2 highly motivated and experienced Senior Data Engineer to join their data team and help design, build, and optimize their modern data platform. You will work with tools such as
 **Snowflake, Fivetran, and DBT** 
 to create scalable, high\-performance data pipelines and analytics solutions. This role will be instrumental in enabling advanced analytics, machine learning, and data\-driven decision\-making across the organization. The job itself is not just architecture (these senior engineers will do some as they are designing the data models, pipelines, version control, governance, etc.), but then they will also execute (engineer) \&amp; deliver that work.
**Key Responsibilities:** 
* Design, build, and maintain robust, scalable, and secure ETL/ELT pipelines.
* Develop and optimize data models to support analytics, BI, and machine learning use cases.
* Partner closely with data analysts, scientists, and business stakeholders to translate requirements into technical solutions.
* Monitor, tune, and optimize data processing workflows for efficiency, scalability, and cost\-effectiveness.
* Troubleshoot pipeline failures and performance issues quickly and effectively.
* Support production workflows through CI/CD pipelines and version control (Git).
* Ensure data quality, integrity, and governance across the data lifecycle.
* Prototype and research new tools, technologies, and architectures for improving the existing data infrastructure.
**The ideal candidate has:** 
* Bachelor’s or Master’s degree in Computer Science, Engineering, Information Systems, or equivalent experience.
* Hands\-on experience with cloud\-based data warehouse platforms (e.g.
 **Snowflake** 
 ).
* Experience designing and deploying data pipelines using orchestration tools like
 **DBT** 
*or* 
**Airflow.**
* 5\+ years’ experience supporting data\-driven or ML applications in production environments.
* Understanding of modern data architecture, ELT/ETL best practices, and cloud data platforms i.e. (Azure or AWS or GCP).
* Ability to analyze large datasets to identify data quality issues and other contextual insights.
* Experience in developing data models for integration and analysis that support business intelligence and data analytics initiatives.
* Experience with CI/CD and version control tools (e.g. Git).
* Proficiency with SQL and experience in at least one programming language (e.g., Python, Scala).
* A proven ability to operate in a fast\-paced work environment.
* Excellent communication and organizational skills with a demonstrated team orientation with strong ability to drive projects autonomously as needed.
**We’d like to see:** 
* Familiarity with Infrastructure as Code (IaC), and containerization (Docker, Kubernetes).
* Knowledge of data governance, security, and compliance frameworks.
* Experience in data modeling for large\-scale distributed data warehouses with a strong understanding of design trade\-offs and best practices.</t>
        </is>
      </c>
    </row>
    <row r="39">
      <c r="A39" t="inlineStr">
        <is>
          <t>li-4366369765</t>
        </is>
      </c>
      <c r="B39" t="inlineStr">
        <is>
          <t>Staff Data Platform Engineer</t>
        </is>
      </c>
      <c r="C39" t="inlineStr">
        <is>
          <t>Orbis Group</t>
        </is>
      </c>
      <c r="D39" t="inlineStr">
        <is>
          <t>linkedin</t>
        </is>
      </c>
      <c r="E39" t="inlineStr"/>
      <c r="F39" t="inlineStr"/>
      <c r="G39" t="inlineStr"/>
      <c r="H39" t="inlineStr"/>
      <c r="I39" t="inlineStr">
        <is>
          <t>**Staff Data Platform Engineer \- up to \~£310,000 base \+ substantial equity** 
 📍 San Francisco or New York
 I’m working with a
 **high\-growth, product\-led software company** 
 that’s built a category\-defining platform used by modern GTM teams to find, research, and engage the right customers. The company has crossed
 **$100M in revenue** 
 , raised a
 **large growth round** 
 , and is now scaling the core systems that underpin the product as usage and customer complexity increase.
 At the heart of this is the data platform.
 The team owns all
 **people and jobs data** 
 , which directly powers
 **search, enrichments, and signals** 
 across the platform. As the company scales, they’re investing heavily in the systems that keep this data
 **fresh, reliable, and accurate** 
 , including live web scraping and continuous refresh pipelines.
 They’re now hiring a
 **Staff Data Platform Engineer** 
 to help build and scale this core foundation.
**What you’ll be working on** 
* Designing and building
 **software\-oriented data systems** 
 (not classic BI / analytics)
* Owning the platforms that ingest, refresh, and serve people and jobs data
* Working on
 **live web scraping** 
 , data freshness, and reliability at scale
* Building internal data services that power product features like search and enrichment
* Shaping architecture and technical direction as the platform grows
**What they’re looking for** 
* Experience working on
 **data platforms where data is central to the product**
* Strong software engineering background with a data focus
* Comfortable operating at
 **Staff level** 
 with real ownership and technical judgment
* Experience with distributed systems and production data workloads
* Product\-minded — you care how data is used, not just how it’s stored
**Location \&amp; comp** 
* San Francisco or New York
* Up to \~$310,000 base
* **Very strong equity with real liquidity history**
 If this sounds interesting to you, apply below!</t>
        </is>
      </c>
    </row>
    <row r="40">
      <c r="A40" t="inlineStr">
        <is>
          <t>li-4325531309</t>
        </is>
      </c>
      <c r="B40" t="inlineStr">
        <is>
          <t>Data Engineer</t>
        </is>
      </c>
      <c r="C40" t="inlineStr">
        <is>
          <t>MANTECH</t>
        </is>
      </c>
      <c r="D40" t="inlineStr">
        <is>
          <t>linkedin</t>
        </is>
      </c>
      <c r="E40" t="inlineStr"/>
      <c r="F40" t="inlineStr"/>
      <c r="G40" t="inlineStr">
        <is>
          <t>Chantilly, VA</t>
        </is>
      </c>
      <c r="H40" t="inlineStr"/>
      <c r="I40" t="inlineStr">
        <is>
          <t>**MANTECH** 
 seeks a motivated, career and customer\-oriented
 **Data Engineer** 
 to join our team in
 **Chantilly, VA.**
**Responsibilities Include But Are Not Limited To**
* Assisting in the responsibility for the lifecycle of all data that enters the Insider Threat IT architecture.
* Helping facilitation of the ingest of data from external data sources, regardless of format or origin, for consumption by the data processing infrastructure.
* Maintaining the big data processing ecosystem, including COTS and GOTS hardware and software, from cradle to grave.
* Extract Transform Load (ETL) all arriving data to common database formats for use in advanced analytics.
* Diagnosing and resolving data integrity and data qualify issues, as well as, integrating new datasets as they are created and/or received.
* Ability to travel domestically.
**Minimum Qualifications**
* Bachelor’s degree and 5\+ years of relevant experience in information technology, leveraging software applications and tools to meet customer requirements.
* In lieu of a Bachelor’s: Associates’ degree and 7\+ years of relevant experience in information technology, leveraging software applications and tools to meet customer requirements.
* Current DoD 8570 IAT II certification (CySA\+ or equivalent) or ability to obtain one within 180 days.
* Experience with Python, SQL, and other applicable development/coding languages.
* Experience in systems development to include design, modeling, security integration and testing.
* Ability to problem solve and develop solutions to a variety of complex engineering problems.
**Desired Qualifications**
* Bachelor’s degree in Computer Science, Systems Engineering, or other IT\-related discipline.
**Clearance Requirements**
* Must have a current/active TS/SCI w/Polygraph.
**Physical Requirements**
* Must be able to remain in a stationary position 50%
* Needs to occasionally move about inside the office to access file cabinets, office machinery, etc.
* Frequently communicates with co\-workers, management, and customers, which may involve delivering presentations.
* Must be able to exchange accurate information in these situations.</t>
        </is>
      </c>
    </row>
    <row r="41">
      <c r="A41" t="inlineStr">
        <is>
          <t>li-4369100420</t>
        </is>
      </c>
      <c r="B41" t="inlineStr">
        <is>
          <t>Senior Data Engineer</t>
        </is>
      </c>
      <c r="C41" t="inlineStr">
        <is>
          <t>Jobs via Dice</t>
        </is>
      </c>
      <c r="D41" t="inlineStr">
        <is>
          <t>linkedin</t>
        </is>
      </c>
      <c r="E41" t="inlineStr"/>
      <c r="F41" t="inlineStr"/>
      <c r="G41" t="inlineStr">
        <is>
          <t>Rochester, MN</t>
        </is>
      </c>
      <c r="H41" t="inlineStr"/>
      <c r="I41" t="inlineStr">
        <is>
          <t>**Job Description**
 The Radiology Analytics team is seeking a technically skilled and highly motivated professional to help design, build, and advance the data and analytics ecosystem supporting the Department of Radiology. This role will focus on developing reliable, high\-performance data pipelines and platforms that transform complex clinical and operational data into trusted, analytics\-ready assets. These datasets will support operational insights and advanced reporting, and serve as a foundation for AI and machine learning initiatives, including predictive and capacity\-planning use cases. Serving as a critical bridge between IT and Radiology, this position offers a unique opportunity to deliver solutions that directly enhance efficiency, innovation, and patient care.
 The successful candidate will design, build, and operate scalable, production\-grade data pipelines and integrations that support analytics and machine learning solutions. This role is responsible for developing and maintaining reliable data ingestion, processing, and storage workflows using platforms such as Microsoft Fabric, with a focus on data quality, performance, and operational stability. The position requires a strong understanding of enterprise data architectures and tooling, along with the ability to exercise independent technical judgment. The role will collaborate with data scientists, data analysts, and IT partners to engineer clinical and operational data into trusted, analytics\- and model\-ready datasets that support advanced analytics, AI development, and data\-driven decision\-making across Radiology.
 May be required to provide 24/7 call support.
 During the selection process you may participate in an OnDemand (pre\-recorded) interview that you can complete at your convenience. During the OnDemand interview, a question will appear on your screen, and you will have time to consider each question before responding. You will have the opportunity to re\-record your answer to each question \- Mayo Clinic will only see the final recording. The complete interview will be reviewed by a Mayo Clinic staff member and you will be notified of next steps.
 A Codility exam will be required as part of the interview screening process for this position.
**This vacancy is not eligible for sponsorship/we will not sponsor or transfer visas for this position. Also, Mayo Clinic DOES NOT participate in the F\-1 STEM OPT extension program.**
**Qualifications**
 A Bachelor's degree in a relevant field such as engineering, mathematics, computer science, information technology, health science, or other analytical/quantitative field and a minimum of five years of professional or research experience in data visualization, data engineering, analytical modeling techniques; OR an Associate's degree in a relevant field such as engineering, mathematics, computer science, information technology, health science, or other analytical/quantitative field and a minimum of seven years of professional or research experience in data visualization, data engineering, analytical modeling techniques. In\-depth business or practice knowledge will also be considered.
 Incumbent must have the ability to manage a varied workload of projects with multiple priorities and stay current on healthcare trends and enterprise changes. Interpersonal skills, time management skills, and demonstrated experience working on cross functional teams are required.
 Requires strong analytical skills and the ability to identify and recommend solutions and a commitment to customer service.
 The position requires excellent verbal and written communication skills, attention to detail, and a high capacity for learning and problem resolution.
 Advanced experience in SQL is required. Strong Experience in scripting languages such as Python, JavaScript, PHP, C\+\+ or Java \&amp; API integration is required. Experience in hybrid data processing methods (batch and streaming) such as Apache Spark, Hive, Pig, Kafka is required. Experience with big data, statistics, and machine learning is required.
 The ability to navigate linux and windows operating systems is required.
 Knowledge of workflow scheduling (Apache Airflow Google Composer), Infrastructure as code (Kubernetes, Docker) CI/CD (Jenkins, Github Actions) is preferred. Experience in DataOps/DevOps and agile methodologies is preferred.
 Experience with hybrid data virtualization such as Denodo is preferred.
 Working knowledge of Tableau, Power BI, SAS, ThoughtSpot, DASH, d3, React, Snowflake, SSIS, and Google Big Query is preferred.
**License or Certification:**
 Google Cloud Platform (Google Cloud Platform) certification is preferred.
**About Us**
**Why Mayo Clinic**
 Mayo Clinic is top\-ranked in more specialties than any other care provider according to U.S. News \&amp; World Report. As we work together to put the needs of the patient first, we are also dedicated to our employees, investing in competitive compensation and comprehensive benefit plans \- to take care of you and your family, now and in the future. And with continuing education and advancement opportunities at every turn, you can build a long, successful career with Mayo Clinic.
**Benefits Highlights**
* Medical: Multiple plan options.
* Dental: Delta Dental or reimbursement account for flexible coverage.
* Vision: Affordable plan with national network.
* Pre\-Tax Savings: HSA and FSAs for eligible expenses.
* Retirement: Competitive retirement package to secure your future.
**About The Team**
 Just as our reputation has spread beyond our Minnesota roots, so have our locations. Today, our employees are located at our three major campuses in Phoenix/Scottsdale, Arizona, Jacksonville, Florida, Rochester, Minnesota, and at Mayo Clinic Health System campuses throughout Midwestern communities, and at our international locations. Each Mayo Clinic location is a special place where our employees thrive in both their work and personal lives. Learn more about what each unique Mayo Clinic campus has to offer, and where your best fit is.
**Equal Opportunity**
 All qualified applicants will receive consideration for employment without regard to race, color, religion, sex, gender identity, sexual orientation, national origin, protected veteran status or disability status. Learn more about the "EOE is the Law". Mayo Clinic participates in E\-Verify and may provide the Social Security Administration and, if necessary, the Department of Homeland Security with information from each new employee's Form I\-9 to confirm work authorization.</t>
        </is>
      </c>
    </row>
    <row r="42">
      <c r="A42" t="inlineStr">
        <is>
          <t>li-4318199163</t>
        </is>
      </c>
      <c r="B42" t="inlineStr">
        <is>
          <t>AI Data Engineering Manager</t>
        </is>
      </c>
      <c r="C42" t="inlineStr">
        <is>
          <t>Crowe</t>
        </is>
      </c>
      <c r="D42" t="inlineStr">
        <is>
          <t>linkedin</t>
        </is>
      </c>
      <c r="E42" t="inlineStr"/>
      <c r="F42" t="inlineStr"/>
      <c r="G42" t="inlineStr">
        <is>
          <t>San Francisco, CA</t>
        </is>
      </c>
      <c r="H42" t="inlineStr"/>
      <c r="I42" t="inlineStr">
        <is>
          <t>**Your Journey at Crowe Starts Here:**
 At Crowe, you can build a meaningful and rewarding career. With real flexibility to balance work with life moments, you’re trusted to deliver results and make an impact. We embrace you for who you are, care for your well\-being, and nurture your career. Everyone has equitable access to opportunities for career growth and leadership. Over our 80\-year history, delivering excellent service through innovation has been a core part of our DNA across our audit, tax, and consulting groups. That’s why we continuously invest in innovative ideas, such as AI\-enabled insights and technology\-powered solutions, to enhance our services. Join us at Crowe and embark on a career where you can help shape the future of our industry.
**Job Description:**
**About Crowe AI Transformation**
 Everything we do is about making the future of human work more purposeful. We do this by leveraging state\-of\-the\-art technologies, modern architectures, and industry experts to create AI\-powered solutions that transform the way our clients do business.
 The new AI Transformation team will build on Crowe’s established AI foundation, furthering the capabilities of our Applied AI / Machine Learning team. By combining Generative AI, Machine Learning and Software Engineering, this team empowers Crowe clients to transform their business models through AI, irrespective of their current AI adoption stage.
 As a member of AI Transformation, you will help distinguish Crowe in the market and drive the firm’s technology and innovation strategy. The future is powered by AI, come build it with us.
**About The Team**
* We invest in expertise. You’ll have the time, space, and support to go deep in your projects and build lasting technical and strategic mastery. You’ll work with developers, product stakeholders, and project managers as a trusted leader and domain expert.
* We believe in continuous growth. Our team is committed to professional development and knowledge\-sharing.
* We protect balance. Our distributed team culture is grounded in trust and flexibility. We offer unlimited PTO, a flexible remote work policy, and a supportive environment that prioritizes sustainable, long\-term performance.
**About The Role**
* Design, develop, and maintain robust data pipelines and ETL processes that enable the seamless integration, cleansing, harmonization, and transformation of data.
* Collaborate closely with data scientists, analysts, and software engineers to implement data\-driven AI solutions that align with strategic business objectives.
* Leverage advanced tools and platforms including Azure Data Factory, Power BI, and SQL databases to build scalable data solutions.
* Implement and maintain data fabric architectures to ensure streamlined data access, efficient management, and enhanced performance.
* Proactively identify opportunities for data optimization, quality improvement, and automation across the data lifecycle.
* Facilitate the deployment and integration of AI models, ensuring data quality and compatibility with established analytics infrastructure.
* Engage regularly with cross\-functional stakeholders to understand data needs and deliver timely, impactful analytics and reports.
**Required Skills And Experience**
* Minimum of 7 years of experience in data engineering, ETL development, and data pipeline creation.
* Strong proficiency in SQL, Azure Data Factory, and Power BI.
* Demonstrated expertise in data cleaning, harmonization techniques, and managing complex data integrations.
* Solid understanding of data fabric concepts and experience with related implementations.
* Hands\-on experience developing and maintaining large\-scale data pipelines for AI and analytics projects.
* Excellent communication skills with the ability to translate complex data concepts clearly to non\-technical stakeholders.
* Proven track record of collaborating effectively in agile, cross\-functional team environments.
* Would require readiness to travel domestically approximately 80% of the time to meet client needs.
* Proven experience in team leadership, mentorship, or people management
* Experience guiding projects or initiatives that showcase senior\-level judgment and accountability
- 
**Preferred Skills**
* Experience deploying and managing data solutions within Azure AI, Azure ML, or related AI/ML environments.
* Familiarity with DevOps practices, especially in relation to continuous integration and deployment (CI/CD) for data solutions.
* Certifications in Azure Data Engineering or related Microsoft certifications (e.g., Azure Data Engineer Associate).
* Strong background or experience in business analytics, enhancing the strategic alignment of technical solutions.
* Active participation or interest in data engineering and AI communities, keeping ahead of emerging trends and technologies.
* Previous experience working within professional services or consultancy environments.
 We expect the candidate to uphold Crowe’s values of Care, Trust, Courage, and Stewardship. These values define who we are. We expect all of our people to act ethically and with integrity at all times.
 The application deadline for this role is 03/31/2026\.
 In compliance with federal law, all persons hired will be required to verify identity and eligibility to work in the United States and to complete the required employment eligibility verification form upon hire. Crowe is not sponsoring for work authorization at this time.
 The wage range for this role takes into account the wide range of factors that are considered in making compensation decisions including but not limited to skill sets; experience and training; licensure and certifications; and other business and organizational needs. The disclosed range estimate has not been adjusted for the applicable geographic differential associated with the location at which the position may be filled. At Crowe, it is not typical for an individual to be hired at or near the top of the range for their role and compensation decisions are dependent on the facts and circumstances of each case. A reasonable estimate of the current range is $102,400\.00 \- $204,100\.00 per year.
**Our Benefits:**
 Your exceptional people experience starts here. At Crowe, we know that great people are what makes a great firm. We care about our people and offer employees a comprehensive total rewards package. Learn more about what working at Crowe can mean for you!
**How You Can Grow:**
 We will nurture your talent in an inclusive culture that values diversity. You will have the chance to meet on a consistent basis with your Career Coach that will guide you in your career goals and aspirations. Learn more about where talent can prosper!
**More about Crowe:**
 Crowe (www.crowe.com) is one of the largest public accounting, consulting and technology firms in the United States. Crowe uses its deep industry expertise to provide audit services to public and private entities while also helping clients reach their goals with tax, advisory, risk and performance services. Crowe is recognized by many organizations as one of the country's best places to work. Crowe serves clients worldwide as an independent member of Crowe Global, one of the largest global accounting networks in the world. The network consists of more than 200 independent accounting and advisory services firms in more than 130 countries around the world.
 Crowe LLP provides equal employment opportunities to all employees and applicants for employment and prohibits discrimination and harassment of any type without regard to race, color, religion, age, sex, sexual orientation, gender identity or expression, genetics, national origin, disability or protected veteran status, or any other characteristic protected by federal, state or local laws.
 Crowe LLP does not accept unsolicited candidates, referrals or resumes from any staffing agency, recruiting service, sourcing entity or any other third\-party paid service at any time. Any referrals, resumes or candidates submitted to Crowe, or any employee or owner of Crowe without a pre\-existing agreement signed by both parties covering the submission will be considered the property of Crowe, and free of charge.
 Crowe will consider for employment all qualified applicants, including those with criminal histories, in a manner consistent with the requirements of applicable state and local laws, including the City of Los Angeles’ Fair Chance Initiative for Hiring Ordinance, Los Angeles County Fair Chance Ordinance, San Francisco Fair Chance Ordinance, and the California Fair Chance Act.
 Please visit our webpage to see notices of the various state and local Ban\-the\-Box laws and Fair Chance Ordinances, where applicable.
 If you are interested in applying for employment with Crowe and are in need of an accommodation or require special assistance to navigate our website or to complete your application, please visit our Applicant Assistance and Accommodations page for more information: https://careers.crowe.com/crowe\-applicant\-assistance\-and\-accommodation</t>
        </is>
      </c>
    </row>
    <row r="43">
      <c r="A43" t="inlineStr">
        <is>
          <t>li-4318178977</t>
        </is>
      </c>
      <c r="B43" t="inlineStr">
        <is>
          <t>AI Data Engineering Manager</t>
        </is>
      </c>
      <c r="C43" t="inlineStr">
        <is>
          <t>Crowe</t>
        </is>
      </c>
      <c r="D43" t="inlineStr">
        <is>
          <t>linkedin</t>
        </is>
      </c>
      <c r="E43" t="inlineStr"/>
      <c r="F43" t="inlineStr"/>
      <c r="G43" t="inlineStr">
        <is>
          <t>Boston, MA</t>
        </is>
      </c>
      <c r="H43" t="inlineStr"/>
      <c r="I43" t="inlineStr">
        <is>
          <t>**Your Journey at Crowe Starts Here:**
 At Crowe, you can build a meaningful and rewarding career. With real flexibility to balance work with life moments, you’re trusted to deliver results and make an impact. We embrace you for who you are, care for your well\-being, and nurture your career. Everyone has equitable access to opportunities for career growth and leadership. Over our 80\-year history, delivering excellent service through innovation has been a core part of our DNA across our audit, tax, and consulting groups. That’s why we continuously invest in innovative ideas, such as AI\-enabled insights and technology\-powered solutions, to enhance our services. Join us at Crowe and embark on a career where you can help shape the future of our industry.
**Job Description:**
**About Crowe AI Transformation**
 Everything we do is about making the future of human work more purposeful. We do this by leveraging state\-of\-the\-art technologies, modern architectures, and industry experts to create AI\-powered solutions that transform the way our clients do business.
 The new AI Transformation team will build on Crowe’s established AI foundation, furthering the capabilities of our Applied AI / Machine Learning team. By combining Generative AI, Machine Learning and Software Engineering, this team empowers Crowe clients to transform their business models through AI, irrespective of their current AI adoption stage.
 As a member of AI Transformation, you will help distinguish Crowe in the market and drive the firm’s technology and innovation strategy. The future is powered by AI, come build it with us.
**About The Team**
* We invest in expertise. You’ll have the time, space, and support to go deep in your projects and build lasting technical and strategic mastery. You’ll work with developers, product stakeholders, and project managers as a trusted leader and domain expert.
* We believe in continuous growth. Our team is committed to professional development and knowledge\-sharing.
* We protect balance. Our distributed team culture is grounded in trust and flexibility. We offer unlimited PTO, a flexible remote work policy, and a supportive environment that prioritizes sustainable, long\-term performance.
**About The Role**
* Design, develop, and maintain robust data pipelines and ETL processes that enable the seamless integration, cleansing, harmonization, and transformation of data.
* Collaborate closely with data scientists, analysts, and software engineers to implement data\-driven AI solutions that align with strategic business objectives.
* Leverage advanced tools and platforms including Azure Data Factory, Power BI, and SQL databases to build scalable data solutions.
* Implement and maintain data fabric architectures to ensure streamlined data access, efficient management, and enhanced performance.
* Proactively identify opportunities for data optimization, quality improvement, and automation across the data lifecycle.
* Facilitate the deployment and integration of AI models, ensuring data quality and compatibility with established analytics infrastructure.
* Engage regularly with cross\-functional stakeholders to understand data needs and deliver timely, impactful analytics and reports.
**Required Skills And Experience**
* Minimum of 7 years of experience in data engineering, ETL development, and data pipeline creation.
* Strong proficiency in SQL, Azure Data Factory, and Power BI.
* Demonstrated expertise in data cleaning, harmonization techniques, and managing complex data integrations.
* Solid understanding of data fabric concepts and experience with related implementations.
* Hands\-on experience developing and maintaining large\-scale data pipelines for AI and analytics projects.
* Excellent communication skills with the ability to translate complex data concepts clearly to non\-technical stakeholders.
* Proven track record of collaborating effectively in agile, cross\-functional team environments.
* Would require readiness to travel domestically approximately 80% of the time to meet client needs.
* Proven experience in team leadership, mentorship, or people management
* Experience guiding projects or initiatives that showcase senior\-level judgment and accountability
- 
**Preferred Skills**
* Experience deploying and managing data solutions within Azure AI, Azure ML, or related AI/ML environments.
* Familiarity with DevOps practices, especially in relation to continuous integration and deployment (CI/CD) for data solutions.
* Certifications in Azure Data Engineering or related Microsoft certifications (e.g., Azure Data Engineer Associate).
* Strong background or experience in business analytics, enhancing the strategic alignment of technical solutions.
* Active participation or interest in data engineering and AI communities, keeping ahead of emerging trends and technologies.
* Previous experience working within professional services or consultancy environments.
 We expect the candidate to uphold Crowe’s values of Care, Trust, Courage, and Stewardship. These values define who we are. We expect all of our people to act ethically and with integrity at all times.
 The application deadline for this role is 03/31/2026\.
 In compliance with federal law, all persons hired will be required to verify identity and eligibility to work in the United States and to complete the required employment eligibility verification form upon hire. Crowe is not sponsoring for work authorization at this time.
 The wage range for this role takes into account the wide range of factors that are considered in making compensation decisions including but not limited to skill sets; experience and training; licensure and certifications; and other business and organizational needs. The disclosed range estimate has not been adjusted for the applicable geographic differential associated with the location at which the position may be filled. At Crowe, it is not typical for an individual to be hired at or near the top of the range for their role and compensation decisions are dependent on the facts and circumstances of each case. A reasonable estimate of the current range is $102,400\.00 \- $204,100\.00 per year.
**Our Benefits:**
 Your exceptional people experience starts here. At Crowe, we know that great people are what makes a great firm. We care about our people and offer employees a comprehensive total rewards package. Learn more about what working at Crowe can mean for you!
**How You Can Grow:**
 We will nurture your talent in an inclusive culture that values diversity. You will have the chance to meet on a consistent basis with your Career Coach that will guide you in your career goals and aspirations. Learn more about where talent can prosper!
**More about Crowe:**
 Crowe (www.crowe.com) is one of the largest public accounting, consulting and technology firms in the United States. Crowe uses its deep industry expertise to provide audit services to public and private entities while also helping clients reach their goals with tax, advisory, risk and performance services. Crowe is recognized by many organizations as one of the country's best places to work. Crowe serves clients worldwide as an independent member of Crowe Global, one of the largest global accounting networks in the world. The network consists of more than 200 independent accounting and advisory services firms in more than 130 countries around the world.
 Crowe LLP provides equal employment opportunities to all employees and applicants for employment and prohibits discrimination and harassment of any type without regard to race, color, religion, age, sex, sexual orientation, gender identity or expression, genetics, national origin, disability or protected veteran status, or any other characteristic protected by federal, state or local laws.
 Crowe LLP does not accept unsolicited candidates, referrals or resumes from any staffing agency, recruiting service, sourcing entity or any other third\-party paid service at any time. Any referrals, resumes or candidates submitted to Crowe, or any employee or owner of Crowe without a pre\-existing agreement signed by both parties covering the submission will be considered the property of Crowe, and free of charge.
 Crowe will consider for employment all qualified applicants, including those with criminal histories, in a manner consistent with the requirements of applicable state and local laws, including the City of Los Angeles’ Fair Chance Initiative for Hiring Ordinance, Los Angeles County Fair Chance Ordinance, San Francisco Fair Chance Ordinance, and the California Fair Chance Act.
 Please visit our webpage to see notices of the various state and local Ban\-the\-Box laws and Fair Chance Ordinances, where applicable.
 If you are interested in applying for employment with Crowe and are in need of an accommodation or require special assistance to navigate our website or to complete your application, please visit our Applicant Assistance and Accommodations page for more information: https://careers.crowe.com/crowe\-applicant\-assistance\-and\-accommodation</t>
        </is>
      </c>
    </row>
    <row r="44">
      <c r="A44" t="inlineStr">
        <is>
          <t>li-4318200053</t>
        </is>
      </c>
      <c r="B44" t="inlineStr">
        <is>
          <t>AI Data Engineering Manager</t>
        </is>
      </c>
      <c r="C44" t="inlineStr">
        <is>
          <t>Crowe</t>
        </is>
      </c>
      <c r="D44" t="inlineStr">
        <is>
          <t>linkedin</t>
        </is>
      </c>
      <c r="E44" t="inlineStr"/>
      <c r="F44" t="inlineStr"/>
      <c r="G44" t="inlineStr">
        <is>
          <t>Chicago, IL</t>
        </is>
      </c>
      <c r="H44" t="inlineStr"/>
      <c r="I44" t="inlineStr">
        <is>
          <t>**Your Journey at Crowe Starts Here:**
 At Crowe, you can build a meaningful and rewarding career. With real flexibility to balance work with life moments, you’re trusted to deliver results and make an impact. We embrace you for who you are, care for your well\-being, and nurture your career. Everyone has equitable access to opportunities for career growth and leadership. Over our 80\-year history, delivering excellent service through innovation has been a core part of our DNA across our audit, tax, and consulting groups. That’s why we continuously invest in innovative ideas, such as AI\-enabled insights and technology\-powered solutions, to enhance our services. Join us at Crowe and embark on a career where you can help shape the future of our industry.
**Job Description:**
**About Crowe AI Transformation**
 Everything we do is about making the future of human work more purposeful. We do this by leveraging state\-of\-the\-art technologies, modern architectures, and industry experts to create AI\-powered solutions that transform the way our clients do business.
 The new AI Transformation team will build on Crowe’s established AI foundation, furthering the capabilities of our Applied AI / Machine Learning team. By combining Generative AI, Machine Learning and Software Engineering, this team empowers Crowe clients to transform their business models through AI, irrespective of their current AI adoption stage.
 As a member of AI Transformation, you will help distinguish Crowe in the market and drive the firm’s technology and innovation strategy. The future is powered by AI, come build it with us.
**About The Team**
* We invest in expertise. You’ll have the time, space, and support to go deep in your projects and build lasting technical and strategic mastery. You’ll work with developers, product stakeholders, and project managers as a trusted leader and domain expert.
* We believe in continuous growth. Our team is committed to professional development and knowledge\-sharing.
* We protect balance. Our distributed team culture is grounded in trust and flexibility. We offer unlimited PTO, a flexible remote work policy, and a supportive environment that prioritizes sustainable, long\-term performance.
**About The Role**
* Design, develop, and maintain robust data pipelines and ETL processes that enable the seamless integration, cleansing, harmonization, and transformation of data.
* Collaborate closely with data scientists, analysts, and software engineers to implement data\-driven AI solutions that align with strategic business objectives.
* Leverage advanced tools and platforms including Azure Data Factory, Power BI, and SQL databases to build scalable data solutions.
* Implement and maintain data fabric architectures to ensure streamlined data access, efficient management, and enhanced performance.
* Proactively identify opportunities for data optimization, quality improvement, and automation across the data lifecycle.
* Facilitate the deployment and integration of AI models, ensuring data quality and compatibility with established analytics infrastructure.
* Engage regularly with cross\-functional stakeholders to understand data needs and deliver timely, impactful analytics and reports.
**Required Skills And Experience**
* Minimum of 7 years of experience in data engineering, ETL development, and data pipeline creation.
* Strong proficiency in SQL, Azure Data Factory, and Power BI.
* Demonstrated expertise in data cleaning, harmonization techniques, and managing complex data integrations.
* Solid understanding of data fabric concepts and experience with related implementations.
* Hands\-on experience developing and maintaining large\-scale data pipelines for AI and analytics projects.
* Excellent communication skills with the ability to translate complex data concepts clearly to non\-technical stakeholders.
* Proven track record of collaborating effectively in agile, cross\-functional team environments.
* Would require readiness to travel domestically approximately 80% of the time to meet client needs.
* Proven experience in team leadership, mentorship, or people management
* Experience guiding projects or initiatives that showcase senior\-level judgment and accountability
- 
**Preferred Skills**
* Experience deploying and managing data solutions within Azure AI, Azure ML, or related AI/ML environments.
* Familiarity with DevOps practices, especially in relation to continuous integration and deployment (CI/CD) for data solutions.
* Certifications in Azure Data Engineering or related Microsoft certifications (e.g., Azure Data Engineer Associate).
* Strong background or experience in business analytics, enhancing the strategic alignment of technical solutions.
* Active participation or interest in data engineering and AI communities, keeping ahead of emerging trends and technologies.
* Previous experience working within professional services or consultancy environments.
 We expect the candidate to uphold Crowe’s values of Care, Trust, Courage, and Stewardship. These values define who we are. We expect all of our people to act ethically and with integrity at all times.
 The application deadline for this role is 03/31/2026\.
 In compliance with federal law, all persons hired will be required to verify identity and eligibility to work in the United States and to complete the required employment eligibility verification form upon hire. Crowe is not sponsoring for work authorization at this time.
 The wage range for this role takes into account the wide range of factors that are considered in making compensation decisions including but not limited to skill sets; experience and training; licensure and certifications; and other business and organizational needs. The disclosed range estimate has not been adjusted for the applicable geographic differential associated with the location at which the position may be filled. At Crowe, it is not typical for an individual to be hired at or near the top of the range for their role and compensation decisions are dependent on the facts and circumstances of each case. A reasonable estimate of the current range is $102,400\.00 \- $204,100\.00 per year.
**Our Benefits:**
 Your exceptional people experience starts here. At Crowe, we know that great people are what makes a great firm. We care about our people and offer employees a comprehensive total rewards package. Learn more about what working at Crowe can mean for you!
**How You Can Grow:**
 We will nurture your talent in an inclusive culture that values diversity. You will have the chance to meet on a consistent basis with your Career Coach that will guide you in your career goals and aspirations. Learn more about where talent can prosper!
**More about Crowe:**
 Crowe (www.crowe.com) is one of the largest public accounting, consulting and technology firms in the United States. Crowe uses its deep industry expertise to provide audit services to public and private entities while also helping clients reach their goals with tax, advisory, risk and performance services. Crowe is recognized by many organizations as one of the country's best places to work. Crowe serves clients worldwide as an independent member of Crowe Global, one of the largest global accounting networks in the world. The network consists of more than 200 independent accounting and advisory services firms in more than 130 countries around the world.
 Crowe LLP provides equal employment opportunities to all employees and applicants for employment and prohibits discrimination and harassment of any type without regard to race, color, religion, age, sex, sexual orientation, gender identity or expression, genetics, national origin, disability or protected veteran status, or any other characteristic protected by federal, state or local laws.
 Crowe LLP does not accept unsolicited candidates, referrals or resumes from any staffing agency, recruiting service, sourcing entity or any other third\-party paid service at any time. Any referrals, resumes or candidates submitted to Crowe, or any employee or owner of Crowe without a pre\-existing agreement signed by both parties covering the submission will be considered the property of Crowe, and free of charge.
 Crowe will consider for employment all qualified applicants, including those with criminal histories, in a manner consistent with the requirements of applicable state and local laws, including the City of Los Angeles’ Fair Chance Initiative for Hiring Ordinance, Los Angeles County Fair Chance Ordinance, San Francisco Fair Chance Ordinance, and the California Fair Chance Act.
 Please visit our webpage to see notices of the various state and local Ban\-the\-Box laws and Fair Chance Ordinances, where applicable.
 If you are interested in applying for employment with Crowe and are in need of an accommodation or require special assistance to navigate our website or to complete your application, please visit our Applicant Assistance and Accommodations page for more information: https://careers.crowe.com/crowe\-applicant\-assistance\-and\-accommodation</t>
        </is>
      </c>
    </row>
    <row r="45">
      <c r="A45" t="inlineStr">
        <is>
          <t>li-4369101404</t>
        </is>
      </c>
      <c r="B45" t="inlineStr">
        <is>
          <t>Principal Data Engineer with architecture and MS Fabric/Azure experience.</t>
        </is>
      </c>
      <c r="C45" t="inlineStr">
        <is>
          <t>Jobs via Dice</t>
        </is>
      </c>
      <c r="D45" t="inlineStr">
        <is>
          <t>linkedin</t>
        </is>
      </c>
      <c r="E45" t="inlineStr"/>
      <c r="F45" t="inlineStr"/>
      <c r="G45" t="inlineStr">
        <is>
          <t>Almont, CO</t>
        </is>
      </c>
      <c r="H45" t="inlineStr"/>
      <c r="I45" t="inlineStr">
        <is>
          <t>**Description:**
*Remote*
 Our client is a global investment management organization with a long history of independent research and diversified strategies across fixed income and equities. The firm serves institutional and mutual fund clients and emphasizes security selection driven by proprietary analysis and collaboration between portfolio managers and analysts.
*We can facilitate w2 and corp\-to\-corp consultants. For our w2 consultants, we offer a great benefits package that includes Medical, Dental, and Vision benefits, 401k with company matching, and life insurance.*
 Rate: $80\.00 to $100\.00/hr. w2
**Responsibilities:**
**Responsibilities**
* Lead the architecture and implementation of a CRM\-sourced data mart to support Power BI.
* Define and implement star schemas and relational database structures.
* Design and build ETL processes and data pipelines using Microsoft Fabric and related services.
* Establish and enforce data architecture and engineering best practices.
* Collaborate with business stakeholders to translate requirements into technical solutions.
* Provide hands\-on code delivery while coaching team members on modern data practices.
* Lay groundwork for an enterprise data warehouse and position the roadmap for future initiatives.
**Experience Requirements:**
**Experience Requirements**
* Extensive experience with Microsoft data technologies including Microsoft Fabric, Azure Data Factory, and Synapse.
* 10\+ years of experience in star schema design and relational modeling.
* 8 years of experience designing and operating ETL processes and production data pipelines.
* Experience integrating datasets for Power BI and applying visualization\-aligned data modeling practices.
* Ability to lead projects independently from conception through delivery.
* Strong communication skills partnering with business and technical teams.
* Familiarity with data lake and warehouse concepts including SQL, Delta, and Parquet.
* Experience with Databricks (preferred).
* Understanding of CRM systems and sales data structures (preferred).
* Financial data modeling and knowledge of securities, instruments, and portfolios (preferred).
* Ability to work remotely aligned to East Coast business hours.
***Recruitment Transparency Notice***
***Eliassen Group values transparency in our recruitment practices. Please be advised that Eliassen Group utilizes artificial intelligence (AI) tools as part of its initial application screening process. You may receive email and SMS notifications from the Eliassen Virtual Recruiting Team (, ) inviting you to complete a brief voice screening as part of your application process. These tools assist our hiring teams in different ways, including but not limited to, assistance in reviewing application materials to help identify candidates whose qualifications most closely match the requirements of the position. All AI\-assisted evaluations and responses are reviewed by human recruiters before any hiring decisions are made. The use of AI in our process is intended to support fairness, efficiency, and consistency, and Eliassen Group takes measures to prevent bias or discrimination in connection with its hiring practices. By proceeding, you acknowledge, agree, and consent to Eliassen Group's use of these tools, including AI tools, as part of the application and hiring process.***
*Skills, experience, and other compensable factors will be considered when determining pay rate. The pay range provided in this posting reflects a W2 hourly rate; other employment options may be available that may result in pay outside of the provided range.
 W2 employees of Eliassen Group who are regularly scheduled to work 30 or more hours per week are eligible for the following benefits: medical (choice of 3 plans), dental, vision, pre\-tax accounts, other voluntary benefits including life and disability insurance, 401(k) with match, and sick time if required by law in the worked\-in state/locality.
 Please be advised\- If anyone reaches out to you about an open position connected with Eliassen Group, please confirm that they have an Eliassen.com email address and never provide personal or financial information to anyone who is not clearly associated with Eliassen Group. If you have any indication of fraudulent activity, please contact .*
*About Eliassen Group:*
*Eliassen Group is a leading strategic consulting company for human\-powered solutions. For over 30 years, Eliassen has helped thousands of companies reach further and achieve more with their technology solutions, financial, risk \&amp; compliance, and advisory solutions, and clinical solutions. With offices from coast to coast and throughout Europe, Eliassen provides a local community presence, balanced with international reach. Eliassen Group strives to positively impact the lives of their employees, clients, consultants, and the communities in which they operate.*
*Eliassen Group is an Equal Opportunity/Affirmative Action Employer. All qualified applicants will receive consideration for employment without regard to race, color, religion, sex, pregnancy, sexual orientation, gender identity, national origin, age, protected veteran status, or disability status.*
*Don't miss out on our referral program! If we hire a candidate that you refer us to then you can be eligible for a $1,000 referral check!*</t>
        </is>
      </c>
    </row>
    <row r="46">
      <c r="A46" t="inlineStr">
        <is>
          <t>li-4318197274</t>
        </is>
      </c>
      <c r="B46" t="inlineStr">
        <is>
          <t>AI Data Engineering Manager</t>
        </is>
      </c>
      <c r="C46" t="inlineStr">
        <is>
          <t>Crowe</t>
        </is>
      </c>
      <c r="D46" t="inlineStr">
        <is>
          <t>linkedin</t>
        </is>
      </c>
      <c r="E46" t="inlineStr"/>
      <c r="F46" t="inlineStr"/>
      <c r="G46" t="inlineStr">
        <is>
          <t>Columbus, OH</t>
        </is>
      </c>
      <c r="H46" t="inlineStr"/>
      <c r="I46" t="inlineStr">
        <is>
          <t>**Your Journey at Crowe Starts Here:**
 At Crowe, you can build a meaningful and rewarding career. With real flexibility to balance work with life moments, you’re trusted to deliver results and make an impact. We embrace you for who you are, care for your well\-being, and nurture your career. Everyone has equitable access to opportunities for career growth and leadership. Over our 80\-year history, delivering excellent service through innovation has been a core part of our DNA across our audit, tax, and consulting groups. That’s why we continuously invest in innovative ideas, such as AI\-enabled insights and technology\-powered solutions, to enhance our services. Join us at Crowe and embark on a career where you can help shape the future of our industry.
**Job Description:**
**About Crowe AI Transformation**
 Everything we do is about making the future of human work more purposeful. We do this by leveraging state\-of\-the\-art technologies, modern architectures, and industry experts to create AI\-powered solutions that transform the way our clients do business.
 The new AI Transformation team will build on Crowe’s established AI foundation, furthering the capabilities of our Applied AI / Machine Learning team. By combining Generative AI, Machine Learning and Software Engineering, this team empowers Crowe clients to transform their business models through AI, irrespective of their current AI adoption stage.
 As a member of AI Transformation, you will help distinguish Crowe in the market and drive the firm’s technology and innovation strategy. The future is powered by AI, come build it with us.
**About The Team**
* We invest in expertise. You’ll have the time, space, and support to go deep in your projects and build lasting technical and strategic mastery. You’ll work with developers, product stakeholders, and project managers as a trusted leader and domain expert.
* We believe in continuous growth. Our team is committed to professional development and knowledge\-sharing.
* We protect balance. Our distributed team culture is grounded in trust and flexibility. We offer unlimited PTO, a flexible remote work policy, and a supportive environment that prioritizes sustainable, long\-term performance.
**About The Role**
* Design, develop, and maintain robust data pipelines and ETL processes that enable the seamless integration, cleansing, harmonization, and transformation of data.
* Collaborate closely with data scientists, analysts, and software engineers to implement data\-driven AI solutions that align with strategic business objectives.
* Leverage advanced tools and platforms including Azure Data Factory, Power BI, and SQL databases to build scalable data solutions.
* Implement and maintain data fabric architectures to ensure streamlined data access, efficient management, and enhanced performance.
* Proactively identify opportunities for data optimization, quality improvement, and automation across the data lifecycle.
* Facilitate the deployment and integration of AI models, ensuring data quality and compatibility with established analytics infrastructure.
* Engage regularly with cross\-functional stakeholders to understand data needs and deliver timely, impactful analytics and reports.
**Required Skills And Experience**
* Minimum of 7 years of experience in data engineering, ETL development, and data pipeline creation.
* Strong proficiency in SQL, Azure Data Factory, and Power BI.
* Demonstrated expertise in data cleaning, harmonization techniques, and managing complex data integrations.
* Solid understanding of data fabric concepts and experience with related implementations.
* Hands\-on experience developing and maintaining large\-scale data pipelines for AI and analytics projects.
* Excellent communication skills with the ability to translate complex data concepts clearly to non\-technical stakeholders.
* Proven track record of collaborating effectively in agile, cross\-functional team environments.
* Would require readiness to travel domestically approximately 80% of the time to meet client needs.
* Proven experience in team leadership, mentorship, or people management
* Experience guiding projects or initiatives that showcase senior\-level judgment and accountability
- 
**Preferred Skills**
* Experience deploying and managing data solutions within Azure AI, Azure ML, or related AI/ML environments.
* Familiarity with DevOps practices, especially in relation to continuous integration and deployment (CI/CD) for data solutions.
* Certifications in Azure Data Engineering or related Microsoft certifications (e.g., Azure Data Engineer Associate).
* Strong background or experience in business analytics, enhancing the strategic alignment of technical solutions.
* Active participation or interest in data engineering and AI communities, keeping ahead of emerging trends and technologies.
* Previous experience working within professional services or consultancy environments.
 We expect the candidate to uphold Crowe’s values of Care, Trust, Courage, and Stewardship. These values define who we are. We expect all of our people to act ethically and with integrity at all times.
 The application deadline for this role is 03/31/2026\.
 In compliance with federal law, all persons hired will be required to verify identity and eligibility to work in the United States and to complete the required employment eligibility verification form upon hire. Crowe is not sponsoring for work authorization at this time.
 The wage range for this role takes into account the wide range of factors that are considered in making compensation decisions including but not limited to skill sets; experience and training; licensure and certifications; and other business and organizational needs. The disclosed range estimate has not been adjusted for the applicable geographic differential associated with the location at which the position may be filled. At Crowe, it is not typical for an individual to be hired at or near the top of the range for their role and compensation decisions are dependent on the facts and circumstances of each case. A reasonable estimate of the current range is $102,400\.00 \- $204,100\.00 per year.
**Our Benefits:**
 Your exceptional people experience starts here. At Crowe, we know that great people are what makes a great firm. We care about our people and offer employees a comprehensive total rewards package. Learn more about what working at Crowe can mean for you!
**How You Can Grow:**
 We will nurture your talent in an inclusive culture that values diversity. You will have the chance to meet on a consistent basis with your Career Coach that will guide you in your career goals and aspirations. Learn more about where talent can prosper!
**More about Crowe:**
 Crowe (www.crowe.com) is one of the largest public accounting, consulting and technology firms in the United States. Crowe uses its deep industry expertise to provide audit services to public and private entities while also helping clients reach their goals with tax, advisory, risk and performance services. Crowe is recognized by many organizations as one of the country's best places to work. Crowe serves clients worldwide as an independent member of Crowe Global, one of the largest global accounting networks in the world. The network consists of more than 200 independent accounting and advisory services firms in more than 130 countries around the world.
 Crowe LLP provides equal employment opportunities to all employees and applicants for employment and prohibits discrimination and harassment of any type without regard to race, color, religion, age, sex, sexual orientation, gender identity or expression, genetics, national origin, disability or protected veteran status, or any other characteristic protected by federal, state or local laws.
 Crowe LLP does not accept unsolicited candidates, referrals or resumes from any staffing agency, recruiting service, sourcing entity or any other third\-party paid service at any time. Any referrals, resumes or candidates submitted to Crowe, or any employee or owner of Crowe without a pre\-existing agreement signed by both parties covering the submission will be considered the property of Crowe, and free of charge.
 Crowe will consider for employment all qualified applicants, including those with criminal histories, in a manner consistent with the requirements of applicable state and local laws, including the City of Los Angeles’ Fair Chance Initiative for Hiring Ordinance, Los Angeles County Fair Chance Ordinance, San Francisco Fair Chance Ordinance, and the California Fair Chance Act.
 Please visit our webpage to see notices of the various state and local Ban\-the\-Box laws and Fair Chance Ordinances, where applicable.
 If you are interested in applying for employment with Crowe and are in need of an accommodation or require special assistance to navigate our website or to complete your application, please visit our Applicant Assistance and Accommodations page for more information: https://careers.crowe.com/crowe\-applicant\-assistance\-and\-accommodation</t>
        </is>
      </c>
    </row>
    <row r="47">
      <c r="A47" t="inlineStr">
        <is>
          <t>li-4318183756</t>
        </is>
      </c>
      <c r="B47" t="inlineStr">
        <is>
          <t>AI Data Engineering Manager</t>
        </is>
      </c>
      <c r="C47" t="inlineStr">
        <is>
          <t>Crowe</t>
        </is>
      </c>
      <c r="D47" t="inlineStr">
        <is>
          <t>linkedin</t>
        </is>
      </c>
      <c r="E47" t="inlineStr"/>
      <c r="F47" t="inlineStr"/>
      <c r="G47" t="inlineStr">
        <is>
          <t>Sacramento, CA</t>
        </is>
      </c>
      <c r="H47" t="inlineStr"/>
      <c r="I47" t="inlineStr">
        <is>
          <t>**Your Journey at Crowe Starts Here:**
 At Crowe, you can build a meaningful and rewarding career. With real flexibility to balance work with life moments, you’re trusted to deliver results and make an impact. We embrace you for who you are, care for your well\-being, and nurture your career. Everyone has equitable access to opportunities for career growth and leadership. Over our 80\-year history, delivering excellent service through innovation has been a core part of our DNA across our audit, tax, and consulting groups. That’s why we continuously invest in innovative ideas, such as AI\-enabled insights and technology\-powered solutions, to enhance our services. Join us at Crowe and embark on a career where you can help shape the future of our industry.
**Job Description:**
**About Crowe AI Transformation**
 Everything we do is about making the future of human work more purposeful. We do this by leveraging state\-of\-the\-art technologies, modern architectures, and industry experts to create AI\-powered solutions that transform the way our clients do business.
 The new AI Transformation team will build on Crowe’s established AI foundation, furthering the capabilities of our Applied AI / Machine Learning team. By combining Generative AI, Machine Learning and Software Engineering, this team empowers Crowe clients to transform their business models through AI, irrespective of their current AI adoption stage.
 As a member of AI Transformation, you will help distinguish Crowe in the market and drive the firm’s technology and innovation strategy. The future is powered by AI, come build it with us.
**About The Team**
* We invest in expertise. You’ll have the time, space, and support to go deep in your projects and build lasting technical and strategic mastery. You’ll work with developers, product stakeholders, and project managers as a trusted leader and domain expert.
* We believe in continuous growth. Our team is committed to professional development and knowledge\-sharing.
* We protect balance. Our distributed team culture is grounded in trust and flexibility. We offer unlimited PTO, a flexible remote work policy, and a supportive environment that prioritizes sustainable, long\-term performance.
**About The Role**
* Design, develop, and maintain robust data pipelines and ETL processes that enable the seamless integration, cleansing, harmonization, and transformation of data.
* Collaborate closely with data scientists, analysts, and software engineers to implement data\-driven AI solutions that align with strategic business objectives.
* Leverage advanced tools and platforms including Azure Data Factory, Power BI, and SQL databases to build scalable data solutions.
* Implement and maintain data fabric architectures to ensure streamlined data access, efficient management, and enhanced performance.
* Proactively identify opportunities for data optimization, quality improvement, and automation across the data lifecycle.
* Facilitate the deployment and integration of AI models, ensuring data quality and compatibility with established analytics infrastructure.
* Engage regularly with cross\-functional stakeholders to understand data needs and deliver timely, impactful analytics and reports.
**Required Skills And Experience**
* Minimum of 7 years of experience in data engineering, ETL development, and data pipeline creation.
* Strong proficiency in SQL, Azure Data Factory, and Power BI.
* Demonstrated expertise in data cleaning, harmonization techniques, and managing complex data integrations.
* Solid understanding of data fabric concepts and experience with related implementations.
* Hands\-on experience developing and maintaining large\-scale data pipelines for AI and analytics projects.
* Excellent communication skills with the ability to translate complex data concepts clearly to non\-technical stakeholders.
* Proven track record of collaborating effectively in agile, cross\-functional team environments.
* Would require readiness to travel domestically approximately 80% of the time to meet client needs.
* Proven experience in team leadership, mentorship, or people management
* Experience guiding projects or initiatives that showcase senior\-level judgment and accountability
- 
**Preferred Skills**
* Experience deploying and managing data solutions within Azure AI, Azure ML, or related AI/ML environments.
* Familiarity with DevOps practices, especially in relation to continuous integration and deployment (CI/CD) for data solutions.
* Certifications in Azure Data Engineering or related Microsoft certifications (e.g., Azure Data Engineer Associate).
* Strong background or experience in business analytics, enhancing the strategic alignment of technical solutions.
* Active participation or interest in data engineering and AI communities, keeping ahead of emerging trends and technologies.
* Previous experience working within professional services or consultancy environments.
 We expect the candidate to uphold Crowe’s values of Care, Trust, Courage, and Stewardship. These values define who we are. We expect all of our people to act ethically and with integrity at all times.
 The application deadline for this role is 03/31/2026\.
 In compliance with federal law, all persons hired will be required to verify identity and eligibility to work in the United States and to complete the required employment eligibility verification form upon hire. Crowe is not sponsoring for work authorization at this time.
 The wage range for this role takes into account the wide range of factors that are considered in making compensation decisions including but not limited to skill sets; experience and training; licensure and certifications; and other business and organizational needs. The disclosed range estimate has not been adjusted for the applicable geographic differential associated with the location at which the position may be filled. At Crowe, it is not typical for an individual to be hired at or near the top of the range for their role and compensation decisions are dependent on the facts and circumstances of each case. A reasonable estimate of the current range is $102,400\.00 \- $204,100\.00 per year.
**Our Benefits:**
 Your exceptional people experience starts here. At Crowe, we know that great people are what makes a great firm. We care about our people and offer employees a comprehensive total rewards package. Learn more about what working at Crowe can mean for you!
**How You Can Grow:**
 We will nurture your talent in an inclusive culture that values diversity. You will have the chance to meet on a consistent basis with your Career Coach that will guide you in your career goals and aspirations. Learn more about where talent can prosper!
**More about Crowe:**
 Crowe (www.crowe.com) is one of the largest public accounting, consulting and technology firms in the United States. Crowe uses its deep industry expertise to provide audit services to public and private entities while also helping clients reach their goals with tax, advisory, risk and performance services. Crowe is recognized by many organizations as one of the country's best places to work. Crowe serves clients worldwide as an independent member of Crowe Global, one of the largest global accounting networks in the world. The network consists of more than 200 independent accounting and advisory services firms in more than 130 countries around the world.
 Crowe LLP provides equal employment opportunities to all employees and applicants for employment and prohibits discrimination and harassment of any type without regard to race, color, religion, age, sex, sexual orientation, gender identity or expression, genetics, national origin, disability or protected veteran status, or any other characteristic protected by federal, state or local laws.
 Crowe LLP does not accept unsolicited candidates, referrals or resumes from any staffing agency, recruiting service, sourcing entity or any other third\-party paid service at any time. Any referrals, resumes or candidates submitted to Crowe, or any employee or owner of Crowe without a pre\-existing agreement signed by both parties covering the submission will be considered the property of Crowe, and free of charge.
 Crowe will consider for employment all qualified applicants, including those with criminal histories, in a manner consistent with the requirements of applicable state and local laws, including the City of Los Angeles’ Fair Chance Initiative for Hiring Ordinance, Los Angeles County Fair Chance Ordinance, San Francisco Fair Chance Ordinance, and the California Fair Chance Act.
 Please visit our webpage to see notices of the various state and local Ban\-the\-Box laws and Fair Chance Ordinances, where applicable.
 If you are interested in applying for employment with Crowe and are in need of an accommodation or require special assistance to navigate our website or to complete your application, please visit our Applicant Assistance and Accommodations page for more information: https://careers.crowe.com/crowe\-applicant\-assistance\-and\-accommodation</t>
        </is>
      </c>
    </row>
    <row r="48">
      <c r="A48" t="inlineStr">
        <is>
          <t>li-4369100918</t>
        </is>
      </c>
      <c r="B48" t="inlineStr">
        <is>
          <t>Data Engineer</t>
        </is>
      </c>
      <c r="C48" t="inlineStr">
        <is>
          <t>TalentAlly</t>
        </is>
      </c>
      <c r="D48" t="inlineStr">
        <is>
          <t>linkedin</t>
        </is>
      </c>
      <c r="E48" t="inlineStr"/>
      <c r="F48" t="inlineStr"/>
      <c r="G48" t="inlineStr">
        <is>
          <t>San Jose, CA</t>
        </is>
      </c>
      <c r="H48" t="inlineStr"/>
      <c r="I48" t="inlineStr">
        <is>
          <t>**Guild Mortgage Company** 
 , closing loans and opening doors since 1960\. As a mortgage banking firm we are dedicated to serving the home owner/buyer. Our goal is to provide affordable home financing for our customers, utilizing the best terms available while providing a level of professionalism and service unsurpassed in the lending industry.
**Position Summary**
 The Data Engineer is a key technical position and plays an important role in the organization by performing several activities related to the company’s Information Technology functions. The role is primarily responsible, under limited supervision, for executing the data strategy and analysis efforts within the company’s enterprise data platform by expanding and optimizing data and data pipeline architecture, as well as optimizing data flow and collection from cross functional areas. Responsibilities include supporting software developer, database architects, data analysts and data scientists on various data initiatives as well as ensuring optimal data delivery architecture is maintained as needs grow.
**Compensation**
 This role is an exempt position with a Targeted Salary Range of $92,000 \- $132,000 annually.
 Compensation at Guild is influenced by a wide array of factors including but not limited to local and federal minimum wage requirements, education, level of experience, and applicant’s geographical location.
**Essential Functions**
* Collaborate with key stakeholders, including the business unit leaders, Product, Data \&amp; Technology teams, to assist with their data\-related technical issues and support their data infrastructure needs by collecting data from primary sources and optimizing the data architecture, improving quality of sourced data, and ensuring consistent delivery of data to key stakeholders in a timely manner.
* Extract, Load \&amp; Transform (ELT) data from various primary data sources (internal \&amp; 3rd party) into the data lake to create optimal data pipeline architecture utilizing Snowflake and Informatica tool suites.
* Assemble large, complex data sets that meet functional / non\-functional business requirements.
* Identify, design, and implement internal process improvements: automating manual processes, optimizing data delivery, re\-designing infrastructure for greater scalability, etc.
* Build the infrastructure required for optimal extraction, transformation, and loading of data from a wide variety of data sources using SQL and leading ELT tools. This will include set up and configure Informatica Intelligent Cloud Services Environment and Tools.
* Design and Implement Processes to govern usage of the tools and platform at enterprise level for performance, security and audit compliance.
* Build analytics tools that utilize the data pipeline to provide actionable insights into customer acquisition, operational efficiency and other key business performance metrics.
* Keep our Personally Identifiable Information (PII) data separated and secured through table splitting, data masking, access control restrictions and redundancy (high availability across multiple zones).
* Create data tools for data scientist and analytics team members that assist them in building and optimizing data analysis and reporting.
* Improve the quality of data used for analysis by assessing the accuracy of new data sources and the effectiveness of new data gathering techniques.
* Develop processes and tools to monitor and analyze data warehouse performance and data accuracy.
* Contribute to the team of data professionals by using expertise to answer questions and sharing repeatable design patterns with less experienced teammates, enhancing skillsets and competencies of team members, and sharing technical knowledge throughout the team.
* Participate in stakeholder reviews, and design sessions.
* Provide data, reports, and information to management as needed.
* Identify, track, and monitor trends and avoidable technology\-related errors; work across functions to develop complex solutions, improvements, and stop\-gaps.
* Focus on the continual improvement of policies, procedures, and processes falling under scope of authority.
* Stay abreast of latest technology trends and participate in high\-level decisions impacting the direction of Information Technology function.
* Consistently monitor and model platform usage, database sizes, compute resources and third\-party costs to ensure that the data teams spend is as cost\-efficient as possible.
* Champion data transformation to new ways of working and generating insights.
* Drive strong communications, partnerships, and stakeholder management with senior leaders, functional managers, and staff.
* Perform other duties as assigned.
**Qualifications**
* Bachelors Degree directly related to the position or equivalent, required. BS in Statistics, Computer Science, Data Science, or related quantitative field is required.
* Minimum three years' experience to five years' experience in Data Engineer related role(s).
* Proficient in building and optimizing Big Data pipelines, architecture, and data sets.
* Proficient with data loading, processing, and data warehouse design techniques: star or snowflake schema designs, etc.
* Well versed in Informatica Intelligent Cloud Services, Administration, Environment configuration and set up of various tool suite (Mass Ingestion, CDC, Data Catalog, Data Quality, Data Integration, API Management).
* Proven expertise in developing in Informatica Intelligent Cloud Services and various tools.
* Proven experience with data lake and warehouse best practices and leading products in the marketplace.
* Expert at creating data integrations using Extract, Transform and Load (ETL) tools and modern data pipes.
* Strong knowledge of Kafka, Sparks, ESB and/or other messaging queues, real\-time data integration \&amp; stream processing technologies.
* Proven experience with querying and analyzing data from SQL relational databases such as AuroraDB, IBM DB2, MemSQL, MS SQL Server, MySQL, Postgres, Redshift or Snowflake, and NoSQL Databases such as Cassandra, DynamoDB, Redis, or MongoDB
* Experience with data science languages such as R, and Python as well as general purpose languages such as Java, Scala, C\# or JavaScript.
* Experience collecting structured, semi\-structured and unstructured data in various popular formats and sourced from internal core systems as well as 3rd partner providers such as Google Analytics, Facebook Insights, Zillow, CoreLogic, MLS Data, Public Records, and Property Data
* Experience with data pipeline and workflow management tools: Azkaban, Luigi, Airflow, etc.
* Experience performing root cause analysis on internal and external data and processes to answer specific business questions and identify opportunities for improvement.
* Strong analytical skills to build processes supporting data transformation, data structures, metadata, dependency, and workload management.
* Strong data governance skills to ensure highest quality of data is made available for data analysis and accuracy in reporting.
* Problem solver with an ability to work as a team towards a solution.
* Ability to prioritize multiple tasks in a deadline\-driven environment, strong sense of urgency and responsiveness.
* Strong detail orientation and highly organized with proven ability to lead effectively and drive results in a matrixed management environment.
* Ability to think critically, including the ability to evaluate facts and data to draw conclusions, determine the downstream impact of decisions and associated risks.
* Excellent verbal and written communication skills plus demonstrate strong leadership capabilities.
* Strong interpersonal and team building skills.
* Self\-starter with the demonstrated ability to learn/adapt to new technologies and techniques.
* Highly organized and detail\-oriented; ability to work in a fast\-paced, metrics\-driven environment required.
* Proficiency in Microsoft Office Suite, Word, Excel, Wiki, collaborative cloud\-based programs, and third\-party software applications required.
* Commitment to company values.
* Customer Service \- Proactive attention to each person
* Integrity \- Do and say what's right
* Respect \- Treat others with dignity
* Collaboration \- Listen and work together
* Learning \- Seek knowledge and strive for improvement
* Excellence \- Deliver the unexpected
**Supervision**
* Job Scope: Responsible for understanding the department/functional area objectives and goals and how own job contributes to achievement of these goals; may recommend changes and enhancements based on analysis and evaluation of circumstances.
* Complexity: General precedents may exist for most problems; conducts independent research/analysis to identify the appropriate approach.
* Impact: Decisions and actions primarily impact own work with limited impact on peers in their area, contributes as team member rather than leader.
* Interaction/Supervision: Acts as a mentor/guide to less experienced professional contributor staff in a similar role; works independently and only under general direction; guided by professional standards, desired outcomes, and project plan specifications.
**Requirements**
 Physical: Work is primarily sedentary; mobility in an office setting.
 Manual Dexterity: Frequent use of computer keyboard and mouse.
 Audio/Visual: Ability to accurately interpret sounds and associated meanings at a volume consistent with interpersonal conversation. Regularly required to accurately perceive, distinguish and interpret information received visually and through audio, e.g., words, numbers and other data broadcasted aloud/viewed on a screen, as well as print and other media.
 Environmental: Office environment \- moderate noise, no substantial exposure to adverse environmental conditions.
 Mental: Learn new tasks, remember processes, maintain focus, complete tasks independently, and make timely decisions in the context of a workflow. This role requires effective adaptation to workplace stressors, including customer service complaints, security responsibilities, and competing priorities. Must be able to adhere to process protocol. Must be able to apply established protocols in a timely manner.
 Schedules: Work is primarily performed during the business week, Monday \- Friday.
 Travel: 5% or less
 Guild offers a pleasant work environment, competitive compensation and excellent benefits package; including medical, dental, vision, life insurance, AD\&amp;D, LTD and 401(k) with employer match.
 Guild Mortgage Company is an Equal Opportunity Employer.
 REQ\#: DATAE017824
 Equal Opportunity Employer
 This employer is required to notify all applicants of their rights pursuant to federal employment laws. For further information, please review the Know Your Rights notice from the Department of Labor.PDN\-a1011906\-c4f3\-414c\-a371\-da925f4c9cf4</t>
        </is>
      </c>
    </row>
    <row r="49">
      <c r="A49" t="inlineStr">
        <is>
          <t>li-4314930088</t>
        </is>
      </c>
      <c r="B49" t="inlineStr">
        <is>
          <t>Analytics Engineer 4 - Commerce Core</t>
        </is>
      </c>
      <c r="C49" t="inlineStr">
        <is>
          <t>Netflix</t>
        </is>
      </c>
      <c r="D49" t="inlineStr">
        <is>
          <t>linkedin</t>
        </is>
      </c>
      <c r="E49">
        <f>HYPERLINK("https://www.linkedin.com/jobs/view/4314930088", "https://www.linkedin.com/jobs/view/4314930088")</f>
        <v/>
      </c>
      <c r="F49">
        <f>HYPERLINK("https://explore.jobs.netflix.net/careers/job/790312550553?utm_source=LinkedIn&amp;domain=netflix.com&amp;urlHash=MuOS", "https://explore.jobs.netflix.net/careers/job/790312550553?utm_source=LinkedIn&amp;domain=netflix.com&amp;urlHash=MuOS")</f>
        <v/>
      </c>
      <c r="G49" t="inlineStr">
        <is>
          <t>Los Gatos, CA</t>
        </is>
      </c>
      <c r="H49" t="inlineStr"/>
      <c r="I49" t="inlineStr">
        <is>
          <t>At Netflix, our mission is to entertain the world. Together, we are writing the next episode \- pushing the boundaries of storytelling, global fandom and making the unimaginable a reality. We are a dream team obsessed with the uncomfortable excitement of discovering what happens when you merge creativity, intuition and cutting\-edge technology. Come be a part of what’s next.
 As Netflix's business grows, it becomes increasingly important to support a wide set of business stakeholders with the right data, metrics, and analytic tools. Our Commerce Core team within Finance Data Science and Engineering ensures we accurately measure Netflix’s business success, enabling our partners to access key metrics and leverage data efficiently to deepen their understanding of the business and optimize our business around the globe.
 We are searching for an Analytics Engineer who is passionate about building scalable analytics solutions, developing metrics that drive executive decision\-making, and experimenting with modern technologies. You will collaborate with cross\-functional partners including Data Engineering, Finance, Product, and Engineering teams, to develop insights and tools that support critical business decisions and operational excellence at Netflix.
**In This Role, You Will**
* Partner with Data Engineers to design and implement robust data models and pipelines that enable richer, faster, and more accurate analysis.
* Design, build, and maintain scalable, self\-service analytics tools and data products to drive adoption across the business.
* Develop, define, and maintain key metrics and dashboards for executive and business\-critical reporting.
* Proactively identify gaps and opportunities for innovation in analytics engineering, and drive initiatives to address them.
* Experiment with and evaluate new technologies, including Generative AI solutions, to improve analytics, reporting, and data accessibility.
* Translate complex data insights and technical concepts into clear, actionable recommendations for technical and non\-technical stakeholders.
 We’d love to hear from you if you have:
* A degree in a quantitative field (e.g., mathematics, statistics, computer science, engineering, or similar), and 3\+ years of experience in data engineering, data science, analytics engineering, or a similar data field.
* Proficient in PySpark or Scala Spark, with experience building and scaling data models, pipelines, and analytics tools.
* Advanced SQL skills, with experience working in complex data environments.
* Experience with scripting languages, particularly Python.
* Familiarity with modern data technologies such as Trino, Spark, and Snowflake.
* Understanding of data governance, data lineage, and cataloging, and their importance for data quality and automation.
* Experience with data visualization platforms (e.g., Tableau, Looker, Plotly) and a strong ability to communicate data\-driven stories.
* Familiarity with Generative AI/ML concepts and a passion for experimenting with new technologies.
* Excellent verbal and written communication skills, with the ability to articulate metric definitions, data insights, and project roadmaps to diverse audiences.
* You relate to and embody many aspects of Netflix's Culture. You love working independently, are comfortable with ambiguity, and have a passion for continuous learning.
* Experience in e\-commerce or subscription\-oriented businesses is a plus.
 Generally, our compensation structure consists solely of an annual salary; we do not have bonuses. You choose each year how much of your compensation you want in salary versus stock options. To determine your personal top of market compensation, we rely on market indicators and consider your specific job family, background, skills, and experience to determine your compensation in the market range. The range for this role is $250,000\.00 \- $421,000\.00\.
 Netflix provides comprehensive benefits including Health Plans, Mental Health support, a 401(k) Retirement Plan with employer match, Stock Option Program, Disability Programs, Health Savings and Flexible Spending Accounts, Family\-forming benefits, and Life and Serious Injury Benefits. We also offer paid leave of absence programs. Full\-time hourly employees accrue 35 days annually for paid time off to be used for vacation, holidays, and sick paid time off. Full\-time salaried employees are immediately entitled to flexible time off. See more details about our Benefits here.
 Netflix is a unique culture and environment. Learn more here.
 Inclusion is a Netflix value and we strive to host a meaningful interview experience for all candidates. If you want an accommodation/adjustment for a disability or any other reason during the hiring process, please send a request to your recruiting partner.
 We are an equal\-opportunity employer and celebrate diversity, recognizing that diversity builds stronger teams. We approach diversity and inclusion seriously and thoughtfully. We do not discriminate on the basis of race, religion, color, ancestry, national origin, caste, sex, sexual orientation, gender, gender identity or expression, age, disability, medical condition, pregnancy, genetic makeup, marital status, or military service.</t>
        </is>
      </c>
    </row>
    <row r="50">
      <c r="A50" t="inlineStr">
        <is>
          <t>li-4353048419</t>
        </is>
      </c>
      <c r="B50" t="inlineStr">
        <is>
          <t>Data Engineer, Product Analytics</t>
        </is>
      </c>
      <c r="C50" t="inlineStr">
        <is>
          <t>Meta</t>
        </is>
      </c>
      <c r="D50" t="inlineStr">
        <is>
          <t>linkedin</t>
        </is>
      </c>
      <c r="E50">
        <f>HYPERLINK("https://www.linkedin.com/jobs/view/4353048419", "https://www.linkedin.com/jobs/view/4353048419")</f>
        <v/>
      </c>
      <c r="F50">
        <f>HYPERLINK("https://jsv3.recruitics.com/redirect?rx_cid=3239&amp;rx_jobId=a1KDp00000E2JuPMAV_1003&amp;rx_url=https%3A%2F%2Fwww.metacareers.com%2Fjobs%2F438521235471941%2F%3Frx_campaign%3DLinkedin1%26rx_ch%3Dconnector%26rx_group%3D126320%26rx_id%3D67598752-009a-11f1-8121-eb68ad263c0a%26rx_job%3Da1KDp00000E2JuPMAV_1003%26rx_medium%3Dpost%26rx_r%3Dnone%26rx_source%3DLinkedin%26rx_ts%3D20260205T121202Z%26rx_vp%3Dslots%26utm_campaign%3DJob%252Bboard%26utm_medium%3Djobs%26utm_source%3DLIpaid&amp;urlHash=XCZ2", "https://jsv3.recruitics.com/redirect?rx_cid=3239&amp;rx_jobId=a1KDp00000E2JuPMAV_1003&amp;rx_url=https%3A%2F%2Fwww.metacareers.com%2Fjobs%2F438521235471941%2F%3Frx_campaign%3DLinkedin1%26rx_ch%3Dconnector%26rx_group%3D126320%26rx_id%3D67598752-009a-11f1-8121-eb68ad263c0a%26rx_job%3Da1KDp00000E2JuPMAV_1003%26rx_medium%3Dpost%26rx_r%3Dnone%26rx_source%3DLinkedin%26rx_ts%3D20260205T121202Z%26rx_vp%3Dslots%26utm_campaign%3DJob%252Bboard%26utm_medium%3Djobs%26utm_source%3DLIpaid&amp;urlHash=XCZ2")</f>
        <v/>
      </c>
      <c r="G50" t="inlineStr">
        <is>
          <t>New York, NY</t>
        </is>
      </c>
      <c r="H50" t="inlineStr"/>
      <c r="I50" t="inlineStr">
        <is>
          <t>As a Data Engineer at Meta, you will shape the future of people\-facing and business\-facing products we build across our entire family of applications (Facebook, Instagram, Messenger, WhatsApp, Reality Labs, Threads). Your technical skills and analytical mindset will be utilized designing and building some of the world's most extensive data sets, helping to craft experiences for billions of people and hundreds of millions of businesses worldwide.In this role, you will collaborate with software engineering, data science, and product management teams to design/build scalable data solutions across Meta to optimize growth, strategy, and user experience for our 3 billion plus users, as well as our internal employee community.You will be at the forefront of identifying and solving some of the most interesting data challenges at a scale few companies can match. By joining Meta, you will become part of a world\-class data engineering community dedicated to skill development and career growth in data engineering and beyond.Data Engineering: You will guide teams by building optimal data artifacts (including datasets and visualizations) to address key questions. You will refine our systems, design logging solutions, and create scalable data models. Ensuring data security and quality, and with a strong focus on efficiency, you will suggest architecture and development approaches and data management standards to address complex analytical problems.Product leadership: You will use data to shape product development, identify new opportunities, and tackle upcoming challenges. You'll ensure our products add value for users and businesses, by prioritizing projects, and driving innovative solutions to respond to challenges or opportunities.Communication and influence: You won't simply present data, but tell data\-driven stories. You will convince and influence your partners using clear insights and recommendations. You will build credibility through structure and clarity, and be a trusted strategic partner.
 Data Engineer, Product Analytics Responsibilities:
* Manage and execute data warehouse plans for a product or a group of products to solve well\-scoped problems
* Identify the data needed for a business problem and implement logging required to ensure availability of data, while working with data infrastructure to triage issues and resolve
* Collaborate with engineers, product managers and data scientists to understand data needs, representing key data insights in a meaningful way
* Build data expertise and leverage data controls to ensure privacy, security, compliance, data quality, and operations for allocated areas of ownership
* Design, build and launch new data models and visualizations in production, leveraging common development toolkits
* Independently design, build and launch new data extraction, transformation and loading processes in production, mentoring others around efficient queries
* Support existing processes running in production and implement optimized solutions with limited guidance
* Define and manage Service Level Agreements for data sets in allocated areas of ownership
 Minimum Qualifications:
* Bachelor's degree in Computer Science, Computer Engineering, relevant technical field, or equivalent practical experience
* 2\+ years of experience where the primary responsibility involves working with data. This could include roles such as data analyst, data scientist, data engineer, or similar positions
* 2\+ years of experience with SQL, ETL, data modeling, and at least one programming language (e.g., Python, C\+\+, C\#, Scala or others.)
 Preferred Qualifications:
* Master's or Ph.D degree in a STEM field
 About Meta:
 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
 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
 Meta is committed to providing reasonable accommodations for candidates with disabilities in our recruiting process. If you need any assistance or accommodations due to a disability, please let us know at accommodations\-ext@meta.com.
 $114,000/year to $173,000/year \+ bonus \+ equity \+ benefits
 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Learn more about benefits at Meta.</t>
        </is>
      </c>
    </row>
    <row r="51">
      <c r="A51" t="inlineStr">
        <is>
          <t>li-4335810007</t>
        </is>
      </c>
      <c r="B51" t="inlineStr">
        <is>
          <t>Analytics Engineer</t>
        </is>
      </c>
      <c r="C51" t="inlineStr">
        <is>
          <t>Verkada</t>
        </is>
      </c>
      <c r="D51" t="inlineStr">
        <is>
          <t>linkedin</t>
        </is>
      </c>
      <c r="E51">
        <f>HYPERLINK("https://www.linkedin.com/jobs/view/4335810007", "https://www.linkedin.com/jobs/view/4335810007")</f>
        <v/>
      </c>
      <c r="F51" t="inlineStr"/>
      <c r="G51" t="inlineStr">
        <is>
          <t>San Mateo, CA</t>
        </is>
      </c>
      <c r="H51" t="inlineStr"/>
      <c r="I51" t="inlineStr">
        <is>
          <t>**Who We Are**
 Verkada is transforming how organizations protect their people and places with an integrated, AI\-powered platform. A leader in cloud physical security, Verkada helps organizations strengthen safety and efficiency through one connected software platform that includes solutions for video security, access control, air quality sensors, alarms, intercoms, and visitor management.
 Over 30,000 organizations worldwide, including more than 100 companies in the Fortune 500, trust Verkada as their physical security layer for easier management, intelligent control, and scalable deployments. Founded in 2016, Verkada has expanded rapidly with 15 offices and 2,200\+ full\-time employees.
**About The Role**
 Verkada’s Growth Ops team is looking for a talented individual to play an integral role in leveraging our data and technology to help our marketing team run better, faster, and smarter. You will have the opportunity to play a vital role in both creating and driving world\-class insights that will drive the next phase of growth here at Verkada.
 Successful Marketing Analytics leaders at Verkada are fluent in SQL and data modeling, understand the principles of effective data visualization, and know how to contextualize their work within the business in order to drive growth. This role reports to our Sr. Manager, Analytics Engineering. We are committed to a thriving in\-office culture. This role requires that you be on\-site at our office in San Mateo, CA 5 days a week.
**What You'll Do**
* Own the full analytics workflow, from transforming raw data in dbt to building dashboards in Looker and presenting findings that influence strategy.
* Collaborate with stakeholders to design metrics that align with company objectives and inform decision\-making.
* Build and maintain scalable, well\-documented data models in dbt and Looker/LookML that power reporting and analysis across the org.
* Help shape data governance and foster data literacy, empowering stakeholders to self\-serve with trustworthy and accurate data.
* Deliver high\-impact, data\-driven insights and recommendations; collaborate with leadership to influence key decisions and optimize the growth funnel
**What You Bring**
* 3–5 years of experience in data analytics or data science.
* Advanced SQL proficiency and experience working with modern databases (BigQuery, Snowflake, Redshift)
* Experience building dashboards with data visualization tools (Looker, Tableau, Power BI).
* Demonstrated track record of success in a high\-growth, self\-directed business environment.
* Strong analytical mindset; enjoys solving complex and ambiguous problems.
* Excellent verbal and written communication skills, with ability to translate complex data into clear business narratives.
* Must be willing and able to commute 5 days in office.
**Nice to Have**
* Direct relevant experience in Marketing Analytics or a similar function (Growth Analytics, Data Science, Product Analytics, etc.)
* Experience with data modeling, ETL/ELT, and data warehousing.
* Experience with dbt
* Experience with Looker/LookML
* Proficiency with Python, R, and statistical analysis.
* Familiarity with business systems: Salesforce, Marketo, Outreach, or similar.
**Employee Benefits**
 Verkada is committed to fostering a workplace environment that prioritizes the holistic health and wellbeing of our employees and their families by offering comprehensive wellness perks, benefits, and resources. Our benefits and perks programs include, but are not limited to:
* Healthcare programs that can be tailored to meet the personal health and financial well\-being needs \- Premiums are 100% covered for the employee under at least one plan and 80% for family premiums under all plans Nationwide medical, vision and dental coverage
* Health Saving Account (HSA) with annual employer contributions and Flexible Spending Account (FSA) with tax saving options
* Expanded mental health support
* Paid parental leave policy \&amp; fertility benefits
* Time off to relax and recharge through our paid holidays, firmwide extended holidays, flexible PTO and personal sick time
* Professional development stipend
* Fertility Stipend
* Wellness/fitness benefits
* Healthy lunches provided daily
* Commuter benefits
 Additional Information
* You must be independently authorized to work in the U.S. We are unable to sponsor or take over sponsorship of an employment visa for this role, at this time.
**Annual Pay Range**
 At Verkada, we want to attract and retain the best employees, and compensate them in a way that appropriately and fairly values their individual contribution to the company. With that in mind, we carefully consider a number of factors to determine the appropriate starting pay for an employee, including their primary work location and an assessment of a candidate's skills and experience, as well as market demands and internal parity. A Verkada employee may be eligible for additional forms of compensation, depending on their role, including sales incentives, discretionary bonuses, and/or equity in the company in the form of restricted stock units (RSUs)
 Below is the annual on\-target earnings (OTE) range for full\-time employees for this position, comprised of base compensation and commissions (if applicable).
 Estimated Annual Pay Range
 $130,000—$180,000 USD
**Verkada Is An Equal Opportunity Employer**
 As an equal opportunity employer, Verkada is committed to providing employment opportunities to all individuals. All applicants for positions at Verkada will be treated without regard to race, color, ethnicity, religion, sex, gender, gender identity and expression, sexual orientation, national origin, disability, age, marital status, veteran status, pregnancy, or any other basis prohibited by applicable law.
*Your application will be handled in accordance with our Candidate Privacy Policy.*</t>
        </is>
      </c>
    </row>
    <row r="52">
      <c r="A52" t="inlineStr">
        <is>
          <t>li-4353088437</t>
        </is>
      </c>
      <c r="B52" t="inlineStr">
        <is>
          <t>Data Engineer, Product Analytics</t>
        </is>
      </c>
      <c r="C52" t="inlineStr">
        <is>
          <t>Meta</t>
        </is>
      </c>
      <c r="D52" t="inlineStr">
        <is>
          <t>linkedin</t>
        </is>
      </c>
      <c r="E52">
        <f>HYPERLINK("https://www.linkedin.com/jobs/view/4353088437", "https://www.linkedin.com/jobs/view/4353088437")</f>
        <v/>
      </c>
      <c r="F52">
        <f>HYPERLINK("https://jsv3.recruitics.com/redirect?rx_cid=3239&amp;rx_jobId=a1KDp00000E2JuPMAV_1002&amp;rx_url=https%3A%2F%2Fwww.metacareers.com%2Fjobs%2F438521235471941%2F%3Frx_campaign%3DLinkedin1%26rx_ch%3Dconnector%26rx_group%3D126320%26rx_id%3D6b7eee2e-009a-11f1-8121-9d149b7d5883%26rx_job%3Da1KDp00000E2JuPMAV_1002%26rx_medium%3Dpost%26rx_r%3Dnone%26rx_source%3DLinkedin%26rx_ts%3D20260205T121202Z%26rx_vp%3Dslots%26utm_campaign%3DJob%252Bboard%26utm_medium%3Djobs%26utm_source%3DLIpaid&amp;urlHash=SbvD", "https://jsv3.recruitics.com/redirect?rx_cid=3239&amp;rx_jobId=a1KDp00000E2JuPMAV_1002&amp;rx_url=https%3A%2F%2Fwww.metacareers.com%2Fjobs%2F438521235471941%2F%3Frx_campaign%3DLinkedin1%26rx_ch%3Dconnector%26rx_group%3D126320%26rx_id%3D6b7eee2e-009a-11f1-8121-9d149b7d5883%26rx_job%3Da1KDp00000E2JuPMAV_1002%26rx_medium%3Dpost%26rx_r%3Dnone%26rx_source%3DLinkedin%26rx_ts%3D20260205T121202Z%26rx_vp%3Dslots%26utm_campaign%3DJob%252Bboard%26utm_medium%3Djobs%26utm_source%3DLIpaid&amp;urlHash=SbvD")</f>
        <v/>
      </c>
      <c r="G52" t="inlineStr">
        <is>
          <t>Burlingame, CA</t>
        </is>
      </c>
      <c r="H52" t="inlineStr"/>
      <c r="I52" t="inlineStr">
        <is>
          <t>As a Data Engineer at Meta, you will shape the future of people\-facing and business\-facing products we build across our entire family of applications (Facebook, Instagram, Messenger, WhatsApp, Reality Labs, Threads). Your technical skills and analytical mindset will be utilized designing and building some of the world's most extensive data sets, helping to craft experiences for billions of people and hundreds of millions of businesses worldwide.In this role, you will collaborate with software engineering, data science, and product management teams to design/build scalable data solutions across Meta to optimize growth, strategy, and user experience for our 3 billion plus users, as well as our internal employee community.You will be at the forefront of identifying and solving some of the most interesting data challenges at a scale few companies can match. By joining Meta, you will become part of a world\-class data engineering community dedicated to skill development and career growth in data engineering and beyond.Data Engineering: You will guide teams by building optimal data artifacts (including datasets and visualizations) to address key questions. You will refine our systems, design logging solutions, and create scalable data models. Ensuring data security and quality, and with a strong focus on efficiency, you will suggest architecture and development approaches and data management standards to address complex analytical problems.Product leadership: You will use data to shape product development, identify new opportunities, and tackle upcoming challenges. You'll ensure our products add value for users and businesses, by prioritizing projects, and driving innovative solutions to respond to challenges or opportunities.Communication and influence: You won't simply present data, but tell data\-driven stories. You will convince and influence your partners using clear insights and recommendations. You will build credibility through structure and clarity, and be a trusted strategic partner.
 Data Engineer, Product Analytics Responsibilities:
* Manage and execute data warehouse plans for a product or a group of products to solve well\-scoped problems
* Identify the data needed for a business problem and implement logging required to ensure availability of data, while working with data infrastructure to triage issues and resolve
* Collaborate with engineers, product managers and data scientists to understand data needs, representing key data insights in a meaningful way
* Build data expertise and leverage data controls to ensure privacy, security, compliance, data quality, and operations for allocated areas of ownership
* Design, build and launch new data models and visualizations in production, leveraging common development toolkits
* Independently design, build and launch new data extraction, transformation and loading processes in production, mentoring others around efficient queries
* Support existing processes running in production and implement optimized solutions with limited guidance
* Define and manage Service Level Agreements for data sets in allocated areas of ownership
 Minimum Qualifications:
* Bachelor's degree in Computer Science, Computer Engineering, relevant technical field, or equivalent practical experience
* 2\+ years of experience where the primary responsibility involves working with data. This could include roles such as data analyst, data scientist, data engineer, or similar positions
* 2\+ years of experience with SQL, ETL, data modeling, and at least one programming language (e.g., Python, C\+\+, C\#, Scala or others.)
 Preferred Qualifications:
* Master's or Ph.D degree in a STEM field
 About Meta:
 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
 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
 Meta is committed to providing reasonable accommodations for candidates with disabilities in our recruiting process. If you need any assistance or accommodations due to a disability, please let us know at accommodations\-ext@meta.com.
 $114,000/year to $173,000/year \+ bonus \+ equity \+ benefits
 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Learn more about benefits at Meta.</t>
        </is>
      </c>
    </row>
    <row r="53">
      <c r="A53" t="inlineStr">
        <is>
          <t>li-4353260839</t>
        </is>
      </c>
      <c r="B53" t="inlineStr">
        <is>
          <t>Data Engineer, Product Analytics</t>
        </is>
      </c>
      <c r="C53" t="inlineStr">
        <is>
          <t>Meta</t>
        </is>
      </c>
      <c r="D53" t="inlineStr">
        <is>
          <t>linkedin</t>
        </is>
      </c>
      <c r="E53">
        <f>HYPERLINK("https://www.linkedin.com/jobs/view/4353260839", "https://www.linkedin.com/jobs/view/4353260839")</f>
        <v/>
      </c>
      <c r="F53" t="inlineStr"/>
      <c r="G53" t="inlineStr">
        <is>
          <t>Menlo Park, CA</t>
        </is>
      </c>
      <c r="H53" t="inlineStr"/>
      <c r="I53" t="inlineStr">
        <is>
          <t>As a Data Engineer at Meta, you will shape the future of people\-facing and business\-facing products we build across our entire family of applications (Facebook, Instagram, Messenger, WhatsApp, Reality Labs, Threads). Your technical skills and analytical mindset will be utilized designing and building some of the world's most extensive data sets, helping to craft experiences for billions of people and hundreds of millions of businesses worldwide.In this role, you will collaborate with software engineering, data science, and product management teams to design/build scalable data solutions across Meta to optimize growth, strategy, and user experience for our 3 billion plus users, as well as our internal employee community.You will be at the forefront of identifying and solving some of the most interesting data challenges at a scale few companies can match. By joining Meta, you will become part of a world\-class data engineering community dedicated to skill development and career growth in data engineering and beyond.Data Engineering: You will guide teams by building optimal data artifacts (including datasets and visualizations) to address key questions. You will refine our systems, design logging solutions, and create scalable data models. Ensuring data security and quality, and with a strong focus on efficiency, you will suggest architecture and development approaches and data management standards to address complex analytical problems.Product leadership: You will use data to shape product development, identify new opportunities, and tackle upcoming challenges. You'll ensure our products add value for users and businesses, by prioritizing projects, and driving innovative solutions to respond to challenges or opportunities.Communication and influence: You won't simply present data, but tell data\-driven stories. You will convince and influence your partners using clear insights and recommendations. You will build credibility through structure and clarity, and be a trusted strategic partner.
 Data Engineer, Product Analytics Responsibilities:
* Manage and execute data warehouse plans for a product or a group of products to solve well\-scoped problems
* Identify the data needed for a business problem and implement logging required to ensure availability of data, while working with data infrastructure to triage issues and resolve
* Collaborate with engineers, product managers and data scientists to understand data needs, representing key data insights in a meaningful way
* Build data expertise and leverage data controls to ensure privacy, security, compliance, data quality, and operations for allocated areas of ownership
* Design, build and launch new data models and visualizations in production, leveraging common development toolkits
* Independently design, build and launch new data extraction, transformation and loading processes in production, mentoring others around efficient queries
* Support existing processes running in production and implement optimized solutions with limited guidance
* Define and manage Service Level Agreements for data sets in allocated areas of ownership
 Minimum Qualifications:
* Bachelor's degree in Computer Science, Computer Engineering, relevant technical field, or equivalent practical experience
* 2\+ years of experience where the primary responsibility involves working with data. This could include roles such as data analyst, data scientist, data engineer, or similar positions
* 2\+ years of experience with SQL, ETL, data modeling, and at least one programming language (e.g., Python, C\+\+, C\#, Scala or others.)
 Preferred Qualifications:
* Master's or Ph.D degree in a STEM field
 About Meta:
 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
 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
 Meta is committed to providing reasonable accommodations for candidates with disabilities in our recruiting process. If you need any assistance or accommodations due to a disability, please let us know at accommodations\-ext@meta.com.
 $114,000/year to $173,000/year \+ bonus \+ equity \+ benefits
 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Learn more about benefits at Meta.</t>
        </is>
      </c>
    </row>
    <row r="54">
      <c r="A54" t="inlineStr">
        <is>
          <t>li-4369463725</t>
        </is>
      </c>
      <c r="B54" t="inlineStr">
        <is>
          <t>Data Engineer</t>
        </is>
      </c>
      <c r="C54" t="inlineStr">
        <is>
          <t>Accelerant</t>
        </is>
      </c>
      <c r="D54" t="inlineStr">
        <is>
          <t>linkedin</t>
        </is>
      </c>
      <c r="E54">
        <f>HYPERLINK("https://www.linkedin.com/jobs/view/4369463725", "https://www.linkedin.com/jobs/view/4369463725")</f>
        <v/>
      </c>
      <c r="F54" t="inlineStr"/>
      <c r="G54" t="inlineStr"/>
      <c r="H54" t="inlineStr"/>
      <c r="I54" t="inlineStr">
        <is>
          <t>Data Engineer
 Please note: this role is remote but candidates need to be on Eastern timezone.
 Job Description
 At Accelerant, we're not just keeping pace with technological advancements, we're leading the charge. As we refine and expand our operations, we're looking for a forward\-thinking Data Engineer to join our dynamic team.
 As a Data Engineer, you will take on a central role in constructing and optimizing our robust data platform. This platform is at the heart of our operations\-it drives our SaaS platform, underpins our internal analytics, and fuels our operational systems.
 In this role, you'll have the unique opportunity to design and build solutions that don't just deliver insights but lay the foundation for Accelerant's success in the digital landscape. Whether it's shaping unique selling propositions or pushing the boundaries of what our technology can do, your work will influence every corner of our organization.
 Key Responsibilities
* Analyse and ingest new datasets from varied sources
* Design, build, and support cloud infrastructure
* Design, build, and support AI and ML processes and infrastructure
* Design and build modern, metadata driven data pipelines and data streams
* Design and build data service APIs
* Transform and cleanse complex datasets
* Analyse current business practices, processes and procedures
* Implement effective metrics and monitoring processes
* A commitment to learning and sharing knowledge
 Required Skills/Experience
* 2 or more years' experience working as a Data Engineer
* Experience of developing in AWS
* Snowflake
* SQL
* Python
* Experience with DataOps methodologies, tools, and processes.
 Desirable Skills
* dbt
* Experience handling structured and unstructured datasets
* Experience in AI and Machine Learning
* Experienced in real\-time and batch mode data ingestion
* Experience in Data Warehouse development
* General P\&amp;C Insurance business knowledge</t>
        </is>
      </c>
    </row>
    <row r="55">
      <c r="A55" t="inlineStr">
        <is>
          <t>li-4353138471</t>
        </is>
      </c>
      <c r="B55" t="inlineStr">
        <is>
          <t>Data Engineer, Product Analytics</t>
        </is>
      </c>
      <c r="C55" t="inlineStr">
        <is>
          <t>Meta</t>
        </is>
      </c>
      <c r="D55" t="inlineStr">
        <is>
          <t>linkedin</t>
        </is>
      </c>
      <c r="E55">
        <f>HYPERLINK("https://www.linkedin.com/jobs/view/4353138471", "https://www.linkedin.com/jobs/view/4353138471")</f>
        <v/>
      </c>
      <c r="F55" t="inlineStr"/>
      <c r="G55" t="inlineStr">
        <is>
          <t>Bellevue, WA</t>
        </is>
      </c>
      <c r="H55" t="inlineStr"/>
      <c r="I55" t="inlineStr">
        <is>
          <t>As a Data Engineer at Meta, you will shape the future of people\-facing and business\-facing products we build across our entire family of applications (Facebook, Instagram, Messenger, WhatsApp, Reality Labs, Threads). Your technical skills and analytical mindset will be utilized designing and building some of the world's most extensive data sets, helping to craft experiences for billions of people and hundreds of millions of businesses worldwide.In this role, you will collaborate with software engineering, data science, and product management teams to design/build scalable data solutions across Meta to optimize growth, strategy, and user experience for our 3 billion plus users, as well as our internal employee community.You will be at the forefront of identifying and solving some of the most interesting data challenges at a scale few companies can match. By joining Meta, you will become part of a world\-class data engineering community dedicated to skill development and career growth in data engineering and beyond.Data Engineering: You will guide teams by building optimal data artifacts (including datasets and visualizations) to address key questions. You will refine our systems, design logging solutions, and create scalable data models. Ensuring data security and quality, and with a strong focus on efficiency, you will suggest architecture and development approaches and data management standards to address complex analytical problems.Product leadership: You will use data to shape product development, identify new opportunities, and tackle upcoming challenges. You'll ensure our products add value for users and businesses, by prioritizing projects, and driving innovative solutions to respond to challenges or opportunities.Communication and influence: You won't simply present data, but tell data\-driven stories. You will convince and influence your partners using clear insights and recommendations. You will build credibility through structure and clarity, and be a trusted strategic partner.
 Data Engineer, Product Analytics Responsibilities:
* Manage and execute data warehouse plans for a product or a group of products to solve well\-scoped problems
* Identify the data needed for a business problem and implement logging required to ensure availability of data, while working with data infrastructure to triage issues and resolve
* Collaborate with engineers, product managers and data scientists to understand data needs, representing key data insights in a meaningful way
* Build data expertise and leverage data controls to ensure privacy, security, compliance, data quality, and operations for allocated areas of ownership
* Design, build and launch new data models and visualizations in production, leveraging common development toolkits
* Independently design, build and launch new data extraction, transformation and loading processes in production, mentoring others around efficient queries
* Support existing processes running in production and implement optimized solutions with limited guidance
* Define and manage Service Level Agreements for data sets in allocated areas of ownership
 Minimum Qualifications:
* Bachelor's degree in Computer Science, Computer Engineering, relevant technical field, or equivalent practical experience
* 2\+ years of experience where the primary responsibility involves working with data. This could include roles such as data analyst, data scientist, data engineer, or similar positions
* 2\+ years of experience with SQL, ETL, data modeling, and at least one programming language (e.g., Python, C\+\+, C\#, Scala or others.)
 Preferred Qualifications:
* Master's or Ph.D degree in a STEM field
 About Meta:
 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
 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
 Meta is committed to providing reasonable accommodations for candidates with disabilities in our recruiting process. If you need any assistance or accommodations due to a disability, please let us know at accommodations\-ext@meta.com.
 $114,000/year to $173,000/year \+ bonus \+ equity \+ benefits
 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Learn more about benefits at Meta.</t>
        </is>
      </c>
    </row>
    <row r="56">
      <c r="A56" t="inlineStr">
        <is>
          <t>li-4369112775</t>
        </is>
      </c>
      <c r="B56" t="inlineStr">
        <is>
          <t>Data Engineer</t>
        </is>
      </c>
      <c r="C56" t="inlineStr">
        <is>
          <t>AARATECH</t>
        </is>
      </c>
      <c r="D56" t="inlineStr">
        <is>
          <t>linkedin</t>
        </is>
      </c>
      <c r="E56">
        <f>HYPERLINK("https://www.linkedin.com/jobs/view/4369112775", "https://www.linkedin.com/jobs/view/4369112775")</f>
        <v/>
      </c>
      <c r="F56" t="inlineStr"/>
      <c r="G56" t="inlineStr"/>
      <c r="H56" t="inlineStr"/>
      <c r="I56" t="inlineStr">
        <is>
          <t>**Location:** 
 United States (Remote / On\-site – based on client needs)
**Employment Type:** 
 Full\-time (Contract or Contract\-to\-Hire)
**Experience Level:** 
 Entry\-level (0–2 years)
**Company:** 
 Aaratech Inc
 🛑
 **Eligibility:** 
 Open to U.S. Citizens and Green Card holders only. We do not offer visa sponsorship.
 🔍
 **About Aaratech Inc** 
 Aaratech Inc is a specialized IT consulting and staffing company focused on placing talented individuals across data, cloud, and software disciplines. We work with top U.S. enterprises to deliver long\-term roles, competitive compensation, and opportunities to grow in modern data environments.
 🎯
 **Position Overview** 
 We are seeking a
 **Junior Data Analyst** 
 with 0–2 years of experience to support data analysis, reporting, and dashboard development for enterprise clients. This role is ideal for early\-career candidates who want to gain hands\-on experience working with real\-world datasets, analytical tools, and business teams. You will collaborate with senior analysts and data engineers to deliver clean, reliable insights that support business decisions.
 🛠️
 **Key Responsibilities** 
* Assist in analyzing datasets to identify trends and insights
* Support the creation of dashboards and reports using Power BI, Tableau, or Excel
* Write basic SQL queries for data extraction and validation
* Clean, organize, and prepare datasets for analysis
* Document findings and prepare simple data summaries for business teams
* Collaborate with senior analysts on KPIs, metrics, and data requirements
* Help with data quality checks and troubleshoot data discrepancies
* Maintain documentation for reports, dashboards, and data processes
 ✅
 **Required Skills \&amp; Experience** 
* 0–2 years of experience in Data Analysis or a related field
* Basic proficiency in SQL
* Hands\-on experience with Excel (pivot tables, formulas, charts)
* Familiarity with any BI tool (Power BI, Tableau, or Looker)
* Understanding of data cleaning, validation, and analytical concepts
* Knowledge of Python (optional but preferred) for basic data manipulation
* Strong attention to detail and analytical thinking
* Good communication skills and willingness to learn
 ⭐
 **Nice to Have** 
* Exposure to data visualization tools or dashboard building
* Familiarity with data models or basic statistics
* Internship or academic projects related to data analysis
* Experience with Google Analytics, Power Query, or data cleansing tools
* Understanding of cloud platforms (AWS/GCP/Azure) at a basic level</t>
        </is>
      </c>
    </row>
    <row r="57">
      <c r="A57" t="inlineStr">
        <is>
          <t>li-4368978586</t>
        </is>
      </c>
      <c r="B57" t="inlineStr">
        <is>
          <t>Data Engineer II</t>
        </is>
      </c>
      <c r="C57" t="inlineStr">
        <is>
          <t>Yahoo</t>
        </is>
      </c>
      <c r="D57" t="inlineStr">
        <is>
          <t>linkedin</t>
        </is>
      </c>
      <c r="E57">
        <f>HYPERLINK("https://www.linkedin.com/jobs/view/4368978586", "https://www.linkedin.com/jobs/view/4368978586")</f>
        <v/>
      </c>
      <c r="F57">
        <f>HYPERLINK("https://ouryahoo.wd5.myworkdayjobs.com/en-US/careers/job/United-States-of-America/Data-Engineer-II_JR0026867?source=LinkedIn&amp;urlHash=EG7C", "https://ouryahoo.wd5.myworkdayjobs.com/en-US/careers/job/United-States-of-America/Data-Engineer-II_JR0026867?source=LinkedIn&amp;urlHash=EG7C")</f>
        <v/>
      </c>
      <c r="G57" t="inlineStr"/>
      <c r="H57" t="inlineStr"/>
      <c r="I57" t="inlineStr">
        <is>
          <t>Yahoo Mail is the ultimate consumer inbox with hundreds of millions of users. It’s the best way to access your email and stay organized from a computer, phone or tablet. With its beautiful design and lightning fast speed, Yahoo Mail makes reading, organizing, and sending emails easier than ever.
 The Mail Analytics Infrastructure \&amp; Data Engineering team at Yahoo is responsible for building mission critical data serving, pipelines, lakehouse, analytics systems and infrastructures for the Yahoo Mail business. We are constantly pushing the envelope of data \&amp; analytics platforms due to the massive volume of data we need to harness in order to drive the explosive growth of AI advances.
 Power the Future of Data \&amp; Analytics at Yahoo Mail
 As part of the Mail Analytics Infrastructure \&amp; Data Engineering team, you will be working on large\-scale batch pipelines, data serving, data lakehouse, and analytics systems, enabling mission critical decision making, downstream, AI\-powered capabilities, and more.
 If you're passionate about building data infrastructure and platforms that power modern Data\- and AI\-driven business at scale, we want to hear from you!
****Your Day****
* Develop new or improve and maintain existing large\-scale data infrastructures and systems for data processing or serving, optimizing complex code through advanced algorithmic concepts and in\-depth understanding of underlying data system stacks
* Create and contribute to frameworks that improve the efficacy of the management and deployment of data platforms and systems, while working with data infrastructure to triage and resolve issues
* Prototype new metrics or data systems
* Define and manage Service Level Agreements for all data sets in allocated areas of ownership
* Develop complex queries, very large volume data pipelines, and analytics applications to solve analytics and data engineering problems
* Collaborate with engineers, data scientists, and product managers to understand business problems, technical requirements to deliver data solutions
* Engineering consulting on large and complex data lakehouse data
**Qualifications:**
* BS in Computer Science/Engineering, relevant technical field, or equivalent practical experience, with specialization in Data Engineering
* 3\-5 years of experience in Data Engineering (ETL, data lakehouse, Data Modeling)
* Strong fundamentals: algorithms, distributed computing, data structure, database, data warehouse
* Fluency with: Python/Java/SQL
* Self\-driven, challenge\-loving, detail oriented, teamwork spirit, excellent communication skills, ability to multitask and manage expectations
****Preferred Qualifications:****
* MS/PhD in Computer Science/Engineering or relevant technical field, with specialization in Data Engineering
* 2\+ years experience in Hadoop/Apache technologies (Pig, Hive, HBase, Storm, Spark, Kafka, Oozie)
* 2\+ years experience in Google Cloud Platform technologies (BiqQuery, Dataproc, Dataflow, Composer, Looker)
 The material job duties and responsibilities of this role include those listed above as well as adhering to Yahoo policies; exercising sound judgment; working effectively, safely and inclusively with others; exhibiting trustworthiness and meeting expectations; and safeguarding business operations and brand integrity.
 At Yahoo, we offer flexible hybrid work options that our employees love! While most roles don’t require regular office attendance, you may occasionally be asked to attend in\-person events or team sessions. You’ll always get notice to make arrangements. Your recruiter will let you know if a specific job requires regular attendance at a Yahoo office or facility. If you have any questions about how this applies to the role, just ask the recruiter!
 Yahoo is proud to be an equal opportunity workplace. All qualified applicants will receive consideration for employment without regard to, and will not be discriminated against based on age, race, gender, color, religion, national origin, sexual orientation, gender identity, veteran status, disability or any other protected category. Yahoo will consider for employment qualified applicants with criminal histories in a manner consistent with applicable law. Yahoo is dedicated to providing an accessible environment for all candidates during the application process and for employees during their employment. If you need accessibility assistance and/or a reasonable accommodation due to a disability, please submit a request via the Accommodation Request Form (www.yahooinc.com/careers/contact\-us.html) or call \+1\.866\.772\.3182\. Requests and calls received for non\-disability related issues, such as following up on an application, will not receive a response.
 We believe that a diverse and inclusive workplace strengthens Yahoo and deepens our relationships. When you support everyone to be their best selves, they spark discovery, innovation and creativity. Among other efforts, our 11 employee resource groups (ERGs) enhance a culture of belonging with programs, events and fellowship that help educate, support and create a workplace where all feel welcome.
 The compensation for this position ranges from $111,000\.00 \- $231,250\.00/yr and will vary depending on factors such as your location, skills and experience.The compensation package may also include incentive compensation opportunities in the form of discretionary annual bonus or commissions. Our comprehensive benefits include healthcare, a great 401k, backup childcare, education stipends and much (much) more.
*Currently work for Yahoo? Please apply on our internal career site.*</t>
        </is>
      </c>
    </row>
    <row r="58">
      <c r="A58" t="inlineStr">
        <is>
          <t>li-4369111570</t>
        </is>
      </c>
      <c r="B58" t="inlineStr">
        <is>
          <t>Data Engineer</t>
        </is>
      </c>
      <c r="C58" t="inlineStr">
        <is>
          <t>Invictus</t>
        </is>
      </c>
      <c r="D58" t="inlineStr">
        <is>
          <t>linkedin</t>
        </is>
      </c>
      <c r="E58">
        <f>HYPERLINK("https://www.linkedin.com/jobs/view/4369111570", "https://www.linkedin.com/jobs/view/4369111570")</f>
        <v/>
      </c>
      <c r="F58" t="inlineStr"/>
      <c r="G58" t="inlineStr">
        <is>
          <t>Dallas, TX</t>
        </is>
      </c>
      <c r="H58" t="inlineStr"/>
      <c r="I58" t="inlineStr">
        <is>
          <t>**INVICTUS** 
 is looking for a skilled and motivated
 **Data Engineer** 
 to join our growing data engineering team in the
 **United States** 
 . If you enjoy building scalable data platforms and working with modern data technologies, we’d love to connect.
 📍
 **Location:** 
 USA (Onsite )
 💼
 **Experience:** 
 3–4 years
 ⚡
 **Availability:** 
 Immediate joiners preferred
**Key Responsibilities:** 
* Design, build, and maintain scalable ETL/ELT pipelines
* Work with modern data platforms such as Spark, Snowflake, BigQuery, or Redshift
* Ensure data quality, reliability, and availability across systems
* Collaborate with analytics, data science, and business teams
* Implement best practices in data modeling, warehousing, and pipeline optimization
**Required Skills:** 
 • Strong experience with SQL and Python or Scala
 • Hands\-on experience with cloud platforms (AWS, GCP, or Azure)
 • Familiarity with orchestration tools like Airflow, DBT, or similar
 • Solid understanding of data warehousing and modern data stacks
 • Experience with Git and CI/CD workflows
**Nice to Have:** 
 • Exposure to streaming technologies (Kafka, Kinesis, etc.)
 • Knowledge of containerization (Docker, Kubernetes)
 • Experience in FinTech, E\-commerce, or SaaS environments
**What We Offer:** 
 • Competitive compensation and growth opportunities
 • Collaborative, fast\-growing work culture
 • Opportunity to work on complex, high\-impact data problems
 📩
 **Interested or know someone who’d be a great fit?** 
 DM me or email your resume at
 **gowri.k@invictusdata.ai / whatsapp : \+91 \- 6305071675** 
 Let’s build data solutions that scale.
 \#INVICTUS \#HiringNow \#DataEngineer \#USJobs \#DataEngineering \#SQL \#Python \#Cloud \#ETL \#TechCareers</t>
        </is>
      </c>
    </row>
    <row r="59">
      <c r="A59" t="inlineStr">
        <is>
          <t>li-4369496346</t>
        </is>
      </c>
      <c r="B59" t="inlineStr">
        <is>
          <t>Data Engineer</t>
        </is>
      </c>
      <c r="C59" t="inlineStr">
        <is>
          <t>Hirenza</t>
        </is>
      </c>
      <c r="D59" t="inlineStr">
        <is>
          <t>linkedin</t>
        </is>
      </c>
      <c r="E59">
        <f>HYPERLINK("https://www.linkedin.com/jobs/view/4369496346", "https://www.linkedin.com/jobs/view/4369496346")</f>
        <v/>
      </c>
      <c r="F59" t="inlineStr"/>
      <c r="G59" t="inlineStr"/>
      <c r="H59" t="inlineStr"/>
      <c r="I59" t="inlineStr">
        <is>
          <t>**About The Company**
 Brains Workgroup, Inc. is a leading technology solutions provider dedicated to delivering innovative and reliable services to clients across various industries. With a strong focus on financial services, our company specializes in leveraging cutting\-edge data engineering and cloud technologies to help organizations optimize their data infrastructure, enhance analytics capabilities, and achieve strategic objectives. We pride ourselves on fostering a collaborative and inclusive work environment that encourages professional growth, continuous learning, and excellence in delivery.
**About The Role**
 Our client, a major bank based in New York City, is seeking a skilled Cloud Data Engineer to join their dynamic team. This is a permanent position offering a competitive compensation package, with a base salary range of 135,000 to 145,000 USD, along with excellent benefits and a targeted bonus scheme. The role requires a candidate who is comfortable working both independently and collaboratively, with the flexibility to work in the office two to three days per week in New York City.
 The Cloud Data Engineer will be responsible for supporting all facets of data engineering activities, including designing, developing, testing, debugging, documenting, deploying, and providing ongoing production support for data pipelines. The ideal candidate will have extensive experience working with big data technologies, particularly in building and managing scalable data pipelines using PySpark, Python, SQL, and Airflow. This position offers an exciting opportunity to work on large\-scale financial data processing, real\-time analytics, and reporting, contributing directly to the bank’s data\-driven decision\-making processes.
**Qualifications**
* Minimum of 3 years of hands\-on experience with Databricks and PySpark in a financial services environment.
* At least 5 years of strong programming experience in Python and advanced SQL.
* Practical knowledge of workflow orchestration tools, particularly Airflow, including designing and managing complex DAGs.
* Experience working with cloud platforms such as Azure or AWS, including data lake architectures and related services like Azure Data Lake Storage or AWS S3\.
* Understanding of financial domain data, regulatory requirements, and handling sensitive financial information.
* Excellent problem\-solving skills and the ability to communicate complex technical concepts effectively.
* Proven ability to work collaboratively within cross\-functional teams.
**Responsibilities**
* Design, develop, and optimize scalable data pipelines on Databricks using PySpark to process large volumes of financial data for real\-time analytics and reporting.
* Implement ETL pipelines for structured and semi\-structured financial data from batch and streaming sources, leveraging tools such as Apache Kafka, Airflow, and SQL.
* Develop and maintain Gold Layer transformations within Databricks to produce curated, high\-quality datasets that support business intelligence and analytics initiatives.
* Collaborate with data scientists, analysts, and business stakeholders to understand data requirements and deliver high\-quality, reliable data solutions.
* Implement DevOps best practices, including CI/CD pipelines, to streamline data workflows and ensure operational efficiency and reliability.
* Ensure data quality, governance, and compliance with financial regulations to support accurate and compliant financial reporting.
* Automate workflow scheduling and orchestration using Airflow to improve operational efficiency and reduce manual intervention.
* Optimize Spark jobs and SQL queries for performance and cost efficiency, ensuring timely data processing and delivery.
**Benefits**
 Joining our client’s team offers a comprehensive benefits package that includes competitive salary, health insurance, retirement plans, paid time off, and professional development opportunities. The role provides exposure to cutting\-edge data engineering technologies and practices within a major financial institution, fostering career growth and skill enhancement. Additionally, the position offers flexibility with a hybrid work model, enabling a healthy work\-life balance, and the chance to work in a vibrant New York City environment with a talented team of professionals.
 Equal Opportunity
 Brains Workgroup, Inc. is committed to fostering an inclusive and diverse workplace. We are an equal opportunity employer and do not discriminate based on race, color, religion, gender, sexual orientation, gender identity or expression, age, national origin, disability, or any other protected characteristic. We believe in creating a welcoming environment where all employees can thrive and contribute to our collective success.</t>
        </is>
      </c>
    </row>
    <row r="60">
      <c r="A60" t="inlineStr">
        <is>
          <t>li-4369107922</t>
        </is>
      </c>
      <c r="B60" t="inlineStr">
        <is>
          <t>Data Engineer</t>
        </is>
      </c>
      <c r="C60" t="inlineStr">
        <is>
          <t>AARATECH</t>
        </is>
      </c>
      <c r="D60" t="inlineStr">
        <is>
          <t>linkedin</t>
        </is>
      </c>
      <c r="E60">
        <f>HYPERLINK("https://www.linkedin.com/jobs/view/4369107922", "https://www.linkedin.com/jobs/view/4369107922")</f>
        <v/>
      </c>
      <c r="F60" t="inlineStr"/>
      <c r="G60" t="inlineStr"/>
      <c r="H60" t="inlineStr"/>
      <c r="I60" t="inlineStr">
        <is>
          <t>Job Title: Data Engineer – Retail / E\-Commerce
 🏢 Company: Aaratech Inc
 🛑 Eligibility: Only U.S. Citizens and Green Card holders are eligible.
 Please note that we do not offer visa sponsorship.
 Job Summary:
 Aaratech Inc. is seeking a results\-driven
 **Data Engineer – Retail / E\-Commerce** 
 to support customer, sales, and product data platforms. The role focuses on building scalable pipelines that enable real\-time and batch analytics for business growth.
 Key Responsibilities:
 🔹 Data Pipeline Development
 Develop and maintain data pipelines for sales, customer, and product data.
 Integrate data from e\-commerce platforms and marketing systems.
 🔹 Data Modeling
 Design data models to support analytics and BI reporting.
 Optimize performance and scalability.
 🔹 Data Quality
 Ensure data accuracy, completeness, and consistency.
 Implement monitoring and error\-handling processes.
 🔹 Collaboration
 Work closely with data analysts, product, and marketing teams.
 🔹 Tools \&amp; Technologies
 Use SQL, Python, ETL tools, and cloud data platforms.
 Qualifications:
 ✅ Bachelor’s degree in Computer Science, Engineering, or related field
 ✅ Minimum 2 years of Data Engineering experience
 ✅ Strong SQL and Python skills
 ✅ Experience with data pipelines and analytics platforms
 ✅ Retail or e\-commerce data experience preferred
 ✅ Strong problem\-solving skills</t>
        </is>
      </c>
    </row>
    <row r="61">
      <c r="A61" t="inlineStr">
        <is>
          <t>li-4369109938</t>
        </is>
      </c>
      <c r="B61" t="inlineStr">
        <is>
          <t>Data Engineer</t>
        </is>
      </c>
      <c r="C61" t="inlineStr">
        <is>
          <t>AARATECH</t>
        </is>
      </c>
      <c r="D61" t="inlineStr">
        <is>
          <t>linkedin</t>
        </is>
      </c>
      <c r="E61">
        <f>HYPERLINK("https://www.linkedin.com/jobs/view/4369109938", "https://www.linkedin.com/jobs/view/4369109938")</f>
        <v/>
      </c>
      <c r="F61" t="inlineStr"/>
      <c r="G61" t="inlineStr"/>
      <c r="H61" t="inlineStr"/>
      <c r="I61" t="inlineStr">
        <is>
          <t>Job Title: Data Engineer – Retail / E\-Commerce
 🏢 Company: Aaratech Inc
 🛑 Eligibility: Only U.S. Citizens and Green Card holders are eligible.
 Please note that we do not offer visa sponsorship.
 Job Summary:
 Aaratech Inc. is seeking a results\-driven
 **Data Engineer – Retail / E\-Commerce** 
 to support customer, sales, and product data platforms. The role focuses on building scalable pipelines that enable real\-time and batch analytics for business growth.
 Key Responsibilities:
 🔹 Data Pipeline Development
 Develop and maintain data pipelines for sales, customer, and product data.
 Integrate data from e\-commerce platforms and marketing systems.
 🔹 Data Modeling
 Design data models to support analytics and BI reporting.
 Optimize performance and scalability.
 🔹 Data Quality
 Ensure data accuracy, completeness, and consistency.
 Implement monitoring and error\-handling processes.
 🔹 Collaboration
 Work closely with data analysts, product, and marketing teams.
 🔹 Tools \&amp; Technologies
 Use SQL, Python, ETL tools, and cloud data platforms.
 Qualifications:
 ✅ Bachelor’s degree in Computer Science, Engineering, or related field
 ✅ Minimum 2 years of Data Engineering experience
 ✅ Strong SQL and Python skills
 ✅ Experience with data pipelines and analytics platforms
 ✅ Retail or e\-commerce data experience preferred
 ✅ Strong problem\-solving skills</t>
        </is>
      </c>
    </row>
    <row r="62">
      <c r="A62" t="inlineStr">
        <is>
          <t>li-4368998563</t>
        </is>
      </c>
      <c r="B62" t="inlineStr">
        <is>
          <t>Analytics Engineer</t>
        </is>
      </c>
      <c r="C62" t="inlineStr">
        <is>
          <t>Grow Therapy</t>
        </is>
      </c>
      <c r="D62" t="inlineStr">
        <is>
          <t>linkedin</t>
        </is>
      </c>
      <c r="E62">
        <f>HYPERLINK("https://www.linkedin.com/jobs/view/4368998563", "https://www.linkedin.com/jobs/view/4368998563")</f>
        <v/>
      </c>
      <c r="F62" t="inlineStr"/>
      <c r="G62" t="inlineStr"/>
      <c r="H62" t="inlineStr"/>
      <c r="I62" t="inlineStr">
        <is>
          <t>**About Us:**
 Grow Therapy is on a mission to serve as the trusted partner for therapists growing their practice, and patients accessing high\-quality care. Powered by technology, we are a three\-sided marketplace that empowers providers, augments insurance payors, and serves patients. Following the mass increase in depression and anxiety, the need for accessibility is more important than ever. To make our vision for mental healthcare a reality, we’re building a team of entrepreneurs and mission\-driven go\-getters. Since launching in February 2021, we’ve empowered more than ten thousand therapists and hundreds of thousands of clients across the country and insurance landscape. We’ve raised more than $178mm of funding from Sequoia Capital, Transformation Capital, TCV, SignalFire, and others.
**The Opportunity:**
 As an Analytics Engineer at Grow Therapy, you’ll build the data foundation that powers key decisions across product, operations, and strategy. Along the way, you’ll gain deep exposure to the inner workings of a fast\-growing healthcare marketplace, master advanced tools in modern data engineering and analytics, and help evolve our data culture from infrastructure to impact.
 It’s a rare opportunity to join a mission\-driven company at the inflection point of scale, where your technical craft directly improves access to mental health care nationwide.
**What You'll Be Doing:**
* You will ensure every team can leverage trusted, actionable insights to better serve providers and clients.You’ll take ownership of our data stack from ingestion through modeling in dbt to build efficient, robust data pipelines.
* You’ll collaborate daily with Analysts, Data Scientists, and Machine Learning Engineers, as well as stakeholders from Product and Engineering to make sure that the models we build drive value for the business.
**You'll Be a Good Fit if:**
* 3\-5 years of Analytics Engineering / Data Engineering experience building products, ideally in a high\-growth, fast\-paced environment.
* Excel at writing complex SQL pipelines and working within a modern data stack (Snowflake, dbt, Fivetran, Prefect, Looker/LookML)
* Possess strong foundations in Python, data modeling and system design
* Excellent communication and collaboration skills, and can work effectively with cross\-functional teams to achieve common goals.
* Comfort with ambiguity \- You thrive in dynamic environments and are skilled at turning loosely defined problems into clear technical direction.
**Bonus Points:**
* Hands\-on experience working with stakeholders to prioritize, define, own, and implement metric definitions
* Experience implementing a semantic/metrics layer for analysts, data scientists, and machine learning engineers to use
* Hands\-on experience building impactful dashboards and reports using Hex, Looker, or other data visualization products.
**Engineering Team Principles:**
* You own what you build. You will feel ownership of the code you write, articulate the importance of the feature, and follow up to ensure it's successful.
* We build solutions for our providers and clients. We write code to solve user problems, not just for the sake of solving technical problems.
* You are not part of the tech team, but rather part of the team itself! Grow is a tech\-enabled business and not a pure software business, so understanding how the business works is integral to your job.
**Role Details:** 
* Employment Type: Full\-Time, Exempt
* Base Compensation: The base compensation range for this position is
+ Hybrid Commitment: $124,000–$145,000 USD Annually
+ Fully Remote Commitment: $103,000–$120,000 USD Annually
 This role can be
 **hybrid** 
 (onsite from our NYC, San Francisco, or Seattle hub location
 **three days per week: Tuesday, Wednesday, Thursday** 
 ) or
 **fully remote.** 
 Both arrangements include travel
 **2–3 times per year** 
 (e.g., company and department offsites).
*The base compensation for this role will vary depending on several factors, including relevant experience, qualifications, and the candidate’s working location.*
**Full Time Employee Benefits:**
* Comprehensive Health Coverage: Medical, dental, and vision insurance, plus life and disability coverage.
* Parental Leave \&amp; Family Support: Up to 18 weeks paid leave and a new child stipend.
* Financial Wellness: 401(k) program and equity opportunities.
* Meals \&amp; Home Office Support: Stipends for home office setup and ongoing funds for meals, with tailored perks for both remote and in\-office employees.
* Time Off to Recharge: Flexible PTO, 12 paid holidays, and a full winter break week.
* Wellness \&amp; Development: Annual stipends to put towards personal \&amp; professional growth.
* Mental \&amp; Physical Health Support: No\-cost access to therapy through the Grow platform, weekly flexible hours for self\-care (“Mental Health Mornings/Afternoons”) and memberships to leading wellness apps (such as One Medical, Headspace, and Talkspace).
* Extra Perks: Pet insurance discounts, commuter benefits, and global travel assistance.
*Research shows that some groups hesitate to apply unless they meet every qualification. If you’re excited about this role but don’t check every box, we encourage you to apply. At Grow, we value diverse experiences, transferable skills, and the unique strengths each person brings.*
*Grow Therapy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***Use of AI Tools:***
*By submitting your application, you acknowledge and consent to the use of automated tools as part of our recruitment process. Specifically, we use a third\-party AI tool,* 
*Gem* 
*, to assist in the* 
***initial screening of resumes***
*. This tool analyzes resumes based on role\-specific criteria provided by our recruiters to identify potentially strong matches for the role.* 
***I***
***mportantly, no hiring decisions are made by the AI tool***
***.***
*All decisions about which candidates move forward are made by our human recruiting team after independent review.* 
*More information about Gem’s approach to compliance with* 
*California FEHA regulations on automated decision systems* 
*and* 
*New York Local Law 144* 
*can be found on the Gem compliance website.* 
*We are committed to transparency and fairness in our hiring practices. If you have questions about how our AI tools work, or would like more information about how your application will be processed, please contact us at talentops@growtherapy.com* 
*.* 
*If you require an accommodation due to a disability, or have concerns about the use of AI in the hiring process, please also contact us. We are happy to provide assistance or offer an alternative method of participating in the recruitment process.*</t>
        </is>
      </c>
    </row>
    <row r="63">
      <c r="A63" t="inlineStr">
        <is>
          <t>li-4369119100</t>
        </is>
      </c>
      <c r="B63" t="inlineStr">
        <is>
          <t>Data Engineer</t>
        </is>
      </c>
      <c r="C63" t="inlineStr">
        <is>
          <t>AARATECH</t>
        </is>
      </c>
      <c r="D63" t="inlineStr">
        <is>
          <t>linkedin</t>
        </is>
      </c>
      <c r="E63">
        <f>HYPERLINK("https://www.linkedin.com/jobs/view/4369119100", "https://www.linkedin.com/jobs/view/4369119100")</f>
        <v/>
      </c>
      <c r="F63" t="inlineStr"/>
      <c r="G63" t="inlineStr"/>
      <c r="H63" t="inlineStr"/>
      <c r="I63" t="inlineStr">
        <is>
          <t>Job Title: Data Engineer – Healthcare
 🏢 Company: Aaratech Inc
 🛑 Eligibility: Only U.S. Citizens and Green Card holders are eligible.
 Please note that we do not offer visa sponsorship.
 Job Summary:
 Aaratech Inc. is seeking a skilled and detail\-oriented
 **Data Engineer – Healthcare** 
 to design, build, and maintain data pipelines that support healthcare analytics and reporting. The ideal candidate will work with large healthcare datasets to ensure data reliability, scalability, and availability for analytics and decision\-making.
 Key Responsibilities:
 🔹 Data Pipeline Development
 Design, build, and maintain scalable ETL/ELT pipelines for healthcare data.
 Integrate data from multiple internal and external sources.
 🔹 Data Engineering \&amp; Storage
 Develop and manage data warehouses and data lakes.
 Optimize data models for performance and analytics use cases.
 🔹 Data Quality \&amp; Reliability
 Ensure data accuracy, consistency, and integrity across systems.
 Implement monitoring and validation checks.
 🔹 Collaboration
 Work with data analysts, business teams, and IT stakeholders.
 Support analytics and reporting requirements.
 🔹 Tools \&amp; Technologies
 Use SQL, Python, cloud platforms, and ETL tools.
 Qualifications:
 ✅ Bachelor’s degree in Computer Science, Engineering, or related field
 ✅ Minimum 2 years of Data Engineering experience
 ✅ Strong SQL and Python skills
 ✅ Experience with data pipelines and data warehouses
 ✅ Knowledge of healthcare data is a plus
 ✅ Strong problem\-solving and communication skills</t>
        </is>
      </c>
    </row>
    <row r="64">
      <c r="A64" t="inlineStr">
        <is>
          <t>li-4362338115</t>
        </is>
      </c>
      <c r="B64" t="inlineStr">
        <is>
          <t>Senior Data Engineer</t>
        </is>
      </c>
      <c r="C64" t="inlineStr">
        <is>
          <t>Atlassian</t>
        </is>
      </c>
      <c r="D64" t="inlineStr">
        <is>
          <t>linkedin</t>
        </is>
      </c>
      <c r="E64">
        <f>HYPERLINK("https://www.linkedin.com/jobs/view/4362338115", "https://www.linkedin.com/jobs/view/4362338115")</f>
        <v/>
      </c>
      <c r="F64">
        <f>HYPERLINK("https://careers-americas.icims.com/jobs/24312/senior-data-engineer/job?iis=LinkedIn&amp;iisn=LinkedIn_Job_Ad&amp;urlHash=HIZs", "https://careers-americas.icims.com/jobs/24312/senior-data-engineer/job?iis=LinkedIn&amp;iisn=LinkedIn_Job_Ad&amp;urlHash=HIZs")</f>
        <v/>
      </c>
      <c r="G64" t="inlineStr">
        <is>
          <t>San Francisco, CA</t>
        </is>
      </c>
      <c r="H64" t="inlineStr"/>
      <c r="I64" t="inlineStr">
        <is>
          <t>**Overview**
 Our Data Engineering Team is comprised of data experts. We build world\-class data solutions and applications that power crucial business decisions throughout the organisation. We manage multiple analytical data models and pipelines across Atlassian, covering finance, growth, product analysis, customer analysis, sales and marketing, and so on. We maintain Atlassian's data lake that provide a unified way of analysing our customers, our products, our operations, and the interactions among them.
 We're hiring a Senior Data Engineer, reporting to the Data Engineering Manager based in Sydney. Here, you'll enable a world\-class engineering practice, drive the approach with which we use data, develop backend systems and data models to serve the needs of insights, and help build Atlassian's data\-driven culture. You love thinking about the ways the business can consume data and then figuring out how to build it
**Working at Atlassian**
 Atlassians can choose where they work – whether in an office, from home, or a combination of the two. That way, Atlassians have more control over supporting their family, personal goals, and other priorities. We can hire people in any country where we have a legal entity.
**Responsibilities**
* You'll partner with the product analytics and data scientist team to build the data solutions that allow them to obtain more insights from our data and use that to support important business decisions.
* You'll work with different stakeholders to understand their needs and architect/build the data models, data acquisition/ingestion processes and data applications to address those requirements.
* You'll add new sources, code business rules, and produce new metrics that support the product analysts and data scientists.
* You'll be the data domain expert who understand all the nitty\-gritty of our products.
* You'll own a problem end\-to\-end. Requirements could be vague, and iterations will be rapid
* You'll improve data quality by using \&amp; improving internal tools/frameworks to automatically detect DQ issues.
**Qualifications**
* A BS in Computer Science or equivalent experience with 5\+ years of professional experience as a Sr. Data Engineer or in a similar role.
* Strong programming skills using Python
* Working knowledge of relational databases and query authoring (SQL).
* Experience designing data models for optimal storage and retrieval to meet product and business requirements.
* Experience building scalable data pipelines using Spark (SparkSQL) with Airflow scheduler/executor framework or similar scheduling tools.
* Experience working with AWS data services or similar Apache projects (Spark, Flink, Hive, and Kafka).
* Understanding of Data Engineering tools/frameworks and standards to improve the productivity and quality of output for Data Engineers across the team.
* Well versed in modern software development practices (Agile, TDD, CICD)
**Compensation**
 At Atlassian, we strive to design equitable, explainable, and competitive compensation programs. To support this goal, the baseline of our range is higher than that of the typical market range, but in turn we expect to hire most candidates near this baseline. Base pay within the range is ultimately determined by a candidate's skills, expertise, or experience. In the United States, we have three geographic pay zones. For this role, our current base pay ranges for new hires in each zone are:
 Zone A: USD 163800 \- USD 213850
 Zone B: USD 147600 \- USD 192700
 Zone C: USD 136800 \- USD 178600
 This role may also be eligible for benefits, bonuses, commissions, and equity.
 Please visit go.atlassian.com/payzones for more information on which locations are included in each of our geographic pay zones. However, please confirm the zone for your specific location with your recruiter.
**Benefits \&amp; Perks**
 Atlassian offers a wide range of perks and benefits designed to support you, your family and to help you engage with your local community. Our offerings include health and wellbeing resources, paid volunteer days, and so much more. To learn more, visit
 **go.atlassian.com/perksandbenefits** 
**.**
**About Atlassian**
 At Atlassian, we're motivated by a common goal: to unleash the potential of every team. Our software products help teams all over the planet and our solutions are designed for all types of work. Team collaboration through our tools makes what may be impossible alone, possible together.
 We believe that the unique contributions of all Atlassians create our success. To ensure that our products and culture continue to incorporate everyone's perspectives and experience, we never discriminate based on race, religion, national origin, gender identity or expression, sexual orientation, age, or marital, veteran, or disability status. All your information will be kept confidential according to EEO guidelines.
 To provide you the best experience, we can support with accommodations or adjustments at any stage of the recruitment process. Simply inform our Recruitment team during your conversation with them.
 To learn more about our culture and hiring process, visit
 **go.atlassian.com/crh** 
**.**</t>
        </is>
      </c>
    </row>
    <row r="65">
      <c r="A65" t="inlineStr">
        <is>
          <t>li-4362465690</t>
        </is>
      </c>
      <c r="B65" t="inlineStr">
        <is>
          <t>Senior Data Engineer</t>
        </is>
      </c>
      <c r="C65" t="inlineStr">
        <is>
          <t>Atlassian</t>
        </is>
      </c>
      <c r="D65" t="inlineStr">
        <is>
          <t>linkedin</t>
        </is>
      </c>
      <c r="E65">
        <f>HYPERLINK("https://www.linkedin.com/jobs/view/4362465690", "https://www.linkedin.com/jobs/view/4362465690")</f>
        <v/>
      </c>
      <c r="F65">
        <f>HYPERLINK("https://careers-americas.icims.com/jobs/24313/senior-data-engineer/job?iis=LinkedIn&amp;iisn=LinkedIn_Job_Ad&amp;urlHash=JDs7", "https://careers-americas.icims.com/jobs/24313/senior-data-engineer/job?iis=LinkedIn&amp;iisn=LinkedIn_Job_Ad&amp;urlHash=JDs7")</f>
        <v/>
      </c>
      <c r="G65" t="inlineStr">
        <is>
          <t>San Francisco, CA</t>
        </is>
      </c>
      <c r="H65" t="inlineStr"/>
      <c r="I65" t="inlineStr">
        <is>
          <t>**Overview**
 Our Data Engineering Team is comprised of data experts. We build world\-class data solutions and applications that power crucial business decisions throughout the organisation. We manage multiple analytical data models and pipelines across Atlassian, covering finance, growth, product analysis, customer analysis, sales and marketing, and so on. We maintain Atlassian's data lake that provide a unified way of analysing our customers, our products, our operations, and the interactions among them.
 We're hiring a Senior Data Engineer, reporting to the Data Engineering Manager based in Sydney. Here, you'll enable a world\-class engineering practice, drive the approach with which we use data, develop backend systems and data models to serve the needs of insights, and help build Atlassian's data\-driven culture. You love thinking about the ways the business can consume data and then figuring out how to build it
**Working at Atlassian**
 Atlassians can choose where they work – whether in an office, from home, or a combination of the two. That way, Atlassians have more control over supporting their family, personal goals, and other priorities. We can hire people in any country where we have a legal entity.
**Responsibilities**
* You'll partner with the product analytics and data scientist team to build the data solutions that allow them to obtain more insights from our data and use that to support important business decisions.
* You'll work with different stakeholders to understand their needs and architect/build the data models, data acquisition/ingestion processes and data applications to address those requirements.
* You'll add new sources, code business rules, and produce new metrics that support the product analysts and data scientists.
* You'll be the data domain expert who understand all the nitty\-gritty of our products.
* You'll own a problem end\-to\-end. Requirements could be vague, and iterations will be rapid
* You'll improve data quality by using \&amp; improving internal tools/frameworks to automatically detect DQ issues.
**Qualifications**
* A BS in Computer Science or equivalent experience with 5\+ years of professional experience as a Sr. Data Engineer or in a similar role.
* Strong programming skills using Python
* Working knowledge of relational databases and query authoring (SQL).
* Experience designing data models for optimal storage and retrieval to meet product and business requirements.
* Experience building scalable data pipelines using Spark (SparkSQL) with Airflow scheduler/executor framework or similar scheduling tools.
* Experience working with AWS data services or similar Apache projects (Spark, Flink, Hive, and Kafka).
* Understanding of Data Engineering tools/frameworks and standards to improve the productivity and quality of output for Data Engineers across the team.
* Well versed in modern software development practices (Agile, TDD, CICD)
**Compensation**
 At Atlassian, we strive to design equitable, explainable, and competitive compensation programs. To support this goal, the baseline of our range is higher than that of the typical market range, but in turn we expect to hire most candidates near this baseline. Base pay within the range is ultimately determined by a candidate's skills, expertise, or experience. In the United States, we have three geographic pay zones. For this role, our current base pay ranges for new hires in each zone are:
 Zone A: USD 163800 \- USD 213850
 Zone B: USD 147600 \- USD 192700
 Zone C: USD 136800 \- USD 178600
 This role may also be eligible for benefits, bonuses, commissions, and equity.
 Please visit go.atlassian.com/payzones for more information on which locations are included in each of our geographic pay zones. However, please confirm the zone for your specific location with your recruiter.
**Benefits \&amp; Perks**
 Atlassian offers a wide range of perks and benefits designed to support you, your family and to help you engage with your local community. Our offerings include health and wellbeing resources, paid volunteer days, and so much more. To learn more, visit
 **go.atlassian.com/perksandbenefits** 
**.**
**About Atlassian**
 At Atlassian, we're motivated by a common goal: to unleash the potential of every team. Our software products help teams all over the planet and our solutions are designed for all types of work. Team collaboration through our tools makes what may be impossible alone, possible together.
 We believe that the unique contributions of all Atlassians create our success. To ensure that our products and culture continue to incorporate everyone's perspectives and experience, we never discriminate based on race, religion, national origin, gender identity or expression, sexual orientation, age, or marital, veteran, or disability status. All your information will be kept confidential according to EEO guidelines.
 To provide you the best experience, we can support with accommodations or adjustments at any stage of the recruitment process. Simply inform our Recruitment team during your conversation with them.
 To learn more about our culture and hiring process, visit
 **go.atlassian.com/crh** 
**.**</t>
        </is>
      </c>
    </row>
    <row r="66">
      <c r="A66" t="inlineStr">
        <is>
          <t>li-4369117470</t>
        </is>
      </c>
      <c r="B66" t="inlineStr">
        <is>
          <t>Data Engineer</t>
        </is>
      </c>
      <c r="C66" t="inlineStr">
        <is>
          <t>AARATECH</t>
        </is>
      </c>
      <c r="D66" t="inlineStr">
        <is>
          <t>linkedin</t>
        </is>
      </c>
      <c r="E66">
        <f>HYPERLINK("https://www.linkedin.com/jobs/view/4369117470", "https://www.linkedin.com/jobs/view/4369117470")</f>
        <v/>
      </c>
      <c r="F66" t="inlineStr"/>
      <c r="G66" t="inlineStr"/>
      <c r="H66" t="inlineStr"/>
      <c r="I66" t="inlineStr">
        <is>
          <t>Job Title: Data Engineer – CRM / Salesforce
 🏢 Company: Aaratech Inc
 🛑 Eligibility: Only U.S. Citizens and Green Card holders are eligible.
 Please note that we do not offer visa sponsorship.
 Job Summary:
 Aaratech Inc. is seeking a skilled
 **Data Engineer – CRM / Salesforce** 
 to support customer and sales data integration initiatives. The ideal candidate will ensure reliable data pipelines and data models for CRM analytics and reporting.
 Key Responsibilities:
 🔹 Data Integration
 Build and maintain pipelines to extract and load CRM/Salesforce data.
 Integrate CRM data with enterprise data platforms.
 🔹 Data Engineering
 Design data models to support sales and marketing analytics.
 Optimize data pipelines for performance.
 🔹 Data Quality
 Ensure CRM data accuracy and consistency.
 Support data validation and governance processes.
 🔹 Collaboration
 Work with sales, marketing, and analytics teams.
 🔹 Tools \&amp; Technologies
 Use SQL, Python, ETL tools, Salesforce connectors, and cloud platforms.
 Qualifications:
 ✅ Bachelor’s degree in Computer Science, Engineering, or related field
 ✅ 2\+ years of Data Engineering experience
 ✅ Strong SQL and Python skills
 ✅ Experience with CRM or Salesforce data preferred
 ✅ Strong analytical and communication skills</t>
        </is>
      </c>
    </row>
    <row r="67">
      <c r="A67" t="inlineStr">
        <is>
          <t>li-4369468626</t>
        </is>
      </c>
      <c r="B67" t="inlineStr">
        <is>
          <t>Data Engineer</t>
        </is>
      </c>
      <c r="C67" t="inlineStr">
        <is>
          <t>Scalepex</t>
        </is>
      </c>
      <c r="D67" t="inlineStr">
        <is>
          <t>linkedin</t>
        </is>
      </c>
      <c r="E67">
        <f>HYPERLINK("https://www.linkedin.com/jobs/view/4369468626", "https://www.linkedin.com/jobs/view/4369468626")</f>
        <v/>
      </c>
      <c r="F67" t="inlineStr"/>
      <c r="G67" t="inlineStr"/>
      <c r="H67" t="inlineStr"/>
      <c r="I67" t="inlineStr">
        <is>
          <t>**About The Company**
 Scalepex is a dynamic services firm specializing in providing innovative solutions for premium brands such as Nike, Pepsi, Toyota, Virgin, and Walgreens. Our mission is to connect prominent market leaders with top\-tier professionals from around the world, fostering collaboration, efficiency, and growth. We are committed to delivering excellence and driving transformation across various industries by leveraging cutting\-edge technologies and industry best practices. At Scalepex, we believe in empowering our clients through tailored solutions that meet their unique business needs, helping them stay ahead in competitive markets. Join us to be part of a forward\-thinking organization that values innovation, professionalism, and impact.
**About The Role**
 We are seeking an experienced AWS Data Engineer with a strong background in building scalable data solutions and expertise in utilities\-related datasets. The ideal candidate will have at least 5 years of experience in data engineering, with a deep understanding of distributed systems and proficiency with AWS services and tools such as Step Functions, Lambda, Glue, and Redshift. This role involves designing, developing, and optimizing data pipelines to support analytics and decision\-making processes within the utilities industry. The successful candidate will play a critical role in managing large\-scale utility data, ensuring data integrity, security, and availability while enabling advanced analytics for energy consumption forecasting, grid management, and other use cases. This position offers an exciting opportunity to work on impactful projects within a collaborative environment that promotes innovation and professional growth.
**Qualifications**
* Minimum of 5 years of experience in data engineering.
* Proficiency in AWS services such as Step Functions, Lambda, Glue, S3, DynamoDB, and Redshift.
* Strong programming skills in Python, with experience using PySpark and Pandas for large\-scale data processing.
* Hands\-on experience with distributed systems and scalable architectures.
* Knowledge of ETL/ELT processes for integrating diverse datasets into centralized systems.
* Familiarity with utilities\-specific datasets, such as smart meters and energy grids, is highly desirable.
* Strong analytical skills with the ability to work on unstructured datasets.
* Understanding of data governance practices to ensure data accuracy, consistency, and security.
* Excellent problem\-solving and troubleshooting skills with mature judgment.
* Ability to work independently and collaboratively within cross\-functional teams.
* Professional communication skills, both oral and written.
* Ability to obtain and maintain necessary security clearances.
**Responsibilities**
* Design and develop scalable, reliable data pipelines utilizing AWS services such as Glue, S3, and Redshift to process large datasets from utility systems.
* Use AWS Step Functions to orchestrate complex workflows across data pipelines, ensuring seamless integration and automation.
* Implement ETL/ELT processes using PySpark, Python, and Pandas to clean, transform, and consolidate data from multiple sources into unified datasets for analytics.
* Leverage expertise in distributed systems to ensure the reliability, scalability, and high performance of data processing architectures.
* Develop serverless applications using AWS Lambda to automate data processing and operational tasks.
* Design and optimize data models tailored for utilities\-specific use cases such as energy consumption forecasting and grid management.
* Monitor, troubleshoot, and enhance the performance of data pipelines to reduce latency and increase throughput.
* Implement and enforce data security measures to protect sensitive utility data in compliance with industry standards and regulations.
* Collaborate with data analysts, data scientists, and business stakeholders to understand data requirements and deliver effective solutions.
* Maintain documentation of data engineering processes, workflows, and architecture for transparency and future reference.
**Benefits**
* Competitive salary package commensurate with experience.
* Health insurance coverage for employees and their dependents.
* Opportunities for professional development and training.
* Flexible working hours and remote work options.
* Inclusive and collaborative work environment.
* Participation in innovative projects with leading industry clients.
* Supportive organizational culture that values diversity and inclusion.
 Equal Opportunity
 Scalepex is an equal opportunity employer. We celebrate diversity and are committed to creating an inclusive environment for all employees. All qualified applicants will receive consideration for employment without regard to race, color, religion, sex, national origin, age, disability, or any other protected status in accordance with applicable laws and regulations.</t>
        </is>
      </c>
    </row>
    <row r="68">
      <c r="A68" t="inlineStr">
        <is>
          <t>li-4369611154</t>
        </is>
      </c>
      <c r="B68" t="inlineStr">
        <is>
          <t>Senior Data Platform Engineer</t>
        </is>
      </c>
      <c r="C68" t="inlineStr">
        <is>
          <t>Float.com</t>
        </is>
      </c>
      <c r="D68" t="inlineStr">
        <is>
          <t>linkedin</t>
        </is>
      </c>
      <c r="E68">
        <f>HYPERLINK("https://www.linkedin.com/jobs/view/4369611154", "https://www.linkedin.com/jobs/view/4369611154")</f>
        <v/>
      </c>
      <c r="F68" t="inlineStr"/>
      <c r="G68" t="inlineStr">
        <is>
          <t>New York, NY</t>
        </is>
      </c>
      <c r="H68" t="inlineStr"/>
      <c r="I68" t="inlineStr">
        <is>
          <t>**Who We Are**
 Float.com is the \#1 solution for profitable resource management. Used by 4500\+ of the best professional services teams globally, it gives Operations and Finance leaders the insight and foresight they need to achieve profitable delivery at scale, with the right talent in place.
 Unlike disconnected spreadsheets or complex PSAs, Float offers a single, clear source of truth to plan, resource, and report on client work. With its robust scheduling interface, accurate forecasting, and built\-in financial insights, it enables the world's top teams—Ogilvy, Deloitte, KPMG, and M\&amp;C Saatchi—to keep their people and profit on track.
 Since 2012, we've grown every year—independently, self\-funded, and profitably. As a certified B Corporation, we're committed to making a positive impact on our team, customers, the environment, and the remote community. Our 60\+ person team works 100% remotely across the globe, with perks and benefits designed to support us in living our Best Work Life. You'll collaborate with teammates across Australia, Mexico, the UK, Nigeria, Canada, and the US. Browse our blog to get a glimpse of life at Float and check out our Glassdoor employer reviews. See why our customers love Float on G2\.
 We're on a scale\-up journey, and we're seeking people who thrive in this stage. We want Float to be the place where you have the autonomy and opportunity to do the best work of your career.
****Why we're hiring for this role****
 Our customer base continues to grow (🎉!), and with that growth comes the need for stronger data infrastructure to support our platform and strategic goals. This is a new role, and it sits at the intersection of engineering and data. This role will bring expertise to help us improve data quality, scale critical CDC pipelines, and unlock efficiencies across our systems. You'll partner closely with folks from our Engineering, Analytics, and Intelligence teams to ensure we're not just collecting the right data, but using it to power smarter decisions and better outcomes.
 We've already built strong foundations across product and analytics, but platform\-focused data engineering is the missing link. This hire will enable new workstreams tied directly to our 2026 Strategy—like preparing for AI/RRE and building the next evolution of our reporting platform. If you're excited to work across teams, improve data quality at scale, and build infrastructure that helps us (and our customers) grow confidently, we'd love to meet you!
 In this role, you'd be reporting to Roberto, our Senior Staff Engineer (Architecture). In this video, Roberto explains the important role you will play within our Data team.
 **Check it out!**
 You'll be working asynchronously with a bright, dedicated team from across the globe, with a strong focus on taking complex problems and creating solutions that feel simple and intuitive for our customers.
**What You'll Be Responsible For**
 Early on, you'll jump right into:
* Data ecosystem onboarding: Get familiar with how our services, databases, and data warehouse are structured and interact
* Data quality contribution: Start contributing to data quality initiatives like the Talent Graph (our version of a knowledge graph, mapping relationships between projects in Float with people and their attributes). Your focus will be on making our data more accurate, actionable, and future\-ready
* CDC initiative support: Join CDC\-related efforts including real\-time transformations and implementing Data Contracts for improved consistency and maintainability
 Once you are a bit more settled, we expect that you will jump into the following projects:
* CDC ownership and evolution: Take the lead on CDC\-related initiatives, contributing to long\-term planning and system resilience across our platform
* Platform\-driven data quality leadership: Own data quality initiatives from the platform side, introducing observability, reducing regressions, and improving trust in downstream data
* Data warehouse maintenance and support: Help maintain and evolve our analytics data warehouse, supporting migrations and performance improvements in collaboration with the Data team
* Architectural improvement proposals: Identify and drive improvements to our data architecture, focusing on scalability, consistency, and future platform needs
**What You'll Need To Be Successful**
 We want you to love your work and believe that these skills will allow you to succeed in the role. Applying these skills requires:
* CDC \&amp; event\-driven architecture expertise: Deep experience with tools like Debezium, Kafka, and Data Contracts in production environments
* Strong data infrastructure skills: Comfortable with schema evolution, backfilling, pipeline reliability, and improving system\-level data quality across a range of database paradigms (e.g. columnar, graph, and more)
* Autonomous technical leadership: You can frame problems, propose solutions, and lead implementation without close supervision, and can do so effectively in a remote, async\-first setting
* Cross\-functional collaboration: You love working closely with other engineering and data teams to align on goals and unblock dependencies
* Clear written communication: You document your thinking (design notes, runbooks, specs) and share progress proactively in an async environment
* Experience with our toolstack: Hands\-on experience with modern data and platform tools like TypeScript services, Kafka, Debezium, cloud\-managed databases (e.g. MySQL, MongoDB, Neo4j), GCP infrastructure, containerized services, Kubernetes, CI/CD pipelines, and monitoring or alerting tools
 As a fully remote team, we're looking for someone comfortable with asynchronous communication as the default, which means you have previous remote experience and are comfortable using tools like Slack, Loom, and Linear to communicate as needed. Don't worry—you will have significant deep work time since we have very few meetings.
****Why Join Us****
 Pay for this role is US $169,442 (Level 3\). Here's a blog post with more information on how we determine our salaries.
 We're a global async remote company with a diverse team of people from all over the world who share a common belief in living our best work life. We believe deeply in the idea of transparency and share our Float Handbook publicly so potential new team members can see first hand our perks \&amp; benefits as well as our ways of working. If you feel like you can thrive at Float to do your best work, we would love to hear from you.
****Hiring Process For This Role****
 You'll find a lot of useful information about our interview process and what it's like to join our global team on the Float careers page. The hiring process for this role looks like this:
**Application (3 questions)** 
 : We'll ask you three short questions to understand why this role sparked your interest and learn more about your relevant experience. These questions carry a lot of weight in our process, so take your time to answer them thoughtfully. A few days to reflect and write a strong response beats a rushed, cookie\-cutter one every time.
**Initial Meet (20 min):** 
 You'll meet with Julia, our Talent Manager (👋 hi, that's me!), to chat about your interest in the role and talk through any questions you have about working at Float.
**Manager interview (1 hour)** 
 : You'll meet with Roberto, (Senior Staff Engineer), and Sameet (Senior Application Engineer) to discuss how would you contribute to Float and learn more about your professional experience.
**Take\-home assignment (2 hours, paid):** 
 You'll be sent a take\-home assignment to complete on your own time (but we estimate it taking up to 2 hours). You'll be paid an honorarium for your time.
**Co\-Worker Interview (45 min):** 
 You'll meet with Omar, (Services Team Lead), and Davi (Senior Data Engineer) to dive deeper into your skills and experience.
**Founder Interview (30 min)** 
 : You'll meet with Lars, our CTO, to get to know you and see if you have potential to be a great addition to the team.
**Using AI? A Quick Note.**
 We know that tools like ChatGPT are part of how many of us work today (us too!). Feel free to use AI to support your writing, but don't let it do the talking for you. We read every application carefully, and it's easy to spot when something's been fully copy\-pasted. Help us get to know the real you!
*Note: Industry research shows that women and those in traditionally underrepresented groups generally don't apply to jobs unless they check all the boxes for the role. If you feel strongly that you have what it takes for this role but don't check 100% of the boxes—that's okay—we encourage you to apply anyway and highlight what you can bring to the table.*</t>
        </is>
      </c>
    </row>
    <row r="69">
      <c r="A69" t="inlineStr">
        <is>
          <t>li-4368994975</t>
        </is>
      </c>
      <c r="B69" t="inlineStr">
        <is>
          <t>Senior Data Engineer</t>
        </is>
      </c>
      <c r="C69" t="inlineStr">
        <is>
          <t>Mphasis</t>
        </is>
      </c>
      <c r="D69" t="inlineStr">
        <is>
          <t>linkedin</t>
        </is>
      </c>
      <c r="E69">
        <f>HYPERLINK("https://www.linkedin.com/jobs/view/4368994975", "https://www.linkedin.com/jobs/view/4368994975")</f>
        <v/>
      </c>
      <c r="F69" t="inlineStr"/>
      <c r="G69" t="inlineStr"/>
      <c r="H69" t="inlineStr"/>
      <c r="I69" t="inlineStr">
        <is>
          <t>Senior Data Engineer
 We are seeking an experienced Data Fabric and Microsoft Data Stack Engineer responsible for designing implementing and maintaining unified data architectures that integrate diverse data sources ensure high data quality and support enterprise wide analytics The role requires deep expertise in the Microsoft Fabric ecosystem Azure Data Services and Power BI with a strong focus on building scalable high performance data solutions.
**About the Role** 
 Years of experience needed 9\+ years.
**Responsibilities** 
* Design and implement data solutions using Microsoft Fabric including OneLake Lakehouse, Notebooks Synapse Data Warehouse and Real Time Analytics.
* Build optimize and monitor data pipelines using Data Factory Fabric Spark notebooks PySpark and T SQL and Delta processing.
* Ensure data integrity reliability and optimal system performance across all pipelines and data assets.
* Develop datasets and models that support advanced analytics ML and BI workloads SQL Python Fabric Data Factory, Dataflows Gen2 Synapse Data Warehouse SQL Analytics Endpoints Power BI models and DAX PySpark or T SQL notebooks.
**Qualifications** 
 Strong programming proficiency in SQL and Python. Hands on experience with Microsoft Fabric Data Factory, Dataflows Gen2, Synapse Data Warehouse or SQL Analytics Endpoints, Power BI data models, DAX, PySpark or T SQL notebooks. Solid understanding of modern data architectures including Lakehouse Delta real time data patterns.
**Required Skills** 
* Experience with enterprise scale data platforms or cloud transformations.
* Knowledge of data governance quality frameworks and metadata management.
* Familiarity with Microsoft Azure data services such as Azure Data Lake Azure SQL Synapse Analytics.
**Preferred Skills** 
* Experience with enterprise scale data platforms or cloud transformations.
* Knowledge of data governance quality frameworks and metadata management.
* Familiarity with Microsoft Azure data services such as Azure Data Lake Azure SQL Synapse Analytics.
**Pay range and compensation package** 
 Not specified.
**Equal Opportunity Statement** 
 We are committed to diversity and inclusivity.</t>
        </is>
      </c>
    </row>
    <row r="70">
      <c r="A70" t="inlineStr">
        <is>
          <t>li-4366746605</t>
        </is>
      </c>
      <c r="B70" t="inlineStr">
        <is>
          <t>Data Engineer</t>
        </is>
      </c>
      <c r="C70" t="inlineStr">
        <is>
          <t>Goodwill of Central &amp; Southern Indiana</t>
        </is>
      </c>
      <c r="D70" t="inlineStr">
        <is>
          <t>linkedin</t>
        </is>
      </c>
      <c r="E70">
        <f>HYPERLINK("https://www.linkedin.com/jobs/view/4366746605", "https://www.linkedin.com/jobs/view/4366746605")</f>
        <v/>
      </c>
      <c r="F70">
        <f>HYPERLINK("https://gici.wd5.myworkdayjobs.com/Careers/job/Corporate/Database-Administrator\u002d\u002d-Data-Engineer_2026-11838?source=Linkedin&amp;urlHash=91Nu", "https://gici.wd5.myworkdayjobs.com/Careers/job/Corporate/Database-Administrator\u002d\u002d-Data-Engineer_2026-11838?source=Linkedin&amp;urlHash=91Nu")</f>
        <v/>
      </c>
      <c r="G70" t="inlineStr">
        <is>
          <t>Indianapolis, IN</t>
        </is>
      </c>
      <c r="H70" t="inlineStr"/>
      <c r="I70" t="inlineStr">
        <is>
          <t>***While this position is hybrid, candidates will need to reside around the Indianapolis, IN area for on\-site meetings and support needs.***
 The Database Administrator \&amp; Data Engineer supports Goodwill’s enterprise data platforms with a primary focus on data engineering, system integration, and business\-driven analytics. While the role includes foundational database administration responsibilities, its core function is designing, delivering, and maintaining scalable data solutions that enable operational insight and informed decision\-making.
 This role partners directly with business sponsors, operational leaders, and end users to understand data needs, translate business use cases into technical solutions, and deliver reliable data pipelines, models, and reporting assets. Regular in\-person meetings and site visits are required to understand Goodwill’s various business models, workflows, and data usage across locations. This position reports to the Director of Development \&amp; Integration.
**Example Duties and Activities** 
* Designs, builds, and maintains ETL/ELT pipelines integrating data from multiple internal and external source systems.
* Engineers scalable, reliable datasets aligned to documented business requirements and operational use cases.
* Develops unified and trusted data models to support reporting, analytics, and operational insights.
* Ensures data accuracy, consistency, integrity, and reliability across all data solutions.
* Maintains SQL Server environments, including monitoring, backups, recovery, patching, and basic performance optimization.
* Implements and maintains database security, access controls, and compliance with PCI, PII, FERPA, and HIPAA requirements.
* Partners directly with business sponsors, operational leaders, and end users to understand workflows, decision\-making needs, and data challenges.
* Translates business questions into technical data models, pipelines, and analytics solutions.
* Conducts site visits to Goodwill locations to understand operational processes, customer models, and data generation methods.
* Advises stakeholders on data availability, limitations, best practices, and appropriate analytical approaches.
* Collaborates with IT leadership, developers, analysts, and business partners on enterprise data initiatives.
* Troubleshoots data quality, performance, and accessibility issues to improve user trust and adoption.
* Maintains technical documentation for databases, pipelines, data models, and data health metrics.
* Provides visibility into data usage, reliability, and improvement opportunities.
* Evaluates, pilots, and supports deployment of new data platforms, tools, and technologies in collaboration with IT leadership.
* Balances operational support responsibilities with project\-based data engineering and analytics work.
**Required Competencies** 
* **Degree and Credential Requirements** 
 \- Bachelor’s degree in Computer Science, Information Systems, or a related field, or equivalent professional experience. Five (5\) or more years of experience in database administration, data engineering, or related technical roles.
* **Data Engineering \&amp; Database Expertise** 
 \- Strong expertise in SQL Server and relational data architectures. Proven experience designing and delivering data pipelines and datasets based on business requirements. Experience ensuring data integrity, accuracy, and reliability across multiple systems.
* **Project Management (IT)** 
 \- Oversees multiple workstreams and delivers against complex scopes implementing strategies that outline time, resources, requirements, deadlines, and answers to unexpected events in order to streamline operations. Comprehends the needs of the end\-user and translates them into network requirements. Produces outline designs and estimates costs of new systems, specifies the operations the system performs, and the way data will be viewed by the end\-user. Presents the design to the users and works closely with the users to implement the solution.
* **Communication Skills** 
 \- Articulates thoughts and expresses ideas effectively using oral, written, visual, and non\-verbal communication skills, as well as listening skills to comprehend customers' needs. Delivers information in person, in writing, and in a digital world.
* **Building Collaborative Relationships** 
 \- Develops, maintains, and strengthens partnerships at all levels with others inside or outside the organization who can provide information, assistance, and support. Is able to receive as well as provide feedback to improve performance or processes.
* **Adaptability** 
 \- Adjusts priorities quickly in response to frequently changing circumstances while maintaining a positive attitude. Continually assesses tasks and responds to those requiring extra attention. Foresees and seeks to avoid crisis management.
* **Organizational Aptitude \-** 
 Plans and attends to details and pursues quality in accomplishing multiple tasks in an organized and timely fashion.
* **Informed Decision\-Making** 
 \- Identifies and comprehends issues, problems, and opportunities; compares data from different sources to draw conclusions; uses effective approaches for choosing a course of action or developing appropriate solutions; takes action that is consistent with available facts, constraints, and probable consequences.
* **Continuous Learning** 
 \- Stays current on trends related to IT industry technologies and trends. Has a thirst for knowledge and applies it appropriately. Compelled to find answers through research and collaboration.
**Preferred Competencies** 
* Experience with cloud data platforms such as Azure SQL or AWS RDS (Azure preferred and the future standard).
* Experience with modern ETL/orchestration tools and analytics architectures.
* Scripting experience using Python and/or PowerShell.
* Familiarity with BI and reporting tools (Power BI and Domo preferred).
**Other Requirements** 
* Willing to travel to various locations throughout the territory of Goodwill locations.
* Is available to work a 24x7 on\-call duty rotation with occasional after\-hours and weekends.
* **Background Screening \-** 
 All candidates must pass a pre\-employment background check. Must have a valid driver’s license, up\-to\-date auto insurance, and a good driving record.
**Benefits:** 
 Full\-time employees may participate in a comprehensive benefits program that includes:
* Continuing education and leadership development as well as tuition reimbursement
* Comprehensive health plan
* Generous paid time off (PTO) and paid holidays
* Sabbatical and parental leaves
* Life, dental and vision insurance
* Short\- and long\-term disability plans
* Nationally recognized preventive health and wellness program
* Section 125 pretax health spending account, dependent care spending account, and premiums
* Retirement planning options with generous company % match
* Eligible for the Public Student Loan Forgiveness (PSLF) program</t>
        </is>
      </c>
    </row>
    <row r="71">
      <c r="A71" t="inlineStr">
        <is>
          <t>li-4369123056</t>
        </is>
      </c>
      <c r="B71" t="inlineStr">
        <is>
          <t>Data Engineer</t>
        </is>
      </c>
      <c r="C71" t="inlineStr">
        <is>
          <t>Brooksource</t>
        </is>
      </c>
      <c r="D71" t="inlineStr">
        <is>
          <t>linkedin</t>
        </is>
      </c>
      <c r="E71">
        <f>HYPERLINK("https://www.linkedin.com/jobs/view/4369123056", "https://www.linkedin.com/jobs/view/4369123056")</f>
        <v/>
      </c>
      <c r="F71" t="inlineStr"/>
      <c r="G71" t="inlineStr">
        <is>
          <t>Cincinnati, OH</t>
        </is>
      </c>
      <c r="H71" t="inlineStr"/>
      <c r="I71" t="inlineStr">
        <is>
          <t>***Data Engineer Consultant***
***Cincinnati, Ohio***
*We are* 
 is seeking a Data Engineer Consultant to support a rapidly growing analytics and data engineering practice. This is an exciting opportunity to work in a fast\-paced environment where you’ll design modern data solutions, solve real\-world business problems, and collaborate with a team of top\-tier consultants. This role is ideal for someone who thrives in dynamic client environments, understands how to optimize or reimagine enterprise data architecture, and is passionate about driving meaningful business transformation. If you are a natural problem solver, critical thinker, and eager to take on new challenges, this role will offer constant variety and growth.
**Key Responsibilities** 
* Design, build, and maintain scalable and efficient data pipeline architectures
* Assemble and manage large, complex datasets to meet functional and non\-functional business requirements
* Identify and implement process improvements such as automation, data delivery optimization, and infrastructure scalability enhancements
* Develop and support ETL/ELT frameworks for data extraction, transformation, and loading from diverse source systems
* Build analytical tools and data models that support insights related to customer behavior, operational efficiencies, and key business metrics
* Partner with Executive, Product, Data, and Design teams to resolve data\-related technical issues and support infrastructure needs
* Define project scope, milestones, phases, and deliverables for client data initiatives
* Execute project plans, monitor progress, remove obstacles, and recommend next steps
* Delegate and coordinate tasks across project teams as needed
* Develop and deliver training, documentation, and adoption materials for stakeholders
**Qualifications** 
* Advanced SQL expertise with hands\-on experience working with relational databases and various data systems
* Experience designing and optimizing data pipelines, architectures, and data sets
* Proficiency in performing root cause analysis across both data and processes to identify insights and solution opportunities
* Strong analytical abilities with experience handling structured and unstructured datasets
* Experience building processes for data transformation, metadata management, workload orchestration, and dependencies
* Proven history of manipulating, processing, and extracting value from large or disparate datasets
* Ability to collaborate effectively with cross\-functional internal and external business partners
* Interest in developing data literacy and analytics capabilities across client teams
* Curiosity, creativity, and a mindset geared toward questioning assumptions and exploring new approaches
* Availability to travel as needed to support client engagements
**Bonus Skills** 
* Experience with Databricks, dbt, or modern cloud data platforms</t>
        </is>
      </c>
    </row>
    <row r="72">
      <c r="A72" t="inlineStr">
        <is>
          <t>li-4369476149</t>
        </is>
      </c>
      <c r="B72" t="inlineStr">
        <is>
          <t>Data Engineer (SQL)</t>
        </is>
      </c>
      <c r="C72" t="inlineStr">
        <is>
          <t>Meduvi</t>
        </is>
      </c>
      <c r="D72" t="inlineStr">
        <is>
          <t>linkedin</t>
        </is>
      </c>
      <c r="E72">
        <f>HYPERLINK("https://www.linkedin.com/jobs/view/4369476149", "https://www.linkedin.com/jobs/view/4369476149")</f>
        <v/>
      </c>
      <c r="F72">
        <f>HYPERLINK("https://careers.meduvi.com/?source=LinkedIn#/jobs/4383&amp;urlHash=f6d4", "https://careers.meduvi.com/?source=LinkedIn#/jobs/4383&amp;urlHash=f6d4")</f>
        <v/>
      </c>
      <c r="G72" t="inlineStr">
        <is>
          <t>Boston, MA</t>
        </is>
      </c>
      <c r="H72" t="inlineStr"/>
      <c r="I72" t="inlineStr">
        <is>
          <t>Full\-Time
 Permanent Hire
 Salary Range: $100,000\-$115,000
 Reporting Mode: Hybrid \- 2 days onsite / 3 days remote per week \- or \- 100% remote
 We’re looking for a Data Engineer to transform, standardize, and model data that powers the business. This role focuses on improving existing ETL pipelines, building new ones to support evolving business needs, and refactoring legacy data pipelines into reliable, scalable, and maintainable data workflows. Also creating new data tables, fields and objects to support upcoming business needs.
 Responsibilities
* Transform, standardize, and aggregate raw data into business\-ready datasets
* Maintain and enhance existing data pipelines, including making code updates to current pipeline loads
* Design and build new ETL pipelines to support new data sources and business requirements
* **Develop and maintain SQL\-based data models, including creating new tables and leveraging existing tables**
* **Develop SQL views and procedures**
* Improve pipeline reliability, performance, and readability by simplifying and standardizing SQL logic
* Partner with business and analytics stakeholders to understand data needs and translate them into scalable data solutions
* Troubleshoot data quality issues and pipeline failures, ensuring accurate and timely data delivery
 Required Skills \&amp; Experience
* 3\+ years data engineering experience.
* Bachelor's degree
* Strong SQL skills, including complex queries, transformations, and data modeling
* Hands\-on experience working with ETL pipelines and data transformations
* Experience using SQL tools such as DBeaver and/or SQL Workbench
* Ability to work with existing legacy pipelines and refactor them into cleaner, more maintainable solutions
 \-\-\-\-\-\-\-\-\-\-\-\-\-\-\-\-\-\-\-\-\-\-\-\-\-\-\-
 Compensation Statement. Please see pay rate within this job posting.
 EEO Statement. We welcome all applicants and qualified individuals, who will receive consideration for employment without regard to their race, color, religion, national origin, sex, sexual orientation, gender identity, protected veteran status or disability.</t>
        </is>
      </c>
    </row>
    <row r="73">
      <c r="A73" t="inlineStr">
        <is>
          <t>li-4369478371</t>
        </is>
      </c>
      <c r="B73" t="inlineStr">
        <is>
          <t>Sr Data Engineer - Cloud / Systems Administrator</t>
        </is>
      </c>
      <c r="C73" t="inlineStr">
        <is>
          <t>Disney Experiences</t>
        </is>
      </c>
      <c r="D73" t="inlineStr">
        <is>
          <t>linkedin</t>
        </is>
      </c>
      <c r="E73">
        <f>HYPERLINK("https://www.linkedin.com/jobs/view/4369478371", "https://www.linkedin.com/jobs/view/4369478371")</f>
        <v/>
      </c>
      <c r="F73" t="inlineStr"/>
      <c r="G73" t="inlineStr">
        <is>
          <t>Celebration, FL</t>
        </is>
      </c>
      <c r="H73" t="inlineStr"/>
      <c r="I73" t="inlineStr">
        <is>
          <t>At Disney Experiences Technology, our team creates world\-class immersive digital experiences for the Company’s premier vacation brands including Disney’s Parks \&amp; Resorts worldwide, Disney Cruise Line, Aulani, A Disney Resort \&amp; Spa, and Disney Vacation Club. The Disney Experiences Technology team is responsible for the end\-to\-end digital and physical Guest experience for all technology \&amp; digital\-led initiatives across the Attractions \&amp; Entertainment, Food \&amp; Beverage, Resorts \&amp; Transportation, and Merchandise lines of business as well as other initiatives including the MyDisneyExperience app and Hey, Disney!
**About The Role**
 We’re looking for a Senior Data Engineer \- Cloud Engineer / Systems Administrator to join the Data Analytics \&amp; Innovation Team within Consumer Insight, Measurement \&amp; Analytics (CIMA). In this role, you’ll design, manage, and evolve AWS cloud infrastructure and other cloud technologies that power analytics, automation, and enterprise\-scale platforms across Disney Experiences.
 You’ll play a key role in architecting and securing the foundation of Disney’s data and cloud ecosystem, supporting Cloudera Data Platform (CDP) and other big data environments. This position blends cloud infrastructure expertise, DevOps practices, and security\-first practices to ensure scalability, reliability, and compliance across Disney’s global technology landscape.
 What You’ll Do
* Architect, deploy, and maintain AWS cloud infrastructure and other cloud platforms (S3, EC2, Lambda, ECS, RDS, CloudFormation, VPCs, IAM, etc.) supporting enterprise\-scale data and application workloads
* Build, deploy, and manage containerized environments using Docker, ensuring portability, reliability, and consistent deployments across systems
* Lead the administration and operation of CI/CD platforms such as Jenkins, GitHub Actions, and related automation tools, including pipeline development, configuration, plugin management, and integration with source control
* Support and optimize Cloudera Data Platform (CDP) environments within the cloud ecosystem, ensuring stability, scalability, and secure connectivity with data services and applications
* Develop \&amp; support Infrastructure as Code (IaC) using Terraform and CloudFormation to automate provisioning and configuration management
* Oversee certificate management—including SSL/TLS lifecycle management, PKI integration, and secure communication protocols across services
* Champion security\-first practices, such as IAM governance, KMS encryption, network segmentation, and adherence to Disney Information Security standards
* Monitor and optimize system health through CloudWatch, Datadog, and other observability tools to ensure reliability, performance, and cost efficiency
* Collaborate across CIMA and Disney Experiences to deliver high\-availability, compliant, and cost\-optimized cloud and data systems
* Contribute to Disney’s DevOps culture, emphasizing automation, continuous improvement, and secure infrastructure delivery
**Required Qualifications \&amp; Skills**
* 5\+ years of experience in cloud infrastructure engineering, systems administration, or DevOps roles
* Expertise in AWS services (S3, EC2, Lambda, ECS, RDS, CloudFormation, IAM) and familiarity with other cloud technologies (e.g., GCP or Azure)
* Experience supporting or integrating with Cloudera Data Platform (CDP) or similar large\-scale data platforms
* Proven experience in Jenkins administration or equivalent CI/CD systems—managing users, plugins, jobs, and automation frameworks
* Strong proficiency with Docker and container deployment \&amp; orchestration (ECS, EKS, Kubernetes, or similar technologies)
* Deep understanding of security best practices, including SSL/TLS, certificate management, encryption standards, and secure system design
* Hands\-on experience with Terraform and scripting languages such as Python, Bash, or PowerShell
* Strong communication, troubleshooting, and collaboration skills in an agile, cross\-functional environment
**Preferred Qualifications**
* Experience managing multi\-cloud or hybrid architectures
* Familiarity with big data and analytics ecosystems (Snowflake, Databricks, Spark, Cloudera)
* AWS certifications such as Solutions Architect, SysOps Administrator, or DevOps Engineer
* Understanding of Zero Trust architecture, CSPM tools, or cloud compliance frameworks (Tanium, Splunk, Crowdstrike, wiz.io)
* Strong understanding of Object Oriented Engineering Principles
**Education**
* Bachelor’s degree in computer science, Information Systems, Software, Electrical or Electronics Engineering, or comparable field of study and/or equivalent work experience</t>
        </is>
      </c>
    </row>
    <row r="74">
      <c r="A74" t="inlineStr">
        <is>
          <t>li-4360543925</t>
        </is>
      </c>
      <c r="B74" t="inlineStr">
        <is>
          <t>Senior BI Engineer</t>
        </is>
      </c>
      <c r="C74" t="inlineStr">
        <is>
          <t>Taglynk</t>
        </is>
      </c>
      <c r="D74" t="inlineStr">
        <is>
          <t>linkedin</t>
        </is>
      </c>
      <c r="E74">
        <f>HYPERLINK("https://www.linkedin.com/jobs/view/4360543925", "https://www.linkedin.com/jobs/view/4360543925")</f>
        <v/>
      </c>
      <c r="F74" t="inlineStr"/>
      <c r="G74" t="inlineStr"/>
      <c r="H74" t="inlineStr"/>
      <c r="I74" t="inlineStr">
        <is>
          <t>As a
 **Sr.BI Engineer** 
 , you are a detail\-oriented problem solver with a passion for turning complex data into actionable insights. You have a deep understanding of data structures, business requirements, and reporting needs, enabling you to design and implement scalable data solutions. Your technical expertise spans data warehousing, pipeline development, and visualization tools, allowing you to empower stakeholders with reliable and efficient data\-driven decisions. You thrive in a collaborative environment, take ownership of data governance, and are proactive in identifying opportunities for process automation and optimization.
**What You’ll Be Doing:** 
**Data Strategy, Architecture, and Ownership** 
 \- Own the end\-to\-end data lifecycle, from ingestion and transformation to delivery, ensuring alignment with business priorities and analytical goals.
 \- Architect and oversee scalable, high\-performance data pipelines and warehouse structures that serve as the foundation for company\-wide analytics and automation.
 \- Partner with Engineering and Product teams to establish data design standards, naming conventions, and quality benchmarks, ensuring long\-term sustainability and performance.
 \- Drive decisions on data architecture, tooling, and storage optimization, balancing scalability, cost, and performance tradeoffs.
**Data Modelling, Quality, and Governance** 
 \- Lead data modeling efforts that transform complex, cross\-domain data into clear and accessible models supporting business\-critical dashboards, experimentation, and AI workloads.
 \- Implement robust data validation frameworks and monitoring systems to proactively detect and resolve data quality issues.
 \- Champion data governance — define standards for access control, lineage, cataloging, and compliance.
 \- Collaborate with security and platform teams to institutionalize best practices for data stewardship and democratized analytics.
**Advanced Analytics and Stakeholder Partnership** 
 \- Partner with senior business stakeholders to identify high\-impact analytical opportunities and translate business questions into scalable data solutions.
 \- Use strong command of SQL, Snowflake, and Python to design complex analytical models and build self\-serve dashboards in Tableau or Looker.
 \- Develop and deliver insight frameworks that enable data\-informed decision\-making across Marketing, Product, and Operations teams.
 \- Mentor analysts and engineers, fostering an environment of learning and technical excellence.
**Innovation, Automation, and Continuous Improvement** 
 \- Continuously evaluate and implement emerging data tools and frameworks to enhance speed, accuracy, and reliability of analytics delivery.
 \- Lead initiatives to automate reporting workflows and implement CI/CD for data pipelines, ensuring reproducibility and scalability.
 \- Partner cross\-functionally to identify and eliminate data bottlenecks, optimizing for both velocity and reliability in decision support.
 \- Drive a culture of proactive problem\-solving through documentation, standardization, and data enablement across teams.
**What You’ll Bring:** 
 To perform this job successfully, an individual must be able to perform each essential duty satisfactorily. The requirements listed below are representative of the knowledge, skill, and/or ability required. Reasonable accommodations may be made to enable individuals with disabilities to perform the essential functions.
**Experience/Education/Certifications Required:** 
 \- 5\+ years of experience in business intelligence, data engineering, analytics, or a related field.
 \- Advanced SQL expertise with experience handling complex queries and data transformations.
 \- Strong knowledge of engineering and operations best practices, including version control, data quality assurance, testing, and monitoring.
 \- Data modeling expertise with experience in ETL, Data Warehousing, and Data Lakes.
 \- Data visualization skills using Tableau to create compelling dashboards and reports.
 \- Programming proficiency in one or more languages (e.g., Python, Java) for data processing and analysis.
 \- Basic knowledge of statistical measures and techniques.
 \- Exceptional communication and collaboration skills, with the ability to communicate complex technical information to less technically sophisticated stakeholders and data professionals.</t>
        </is>
      </c>
    </row>
    <row r="75">
      <c r="A75" t="inlineStr">
        <is>
          <t>li-4260188553</t>
        </is>
      </c>
      <c r="B75" t="inlineStr">
        <is>
          <t>Senior Data Engineer</t>
        </is>
      </c>
      <c r="C75" t="inlineStr">
        <is>
          <t>Maven Clinic</t>
        </is>
      </c>
      <c r="D75" t="inlineStr">
        <is>
          <t>linkedin</t>
        </is>
      </c>
      <c r="E75">
        <f>HYPERLINK("https://www.linkedin.com/jobs/view/4260188553", "https://www.linkedin.com/jobs/view/4260188553")</f>
        <v/>
      </c>
      <c r="F75" t="inlineStr"/>
      <c r="G75" t="inlineStr">
        <is>
          <t>New York, NY</t>
        </is>
      </c>
      <c r="H75" t="inlineStr"/>
      <c r="I75" t="inlineStr">
        <is>
          <t>Maven is the world's largest virtual clinic for women and families on a mission to make healthcare work for all of us. Maven's award\-winning digital programs provide clinical, emotional, and financial support all in one platform, spanning fertility \&amp; family building, maternity \&amp; newborn care, parenting \&amp; pediatrics, and menopause \&amp; midlife. More than 2,000 employers and health plans trust Maven's end\-to\-end platform to improve clinical outcomes, reduce healthcare costs, and provide equity in benefits programs. Recognized for innovation and industry leadership, Maven has been named to the Time 100 Most Influential Companies, CNBC Disruptor 50, Fast Company Most Innovative Companies, and FORTUNE Best Places to Work. Founded in 2014 by CEO Kate Ryder, Maven has raised more than $425 million in funding from top healthcare and technology investors including General Catalyst, Sequoia, Dragoneer Investment Group, Oak HC/FT, StepStone Group, Icon Ventures, and Lux Capital. To learn more about Maven, visit us at mavenclinic.com.
**An award\-winning culture working towards an important mission – Maven Clinic is a recipient of over 30 workplace and innovation awards, including:**
* Fortune Change the World (2024\)
* CNBC Disruptor 50 List (2022, 2023, 2024\)
* Fortune Best Workplaces for Millennials (2024\)
* Fortune Best Workplaces in Health Care (2024\)
* TIME 100 Most Influential Companies (2023\)
* Fast Company Most Innovative Companies (2020, 2023\)
* Built In Best Places to Work (2023\)
* Fortune Best Workplaces NY (2020, 2021, 2022, 2023, 2024\)
* Great Place to Work certified (2020, 2021, 2022, 2023, 2024\)
* Fast Company Best Workplaces for Innovators (2022\)
* Built In LGBTQIA\+ Advocacy Award (2022\)
 As a Senior Data Engineer at Maven Clinic, you will be responsible for designing, implementing, and maintaining performant and cost\-efficient data pipelines (both batch and streaming). You will also play a key role in shaping Maven’s overall data architecture to expand our data warehouse capabilities and enhance our analytics, machine learning, and AI functions.
 You will work closely with cross\-functional teams to ensure the delivery of high\-quality, well\-governed datasets and data products that empower data\-driven decision\-making across the business and product landscape, ultimately driving Maven’s growth and customer success. You will also collaborate with product and leadership teams to help shape the strategic roadmap for Maven’s data functions.
**As a Senior Data Engineer at Maven, you will:**
* Lead the design, development, and maintenance of high\-performance, cost\-efficient data pipelines \- both batch and streaming.
* Build and maintain robust data ingestion and export workflows that ensure end\-to\-end data quality, observability, and reliability in production environments.
* Collaborate with data platform and backend engineering teams to evolve a scalable, secure, and fault\-tolerant data architecture.
* Drive technical design reviews and provide mentorship on engineering best practices, data architecture principles, and high coding standards.
* Partner with product and service engineering teams to shape and model source datasets, ensuring alignment with a unified data vision across systems.
* Stay ahead of emerging technologies, frameworks, and trends in the data space to inform architectural decisions and drive innovation within the team.
**We’re looking for you to bring:**
* Bachelor's or Master's degree in Computer Science or related field, or equivalent experience.
* 6\+ years of experience in data engineering or backend systems development, with a track record of building scalable, performant, and reliable data solutions.
* Highly proficient in SQL or similar languages for data transformation / ETL and analysis.
* Deep experience in data modeling for large\-scale distributed data warehouses (e.g., BigQuery, Redshift, Snowflake), with a strong understanding of design trade\-offs and best practices.
* Demonstrated ability to collaborate effectively with cross\-functional partners, particularly product, analytics, and operations teams.
* Working proficiency in one of the programming languages (Java, Python, Go, etc.), and hand\-on experience with one of the workflow orchestration tools (eg. Apache Airflow)
* Product\-oriented mindset with a strong focus on scalable, maintainable engineering solutions that meet real business needs.
* Experience leading design reviews and setting engineering standards and architecture direction.
* Strong problem\-solving abilities, with a bias for action and a drive to deliver high\-quality solutions in a fast\-paced environment.
 For candidates in NYC or CO, the salary range for this role is $196,000 \- $230,000 per year. You may also be entitled to receive a bonus, equity, and benefits. Individual pay decisions are based on a number of factors, including qualifications for the role, experience level, and skillset.
 Maven embraces a flexible hybrid work model. Our teams primarily operate from the New York Metropolitan area, NY, and remotely via San Francisco/Bay Area, CA, Seattle, WA, Boston, MA, Chicago, IL, and Washington, D.C. For those in our New York City office, we encourage in\-person collaboration by requiring team members to work onsite three days a week (Tuesday, Wednesday, Thursday). For those based in San Francisco/Bay Area, CA, Seattle, WA, Boston, MA, Chicago, IL, and Washington, D.C., we encourage in\-person collaboration by requiring team members to attend quarterly Work Together Days within these cities. This policy aims to balance remote work flexibility with the benefits of face\-to\-face interaction.
 At Maven we believe that a diverse set of backgrounds and experiences enrich our teams and allow us to achieve above and beyond our goals. If you do not have experience in all of the areas detailed above, we hope that you will share your unique background with us in your application and how it can be additive to our teams.
**Benefits That Work For You**
 Our benefits are designed to support your health, well\-being and career development, helping you thrive both personally and professionally. We remain focused on providing a competitive benefits package for our employees. On top of standards such as employer\-covered health, dental, and insurance plan options, we offer an inclusive approach to benefits:
* Maven for Mavens: access to the full platform and specialists, including care for mental health, reproductive health, family planning and pediatrics.
* Whole\-self care through wellness partnerships
* Hybrid work, in office meals, and work together days
* 16 weeks 100% paid parental leave and new parent stipend (for Mavens who've been with us for 1 year\+)
* Annual professional development stipend and access to a personal career coach through Maven for Mavens
* 401K matching for US\-based employees, with immediate vesting
**These benefits are applicable to Maven Clinic Co., US\-based, full\-time employees only. 1099/Contract Providers are ineligible for these benefits.**
 Maven is an affirmative action and equal opportunity employer. All qualified applicants will receive consideration for employment without regard to race, color, religion, sex, disability, age, sexual orientation, gender identity, national origin, veteran status, or genetic information. Maven is committed to providing access, equal opportunity and reasonable accommodation for individuals with disabilities in employment, its services, programs, and activities. Maven Clinic interview requests and job offers only originate from an @mavenclinic.com email address (e.g jsmith@mavenclinic.com). Maven Clinic will never ask for sensitive information to be delivered over email or phone. If you receive a scam issue or a security issue involving Maven Clinic please notify us at: security@mavenclinic.com. For general and additional inquiries, please contact us at careers@mavenclinic.com.</t>
        </is>
      </c>
    </row>
    <row r="76">
      <c r="A76" t="inlineStr">
        <is>
          <t>li-4234728410</t>
        </is>
      </c>
      <c r="B76" t="inlineStr">
        <is>
          <t>Sr. Data Engineer</t>
        </is>
      </c>
      <c r="C76" t="inlineStr">
        <is>
          <t>Anduril Industries</t>
        </is>
      </c>
      <c r="D76" t="inlineStr">
        <is>
          <t>linkedin</t>
        </is>
      </c>
      <c r="E76">
        <f>HYPERLINK("https://www.linkedin.com/jobs/view/4234728410", "https://www.linkedin.com/jobs/view/4234728410")</f>
        <v/>
      </c>
      <c r="F76" t="inlineStr"/>
      <c r="G76" t="inlineStr">
        <is>
          <t>Costa Mesa, CA</t>
        </is>
      </c>
      <c r="H76" t="inlineStr"/>
      <c r="I76" t="inlineStr">
        <is>
          <t>Anduril Industries is a defense technology company with a mission to transform U.S. and allied military capabilities with advanced technology. By bringing the expertise, technology, and business model of the 21st century’s most innovative companies to the defense industry, Anduril is changing how military systems are designed, built and sold. Anduril’s family of systems is powered by Lattice OS, an AI\-powered operating system that turns thousands of data streams into a realtime, 3D command and control center. As the world enters an era of strategic competition, Anduril is committed to bringing cutting\-edge autonomy, AI, computer vision, sensor fusion, and networking technology to the military in months, not years.
**About The Team**
 As a Senior Data Engineer on the Analytics Team, you will be collaborating with stakeholders across the company to design, build and implement data pipelines and models that enable our next generation of technology to be deployed around the world. You will have a hand in helping shape the data platform vision at Anduril.
**About The Job**
 We’re looking for software and data engineers who are seeking high impact collaborative roles focused on driving operational execution. Ideally you are looking to learn what it takes to build the next generation of defense technology.
**What You'll Do**
* Lead the design and roadmap for our data platform
* Partner with operations, product, and engineering to advocate best practices and build supporting systems and infrastructure for the various data needs
* Own the ingest and egress frameworks for data pipelines that stitch together various data sources in order to produce valuable data products that drive the business
* Palantir Foundry is our central hub for data driven applications, visualizations and large scale data analysis across the Anduril org. We manage a large user base and provide true data self service at scale.
* We use SQLMesh for data transformations, giving our engineers the ability to work with SQL while enjoying software engineering best practices like version control, testing, and CI/CD for data pipelines.
* For querying data, we utilize Athena, an aws serverless solution that allows our team to run analytics directly on our data lake without managing infrastructure.
* We've implemented Apache Iceberg as our table format, providing advanced data management capabilities like schema evolution and time travel queries.
* We use Flyte for orchestration. It is a highly scalable, kubernetes native modern orchestration platform similar to Airflow or Dagster.
**Required Qualifications**
* 5\+ years of experience in a data engineering role building products, ideally in a fast\-paced environment
* You are motivated by our mission. We are working to solve the biggest problems in defense
* Good foundations in Python or another language
* Experience with Spark, PySpark, SQL and dbt
* Experience with Enterprise Data Systems like Palantir Foundry
* Experience with or interest in learning how to develop data services and data products
* Experience with AWS, Azure, or GCP security ecosystem, containerization, and associated tooling
* Knowledge of data \&amp; visualization tools, such as Tableau
* Understand the importance of engineering with security’s best practices in mind
* You are empathetic: you are eager to see the world from your users’ perspective
* You’re energized by business impact \&amp; a self\-starter: you love to drive the direction of ambiguous projects
* Drive to take ownership of and debug complex data transformation pipelines and data models
* Must be a U.S. Person due to required access to U.S. export controlled information or facilities
 US Salary Range
 $166,000—$220,000 USD
**Healthcare Benefits**
 The salary range for this role is an estimate based on a wide range of compensation factors, inclusive of base salary only. Actual salary offer may vary based on (but not limited to) work experience, education and/or training, critical skills, and/or business considerations. Highly competitive equity grants are included in the majority of full time offers; and are considered part of Anduril's total compensation package. Additionally, Anduril offers top\-tier benefits for full\-time employees, including:
* US Roles: Comprehensive medical, dental, and vision plans at little to no cost to you.
* UK \&amp; AUS Roles: We cover full cost of medical insurance premiums for you and your dependents.
* IE Roles: We offer an annual contribution toward your private health insurance for you and your dependents.
**Additional Benefits**
* Income Protection: Anduril covers life and disability insurance for all employees.
* Generous time off: Highly competitive PTO plans with a holiday hiatus in December. Caregiver \&amp; Wellness Leave is available to care for family members, bond with a new baby, or address your own medical needs.
* Family Planning \&amp; Parenting Support: Coverage for fertility treatments (e.g., IVF, preservation), adoption, and gestational carriers, along with resources to support you and your partner from planning to parenting.
* Mental Health Resources: Access free mental health resources 24/7, including therapy and life coaching. Additional work\-life services, such as legal and financial support, are also available.
* Professional Development: Annual reimbursement for professional development
* Commuter Benefits: Company\-funded commuter benefits based on your region.
* Relocation Assistance: Available depending on role eligibility.
**Retirement Savings Plan**
* US Roles: Traditional 401(k), Roth, and after\-tax (mega backdoor Roth) options.
* UK \&amp; IE Roles: Pension plan with employer match.
* AUS Roles: Superannuation plan.
 The recruiter assigned to this role can share more information about the specific compensation and benefit details associated with this role during the hiring process.
 To view Anduril's candidate data privacy policy, please visit https://anduril.com/applicant\-privacy\-notice/.</t>
        </is>
      </c>
    </row>
    <row r="77">
      <c r="A77" t="inlineStr">
        <is>
          <t>li-4362810100</t>
        </is>
      </c>
      <c r="B77" t="inlineStr">
        <is>
          <t>Senior Associate: Data Engineer</t>
        </is>
      </c>
      <c r="C77" t="inlineStr">
        <is>
          <t>New York Life Insurance Company</t>
        </is>
      </c>
      <c r="D77" t="inlineStr">
        <is>
          <t>linkedin</t>
        </is>
      </c>
      <c r="E77">
        <f>HYPERLINK("https://www.linkedin.com/jobs/view/4362810100", "https://www.linkedin.com/jobs/view/4362810100")</f>
        <v/>
      </c>
      <c r="F77">
        <f>HYPERLINK("https://careers.newyorklife.com/careers/job/39258796?utm_source=linkedin&amp;domain=newyorklife.com&amp;urlHash=RbWg", "https://careers.newyorklife.com/careers/job/39258796?utm_source=linkedin&amp;domain=newyorklife.com&amp;urlHash=RbWg")</f>
        <v/>
      </c>
      <c r="G77" t="inlineStr">
        <is>
          <t>New York, NY</t>
        </is>
      </c>
      <c r="H77" t="inlineStr"/>
      <c r="I77" t="inlineStr">
        <is>
          <t>**Location Designation:** 
 Hybrid \- 3 days per week
 As part of Technology, you'll have the opportunity to contribute to groundbreaking initiatives that shape New York Life's digital landscape. Leverage cutting\-edge technologies like Generative AI to increase productivity, streamline processes, and create seamless experiences for clients, agents, and employees. Your expertise fuels innovation, agility, and growth — driving the company's success.
 At New York Life will join a team of analytics engineers focused on delivering clean, well\-structured, and reliable data to power various business and AI solutions across the enterprise. In this role, you will help define and uphold data and engineering standards, ensuring consistency, quality, and scalability. You will be an instrumental member of the Data and Analytics Engineering team, enabling enterprise\-wide data activation and supporting advanced analytics initiatives.
**What You’ll Do**
* Build and maintain dbt data pipelines to deliver clean, reliable, and well\-structured data for data science and analytics use cases.
* Implement real\-time data ingestion and processing using PySpark and AWS Glue.
* Apply software engineering best practices—including version control, testing, and integration—to all analytics and data development work.
* Review code changes and approve pull requests (PRs) in Git to ensure quality and consistency.
* Partner with stakeholders to explore, analyze, and source data from strategic enterprise data assets.
* Collaborate closely with data scientists on data quality, availability, and business value to support model development and analysis.
* Translate business and technical requirements into Jira stories, define milestones, and manage progress.
* Work with data stewards across New York Life to ensure alignment on data governance and standards.
* Build strong relationships with Technology (IT) teams to support tooling, data strategy, system integrations, and deployment processes.
* Communicate information and ideas effectively to diverse audiences across the organization.
**What You’ll Bring**
* 3\-7\+ years of experience with hands\-on experience building and maintaining dbt data models and transformation pipelines.
* Proficiency with AWS Glue, including ETL development, job orchestration, and catalog integration.
* Strong working knowledge of Databricks, including SQL, notebooks, and distributed data processing.
* Experience with Kafka and streaming data pipelines for real\-time ingestion and processing.
* Strong analytical thinking and problem\-solving skills, with the ability to troubleshoot complex data issues.
* Ability to work collaboratively in cross\-functional teams and communicate technical concepts to non\-technical stakeholders.
* Experience in the insurance industry or other regulated industries (preferred).
**Pay Transparency**
 Salary Range: $100,000\-$143,000
 Overtime eligible: Exempt
 Discretionary bonus eligible: Yes
 Sales bonus eligible: No
 Actual base salary will be determined based on several factors but not limited to individual’s experience, skills, qualifications, and job location. Additionally, employees are eligible for an annual discretionary bonus. In addition to base salary, employees may also be eligible to participate in an incentive program.
**Company Overview**
 At New York Life, our 180\-year legacy of purpose and integrity fuels our future. As we evolve into a more technology\-, data\-, and AI\-enabled organization, we remain grounded in the values that drive lasting impact.
 Our diverse business portfolio creates opportunities to make a difference across industries and communities—inviting bold thinking, collaborative problem\-solving, and purpose\-driven innovation. Here, you’ll find the rare balance of long\-standing stability and forward momentum, supported by an inclusive team that honors tradition while embracing progress.
 As a Fortune 100 mutual company, we offer a place to grow your skills, contribute to meaningful work, and deliver solutions that matter. Your ideas drive what’s next, and your growth powers it.
**Our Benefits**
 We provide a full package of benefits for employees – and have unique offerings for a modern workforce, including leave programs, adoption assistance, and student loan repayment programs. Based on feedback from our employees, we continue to refine and add benefits to our offering, so that you can flourish both inside and outside of work. Click here to discover more about our comprehensive benefit options or visit our NYL Benefits Site.
**Our Commitment to Inclusion**
 At New York Life, fostering an inclusive workplace is fundamental to who we are and how we serve our communities. We have a longstanding commitment to creating an environment where individuals can contribute their best and succeed together. This foundation is rooted in our core values of humanity and integrity, ensuring that every employee feels valued and supported. By embracing a broad range of perspectives and experiences, we achieve greater success and fulfill our promise of providing financial security and peace of mind to families across all communities. Click here to learn more about New York Life’s leadership in this space.
 Recognized as one of
 *Fortune’s* 
 World’s Most Admired Companies, New York Life is committed to improving local communities through a culture of employee giving and volunteerism, supported by the Foundation. We're proud that due to our mutuality, we operate in the best interests of our policy owners. To learn more about career opportunities at New York Life, please visit the Careers page of www.NewYorkLife.com.
 Visit our LinkedIn to see how our employees and agents are leading the industry and impacting communities.
 Visit our Newsroom to learn more about how our company is constantly evolving to meet our clients' and employees’ needs.
 Job Requisition ID: 93045</t>
        </is>
      </c>
    </row>
    <row r="78">
      <c r="A78" t="inlineStr">
        <is>
          <t>li-4322162912</t>
        </is>
      </c>
      <c r="B78" t="inlineStr">
        <is>
          <t>Senior Data Engineer</t>
        </is>
      </c>
      <c r="C78" t="inlineStr">
        <is>
          <t>Hinge</t>
        </is>
      </c>
      <c r="D78" t="inlineStr">
        <is>
          <t>linkedin</t>
        </is>
      </c>
      <c r="E78">
        <f>HYPERLINK("https://www.linkedin.com/jobs/view/4322162912", "https://www.linkedin.com/jobs/view/4322162912")</f>
        <v/>
      </c>
      <c r="F78" t="inlineStr"/>
      <c r="G78" t="inlineStr">
        <is>
          <t>New York, NY</t>
        </is>
      </c>
      <c r="H78" t="inlineStr"/>
      <c r="I78" t="inlineStr">
        <is>
          <t>**Hinge is the dating app designed to be deleted** 
 In today's digital world, finding genuine relationships is tougher than ever. At Hinge, we’re on a mission to inspire intimate connection to create a less lonely world. We’re obsessed with understanding our users’ behaviors to help them find love, and our success is defined by one simple metric– setting up great dates. With millions of users across the globe, we’ve become the most trusted way to find a relationship, for all.
**About the Role:** 
 As a Senior Data Engineer at Hinge, you will create essential data processes and contribute to components of a modern data pipeline that will be the foundation of Hinge’s decision\-making ability. The systems you help create, the problems you help solve, and the support of our analytical minds, will be pivotal to the success of Hinge. Your work will enable the organization to make data\-driven decisions and drive improvements, which will affect the love lives of millions of people.
 As a Senior Data Engineer on the team, you will be improving core functionality and implementing critical pipelines that will not only aid the Data Engineering team but also the rest of the organization. You will be working on an actual big data architecture while concentrating on real\-world problems.
**Responsibilities:** 
- Work with our data teams to ensure data is flowing accurately through data creation to our presentation layers
- Improve our Data Engineering stack through containerization, data modeling, developing our ETL pipelines, and more
- Use your expertise in data modeling to design, build, and maintain our analytics data warehouse, which provides clean, accurate, and robust data sets that can be leveraged for reporting, analytics, and machine learning initiatives
- Work with stakeholders and translate their needs and expectations into action items and deliverables
- Continue to learn more about the Data Engineering discipline, utilize that knowledge in your deliverables, and identify opportunities to enhance our pipelines
- Participate in our on\-call rotation to ensure system reliability, promptly addressing issues to ensure smooth operations
**What We're Looking For:** 
- 5\+ years of professional/industry experience
- Proficient in Python, SQL, DevOps, and databases
- 5\+ years of professional/industry experience
- Experience delivering data products from conception to delivery and with the infrastructure that supports their underlying processes
- Experience modeling data sets for different types of sources and business processes
- Passionate about designing elegant data infrastructure, tooling, and pipelines
- **Familiarity with our stack** 
 : Kubernetes, Docker, Terraform, Kafka, Airflow, dbt, Looker, AWS technologies (S3, Redshift), GCP technologies (Dataflow, BigQuery). and CI/CD technologies (CircleCI). Spark/Databricks a plus!
**As a member of our team, you’ll enjoy:** 
**401(k) Matching:** 
 We match 100% of the first 10% of pre\-tax 401(k) contributions you make, up to a maximum of $10,000 per year.
**Professional Growth:** 
 Get an annual Learning \&amp; Development stipend once you’ve been with us for three months. You also get free access to Udemy, an online learning and teaching marketplace with over 6000 courses, starting your first day.
**Parental Leave \&amp; Planning:** 
 When you become a new parent, you’re eligible for 100% paid parental leave (20 paid weeks for both birth and non\-birth parents.)
**Fertility Support:** 
 You’ll get easy access to fertility care through Carrot, from basic treatments to fertility preservation. We also provide a stipend towards fertility preservation. You and your spouse/domestic partner are both eligible.
**Date Stipend:** 
 All Hinge employees receive a $100 monthly stipend for epic dates– Romantic or otherwise. Hinge Premium is also free for employees and their loved ones.
**ERGs:** 
 We have eight Employee Resource Groups (ERGs)—Asian, Unapologetic, Disability, LGBTQIA\+, R
 aices
 , Women/Nonbinary, Parents —that hold regular meetings, host events, and provide dedicated support to the organization \&amp; its community.
**At Hinge, our core values are…** 
**Authenticity:** 
 We share, never hide, our words, actions and intentions.
**Courage:** 
 We embrace lofty goals and tough challenges.
**Empathy:** 
 We deeply consider the perspective of others.
**Diversity inspires innovation** 
 Hinge is an equal\-opportunity employer. We value diversity at our company and do not discriminate on the basis of race, religion, color, national origin, gender, sexual orientation, age, marital status, veteran status, or disability status. We believe success is created by a diverse workforce of individuals with different ideas, strengths, interests, and cultural backgrounds.
***If you require reasonable accommodation to complete a job application, pre\-employment testing, or a job interview or to otherwise participate in the hiring process, please let your Talent Acquisition partner know.***
*\#Hinge* 
 Factors such as scope and responsibilities of the position, candidate's work experience, education/training, job\-related skills, internal peer equity, as well as market and business considerations may influence base pay offered. This salary range is reflective of a position based in New York City. This salary will be subject to a geographic adjustment (according to a specific city and state), if an authorization is granted to work outside of the location listed in this posting.</t>
        </is>
      </c>
    </row>
    <row r="79">
      <c r="A79" t="inlineStr">
        <is>
          <t>li-4365563254</t>
        </is>
      </c>
      <c r="B79" t="inlineStr">
        <is>
          <t>Senior Data Engineer</t>
        </is>
      </c>
      <c r="C79" t="inlineStr">
        <is>
          <t>Trepp, Inc.</t>
        </is>
      </c>
      <c r="D79" t="inlineStr">
        <is>
          <t>linkedin</t>
        </is>
      </c>
      <c r="E79">
        <f>HYPERLINK("https://www.linkedin.com/jobs/view/4365563254", "https://www.linkedin.com/jobs/view/4365563254")</f>
        <v/>
      </c>
      <c r="F79">
        <f>HYPERLINK("https://grnh.se/bf2c24181us?source=LinkedIn&amp;urlHash=R2IE", "https://grnh.se/bf2c24181us?source=LinkedIn&amp;urlHash=R2IE")</f>
        <v/>
      </c>
      <c r="G79" t="inlineStr"/>
      <c r="H79" t="inlineStr"/>
      <c r="I79" t="inlineStr">
        <is>
          <t>Trepp's Data Platform Team is looking for individuals with strong backgrounds in programming to undertake challenging projects in our NYC office.
 The Data Platform Team powers all products at Trepp by using distributed data technologies built on our datalake. The Core Team is dedicated to establishing a robust foundation through architecture reviews, managing observability frameworks, and continuously assessing our processes and technology. The team oversee the maintenance of data ingestion and pipeline frameworks, while also developing new frameworks to empower developers.
 As a member of the Data Platform Core Team, you’ll be using open source and cloud technologies to drive innovation on our data platform.
 You will get the chance to work with teams across different line of business and other engineering teams to tackle complex problems and design scalable solutions. You will be an integral part of a team which is responsible for platform stability and foundational work.
**Responsibilities:**
* Become a Subject Matter Expert (SME) on our frameworks to assist in developing roadmaps and prioritizing initiatives.
* Identify opportunities to improve the platform through technical discussions and project proposals.
* Leverage project planning skills to transform high\-level ideas into design and implementation.
* Demonstrate leadership ability to back decisions with research and the “why,” and articulate several options, the pros and cons for each, and a recommendation
* Implement best practices in Data Engineering to drive innovation and enhance our platform as we scale.
**Basic Qualifications:**
* Bachelor’s Degree
* At least 5 years of experience in application development
* At least 3 years of experience in big data technologies
* At least 1 year of experience with cloud computing (AWS, Microsoft Azure, Google Cloud)
* Experience with Agile and SDLC, Git workflows, and CI/CD
**Preferred Qualifications:**
* 5 \+ years of experience in application development including Python, SQL, Scala, or Java
* 3\+ years of experience with a public cloud (AWS, Microsoft Azure, Google Cloud)
* 5\+ years of experience with Distributed data/computing tools (MapReduce, Hadoop, Hive, EMR, Kafka, Spark)
* 2\+ years of experience working on real\-time data and streaming applications
* 3\+ years of data warehousing experience (Redshift or Snowflake)
* 2\+ years of experience with UNIX/Linux including basic commands and shell scripting
**Salary Range:**
* Base salary starting from $185k plus bonus eligible
**Benefits and Perks:**
* Base \+ target bonus compensation structure
* Medical, Dental, Vision insurance
* 401(k) (with employer match)
* Life insurance, long term disability, short term disability all covered by the company
* Flexible paid time off (PTO)
* Sixteen (16\) weeks paid primary caregiver leave
 *(Biological, adoptive, and foster parents are all eligible)*
* Four (4\) weeks paid parental leave
* Wellness subsidy
* Pet insurance
* Laptop \+ WFH equipment
* Career progression plan
* Pre\-tax commuter benefit with company subsidy
 *(For NYC\-office based employees only)*
* Fun company events and volunteering opportunities
**Workplace Policy:**
*NYC, PA, and London office\-based positions:* 
 Trepp’s offices follows a 3\-2 hybrid\-working policy with the expectation of in\-office work on Tuesday\-Thursday and the option to work from home on Monday and Friday.
 Applicants for employment in the US must have work authorization that does not now or in the future require sponsorship of a visa for employment authorization in the United States and with Trepp (i.e., H1\-B visa, F\-1 visa (OPT), TN visa or any other non\-immigrant status). Trepp maintains a drug\-free workplace.</t>
        </is>
      </c>
    </row>
    <row r="80">
      <c r="A80" t="inlineStr">
        <is>
          <t>li-4341569418</t>
        </is>
      </c>
      <c r="B80" t="inlineStr">
        <is>
          <t>Data Platform Engineer Co-op - Fall 2026</t>
        </is>
      </c>
      <c r="C80" t="inlineStr">
        <is>
          <t>Ahold Delhaize USA</t>
        </is>
      </c>
      <c r="D80" t="inlineStr">
        <is>
          <t>linkedin</t>
        </is>
      </c>
      <c r="E80">
        <f>HYPERLINK("https://www.linkedin.com/jobs/view/4341569418", "https://www.linkedin.com/jobs/view/4341569418")</f>
        <v/>
      </c>
      <c r="F80">
        <f>HYPERLINK("https://aholddelhaizeusa.careerswithus.com/job/Co-Ops/Data-Platform-Engineer-Co-op-Fall-2026/Quincy-MA/ADUSArms/455336_external_USA-MA-Quincy?utm_source=Linkedin&amp;urlHash=oVzi", "https://aholddelhaizeusa.careerswithus.com/job/Co-Ops/Data-Platform-Engineer-Co-op-Fall-2026/Quincy-MA/ADUSArms/455336_external_USA-MA-Quincy?utm_source=Linkedin&amp;urlHash=oVzi")</f>
        <v/>
      </c>
      <c r="G80" t="inlineStr">
        <is>
          <t>Quincy, MA</t>
        </is>
      </c>
      <c r="H80" t="inlineStr"/>
      <c r="I80" t="inlineStr">
        <is>
          <t>**Category/Area of Expertise:** 
 Co\-Ops
**Job Requisition:** 
 455336
**Address:** 
 USA\-MA\-Quincy\-1385 Hancock Street
**Store Code:** 
 Arch/Data \- Business Intell \&amp; Analy (5119320\)
 Ahold Delhaize USA, a division of global food retailer Ahold Delhaize, is part of the U.S. family of brands, which includes five leading omnichannel grocery brands \- Food Lion, Giant Food, The GIANT Company, Hannaford and Stop \&amp; Shop. Our associates support the brands with a wide range of services, including Finance, Legal, Sustainability, Commercial, Digital and E\-commerce, Technology and more.
**Co\-op Program Overview:**
 Get an insider view of the fast\-changing grocery retail industry while developing relevant business, technical and leadership skills geared towards enhancing your career. This paid Co\-op experience is an opportunity to help drive business results in an environment designed to promote and reward diversity, innovation and leadership. Our mission is to create impactful early talent programs that provide cohorts with meaningful project work, learning and development sessions, and mentorship opportunities.
* Applicants must be currently enrolled in a bachelor's or master's degree program. Applicants must be currently authorized to work in the United States on a full\-time basis and be available from July 13, 2026 through December 4, 2026\. We have a hybrid work environment that requires a minimum of three days a week in the office. Please submit your resume including your cumulative GPA. Transcripts may be requested at a future date.\*\*
* Approximate 6\-month Co\-op session with competitive pay
* Impactful project work to develop your skills/knowledge
* Career assistance \&amp; mentoring in obtaining full time positions within ADUSA
* Leadership speaker sessions and development activities
* One\-on\-one mentoring in your area of interest
* Involvement in group community service events
* Networking and professional engagement opportunities
* Access to online career development tools and resources
* Opportunity to present project work to company leaders and gain executive visibility
**Department/Position Description:**
 Are you passionate about data? Do you like solving complex problems? Then come and join our Business Intelligence \&amp; Analytics team at Ahold Delhaize USA, a startup environment in the middle of a big corporate office. We are looking for creative out\-of\-the\-box problem solvers.
 Our Data \&amp; Analytics teams specialize in delivery of next generation data platform, information driven reporting solutions and works to align technology solutions with business objectives. This development position exposes associates to Cloud technologies and Business Intelligence tools including enterprise data lake, large scale databases, streaming technologies, ETL/ELT, and reporting tools. This position will be responsible for technical design and development of data products, translating requirements into data pipelines and reporting solutions, user acceptance testing to deliver effective solutions.
**Qualifications:**
* Must be enrolled in a BS/BA, MS, or PhD program or a recent graduate in related field
* Genuine excitement and passion for analyzing complex datasets and converting them into the information/insights that drive business decisions at all levels of the organization
* Basic understanding of fundamentals in computer science and programming
* Possess an understanding of business intelligence solutions utilizing advanced excel skills, BI tools in a data warehouse or data mart environment
* Excellent communication skills
* Must be able to adapt quickly to change without being afraid to take on new responsibilities in a fast\-paced team environment while being proactive and action\-oriented
* Experience writing, analyzing, and troubleshooting SQL code in relational database management systems
* Experience with any one of the programming languages Java, Scala, and Python
* Exposure to ETL/ELT, Data warehouse and dimensional modeling concepts
* Ability to propose analytical strategies and solutions as a business need
* Exposure to big data technologies
* Manipulating high\-volume, high\-dimensionality data from varying sources to highlight patterns, anomalies, relationships, and trends
* Ability to work on data pipelines
* Excellent diagnostic, debugging, and troubleshooting skills
**Skills:**
* Computer programming
* Data Management
* Data Analysis
* Data/Software Engineering
* Teamwork
* Good Communication
* Technical Writing
* Gen AI \+ MLOps
 Individual cohort pay rates vary based on location, academic year, and position.
 ME/NC/PA/SC Salary Range: $20\.90 \- $35\.70
 IL/MA/MD Salary Range: $22\.80 \- $37\.30
 At Ahold Delhaize USA, we provide services to one of the largest portfolios of grocery companies in the nation, and we're actively seeking top talent.
 Our team shares a common motivation to drive change, take ownership and enable our brands to better care for their customers. We thrive on supporting great local grocery brands and their strategies.
 Our associates are the heartbeat of our organization. We are committed to offering a welcoming work environment where all associates can succeed and thrive. Guided by our values of courage, care, teamwork, integrity (and even a little humor), we are dedicated to being a great place to work.
 We believe in collaboration, curiosity, and continuous learning in all that we think, create and do. While building a culture where personal and professional growth are just as important as business growth, we invest in our people, empowering them to learn, grow and deliver at all levels of the business.</t>
        </is>
      </c>
    </row>
    <row r="81">
      <c r="A81" t="inlineStr">
        <is>
          <t>li-4362485550</t>
        </is>
      </c>
      <c r="B81" t="inlineStr">
        <is>
          <t>Lead Data Engineer</t>
        </is>
      </c>
      <c r="C81" t="inlineStr">
        <is>
          <t>Salesforce</t>
        </is>
      </c>
      <c r="D81" t="inlineStr">
        <is>
          <t>linkedin</t>
        </is>
      </c>
      <c r="E81">
        <f>HYPERLINK("https://www.linkedin.com/jobs/view/4362485550", "https://www.linkedin.com/jobs/view/4362485550")</f>
        <v/>
      </c>
      <c r="F81">
        <f>HYPERLINK("https://salesforce.wd12.myworkdayjobs.com/External_Career_Site/job/California\u002d\u002d-San-Francisco/Lead-Data-Engineer_JR319302?source=LinkedIn_Jobs&amp;urlHash=j3Bb", "https://salesforce.wd12.myworkdayjobs.com/External_Career_Site/job/California\u002d\u002d-San-Francisco/Lead-Data-Engineer_JR319302?source=LinkedIn_Jobs&amp;urlHash=j3Bb")</f>
        <v/>
      </c>
      <c r="G81" t="inlineStr">
        <is>
          <t>Palo Alto, CA</t>
        </is>
      </c>
      <c r="H81" t="inlineStr"/>
      <c r="I81" t="inlineStr">
        <is>
          <t>*To get the best candidate experience, please consider applying for a maximum of 3 roles within 12 months to ensure you are not duplicating efforts.*
 Job Category
 Software Engineering
 Job Details
**About Salesforce**
 Salesforce is the \#1 AI CRM, where humans with agents drive customer success together. Here, ambition meets action. Tech meets trust. And innovation isn’t a buzzword — it’s a way of life. The world of work as we know it is changing and we're looking for Trailblazers who are passionate about bettering business and the world through AI, driving innovation, and keeping Salesforce's core values at the heart of it all.
 Ready to level\-up your career at the company leading workforce transformation in the agentic era? You’re in the right place! Agentforce is the future of AI, and you are the future of Salesforce.
 Salesforce is embarking on our own Digital Transformation to deliver customer success for our customers and accelerate our growth. A key pillar of this transformation is building a strong data foundation to support all of our core marketing needs through intelligent data sets as a service.
 We are seeking a seasoned and committed Lead AI Data Engineer to architect and build next\-generation data pipelines and a central knowledge base for our Marketing organization at Salesforce. In this critical technical leadership role, you will work closely with business partners to translate complex sales and marketing needs into technical requirements, wrangle vast, real\-time data from various systems, and design automated, large\-scale pipelines. Your work will be instrumental in measuring the success of autonomous agents and enabling their global scale. This position requires an experienced professional who thrives in ambiguous, "0\-to\-1" environments and is passionate about building novel, high\-impact AI systems. You will collaborate with internal technology groups to automate the entire data collection and definition process.
**Responsibilities**
* AI/ML Systems at Scale: Design, build, and deploy production\-grade AI/ML systems, with a preference for expertise in agentic systems, search/recommendation platforms, or data\-intensive applications.
* LLM \&amp; Foundation Model Expertise: Extensive hands\-on experience with LLMs, including fine\-tuning, RAG, Context Engineering, Prompt Engineering, and deployment.
* Agent \&amp; Tooling: Develop systems enabling AI agents to reason, plan, and utilize external tools (APIs, databases).
* Technical Skills: Expert in Python and large\-scale data processing technologies.
* Partner with marketing to define data requirements, build rapid POCs, and document specs.
* Automate ETL in Snowflake and Big Query.
* Construct DBT ETL pipelines for data ingestion and transformation.
* Implement GIT CI/CD for DevOps.
* Analyze metrics with business stakeholders to generate actionable insights.
* Develop POC solutions for new marketing metrics to aid decision\-making.
* Design simple, repeatable, and reusable automation data frameworks.
* Oversee BI and data warehouse initiatives for Marketing.
* Review and validate designs against solution architecture and standards.
* Collaborate internally and externally on data collection, analysis, and reporting.
* Provide data support to Data Science teams for model production.
* Work effectively with global teams (North America, EMEA, APAC).
* Manage technical consultant(s).
**Required Skills/Experience**
 Minimum Qualifications:
* Bachelor's in Computer Science or related field with 10\+ years of progressive experience in data engineering, modeling, automation, and analytics.
* Solid, hands\-on expertise in AI/ML, specifically with Large Language Models (LLMs), including fine\-tuning, RAG, Context Engineering, Prompt Engineering, and deployment.
* Robust understanding and clear articulation of data engineering principles, database design, tools, and architecture.
* Proven ability to manage multiple high\-priority projects and meet deadlines.
* Proactive capacity to identify and implement operational improvements.
* Experience with Web analytics platforms and data sets (Google Analytics preferred).
* Proficient in Snowflake, Google Big Query, Redshift, or CDP.
* Solid experience with ETL technologies: DBT, IICS, and FiveTran.
* 10\+ years of proficiency in SQL, Bash, and Python scripting.
* 7\+ years of hands\-on experience with Airflow, CI/CD (Jenkins/similar), and GitHub.
* Substantial experience with AWS technologies: ECS, CloudWatch, and Lambda.
* Prior experience mentoring junior team members in a customer\-focused environment.
* Experience collaborating closely with Analytics/Data Science teams.
* Essential team\-first mentality and excellent interpersonal skills.
* Must proactively communicate status, identify risks, and drive results with minimal supervision.
* Highly motivated self\-starter, agile in adapting to shifting priorities, and a critical thinker for innovative solutions under stringent deadlines.
**Preferred**
* Experience working with globally distributed engineering teams.
* Experience with data visualization tools (e.g., Tableau).
* Experience with Marketing technology.
 Unleash Your Potential
 When you join Salesforce, you’ll be limitless in all areas of your life. Our benefits and resources support you to find balance and
 *be your best* 
 , and our AI agents accelerate your impact so you can
 *do your best* 
 . Together, we’ll bring the power of Agentforce to organizations of all sizes and deliver amazing experiences that customers love. Apply today to not only shape the future — but to redefine what’s possible — for yourself, for AI, and the world.
 Accommodations
 If you require assistance due to a disability applying for open positions please submit a request via this Accommodations Request Form.
 Posting Statement
 Salesforce is an equal opportunity employer and maintains a policy of non\-discrimination with all employees and applicants for employment. What does that mean exactly? It means that at Salesforce, we believe in equality for all. And we believe we can lead the path to equality in part by creating a workplace that’s inclusive, and free from discrimination. Know your rights: workplace discrimination is illegal. Any employee or potential employee will be assessed on the basis of merit, competence and qualifications – without regard to race, religion, color, national origin, sex, sexual orientation, gender expression or identity, transgender status, age, disability, veteran or marital status, political viewpoint, or other classifications protected by law. This policy applies to current and prospective employees, no matter where they are in their Salesforce employment journey. It also applies to recruiting, hiring, job assignment, compensation, promotion, benefits, training, assessment of job performance, discipline, termination, and everything in between. Recruiting, hiring, and promotion decisions at Salesforce are fair and based on merit. The same goes for compensation, benefits, promotions, transfers, reduction in workforce, recall, training, and education.
 In the United States, compensation offered will be determined by factors such as location, job level, job\-related knowledge, skills, and experience. Certain roles may be eligible for incentive compensation, equity, and benefits. Salesforce offers a variety of benefits to help you live well including: time off programs, medical, dental, vision, mental health support, paid parental leave, life and disability insurance, 401(k), and an employee stock purchasing program. More details about company benefits can be found at the following link: https://www.salesforcebenefits.com.Pursuant to the San Francisco Fair Chance Ordinance and the Los Angeles Fair Chance Initiative for Hiring, Salesforce will consider for employment qualified applicants with arrest and conviction records.
 At Salesforce, we believe in equitable compensation practices that reflect the dynamic nature of labor markets across various regions. The typical base salary range for this position is $167,300 \- $253,000 annually. In select cities within the San Francisco and New York City metropolitan area, the base salary range for this role is $200,800 \- $276,100 annually. The range represents base salary only, and does not include company bonus, incentive for sales roles, equity or benefits, as applicable.</t>
        </is>
      </c>
    </row>
    <row r="82">
      <c r="A82" t="inlineStr">
        <is>
          <t>li-4362456578</t>
        </is>
      </c>
      <c r="B82" t="inlineStr">
        <is>
          <t>Lead Data Engineer</t>
        </is>
      </c>
      <c r="C82" t="inlineStr">
        <is>
          <t>Salesforce</t>
        </is>
      </c>
      <c r="D82" t="inlineStr">
        <is>
          <t>linkedin</t>
        </is>
      </c>
      <c r="E82">
        <f>HYPERLINK("https://www.linkedin.com/jobs/view/4362456578", "https://www.linkedin.com/jobs/view/4362456578")</f>
        <v/>
      </c>
      <c r="F82" t="inlineStr"/>
      <c r="G82" t="inlineStr">
        <is>
          <t>San Francisco, CA</t>
        </is>
      </c>
      <c r="H82" t="inlineStr"/>
      <c r="I82" t="inlineStr">
        <is>
          <t>*To get the best candidate experience, please consider applying for a maximum of 3 roles within 12 months to ensure you are not duplicating efforts.*
 Job Category
 Software Engineering
 Job Details
**About Salesforce**
 Salesforce is the \#1 AI CRM, where humans with agents drive customer success together. Here, ambition meets action. Tech meets trust. And innovation isn’t a buzzword — it’s a way of life. The world of work as we know it is changing and we're looking for Trailblazers who are passionate about bettering business and the world through AI, driving innovation, and keeping Salesforce's core values at the heart of it all.
 Ready to level\-up your career at the company leading workforce transformation in the agentic era? You’re in the right place! Agentforce is the future of AI, and you are the future of Salesforce.
 Salesforce is embarking on our own Digital Transformation to deliver customer success for our customers and accelerate our growth. A key pillar of this transformation is building a strong data foundation to support all of our core marketing needs through intelligent data sets as a service.
 We are seeking a seasoned and committed Lead AI Data Engineer to architect and build next\-generation data pipelines and a central knowledge base for our Marketing organization at Salesforce. In this critical technical leadership role, you will work closely with business partners to translate complex sales and marketing needs into technical requirements, wrangle vast, real\-time data from various systems, and design automated, large\-scale pipelines. Your work will be instrumental in measuring the success of autonomous agents and enabling their global scale. This position requires an experienced professional who thrives in ambiguous, "0\-to\-1" environments and is passionate about building novel, high\-impact AI systems. You will collaborate with internal technology groups to automate the entire data collection and definition process.
**Responsibilities**
* AI/ML Systems at Scale: Design, build, and deploy production\-grade AI/ML systems, with a preference for expertise in agentic systems, search/recommendation platforms, or data\-intensive applications.
* LLM \&amp; Foundation Model Expertise: Extensive hands\-on experience with LLMs, including fine\-tuning, RAG, Context Engineering, Prompt Engineering, and deployment.
* Agent \&amp; Tooling: Develop systems enabling AI agents to reason, plan, and utilize external tools (APIs, databases).
* Technical Skills: Expert in Python and large\-scale data processing technologies.
* Partner with marketing to define data requirements, build rapid POCs, and document specs.
* Automate ETL in Snowflake and Big Query.
* Construct DBT ETL pipelines for data ingestion and transformation.
* Implement GIT CI/CD for DevOps.
* Analyze metrics with business stakeholders to generate actionable insights.
* Develop POC solutions for new marketing metrics to aid decision\-making.
* Design simple, repeatable, and reusable automation data frameworks.
* Oversee BI and data warehouse initiatives for Marketing.
* Review and validate designs against solution architecture and standards.
* Collaborate internally and externally on data collection, analysis, and reporting.
* Provide data support to Data Science teams for model production.
* Work effectively with global teams (North America, EMEA, APAC).
* Manage technical consultant(s).
**Required Skills/Experience**
 Minimum Qualifications:
* Bachelor's in Computer Science or related field with 10\+ years of progressive experience in data engineering, modeling, automation, and analytics.
* Solid, hands\-on expertise in AI/ML, specifically with Large Language Models (LLMs), including fine\-tuning, RAG, Context Engineering, Prompt Engineering, and deployment.
* Robust understanding and clear articulation of data engineering principles, database design, tools, and architecture.
* Proven ability to manage multiple high\-priority projects and meet deadlines.
* Proactive capacity to identify and implement operational improvements.
* Experience with Web analytics platforms and data sets (Google Analytics preferred).
* Proficient in Snowflake, Google Big Query, Redshift, or CDP.
* Solid experience with ETL technologies: DBT, IICS, and FiveTran.
* 10\+ years of proficiency in SQL, Bash, and Python scripting.
* 7\+ years of hands\-on experience with Airflow, CI/CD (Jenkins/similar), and GitHub.
* Substantial experience with AWS technologies: ECS, CloudWatch, and Lambda.
* Prior experience mentoring junior team members in a customer\-focused environment.
* Experience collaborating closely with Analytics/Data Science teams.
* Essential team\-first mentality and excellent interpersonal skills.
* Must proactively communicate status, identify risks, and drive results with minimal supervision.
* Highly motivated self\-starter, agile in adapting to shifting priorities, and a critical thinker for innovative solutions under stringent deadlines.
**Preferred**
* Experience working with globally distributed engineering teams.
* Experience with data visualization tools (e.g., Tableau).
* Experience with Marketing technology.
 Unleash Your Potential
 When you join Salesforce, you’ll be limitless in all areas of your life. Our benefits and resources support you to find balance and
 *be your best* 
 , and our AI agents accelerate your impact so you can
 *do your best* 
 . Together, we’ll bring the power of Agentforce to organizations of all sizes and deliver amazing experiences that customers love. Apply today to not only shape the future — but to redefine what’s possible — for yourself, for AI, and the world.
 Accommodations
 If you require assistance due to a disability applying for open positions please submit a request via this Accommodations Request Form.
 Posting Statement
 Salesforce is an equal opportunity employer and maintains a policy of non\-discrimination with all employees and applicants for employment. What does that mean exactly? It means that at Salesforce, we believe in equality for all. And we believe we can lead the path to equality in part by creating a workplace that’s inclusive, and free from discrimination. Know your rights: workplace discrimination is illegal. Any employee or potential employee will be assessed on the basis of merit, competence and qualifications – without regard to race, religion, color, national origin, sex, sexual orientation, gender expression or identity, transgender status, age, disability, veteran or marital status, political viewpoint, or other classifications protected by law. This policy applies to current and prospective employees, no matter where they are in their Salesforce employment journey. It also applies to recruiting, hiring, job assignment, compensation, promotion, benefits, training, assessment of job performance, discipline, termination, and everything in between. Recruiting, hiring, and promotion decisions at Salesforce are fair and based on merit. The same goes for compensation, benefits, promotions, transfers, reduction in workforce, recall, training, and education.
 In the United States, compensation offered will be determined by factors such as location, job level, job\-related knowledge, skills, and experience. Certain roles may be eligible for incentive compensation, equity, and benefits. Salesforce offers a variety of benefits to help you live well including: time off programs, medical, dental, vision, mental health support, paid parental leave, life and disability insurance, 401(k), and an employee stock purchasing program. More details about company benefits can be found at the following link: https://www.salesforcebenefits.com.Pursuant to the San Francisco Fair Chance Ordinance and the Los Angeles Fair Chance Initiative for Hiring, Salesforce will consider for employment qualified applicants with arrest and conviction records.
 At Salesforce, we believe in equitable compensation practices that reflect the dynamic nature of labor markets across various regions. The typical base salary range for this position is $167,300 \- $253,000 annually. In select cities within the San Francisco and New York City metropolitan area, the base salary range for this role is $200,800 \- $276,100 annually. The range represents base salary only, and does not include company bonus, incentive for sales roles, equity or benefits, as applicable.</t>
        </is>
      </c>
    </row>
    <row r="83">
      <c r="A83" t="inlineStr">
        <is>
          <t>li-4341799003</t>
        </is>
      </c>
      <c r="B83" t="inlineStr">
        <is>
          <t>Data Platform Engineer Co-op - Fall 2026</t>
        </is>
      </c>
      <c r="C83" t="inlineStr">
        <is>
          <t>Ahold Delhaize USA</t>
        </is>
      </c>
      <c r="D83" t="inlineStr">
        <is>
          <t>linkedin</t>
        </is>
      </c>
      <c r="E83">
        <f>HYPERLINK("https://www.linkedin.com/jobs/view/4341799003", "https://www.linkedin.com/jobs/view/4341799003")</f>
        <v/>
      </c>
      <c r="F83" t="inlineStr"/>
      <c r="G83" t="inlineStr">
        <is>
          <t>Quincy, MA</t>
        </is>
      </c>
      <c r="H83" t="inlineStr"/>
      <c r="I83" t="inlineStr">
        <is>
          <t>**Category/Area of Expertise:** 
 Co\-Ops
**Job Requisition:** 
 455358
**Address:** 
 USA\-MA\-Quincy\-1385 Hancock Street
**Store Code:** 
 Arch/Data \- Business Intell \&amp; Analy (5119320\)
 Ahold Delhaize USA, a division of global food retailer Ahold Delhaize, is part of the U.S. family of brands, which includes five leading omnichannel grocery brands \- Food Lion, Giant Food, The GIANT Company, Hannaford and Stop \&amp; Shop. Our associates support the brands with a wide range of services, including Finance, Legal, Sustainability, Commercial, Digital and E\-commerce, Technology and more.
**Co\-op Program Overview:**
 Get an insider view of the fast\-changing grocery retail industry while developing relevant business, technical and leadership skills geared towards enhancing your career. This paid Co\-op experience is an opportunity to help drive business results in an environment designed to promote and reward diversity, innovation and leadership. Our mission is to create impactful early talent programs that provide cohorts with meaningful project work, learning and development sessions, and mentorship opportunities.
* Applicants must be currently enrolled in a bachelor's or master's degree program. Applicants must be currently authorized to work in the United States on a full\-time basis and be available from July 13, 2026 through December 4, 2026\. We have a hybrid work environment that requires a minimum of three days a week in the office. Please submit your resume including your cumulative GPA. Transcripts may be requested at a future date.\*\*
* Approximate 6\-month Co\-op session with competitive pay
* Impactful project work to develop your skills/knowledge
* Career assistance \&amp; mentoring in obtaining full time positions within ADUSA
* Leadership speaker sessions and development activities
* One\-on\-one mentoring in your area of interest
* Involvement in group community service events
* Networking and professional engagement opportunities
* Access to online career development tools and resources
* Opportunity to present project work to company leaders and gain executive visibility
**Department/Position Description:**
 Are you passionate about data? Do you like solving complex problems? Then come and join our Business Intelligence \&amp; Analytics team at Ahold Delhaize USA, a startup environment in the middle of a big corporate office. We are looking for creative out\-of\-the\-box problem solvers.
 Our Data \&amp; Analytics teams specialize in delivery of next generation data platform, information driven reporting solutions and works to align technology solutions with business objectives. This development position exposes associates to Cloud technologies and Business Intelligence tools including enterprise data lake, large scale databases, streaming technologies, ETL/ELT, and reporting tools. This position will be responsible for technical design and development of data products, translating requirements into data pipelines and reporting solutions, user acceptance testing to deliver effective solutions.
**Qualifications:**
* Must be enrolled in a BS/BA, MS, or PhD program or a recent graduate in related field
* Genuine excitement and passion for analyzing complex datasets and converting them into the information/insights that drive business decisions at all levels of the organization
* Basic understanding of fundamentals in computer science and programming
* Possess an understanding of business intelligence solutions utilizing advanced excel skills, BI tools in a data warehouse or data mart environment
* Excellent communication skills
* Must be able to adapt quickly to change without being afraid to take on new responsibilities in a fast\-paced team environment while being proactive and action\-oriented
* Experience writing, analyzing, and troubleshooting SQL code in relational database management systems
* Experience with any one of the programming languages Java, Scala, and Python
* Exposure to ETL/ELT, Data warehouse and dimensional modeling concepts
* Ability to propose analytical strategies and solutions as a business need
* Exposure to big data technologies
* Manipulating high\-volume, high\-dimensionality data from varying sources to highlight patterns, anomalies, relationships, and trends
* Ability to work on data pipelines
* Excellent diagnostic, debugging, and troubleshooting skills
**Skills:**
* Computer programming
* Data Management
* Data Analysis
* Data/Software Engineering
* Teamwork
* Good Communication
* Technical Writing
* Gen AI \+ MLOps
 Individual cohort pay rates vary based on location, academic year, and position.
 ME/NC/PA/SC Salary Range: $20\.90 \- $35\.70
 IL/MA/MD Salary Range: $22\.80 \- $37\.30
 At Ahold Delhaize USA, we provide services to one of the largest portfolios of grocery companies in the nation, and we're actively seeking top talent.
 Our team shares a common motivation to drive change, take ownership and enable our brands to better care for their customers. We thrive on supporting great local grocery brands and their strategies.
 Our associates are the heartbeat of our organization. We are committed to offering a welcoming work environment where all associates can succeed and thrive. Guided by our values of courage, care, teamwork, integrity (and even a little humor), we are dedicated to being a great place to work.
 We believe in collaboration, curiosity, and continuous learning in all that we think, create and do. While building a culture where personal and professional growth are just as important as business growth, we invest in our people, empowering them to learn, grow and deliver at all levels of the business.</t>
        </is>
      </c>
    </row>
    <row r="84">
      <c r="A84" t="inlineStr">
        <is>
          <t>li-4357492872</t>
        </is>
      </c>
      <c r="B84" t="inlineStr">
        <is>
          <t>Data Engineer / Data Scientist / Data Architect - Full time</t>
        </is>
      </c>
      <c r="C84" t="inlineStr">
        <is>
          <t>Ztek Consulting</t>
        </is>
      </c>
      <c r="D84" t="inlineStr">
        <is>
          <t>linkedin</t>
        </is>
      </c>
      <c r="E84">
        <f>HYPERLINK("https://www.linkedin.com/jobs/view/4357492872", "https://www.linkedin.com/jobs/view/4357492872")</f>
        <v/>
      </c>
      <c r="F84" t="inlineStr"/>
      <c r="G84" t="inlineStr">
        <is>
          <t>Vienna, VA</t>
        </is>
      </c>
      <c r="H84" t="inlineStr"/>
      <c r="I84" t="inlineStr">
        <is>
          <t>Below are the 3 roles open:
 1\) Data Engineer
 2\) Data Scientist
 3\) Data Architect
**Job Descriptions:** 
**Data Engineer Job Description :** 
* Design, build, and optimize batch and real\-time data pipelines using Python, SQL, Airflow, Kafka, and AWS Glue
* Lead scalable ETL and data lake architectures across distributed cloud environments
* Ensure data quality, governance, security, and compliance while supporting analytics and data science needs
* Mentor junior engineers and collaborate with stakeholders to deliver reliable, well\-documented data solutions
**Data Scientist Job Description :** 
* 3\+ years of experience in statistical modeling and applied data analysis, including regression, classification, clustering, and time\-series analysis
* Proficient in Python or R, with hands\-on experience in data wrangling, visualization, and model development
* Strong experience with SQL/Spark SQL, basic data modeling, and cloud platforms (AWS, Azure, or GCP)
* Excellent ability to communicate complex insights and manage multiple priorities effectively
**Data Architect Job Description :** 
* Lead and mentor data engineering teams while architecting and building enterprise\-scale data platforms from design through production
* Develop and optimize production\-grade ETL/ELT pipelines, data models, and data warehouses using Python, SQL, PySpark, and cloud platforms (AWS/GCP)
* Implement CI/CD, data governance, quality frameworks, and secure, compliant data solutions aligned with federal/VA standards
* Collaborate with cross\-functional stakeholders to translate business requirements into scalable, high\-quality data solutions</t>
        </is>
      </c>
    </row>
    <row r="85">
      <c r="A85" t="inlineStr">
        <is>
          <t>li-4361001685</t>
        </is>
      </c>
      <c r="B85" t="inlineStr">
        <is>
          <t>Senior Data Engineer (Python, NodeJS, Java)</t>
        </is>
      </c>
      <c r="C85" t="inlineStr">
        <is>
          <t>Elsevier</t>
        </is>
      </c>
      <c r="D85" t="inlineStr">
        <is>
          <t>linkedin</t>
        </is>
      </c>
      <c r="E85">
        <f>HYPERLINK("https://www.linkedin.com/jobs/view/4361001685", "https://www.linkedin.com/jobs/view/4361001685")</f>
        <v/>
      </c>
      <c r="F85" t="inlineStr"/>
      <c r="G85" t="inlineStr">
        <is>
          <t>Philadelphia, PA</t>
        </is>
      </c>
      <c r="H85" t="inlineStr"/>
      <c r="I85" t="inlineStr">
        <is>
          <t>About the role: This position performs data engineering \- typically across multiple components; is developing the skills of mentoring junior members of the team and works with others to talk to users/customers and translates their requests into solutions. We are not looking to hire a Data Scientist.
 About the team: This diverse team is actively involved in developing advanced information and decision support tools for healthcare professionals. One notable initiative is the launch of ClinicalKey AI, a generative AI\-driven clinical decision support tool developed in partnership with OpenEvidence. This tool offers a conversational search interface, enabling physicians to quickly access accurate, evidence\-based medical information, thereby enhancing clinical decision\-making at the point of care.
 Qualifications
* Experience with backend programming languages including Python, NodeJS, Java
* Experience designing, developing and maintaining complex ETL pipelines
* ·Knowledge of Database technologies (SQL, NOSQL)
* Familiarity with cloud technologies (AWS, Azure, GCP)
* Experience with (shared) source control (Git, Github, Gitlab, SVN)
* Familiarity with unit/integration testing
* Experience documenting and sharing solutions
* Proficiency in giving great reviews of their peers' work. This includes being respectful, thorough, thoughtful, flexible, and not pedantic.
 Responsibilities
* Handling medium\- to larger\-sized tasks with minimal assistance needed.
* Designing components and modules pairing while mentoring more junior engineers in the activity.
* Troubleshooting and debugging issues, provide solutions, and collaborate with quality engineering and product teams.
* Communicating openly and clearly, whether discussing ideas, asking questions, or providing feedback. Be mindful of clarity and approach.
* Showing empathy towards colleagues, be open to feedback, and approach situations with humility, acknowledging that everyone can learn from others.
 Elsevier employs 10,000 people worldwide, including over 2,500 technologists. We have supported the work of our research and health partners for more than 140 years. Growing from our roots in publishing, we offer knowledge and valuable analytics that help our users make breakthroughs and drive societal progress.
 Digital solutions such as ScienceDirect, Scopus, SciVal, ClinicalKey and Sherpath support strategic research management, R\&amp;D performance, clinical decision support, medical education, and nursing education. Researchers and healthcare professionals rely on over 2,800 journals, including The Lancet and Cell; 46,000\+ eBook titles; and iconic reference works, such as Gray's Anatomy. With the Elsevier Foundation and our external Inclusion \&amp; Diversity Advisory Board, we work in partnership with diverse stakeholders to advance inclusion and diversity in science, research and healthcare in developing countries and around the world.
 Elsevier is part of RELX a global provider of information\-based analytics and decision tools for professional and business customers</t>
        </is>
      </c>
    </row>
    <row r="86">
      <c r="A86" t="inlineStr">
        <is>
          <t>li-4366318819</t>
        </is>
      </c>
      <c r="B86" t="inlineStr">
        <is>
          <t>2-Senior Data Engineers Needed | Major NYC Hospital | Snowflake Exp. | Salary + Bonus!</t>
        </is>
      </c>
      <c r="C86" t="inlineStr">
        <is>
          <t>Integris Group</t>
        </is>
      </c>
      <c r="D86" t="inlineStr">
        <is>
          <t>linkedin</t>
        </is>
      </c>
      <c r="E86">
        <f>HYPERLINK("https://www.linkedin.com/jobs/view/4366318819", "https://www.linkedin.com/jobs/view/4366318819")</f>
        <v/>
      </c>
      <c r="F86" t="inlineStr"/>
      <c r="G86" t="inlineStr"/>
      <c r="H86" t="inlineStr"/>
      <c r="I86" t="inlineStr">
        <is>
          <t>Integris Group is partnering with a leading New York City hospital to hire
 **(2\) Senior Data Engineers** 
 for full\-time, permanent roles who have strong experience with
 **Snowflake!** 
 This is a
 **Hybrid position
 *(4 days Onsite, 1 Day Remote – no exceptions)***
 offering a competitive salary, annual bonus, 401(k), PTO, and top\-tier medical, dental, and vision benefits, along with additional excellent company perks.
**Job Title:** 
**2\-Senior Data Engineer's** 
 (last two spots left on the team).
**Location:** 
 New York, NY
**Position Type:** 
***Full\-Time, Hybrid (4 day's Onsite \| 1 day Remote)***
**About the Role:** 
 Our client is seeking 2 highly motivated and experienced Senior Data Engineer to join their data team and help design, build, and optimize their modern data platform. You will work with tools such as
 **Snowflake, Fivetran, and DBT** 
 to create scalable, high\-performance data pipelines and analytics solutions. This role will be instrumental in enabling advanced analytics, machine learning, and data\-driven decision\-making across the organization. The job itself is not just architecture (these senior engineers will do some as they are designing the data models, pipelines, version control, governance, etc.), but then they will also execute (engineer) \&amp; deliver that work.
**Key Responsibilities:** 
* Design, build, and maintain robust, scalable, and secure ETL/ELT pipelines.
* Develop and optimize data models to support analytics, BI, and machine learning use cases.
* Partner closely with data analysts, scientists, and business stakeholders to translate requirements into technical solutions.
* Monitor, tune, and optimize data processing workflows for efficiency, scalability, and cost\-effectiveness.
* Troubleshoot pipeline failures and performance issues quickly and effectively.
* Support production workflows through CI/CD pipelines and version control (Git).
* Ensure data quality, integrity, and governance across the data lifecycle.
* Prototype and research new tools, technologies, and architectures for improving the existing data infrastructure.
**The ideal candidate has:** 
* Bachelor’s or Master’s degree in Computer Science, Engineering, Information Systems, or equivalent experience.
* Hands\-on experience with cloud\-based data warehouse platforms (e.g.
 **Snowflake** 
 ).
* Experience designing and deploying data pipelines using orchestration tools like
 **DBT** 
*or* 
**Airflow.**
* 5\+ years’ experience supporting data\-driven or ML applications in production environments.
* Understanding of modern data architecture, ELT/ETL best practices, and cloud data platforms i.e. (Azure or AWS or GCP).
* Ability to analyze large datasets to identify data quality issues and other contextual insights.
* Experience in developing data models for integration and analysis that support business intelligence and data analytics initiatives.
* Experience with CI/CD and version control tools (e.g. Git).
* Proficiency with SQL and experience in at least one programming language (e.g., Python, Scala).
* A proven ability to operate in a fast\-paced work environment.
* Excellent communication and organizational skills with a demonstrated team orientation with strong ability to drive projects autonomously as needed.
**We’d like to see:** 
* Familiarity with Infrastructure as Code (IaC), and containerization (Docker, Kubernetes).
* Knowledge of data governance, security, and compliance frameworks.
* Experience in data modeling for large\-scale distributed data warehouses with a strong understanding of design trade\-offs and best practices.</t>
        </is>
      </c>
    </row>
    <row r="87">
      <c r="A87" t="inlineStr">
        <is>
          <t>li-4366369765</t>
        </is>
      </c>
      <c r="B87" t="inlineStr">
        <is>
          <t>Staff Data Platform Engineer</t>
        </is>
      </c>
      <c r="C87" t="inlineStr">
        <is>
          <t>Orbis Group</t>
        </is>
      </c>
      <c r="D87" t="inlineStr">
        <is>
          <t>linkedin</t>
        </is>
      </c>
      <c r="E87">
        <f>HYPERLINK("https://www.linkedin.com/jobs/view/4366369765", "https://www.linkedin.com/jobs/view/4366369765")</f>
        <v/>
      </c>
      <c r="F87" t="inlineStr"/>
      <c r="G87" t="inlineStr"/>
      <c r="H87" t="inlineStr"/>
      <c r="I87" t="inlineStr">
        <is>
          <t>**Staff Data Platform Engineer \- up to \~£310,000 base \+ substantial equity** 
 📍 San Francisco or New York
 I’m working with a
 **high\-growth, product\-led software company** 
 that’s built a category\-defining platform used by modern GTM teams to find, research, and engage the right customers. The company has crossed
 **$100M in revenue** 
 , raised a
 **large growth round** 
 , and is now scaling the core systems that underpin the product as usage and customer complexity increase.
 At the heart of this is the data platform.
 The team owns all
 **people and jobs data** 
 , which directly powers
 **search, enrichments, and signals** 
 across the platform. As the company scales, they’re investing heavily in the systems that keep this data
 **fresh, reliable, and accurate** 
 , including live web scraping and continuous refresh pipelines.
 They’re now hiring a
 **Staff Data Platform Engineer** 
 to help build and scale this core foundation.
**What you’ll be working on** 
* Designing and building
 **software\-oriented data systems** 
 (not classic BI / analytics)
* Owning the platforms that ingest, refresh, and serve people and jobs data
* Working on
 **live web scraping** 
 , data freshness, and reliability at scale
* Building internal data services that power product features like search and enrichment
* Shaping architecture and technical direction as the platform grows
**What they’re looking for** 
* Experience working on
 **data platforms where data is central to the product**
* Strong software engineering background with a data focus
* Comfortable operating at
 **Staff level** 
 with real ownership and technical judgment
* Experience with distributed systems and production data workloads
* Product\-minded — you care how data is used, not just how it’s stored
**Location \&amp; comp** 
* San Francisco or New York
* Up to \~$310,000 base
* **Very strong equity with real liquidity history**
 If this sounds interesting to you, apply below!</t>
        </is>
      </c>
    </row>
    <row r="88">
      <c r="A88" t="inlineStr">
        <is>
          <t>li-4362427278</t>
        </is>
      </c>
      <c r="B88" t="inlineStr">
        <is>
          <t>Splunk Data Engineer</t>
        </is>
      </c>
      <c r="C88" t="inlineStr">
        <is>
          <t>Booz Allen Hamilton</t>
        </is>
      </c>
      <c r="D88" t="inlineStr">
        <is>
          <t>linkedin</t>
        </is>
      </c>
      <c r="E88">
        <f>HYPERLINK("https://www.linkedin.com/jobs/view/4362427278", "https://www.linkedin.com/jobs/view/4362427278")</f>
        <v/>
      </c>
      <c r="F88" t="inlineStr"/>
      <c r="G88" t="inlineStr">
        <is>
          <t>Reston, VA</t>
        </is>
      </c>
      <c r="H88" t="inlineStr"/>
      <c r="I88" t="inlineStr">
        <is>
          <t>**Job Number: R0232125**
 Splunk Data Engineer
**The Opportunity:**
 Design, deploy, and manage Splunk infrastructure. Develop and maintain Splunk dashboards, queries, and alerts. Integrate Splunk with various data sources to ensure comprehensive data ingestion. Monitor and troubleshoot Splunk performance issues. Collaborate with cross\-functional teams to gather requirements and provide Splunk solutions. Implement and enforce best practices for Splunk data management and retention. Provide user training and support for Splunk\-related activities.
**You Have:**
* 2\+ years of experience in managing and configuring Splunk, and in Splunk architecture, including indexers, search heads, forwarders, and deployment servers
* 2\+ years of experience configuring data sources, destinations, routes and collectors, and building pipelines to parse, normalize, enrich, mask, dedupe, and route data to Targets
* 2\+ years of experience authoring and maintaining props.conf, transforms.conf, inputs.conf, and outputs.conf, and packaging Apps or TAs
* 2\+ years of experience in Linux and Windows administration, including file paths, services, permissions, and log locations
* 1\+ years of experience with regex for field extraction and event breaking, and Splunk REST API for automation and operational tasks
* Active TS/SCI clearance; willingness to take a polygraph exam
* Associate’s degree and 5\+ years of experience supporting IT projects and activities, OR Bachelor’s degree and 3\+ years of experience supporting IT projects and activities, OR Master’s degree and 1\+ years of experience supporting IT projects and activities, OR 10\+ years of experience supporting IT projects and activities in lieu of a degree
* DoD 8570 IAT Level II certification, including Security\+ CE, CCNA\-Security, GSEC, SSCP, CySA\+, GICSP, or CND certification
* Ability to obtain a DoD 8570 Cyber Security Service Provider \- Infrastructure Support certification, including CEH, CySA\+, GICSP, SSCP, CHFI, CFR, Cloud\+, or CND certification, within 60 days of start date
**Nice If You Have:**
* 2\+ years of experience with Networking fundamentals, including TCP/UDP, TLS, syslog transport, firewall ports, and common transport issues
* 2\+ years of experience in basic troubleshooting with tools such as tcpdump or wireshark, basic vi/vim usage, setfacl, and SELinux
* 1\+ years of experience with DoD STIGs or other organizational hardening standards working in regulated environments
* Experience in SPL for validation, troubleshooting and basic dashboards
* Experience with scripting languages such as Python, Bash, or PowerShell
* Experience with Load\-Balancer fundamentals
* Knowledge of common log formats, including syslog, Windows Event, JSON, CSV, and XML
* Knowledge of Git for code version control
* Knowledge of Ansible playbooks
* Possession of strong verbal and written communication skills
**Clearance** 
 :
 Applicants selected will be subject to a security investigation and may need to meet eligibility requirements for access to classified information; TS/SCI clearance is required.
**Compensation**
 At Booz Allen, we celebrate your contributions, provide you with opportunities and choices, and support your total well\-being. Our offerings include health, life, disability, financial, and retirement benefits, as well as paid leave, professional development, tuition assistance, work\-life programs, and dependent care. Our recognition awards program acknowledges employees for exceptional performance and superior demonstration of our values. Full\-time and part\-time employees working at least 20 hours a week on a regular basis are eligible to participate in Booz Allen’s benefit programs. Individuals that do not meet the threshold are only eligible for select offerings, not inclusive of health benefits. We encourage you to learn more about our total benefits by visiting the Resource page on our Careers site and reviewing Our Employee Benefits page.
 Salary at Booz Allen is determined by various factors, including but not limited to location, the individual’s particular combination of education, knowledge, skills, competencies, and experience, as well as contract\-specific affordability and organizational requirements. The projected compensation range for this position is $99,000\.00 to $225,000\.00 (annualized USD). The estimate displayed represents the typical salary range for this position and is just one component of Booz Allen’s total compensation package for employees. This posting will close within 90 days from the Posting Date.
**Identity Statement**
 As part of the application process, you are expected to be on camera during interviews and assessments. We reserve the right to take your picture to verify your identity and prevent fraud.
**Work Model**
 Our people\-first culture prioritizes the benefits of flexibility and collaboration, whether that happens in person or remotely.
* If this position is listed as remote or hybrid, you’ll periodically work from a Booz Allen or client site facility.
* If this position is listed as onsite, you’ll work with colleagues and clients in person, as needed for the specific role.
**Commitment to Non\-Discrimination**
 All qualified applicants will receive consideration for employment without regard to disability, status as a protected veteran or any other status protected by applicable federal, state, local, or international law.</t>
        </is>
      </c>
    </row>
    <row r="89">
      <c r="A89" t="inlineStr">
        <is>
          <t>li-4369100420</t>
        </is>
      </c>
      <c r="B89" t="inlineStr">
        <is>
          <t>Senior Data Engineer</t>
        </is>
      </c>
      <c r="C89" t="inlineStr">
        <is>
          <t>Jobs via Dice</t>
        </is>
      </c>
      <c r="D89" t="inlineStr">
        <is>
          <t>linkedin</t>
        </is>
      </c>
      <c r="E89">
        <f>HYPERLINK("https://www.linkedin.com/jobs/view/4369100420", "https://www.linkedin.com/jobs/view/4369100420")</f>
        <v/>
      </c>
      <c r="F89" t="inlineStr"/>
      <c r="G89" t="inlineStr">
        <is>
          <t>Rochester, MN</t>
        </is>
      </c>
      <c r="H89" t="inlineStr"/>
      <c r="I89" t="inlineStr">
        <is>
          <t>**Job Description**
 The Radiology Analytics team is seeking a technically skilled and highly motivated professional to help design, build, and advance the data and analytics ecosystem supporting the Department of Radiology. This role will focus on developing reliable, high\-performance data pipelines and platforms that transform complex clinical and operational data into trusted, analytics\-ready assets. These datasets will support operational insights and advanced reporting, and serve as a foundation for AI and machine learning initiatives, including predictive and capacity\-planning use cases. Serving as a critical bridge between IT and Radiology, this position offers a unique opportunity to deliver solutions that directly enhance efficiency, innovation, and patient care.
 The successful candidate will design, build, and operate scalable, production\-grade data pipelines and integrations that support analytics and machine learning solutions. This role is responsible for developing and maintaining reliable data ingestion, processing, and storage workflows using platforms such as Microsoft Fabric, with a focus on data quality, performance, and operational stability. The position requires a strong understanding of enterprise data architectures and tooling, along with the ability to exercise independent technical judgment. The role will collaborate with data scientists, data analysts, and IT partners to engineer clinical and operational data into trusted, analytics\- and model\-ready datasets that support advanced analytics, AI development, and data\-driven decision\-making across Radiology.
 May be required to provide 24/7 call support.
 During the selection process you may participate in an OnDemand (pre\-recorded) interview that you can complete at your convenience. During the OnDemand interview, a question will appear on your screen, and you will have time to consider each question before responding. You will have the opportunity to re\-record your answer to each question \- Mayo Clinic will only see the final recording. The complete interview will be reviewed by a Mayo Clinic staff member and you will be notified of next steps.
 A Codility exam will be required as part of the interview screening process for this position.
**This vacancy is not eligible for sponsorship/we will not sponsor or transfer visas for this position. Also, Mayo Clinic DOES NOT participate in the F\-1 STEM OPT extension program.**
**Qualifications**
 A Bachelor's degree in a relevant field such as engineering, mathematics, computer science, information technology, health science, or other analytical/quantitative field and a minimum of five years of professional or research experience in data visualization, data engineering, analytical modeling techniques; OR an Associate's degree in a relevant field such as engineering, mathematics, computer science, information technology, health science, or other analytical/quantitative field and a minimum of seven years of professional or research experience in data visualization, data engineering, analytical modeling techniques. In\-depth business or practice knowledge will also be considered.
 Incumbent must have the ability to manage a varied workload of projects with multiple priorities and stay current on healthcare trends and enterprise changes. Interpersonal skills, time management skills, and demonstrated experience working on cross functional teams are required.
 Requires strong analytical skills and the ability to identify and recommend solutions and a commitment to customer service.
 The position requires excellent verbal and written communication skills, attention to detail, and a high capacity for learning and problem resolution.
 Advanced experience in SQL is required. Strong Experience in scripting languages such as Python, JavaScript, PHP, C\+\+ or Java \&amp; API integration is required. Experience in hybrid data processing methods (batch and streaming) such as Apache Spark, Hive, Pig, Kafka is required. Experience with big data, statistics, and machine learning is required.
 The ability to navigate linux and windows operating systems is required.
 Knowledge of workflow scheduling (Apache Airflow Google Composer), Infrastructure as code (Kubernetes, Docker) CI/CD (Jenkins, Github Actions) is preferred. Experience in DataOps/DevOps and agile methodologies is preferred.
 Experience with hybrid data virtualization such as Denodo is preferred.
 Working knowledge of Tableau, Power BI, SAS, ThoughtSpot, DASH, d3, React, Snowflake, SSIS, and Google Big Query is preferred.
**License or Certification:**
 Google Cloud Platform (Google Cloud Platform) certification is preferred.
**About Us**
**Why Mayo Clinic**
 Mayo Clinic is top\-ranked in more specialties than any other care provider according to U.S. News \&amp; World Report. As we work together to put the needs of the patient first, we are also dedicated to our employees, investing in competitive compensation and comprehensive benefit plans \- to take care of you and your family, now and in the future. And with continuing education and advancement opportunities at every turn, you can build a long, successful career with Mayo Clinic.
**Benefits Highlights**
* Medical: Multiple plan options.
* Dental: Delta Dental or reimbursement account for flexible coverage.
* Vision: Affordable plan with national network.
* Pre\-Tax Savings: HSA and FSAs for eligible expenses.
* Retirement: Competitive retirement package to secure your future.
**About The Team**
 Just as our reputation has spread beyond our Minnesota roots, so have our locations. Today, our employees are located at our three major campuses in Phoenix/Scottsdale, Arizona, Jacksonville, Florida, Rochester, Minnesota, and at Mayo Clinic Health System campuses throughout Midwestern communities, and at our international locations. Each Mayo Clinic location is a special place where our employees thrive in both their work and personal lives. Learn more about what each unique Mayo Clinic campus has to offer, and where your best fit is.
**Equal Opportunity**
 All qualified applicants will receive consideration for employment without regard to race, color, religion, sex, gender identity, sexual orientation, national origin, protected veteran status or disability status. Learn more about the "EOE is the Law". Mayo Clinic participates in E\-Verify and may provide the Social Security Administration and, if necessary, the Department of Homeland Security with information from each new employee's Form I\-9 to confirm work authorization.</t>
        </is>
      </c>
    </row>
    <row r="90">
      <c r="A90" t="inlineStr">
        <is>
          <t>li-4318199163</t>
        </is>
      </c>
      <c r="B90" t="inlineStr">
        <is>
          <t>AI Data Engineering Manager</t>
        </is>
      </c>
      <c r="C90" t="inlineStr">
        <is>
          <t>Crowe</t>
        </is>
      </c>
      <c r="D90" t="inlineStr">
        <is>
          <t>linkedin</t>
        </is>
      </c>
      <c r="E90">
        <f>HYPERLINK("https://www.linkedin.com/jobs/view/4318199163", "https://www.linkedin.com/jobs/view/4318199163")</f>
        <v/>
      </c>
      <c r="F90">
        <f>HYPERLINK("https://careers.crowe.com/job/CROCROUSR49309EXTERNALENUS/AI-Data-Engineering-Manager?utm_source=linkedin&amp;utm_medium=phenom-feeds&amp;urlHash=nF35", "https://careers.crowe.com/job/CROCROUSR49309EXTERNALENUS/AI-Data-Engineering-Manager?utm_source=linkedin&amp;utm_medium=phenom-feeds&amp;urlHash=nF35")</f>
        <v/>
      </c>
      <c r="G90" t="inlineStr">
        <is>
          <t>San Francisco, CA</t>
        </is>
      </c>
      <c r="H90" t="inlineStr"/>
      <c r="I90" t="inlineStr">
        <is>
          <t>**Your Journey at Crowe Starts Here:**
 At Crowe, you can build a meaningful and rewarding career. With real flexibility to balance work with life moments, you’re trusted to deliver results and make an impact. We embrace you for who you are, care for your well\-being, and nurture your career. Everyone has equitable access to opportunities for career growth and leadership. Over our 80\-year history, delivering excellent service through innovation has been a core part of our DNA across our audit, tax, and consulting groups. That’s why we continuously invest in innovative ideas, such as AI\-enabled insights and technology\-powered solutions, to enhance our services. Join us at Crowe and embark on a career where you can help shape the future of our industry.
**Job Description:**
**About Crowe AI Transformation**
 Everything we do is about making the future of human work more purposeful. We do this by leveraging state\-of\-the\-art technologies, modern architectures, and industry experts to create AI\-powered solutions that transform the way our clients do business.
 The new AI Transformation team will build on Crowe’s established AI foundation, furthering the capabilities of our Applied AI / Machine Learning team. By combining Generative AI, Machine Learning and Software Engineering, this team empowers Crowe clients to transform their business models through AI, irrespective of their current AI adoption stage.
 As a member of AI Transformation, you will help distinguish Crowe in the market and drive the firm’s technology and innovation strategy. The future is powered by AI, come build it with us.
**About The Team**
* We invest in expertise. You’ll have the time, space, and support to go deep in your projects and build lasting technical and strategic mastery. You’ll work with developers, product stakeholders, and project managers as a trusted leader and domain expert.
* We believe in continuous growth. Our team is committed to professional development and knowledge\-sharing.
* We protect balance. Our distributed team culture is grounded in trust and flexibility. We offer unlimited PTO, a flexible remote work policy, and a supportive environment that prioritizes sustainable, long\-term performance.
**About The Role**
* Design, develop, and maintain robust data pipelines and ETL processes that enable the seamless integration, cleansing, harmonization, and transformation of data.
* Collaborate closely with data scientists, analysts, and software engineers to implement data\-driven AI solutions that align with strategic business objectives.
* Leverage advanced tools and platforms including Azure Data Factory, Power BI, and SQL databases to build scalable data solutions.
* Implement and maintain data fabric architectures to ensure streamlined data access, efficient management, and enhanced performance.
* Proactively identify opportunities for data optimization, quality improvement, and automation across the data lifecycle.
* Facilitate the deployment and integration of AI models, ensuring data quality and compatibility with established analytics infrastructure.
* Engage regularly with cross\-functional stakeholders to understand data needs and deliver timely, impactful analytics and reports.
**Required Skills And Experience**
* Minimum of 7 years of experience in data engineering, ETL development, and data pipeline creation.
* Strong proficiency in SQL, Azure Data Factory, and Power BI.
* Demonstrated expertise in data cleaning, harmonization techniques, and managing complex data integrations.
* Solid understanding of data fabric concepts and experience with related implementations.
* Hands\-on experience developing and maintaining large\-scale data pipelines for AI and analytics projects.
* Excellent communication skills with the ability to translate complex data concepts clearly to non\-technical stakeholders.
* Proven track record of collaborating effectively in agile, cross\-functional team environments.
* Would require readiness to travel domestically approximately 80% of the time to meet client needs.
* Proven experience in team leadership, mentorship, or people management
* Experience guiding projects or initiatives that showcase senior\-level judgment and accountability
- 
**Preferred Skills**
* Experience deploying and managing data solutions within Azure AI, Azure ML, or related AI/ML environments.
* Familiarity with DevOps practices, especially in relation to continuous integration and deployment (CI/CD) for data solutions.
* Certifications in Azure Data Engineering or related Microsoft certifications (e.g., Azure Data Engineer Associate).
* Strong background or experience in business analytics, enhancing the strategic alignment of technical solutions.
* Active participation or interest in data engineering and AI communities, keeping ahead of emerging trends and technologies.
* Previous experience working within professional services or consultancy environments.
 We expect the candidate to uphold Crowe’s values of Care, Trust, Courage, and Stewardship. These values define who we are. We expect all of our people to act ethically and with integrity at all times.
 The application deadline for this role is 03/31/2026\.
 In compliance with federal law, all persons hired will be required to verify identity and eligibility to work in the United States and to complete the required employment eligibility verification form upon hire. Crowe is not sponsoring for work authorization at this time.
 The wage range for this role takes into account the wide range of factors that are considered in making compensation decisions including but not limited to skill sets; experience and training; licensure and certifications; and other business and organizational needs. The disclosed range estimate has not been adjusted for the applicable geographic differential associated with the location at which the position may be filled. At Crowe, it is not typical for an individual to be hired at or near the top of the range for their role and compensation decisions are dependent on the facts and circumstances of each case. A reasonable estimate of the current range is $102,400\.00 \- $204,100\.00 per year.
**Our Benefits:**
 Your exceptional people experience starts here. At Crowe, we know that great people are what makes a great firm. We care about our people and offer employees a comprehensive total rewards package. Learn more about what working at Crowe can mean for you!
**How You Can Grow:**
 We will nurture your talent in an inclusive culture that values diversity. You will have the chance to meet on a consistent basis with your Career Coach that will guide you in your career goals and aspirations. Learn more about where talent can prosper!
**More about Crowe:**
 Crowe (www.crowe.com) is one of the largest public accounting, consulting and technology firms in the United States. Crowe uses its deep industry expertise to provide audit services to public and private entities while also helping clients reach their goals with tax, advisory, risk and performance services. Crowe is recognized by many organizations as one of the country's best places to work. Crowe serves clients worldwide as an independent member of Crowe Global, one of the largest global accounting networks in the world. The network consists of more than 200 independent accounting and advisory services firms in more than 130 countries around the world.
 Crowe LLP provides equal employment opportunities to all employees and applicants for employment and prohibits discrimination and harassment of any type without regard to race, color, religion, age, sex, sexual orientation, gender identity or expression, genetics, national origin, disability or protected veteran status, or any other characteristic protected by federal, state or local laws.
 Crowe LLP does not accept unsolicited candidates, referrals or resumes from any staffing agency, recruiting service, sourcing entity or any other third\-party paid service at any time. Any referrals, resumes or candidates submitted to Crowe, or any employee or owner of Crowe without a pre\-existing agreement signed by both parties covering the submission will be considered the property of Crowe, and free of charge.
 Crowe will consider for employment all qualified applicants, including those with criminal histories, in a manner consistent with the requirements of applicable state and local laws, including the City of Los Angeles’ Fair Chance Initiative for Hiring Ordinance, Los Angeles County Fair Chance Ordinance, San Francisco Fair Chance Ordinance, and the California Fair Chance Act.
 Please visit our webpage to see notices of the various state and local Ban\-the\-Box laws and Fair Chance Ordinances, where applicable.
 If you are interested in applying for employment with Crowe and are in need of an accommodation or require special assistance to navigate our website or to complete your application, please visit our Applicant Assistance and Accommodations page for more information: https://careers.crowe.com/crowe\-applicant\-assistance\-and\-accommodation</t>
        </is>
      </c>
    </row>
    <row r="91">
      <c r="A91" t="inlineStr">
        <is>
          <t>li-4318178977</t>
        </is>
      </c>
      <c r="B91" t="inlineStr">
        <is>
          <t>AI Data Engineering Manager</t>
        </is>
      </c>
      <c r="C91" t="inlineStr">
        <is>
          <t>Crowe</t>
        </is>
      </c>
      <c r="D91" t="inlineStr">
        <is>
          <t>linkedin</t>
        </is>
      </c>
      <c r="E91">
        <f>HYPERLINK("https://www.linkedin.com/jobs/view/4318178977", "https://www.linkedin.com/jobs/view/4318178977")</f>
        <v/>
      </c>
      <c r="F91" t="inlineStr"/>
      <c r="G91" t="inlineStr">
        <is>
          <t>Boston, MA</t>
        </is>
      </c>
      <c r="H91" t="inlineStr"/>
      <c r="I91" t="inlineStr">
        <is>
          <t>**Your Journey at Crowe Starts Here:**
 At Crowe, you can build a meaningful and rewarding career. With real flexibility to balance work with life moments, you’re trusted to deliver results and make an impact. We embrace you for who you are, care for your well\-being, and nurture your career. Everyone has equitable access to opportunities for career growth and leadership. Over our 80\-year history, delivering excellent service through innovation has been a core part of our DNA across our audit, tax, and consulting groups. That’s why we continuously invest in innovative ideas, such as AI\-enabled insights and technology\-powered solutions, to enhance our services. Join us at Crowe and embark on a career where you can help shape the future of our industry.
**Job Description:**
**About Crowe AI Transformation**
 Everything we do is about making the future of human work more purposeful. We do this by leveraging state\-of\-the\-art technologies, modern architectures, and industry experts to create AI\-powered solutions that transform the way our clients do business.
 The new AI Transformation team will build on Crowe’s established AI foundation, furthering the capabilities of our Applied AI / Machine Learning team. By combining Generative AI, Machine Learning and Software Engineering, this team empowers Crowe clients to transform their business models through AI, irrespective of their current AI adoption stage.
 As a member of AI Transformation, you will help distinguish Crowe in the market and drive the firm’s technology and innovation strategy. The future is powered by AI, come build it with us.
**About The Team**
* We invest in expertise. You’ll have the time, space, and support to go deep in your projects and build lasting technical and strategic mastery. You’ll work with developers, product stakeholders, and project managers as a trusted leader and domain expert.
* We believe in continuous growth. Our team is committed to professional development and knowledge\-sharing.
* We protect balance. Our distributed team culture is grounded in trust and flexibility. We offer unlimited PTO, a flexible remote work policy, and a supportive environment that prioritizes sustainable, long\-term performance.
**About The Role**
* Design, develop, and maintain robust data pipelines and ETL processes that enable the seamless integration, cleansing, harmonization, and transformation of data.
* Collaborate closely with data scientists, analysts, and software engineers to implement data\-driven AI solutions that align with strategic business objectives.
* Leverage advanced tools and platforms including Azure Data Factory, Power BI, and SQL databases to build scalable data solutions.
* Implement and maintain data fabric architectures to ensure streamlined data access, efficient management, and enhanced performance.
* Proactively identify opportunities for data optimization, quality improvement, and automation across the data lifecycle.
* Facilitate the deployment and integration of AI models, ensuring data quality and compatibility with established analytics infrastructure.
* Engage regularly with cross\-functional stakeholders to understand data needs and deliver timely, impactful analytics and reports.
**Required Skills And Experience**
* Minimum of 7 years of experience in data engineering, ETL development, and data pipeline creation.
* Strong proficiency in SQL, Azure Data Factory, and Power BI.
* Demonstrated expertise in data cleaning, harmonization techniques, and managing complex data integrations.
* Solid understanding of data fabric concepts and experience with related implementations.
* Hands\-on experience developing and maintaining large\-scale data pipelines for AI and analytics projects.
* Excellent communication skills with the ability to translate complex data concepts clearly to non\-technical stakeholders.
* Proven track record of collaborating effectively in agile, cross\-functional team environments.
* Would require readiness to travel domestically approximately 80% of the time to meet client needs.
* Proven experience in team leadership, mentorship, or people management
* Experience guiding projects or initiatives that showcase senior\-level judgment and accountability
- 
**Preferred Skills**
* Experience deploying and managing data solutions within Azure AI, Azure ML, or related AI/ML environments.
* Familiarity with DevOps practices, especially in relation to continuous integration and deployment (CI/CD) for data solutions.
* Certifications in Azure Data Engineering or related Microsoft certifications (e.g., Azure Data Engineer Associate).
* Strong background or experience in business analytics, enhancing the strategic alignment of technical solutions.
* Active participation or interest in data engineering and AI communities, keeping ahead of emerging trends and technologies.
* Previous experience working within professional services or consultancy environments.
 We expect the candidate to uphold Crowe’s values of Care, Trust, Courage, and Stewardship. These values define who we are. We expect all of our people to act ethically and with integrity at all times.
 The application deadline for this role is 03/31/2026\.
 In compliance with federal law, all persons hired will be required to verify identity and eligibility to work in the United States and to complete the required employment eligibility verification form upon hire. Crowe is not sponsoring for work authorization at this time.
 The wage range for this role takes into account the wide range of factors that are considered in making compensation decisions including but not limited to skill sets; experience and training; licensure and certifications; and other business and organizational needs. The disclosed range estimate has not been adjusted for the applicable geographic differential associated with the location at which the position may be filled. At Crowe, it is not typical for an individual to be hired at or near the top of the range for their role and compensation decisions are dependent on the facts and circumstances of each case. A reasonable estimate of the current range is $102,400\.00 \- $204,100\.00 per year.
**Our Benefits:**
 Your exceptional people experience starts here. At Crowe, we know that great people are what makes a great firm. We care about our people and offer employees a comprehensive total rewards package. Learn more about what working at Crowe can mean for you!
**How You Can Grow:**
 We will nurture your talent in an inclusive culture that values diversity. You will have the chance to meet on a consistent basis with your Career Coach that will guide you in your career goals and aspirations. Learn more about where talent can prosper!
**More about Crowe:**
 Crowe (www.crowe.com) is one of the largest public accounting, consulting and technology firms in the United States. Crowe uses its deep industry expertise to provide audit services to public and private entities while also helping clients reach their goals with tax, advisory, risk and performance services. Crowe is recognized by many organizations as one of the country's best places to work. Crowe serves clients worldwide as an independent member of Crowe Global, one of the largest global accounting networks in the world. The network consists of more than 200 independent accounting and advisory services firms in more than 130 countries around the world.
 Crowe LLP provides equal employment opportunities to all employees and applicants for employment and prohibits discrimination and harassment of any type without regard to race, color, religion, age, sex, sexual orientation, gender identity or expression, genetics, national origin, disability or protected veteran status, or any other characteristic protected by federal, state or local laws.
 Crowe LLP does not accept unsolicited candidates, referrals or resumes from any staffing agency, recruiting service, sourcing entity or any other third\-party paid service at any time. Any referrals, resumes or candidates submitted to Crowe, or any employee or owner of Crowe without a pre\-existing agreement signed by both parties covering the submission will be considered the property of Crowe, and free of charge.
 Crowe will consider for employment all qualified applicants, including those with criminal histories, in a manner consistent with the requirements of applicable state and local laws, including the City of Los Angeles’ Fair Chance Initiative for Hiring Ordinance, Los Angeles County Fair Chance Ordinance, San Francisco Fair Chance Ordinance, and the California Fair Chance Act.
 Please visit our webpage to see notices of the various state and local Ban\-the\-Box laws and Fair Chance Ordinances, where applicable.
 If you are interested in applying for employment with Crowe and are in need of an accommodation or require special assistance to navigate our website or to complete your application, please visit our Applicant Assistance and Accommodations page for more information: https://careers.crowe.com/crowe\-applicant\-assistance\-and\-accommodation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2026-02-05T15:24:52Z</dcterms:created>
  <dcterms:modified xsi:type="dcterms:W3CDTF">2026-02-05T15:24:52Z</dcterms:modified>
</cp:coreProperties>
</file>