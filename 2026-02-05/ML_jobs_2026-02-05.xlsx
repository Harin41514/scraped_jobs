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ed" sheetId="1" state="visible" r:id="rId1"/>
    <sheet name="linkedin" sheetId="2" state="visible" r:id="rId2"/>
  </sheets>
  <definedNames/>
  <calcPr calcId="124519" fullCalcOnLoad="1"/>
</workbook>
</file>

<file path=xl/styles.xml><?xml version="1.0" encoding="utf-8"?>
<styleSheet xmlns="http://schemas.openxmlformats.org/spreadsheetml/2006/main">
  <numFmts count="4">
    <numFmt numFmtId="164" formatCode="yyyy-mm-dd h:mm:ss"/>
    <numFmt numFmtId="165" formatCode="YYYY-MM-DD HH:MM:SS"/>
    <numFmt numFmtId="166" formatCode="yyyy-mm-dd"/>
    <numFmt numFmtId="167" formatCode="YYYY-MM-DD"/>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4">
    <xf numFmtId="0" fontId="0" fillId="0" borderId="0" pivotButton="0" quotePrefix="0" xfId="0"/>
    <xf numFmtId="0" fontId="1" fillId="0" borderId="1" applyAlignment="1" pivotButton="0" quotePrefix="0" xfId="0">
      <alignment horizontal="center" vertical="top"/>
    </xf>
    <xf numFmtId="165" fontId="0" fillId="0" borderId="0" pivotButton="0" quotePrefix="0" xfId="0"/>
    <xf numFmtId="167"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8"/>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in-dd6ff76ac9f49660</t>
        </is>
      </c>
      <c r="B2" t="inlineStr">
        <is>
          <t>Senior GenAI Engineer/Data Scientist / Remote</t>
        </is>
      </c>
      <c r="C2" t="inlineStr">
        <is>
          <t>Molina Healthcare</t>
        </is>
      </c>
      <c r="D2" t="inlineStr">
        <is>
          <t>indeed</t>
        </is>
      </c>
      <c r="E2" t="inlineStr"/>
      <c r="F2" t="inlineStr"/>
      <c r="G2" t="inlineStr">
        <is>
          <t>AZ, US</t>
        </is>
      </c>
      <c r="H2" s="2" t="n">
        <v>46057</v>
      </c>
      <c r="I2" t="inlineStr">
        <is>
          <t>Job Description
Job Summary
We are seeking a highly skilled GenAI / Agentic AI Engineer to design, build, and deploy autonomous, LLM\-powered systems that solve complex business problems at scale. This role focuses on agentic workflows, retrieval\-augmented generation (RAG), tool orchestration, evaluation, and production deployment of GenAI systems.
You will work at the intersection of LLMs, systems engineering, and applied ML, building intelligent agents that reason, plan, interact with tools, and operate reliably in real\-world environments—particularly across regulated domains such as healthcare.
Job Duties
Agentic AI \&amp; GenAI System Development
Design, build, and deploy agentic AI systems using LLMs, tools, memory, and planning frameworks.
Implement multi\-agent and single\-agent workflows for autonomous task execution, decision support, and orchestration.
Develop tool\-using agents (function calling, structured outputs, APIs, databases, workflows).
Retrieval\-Augmented Generation (RAG)
Design and optimize RAG pipelines, including document ingestion, chunking strategies, embeddings, vector stores, and retrieval ranking.
Implement advanced retrieval techniques (hybrid search, metadata filtering, re\-ranking, query rewriting).
Evaluate and tune RAG systems for accuracy, latency, grounding, and hallucination reduction.
Model Adaptation \&amp; Optimization
Fine\-tune and adapt foundation models (instruction tuning, LoRA, adapters) for domain\-specific use cases.
Optimize prompts, schemas, and system instructions for reliability and determinism.
Apply reinforcement or feedback\-driven optimization where applicable (human or automated eval loops).
Evaluation, Monitoring \&amp; Governance
Define evaluation frameworks for GenAI systems, including task success, factuality, grounding, latency, and cost.
Build monitoring and observability for agent behavior, tool calls, and failure modes.
Partner with governance and risk teams to ensure responsible AI practices, traceability, and compliance.
Production Deployment \&amp; MLOps for GenAI
Deploy GenAI and agentic systems into production using cloud\-native architectures.
Implement CI/CD, versioning, rollback, and runtime safeguards for LLM applications.
Optimize systems for performance, cost efficiency, and scalability.
Collaboration \&amp; Leadership
Collaborate closely with software engineers, product managers, data scientists, and business stakeholders.
Translate ambiguous business problems into well\-structured agentic solutions.
Mentor junior engineers and contribute to GenAI best practices and internal standards.
**Job Qualifications:**  
Technical Skills
Strong Python proficiency and experience building production\-grade services.
Deep understanding of LLMs and foundation models (GPT, Claude, Llama, etc.).
Hands\-on experience with agent frameworks (e.g., LangGraph, Semantic Kernel, DSPy, AutoGen, CrewAI, custom frameworks).
Strong knowledge of RAG architectures, vector databases, and embedding models.
Experience with structured outputs, function calling, JSON schemas, and tool orchestration.
Familiarity with LLM evaluation techniques and failure mode analysis.
Experience with APIs, microservices, and distributed systems.
Problem Solving \&amp; Communication
Strong analytical thinking and ability to structure ambiguous problems.
Ability to explain complex GenAI concepts to both technical and non\-technical audiences.
Proven ability to work cross\-functionally in fast\-moving environments.
**REQUIRED EDUCATION:**  
Master’s Degree in Computer Science, Data Science, Statistics, or a related field
**REQUIRED EXPERIENCE/KNOWLEDGE, SKILLS \&amp; ABILITIES:**  
* 6 plus years work experience as a data scientist preferably in healthcare environment but candidates with suitable experience in other industries will be considered
* Knowledge of big data technologies (e.g., Hadoop, Spark)
* Familiar with relational database concepts, and SDLC concepts
* Demonstrate critical thinking and the ability to bring order to unstructured problems
* Technical Proficiency: Strong programming skills in languages such as Python and R, and experience with machine learning frameworks like TensorFlow, Keras, or PyTorch.
* Statistical Analysis: Excellent understanding of statistical methods and machine learning algorithms, including k\-NN, Naive Bayes, SVM, and neural networks.
* Experience with Agentic Workflows: Familiarity with designing and implementing agentic workflows that leverage AI agents for autonomous operations.
* RAG Techniques: Knowledge of retrieval\-augmented generation techniques and their application in enhancing AI model outputs.
* Model Fine\-Tuning Expertise: Proven experience in fine\-tuning models for specific tasks, ensuring they meet the required performance metrics.
* Data Visualization: Proficiency in data visualization tools (e.g., Tableau, Power BI) to present complex data insights effectively.
* Database Management: Experience with SQL and NoSQL databases, data warehousing, and ETL processes.
* Problem\-Solving Skills: Strong analytical and problem\-solving abilities, with a focus on developing innovative solutions to complex challenges.
**PREFERRED EXPERIENCE:**  
Hands\-on experience building and deploying GenAI / LLM\-based systems.
Experience working in regulated industries (healthcare, finance, insurance).
Hands\-on experience with cloud GenAI platforms (Azure AI Studio / Foundry, Databricks, Snowflake Cortex).
Experience with observability and governance tools for GenAI systems.
Familiarity with NLP, document intelligence, or multimodal AI.
PhD or equivalent advanced research experience is a plus.
Proven experience designing agentic workflows, not just prompt\-based applications.
**To all current Molina employees:** If you are interested in applying for this position, please apply through the intranet job listing.
Molina Healthcare offers a competitive benefits and compensation package. Molina Healthcare is an Equal Opportunity Employer (EOE) M/F/D/V.
**Pay Range:** $107,028 \- $250,446 / ANNUAL
* Actual compensation may vary from posting based on geographic location, work experience, education and/or skill level.</t>
        </is>
      </c>
    </row>
    <row r="3">
      <c r="A3" t="inlineStr">
        <is>
          <t>in-9896bd5edee12e0a</t>
        </is>
      </c>
      <c r="B3" t="inlineStr">
        <is>
          <t>Senior Lead AI Engineer (Gen AI Platform Services, Agentic AI)</t>
        </is>
      </c>
      <c r="C3" t="inlineStr">
        <is>
          <t>Capital One</t>
        </is>
      </c>
      <c r="D3" t="inlineStr">
        <is>
          <t>indeed</t>
        </is>
      </c>
      <c r="E3" t="inlineStr"/>
      <c r="F3" t="inlineStr"/>
      <c r="G3" t="inlineStr">
        <is>
          <t>San Jose, CA, US</t>
        </is>
      </c>
      <c r="H3" s="2" t="n">
        <v>46056</v>
      </c>
      <c r="I3" t="inlineStr">
        <is>
          <t>Senior Lead AI Engineer (Gen AI Platform Services, Agentic AI)**Overview:**
At Capital One, we are creating responsible and reliable AI systems, changing banking for good. For years, Capital One has been an industry leader in using machine learning to create real\-time, personalized customer experiences. Our investments in technology infrastructure and world\-class talent — along with our deep experience in machine learning — position us to be at the forefront of enterprises leveraging AI. From informing customers about unusual charges to answering their questions in real time, our applications of AI \&amp; ML are bringing humanity and simplicity to banking. We are committed to continuing to build world\-class applied science and engineering teams to deliver our industry leading capabilities with breakthrough product experiences and scalable, high\-performance AI infrastructure. At Capital One, you will help bring the transformative power of emerging AI capabilities to reimagine how we serve our customers and businesses who have come to love the products and services we build.
**Team Description:**
The Intelligent Foundations and Experiences (IFX) team is at the center of bringing our vision for AI at Capital One to life. We work hand\-in\-hand with our partners across the company to advance the state of the art in science and AI engineering, and we build and deploy proprietary solutions that are central to our business and deliver value to millions of customers. Our AI models and platforms empower teams across Capital One to enhance their products with the transformative power of AI, in responsible and scalable ways for the highest leverage impact.
 **In this role, you will:**
* Partner with a cross\-functional team of engineers, research scientists, technical program managers, and product managers to deliver AI\-powered products that change how our associates work and how our customers interact with Capital One.
* Design, develop, test, deploy, and support AI software components including foundation model training, large language model inference, similarity search, guardrails, model evaluation, experimentation, governance, and observability, etc.
* Leverage a broad stack of Open Source and SaaS AI technologies such as AWS Ultraclusters, Huggingface, VectorDBs, Nemo Guardrails, PyTorch, and more.
* Invent and introduce state\-of\-the\-art LLM optimization techniques to improve the performance — scalability, cost, latency, throughput — of large scale production AI systems.
* Contribute to the technical vision and the long term roadmap of foundational AI systems at Capital One.
**The Ideal Candidate:**
* You love to build systems, take pride in the quality of your work, and also share our passion to do the right thing. You want to work on problems that will help change banking for good.
* Passion for staying abreast of the latest research, and an ability to intuitively understand scientific publications and judiciously apply novel techniques in production.
* You adapt quickly and thrive on bringing clarity to big, undefined problems. You love asking questions and digging deep to uncover the root of problems and can articulate your findings concisely with clarity. You have the courage to share new ideas even when they are unproven.
* You are deeply Technical. You possess a strong foundation in engineering and mathematics, and your expertise in hardware, software, and AI enable you to see and exploit optimization opportunities that others miss.
* You are a resilient trail blazer who can forge new paths to achieve business goals when the route is unknown.
**Basic Qualifications:**
* Bachelor's degree in Computer Science, AI, Electrical Engineering, Computer Engineering, or related fields plus at least 6 years of experience developing AI and ML algorithms or technologies, or a Master's degree in Computer Science, AI, Electrical Engineering, Computer Engineering, or related fields plus at least 4 years of experience developing AI and ML algorithms or technologies
* At least 6 years of experience programming with Python, Go, Scala, or Java
**Preferred Qualifications:**
* 7 years of experience deploying scalable and responsible AI solutions on cloud platforms (e.g. AWS, Google Cloud, Azure, or equivalent private cloud)
* Experience designing, developing, integrating, delivering, and supporting complex AI systems
* Demonstrated ability to lead and mentor an engineering team and influence cross\-functional stakeholders
* Experience developing AI and ML algorithms or technologies (e.g. LLM Inference, Similarity Search and VectorDBs, Guardrails, Memory) using Python, C\+\+, C\#, Java, or Golang
* Experience developing and applying state\-of\-the\-art techniques for optimizing training and inference software to improve hardware utilization, latency, throughput, and cost
* Passion for staying abreast of the latest AI research and AI systems, and judiciously apply novel techniques in production
* Excellent communication and presentation skills, with the ability to articulate complex AI concepts to peers
*Capital One will consider sponsoring a new qualified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Cambridge, MA: $229,900 \- $262,400 for Sr. Lead AI Engineer  
McLean, VA: $229,900 \- $262,400 for Sr. Lead AI Engineer  
New York, NY: $250,800 \- $286,200 for Sr. Lead AI Engineer  
San Jose, CA: $250,800 \- $286,200 for Sr. Lead AI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4">
      <c r="A4" t="inlineStr">
        <is>
          <t>in-fa4d95dc9edb11d3</t>
        </is>
      </c>
      <c r="B4" t="inlineStr">
        <is>
          <t>Senior Lead AI Engineer</t>
        </is>
      </c>
      <c r="C4" t="inlineStr">
        <is>
          <t>Capital One</t>
        </is>
      </c>
      <c r="D4" t="inlineStr">
        <is>
          <t>indeed</t>
        </is>
      </c>
      <c r="E4" t="inlineStr"/>
      <c r="F4" t="inlineStr"/>
      <c r="G4" t="inlineStr">
        <is>
          <t>San Jose, CA, US</t>
        </is>
      </c>
      <c r="H4" s="2" t="n">
        <v>46056</v>
      </c>
      <c r="I4" t="inlineStr">
        <is>
          <t>Senior Lead AI Engineer**Overview:**
At Capital One, we are creating responsible and reliable AI systems, changing banking for good. For years, Capital One has been an industry leader in using machine learning to create real\-time, personalized customer experiences. Our investments in technology infrastructure and world\-class talent — along with our deep experience in machine learning — position us to be at the forefront of enterprises leveraging AI. From informing customers about unusual charges to answering their questions in real time, our applications of AI \&amp; ML are bringing humanity and simplicity to banking. We are committed to continuing to build world\-class applied science and engineering teams to deliver our industry leading capabilities with breakthrough product experiences and scalable, high\-performance AI infrastructure. At Capital One, you will help bring the transformative power of emerging AI capabilities to reimagine how we serve our customers and businesses who have come to love the products and services we build.
**Team Description:**
The Intelligent Foundations and Experiences (IFX) team is at the center of bringing our vision for AI at Capital One to life. We work hand\-in\-hand with our partners across the company to advance the state of the art in science and AI engineering, and we build and deploy proprietary solutions that are central to our business and deliver value to millions of customers. Our AI models and platforms empower teams across Capital One to enhance their products with the transformative power of AI, in responsible and scalable ways for the highest leverage impact.
 **In this role, you will:**
* Partner with a cross\-functional team of engineers, research scientists, technical program managers, and product managers to deliver AI\-powered products that change how our associates work and how our customers interact with Capital One.
* Design, develop, test, deploy, and support AI software components including foundation model training, large language model inference, similarity search, guardrails, model evaluation, experimentation, governance, and observability, etc.
* Leverage a broad stack of Open Source and SaaS AI technologies such as AWS Ultraclusters, Huggingface, VectorDBs, Nemo Guardrails, PyTorch, and more.
* Invent and introduce state\-of\-the\-art LLM optimization techniques to improve the performance — scalability, cost, latency, throughput — of large scale production AI systems.
* Contribute to the technical vision and the long term roadmap of foundational AI systems at Capital One.
**The Ideal Candidate:**
* You love to build systems, take pride in the quality of your work, and also share our passion to do the right thing. You want to work on problems that will help change banking for good.
* Passion for staying abreast of the latest research, and an ability to intuitively understand scientific publications and judiciously apply novel techniques in production.
* You adapt quickly and thrive on bringing clarity to big, undefined problems. You love asking questions and digging deep to uncover the root of problems and can articulate your findings concisely with clarity. You have the courage to share new ideas even when they are unproven.
* You are deeply Technical. You possess a strong foundation in engineering and mathematics, and your expertise in hardware, software, and AI enable you to see and exploit optimization opportunities that others miss.
* You are a resilient trail blazer who can forge new paths to achieve business goals when the route is unknown.
**Basic Qualifications:**
* Bachelor's degree in Computer Science, AI, Electrical Engineering, Computer Engineering, or related fields plus at least 6 years of experience developing AI and ML algorithms or technologies, or a Master's degree in Computer Science, AI, Electrical Engineering, Computer Engineering, or related fields plus at least 4 years of experience developing AI and ML algorithms or technologies
* At least 6 years of experience programming with Python, Go, Scala, or Java
**Preferred Qualifications:**
* 7 years of experience deploying scalable and responsible AI solutions on cloud platforms (e.g. AWS, Google Cloud, Azure, or equivalent private cloud)
* Experience designing, developing, integrating, delivering, and supporting complex AI systems
* Demonstrated ability to lead and mentor an engineering team and influence cross\-functional stakeholders
* Experience developing AI and ML algorithms or technologies (e.g. LLM Inference, Similarity Search and VectorDBs, Guardrails, Memory) using Python, C\+\+, C\#, Java, or Golang
* Experience developing and applying state\-of\-the\-art techniques for optimizing training and inference software to improve hardware utilization, latency, throughput, and cost
* Passion for staying abreast of the latest AI research and AI systems, and judiciously apply novel techniques in production
* Excellent communication and presentation skills, with the ability to articulate complex AI concepts to peers
*Capital One will consider sponsoring a new qualified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McLean, VA: $229,900 \- $262,400 for Sr. Lead AI Engineer  
New York, NY: $250,800 \- $286,200 for Sr. Lead AI Engineer  
San Francisco, CA: $250,800 \- $286,200 for Sr. Lead AI Engineer  
San Jose, CA: $250,800 \- $286,200 for Sr. Lead AI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5">
      <c r="A5" t="inlineStr">
        <is>
          <t>in-cbc94f8c29b49762</t>
        </is>
      </c>
      <c r="B5" t="inlineStr">
        <is>
          <t>Lead AI Engineer (FM Hosting, LLM Inference)</t>
        </is>
      </c>
      <c r="C5" t="inlineStr">
        <is>
          <t>Capital One</t>
        </is>
      </c>
      <c r="D5" t="inlineStr">
        <is>
          <t>indeed</t>
        </is>
      </c>
      <c r="E5" t="inlineStr"/>
      <c r="F5" t="inlineStr"/>
      <c r="G5" t="inlineStr">
        <is>
          <t>New York, NY, US</t>
        </is>
      </c>
      <c r="H5" s="2" t="n">
        <v>46056</v>
      </c>
      <c r="I5" t="inlineStr">
        <is>
          <t>Lead AI Engineer (FM Hosting, LLM Inference)**Overview**
At Capital One, we are creating responsible and reliable AI systems, changing banking for good. For years, Capital One has been an industry leader in using machine learning to create real\-time, personalized customer experiences. Our investments in technology infrastructure and world\-class talent — along with our deep experience in machine learning — position us to be at the forefront of enterprises leveraging AI. From informing customers about unusual charges to answering their questions in real time, our applications of AI \&amp; ML are bringing humanity and simplicity to banking. We are committed to continuing to build world\-class applied science and engineering teams to deliver our industry leading capabilities with breakthrough product experiences and scalable, high\-performance AI infrastructure. At Capital One, you will help bring the transformative power of emerging AI capabilities to reimagine how we serve our customers and businesses who have come to love the products and services we build.
**Team Description:**
The Intelligent Foundations and Experiences (IFX) team is at the center of bringing our vision for AI at Capital One to life. We work hand\-in\-hand with our partners across the company to advance the state of the art in science and AI engineering, and we build and deploy proprietary solutions that are central to our business and deliver value to millions of customers. Our AI models and platforms empower teams across Capital One to enhance their products with the transformative power of AI, in responsible and scalable ways for the highest leverage impact.
 **In this role, you will:**
* Partner with a cross\-functional team of engineers, research scientists, technical program managers, and product managers to deliver AI\-powered products that change how our associates work and how our customers interact with Capital One.
* Design, develop, test, deploy, and support AI software components including foundation model training, large language model inference, similarity search, guardrails, model evaluation, experimentation, governance, and observability, etc.
* Leverage a broad stack of Open Source and SaaS AI technologies such as AWS Ultraclusters, Huggingface, VectorDBs, Nemo Guardrails, PyTorch, and more.
* Invent and introduce state\-of\-the\-art LLM optimization techniques to improve the performance — scalability, cost, latency, throughput — of large scale production AI systems.
* Contribute to the technical vision and the long term roadmap of foundational AI systems at Capital One.
**The Ideal Candidate:**
* You love to build systems, take pride in the quality of your work, and also share our passion to do the right thing. You want to work on problems that will help change banking for good.
* Passion for staying abreast of the latest research, and an ability to intuitively understand scientific publications and judiciously apply novel techniques in production.
* You adapt quickly and thrive on bringing clarity to big, undefined problems. You love asking questions and digging deep to uncover the root of problems and can articulate your findings concisely with clarity. You have the courage to share new ideas even when they are unproven.
* You are deeply Technical. You possess a strong foundation in engineering and mathematics, and your expertise in hardware, software, and AI enable you to see and exploit optimization opportunities that others miss.
* You are a resilient trail blazer who can forge new paths to achieve business goals when the route is unknown.
**Basic Qualifications:**
* Bachelor's degree in Computer Science, AI, Electrical Engineering, Computer Engineering, or related fields plus at least 4 years of experience developing AI and ML algorithms or technologies, or a Master's degree in Computer Science, AI, Electrical Engineering, Computer Engineering, or related fields plus at least 2 years of experience developing AI and ML algorithms or technologies
* At least 4 years of experience programming with Python, Go, Scala, or Java
**Preferred Qualifications:**
* 6 years of experience deploying scalable and responsible AI solutions on cloud platforms (e.g. AWS, Google Cloud, Azure, or equivalent private cloud)
* Experience designing, developing, delivering, and supporting AI services
* Experience developing AI and ML algorithms or technologies (e.g. LLM Inference, Similarity Search and VectorDBs, Guardrails, Memory) using Python, C\+\+, C\#, Java, or Golang
* Experience developing and applying state\-of\-the\-art techniques for optimizing training and inference software to improve hardware utilization, latency, throughput, and cost
* Passion for staying abreast of the latest AI research and AI systems, and judiciously apply novel techniques in production
*Capital One will consider sponsoring a new qualified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Cambridge, MA: $197,300 \- $225,100 for Lead AI Engineer  
McLean, VA: $197,300 \- $225,100 for Lead AI Engineer  
New York, NY: $215,200 \- $245,600 for Lead AI Engineer  
San Jose, CA: $215,200 \- $245,600 for Lead AI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6">
      <c r="A6" t="inlineStr">
        <is>
          <t>in-bdfb5b5ffcaa8455</t>
        </is>
      </c>
      <c r="B6" t="inlineStr">
        <is>
          <t>AI Engineer</t>
        </is>
      </c>
      <c r="C6" t="inlineStr">
        <is>
          <t>Barclays</t>
        </is>
      </c>
      <c r="D6" t="inlineStr">
        <is>
          <t>indeed</t>
        </is>
      </c>
      <c r="E6" t="inlineStr"/>
      <c r="F6" t="inlineStr"/>
      <c r="G6" t="inlineStr">
        <is>
          <t>Whippany, NJ, US</t>
        </is>
      </c>
      <c r="H6" s="2" t="n">
        <v>46056</v>
      </c>
      <c r="I6" t="inlineStr">
        <is>
          <t>Embark on a transformative journey as an AI Engineer. At Barclays, our vision is clear – to redefine the future of banking and help craft innovative solutions. This role anchors the firm’s transition from AI experimentation to AI excellence, connecting advanced AI research with real\-world, enterprise\-scale impact across digital, compliance, and financial transformation initiatives.
To be successful as an AI Engineer, you should have experience with:
* Designing and deploying applied AI and machine learning solutions that move from research into production
* Building and operationalizing LLM\-based systems using frameworks such as LangChain, LlamaIndex, CrewAI, or AutoGen
* Developing AI solutions in Python using modern ML frameworks such as PyTorch or TensorFlow
* Implementing AI systems within enterprise or regulated environments while addressing risk, governance, and controls
* Translating AI capabilities into measurable business outcomes such as revenue growth, risk reduction, or automation
Some other highly valued skills may include:
* Driving adoption of AI platforms, tools, or standards across large organizations
* Partnering across technology, compliance, and business teams to deliver scalable AI solutions
* Measuring and communicating the business impact of deployed AI models
* Contributing to AI strategy, roadmap definition, and best\-practice frameworks
* Mentoring and uplifting AI engineers or researchers within cross\-functional teams
You may be assessed on the key critical skills relevant for success in this role, such as risk and controls, change and transformation, business acumen, strategic thinking, digital and technology, as well as job\-specific technical skills.
This role is located in Whippany, New Jersey.
Minimum Salary: $170,000
Maximum Salary: $230,000
The minimum and maximum salary/rate information above includes only base salary or base hourly rate. It does not include any other type of compensation or benefits that may be available.
Barclays employees are eligible for a suite of competitive and generous employee benefits, including medical, dental and vision coverage, 401(k), life insurance, and other paid leave for qualifying circumstances.
This position is eligible for an incentive award.
**Purpose of the role**
To lead and manage engineering teams, providing technical guidance, mentorship, and support to ensure the delivery of high\-quality software solutions, driving technical excellence, fostering a culture of innovation, and collaborating with cross\-functional teams to align technical decisions with business objectives.
**Accountabilities**
* Lead engineering teams effectively, fostering a collaborative and high\-performance culture to achieve project goals and meet organizational objectives.
* Oversee timelines, team allocation, risk management and task prioritization to ensure the successful delivery of solutions within scope, time, and budget.
* Mentor and support team members' professional growth, conduct performance reviews, provide actionable feedback, and identify opportunities for improvement.
* Evaluation and enhancement of engineering processes, tools, and methodologies to increase efficiency, streamline workflows, and optimize team productivity.
* Collaboration with business partners, product managers, designers, and other stakeholders to translate business requirements into technical solutions and ensure a cohesive approach to product development.
* Enforcement of technology standards, facilitate peer reviews, and implement robust testing practices to ensure the delivery of high\-quality solutions.
**Vice President Expectations**
* To contribute or set strategy, drive requirements and make recommendations for change. Plan resources, budgets, and policies; manage and maintain policies/ processes; deliver continuous improvements and escalate breaches of policies/procedures..
* If managing a team, they define jobs and responsibilities, planning for the department’s future needs and operations, counselling employees on performance and contributing to employee pay decisions/changes. They may also lead a number of specialists to influence the operations of a department, in alignment with strategic as well as tactical priorities, while balancing short and long term goals and ensuring that budgets and schedules meet corporate requirements..
* If the position has leadership responsibilities, People Leaders are expected to demonstrate a clear set of leadership behaviours to create an environment for colleagues to thrive and deliver to a consistently excellent standard. The four LEAD behaviours are: L – Listen and be authentic, E – Energise and inspire, A – Align across the enterprise, D – Develop others..
* OR for an individual contributor, they will be a subject matter expert within own discipline and will guide technical direction. They will lead collaborative, multi\-year assignments and guide team members through structured assignments, identify the need for the inclusion of other areas of specialisation to complete assignments. They will train, guide and coach less experienced specialists and provide information affecting long term profits, organisational risks and strategic decisions..
* Advise key stakeholders, including functional leadership teams and senior management on functional and cross functional areas of impact and alignment.
* Manage and mitigate risks through assessment, in support of the control and governance agenda.
* Demonstrate leadership and accountability for managing risk and strengthening controls in relation to the work your team does.
* Demonstrate comprehensive understanding of the organisation functions to contribute to achieving the goals of the business.
* Collaborate with other areas of work, for business aligned support areas to keep up to speed with business activity and the business strategies.
* Create solutions based on sophisticated analytical thought comparing and selecting complex alternatives. In\-depth analysis with interpretative thinking will be required to define problems and develop innovative solutions.
* Adopt and include the outcomes of extensive research in problem solving processes.
* Seek out, build and maintain trusting relationships and partnerships with internal and external stakeholders in order to accomplish key business objectives, using influencing and negotiating skills to achieve outcomes.
All colleagues will be expected to demonstrate the Barclays Values of Respect, Integrity, Service, Excellence and Stewardship – our moral compass, helping us do what we believe is right. They will also be expected to demonstrate the Barclays Mindset – to Empower, Challenge and Drive – the operating manual for how we behave.</t>
        </is>
      </c>
    </row>
    <row r="7">
      <c r="A7" t="inlineStr">
        <is>
          <t>in-8e99418da339ad95</t>
        </is>
      </c>
      <c r="B7" t="inlineStr">
        <is>
          <t>Senior Applied AI Engineer</t>
        </is>
      </c>
      <c r="C7" t="inlineStr">
        <is>
          <t>Microsoft</t>
        </is>
      </c>
      <c r="D7" t="inlineStr">
        <is>
          <t>indeed</t>
        </is>
      </c>
      <c r="E7" t="inlineStr"/>
      <c r="F7" t="inlineStr"/>
      <c r="G7" t="inlineStr">
        <is>
          <t>Redmond, WA, US</t>
        </is>
      </c>
      <c r="H7" s="2" t="n">
        <v>46042</v>
      </c>
      <c r="I7" t="inlineStr">
        <is>
          <t>**Overview**  
Microsoft is seeking a **Senior Applied AI Engineer** to join a pioneering team focused on building the future of automated business workflows through Agentic AI systems and Digital Collaborators. This role is part of the Software Engineering discipline and combines strong engineering fundamentals with deep applied AI expertise.
You will work at the intersection of generative AI, large language models (LLMs), and Conversational and autonomous agent architectures, building intelligent systems capable of reasoning, planning, and executing complex, multi\-step tasks across enterprise environments.
As part of the Microsoft Dynamics organization, you will help shape the next generation of intelligent assistants and digital collaborators that deliver real business outcomes at scale. You will take applied AI solutions from experimentation through production deployment, influencing system architecture, product direction, and customer experience.
 **Culture \&amp; Values**
You’ll be part of an inclusive, customer\-driven team that values growth mindset, collaboration, and continuous learning. Our team is passionate about building AI solutions that empower users and transform industries. We operate at the forefront of AI innovation, with a strong sense of ownership, creativity, and purpose.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Design, build, and ship AI\-powered software systems leveraging generative AI, LLMs, and agentic reasoning frameworks.
* Develop and integrate autonomous AI agents capable of task decomposition, multi\-step planning, memory, tool usage, and dynamic decision\-making across enterprise workflows.
* Apply state\-of\-the\-art techniques including foundation models, prompt engineering, retrieval\-augmented generation (RAG), multi\-agent architectures, and classical machine learning where appropriate.
* Fine\-tune and adapt foundation models using domain\-specific data, and evaluate model behavior across relevance, quality, hallucination, bias, latency, and cost.
* Build rapid prototypes and translate them into production\-grade systems, contributing to deployment, debugging, monitoring, and operational excellence.
* Design and implement evaluation frameworks and automated evaluators, using offline experiments, shadow testing, online experimentation, and telemetry to measure impact and guide iteration.
* Partner closely with product managers, researchers, and engineers to bring agentic capabilities into Microsoft’s business and productivity platforms.
* Write high\-quality, well\-documented, and maintainable code, along with clear technical design specifications.
* Mentor engineers and contribute to raising the overall engineering and applied AI bar across the team.
* Apply Responsible AI principles throughout the development lifecycle, proactively identifying and mitigating risks related to fairness, bias, privacy, security, and misuse.
**Qualifications** **Required Qualifications:**
* Bachelor's Degree in Computer Science, Engineering, Data Science, Math, Business, or related field AND 4\+ years experience in engineering, product/technical program management, data analysis, or product development
	+ OR equivalent experience.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Qualifications:**
* 8\+ years of professional software development experience with at least one of the following: C\#, C\+\+, or Java.
* 8\+ years of professional experience building cloud applications, preferably full stack.
* 3\+ years of experience with GenAI, LLMs, or agentic systems.
* Experience designing and implementing enterprise\-scale services.
* Experience delivering Dynamics 365 and/or Power Platform solutions is desirable.
* Experience in agentic AI development and leveraging AI tools for development.
* Verbal, written, and cross\-team collaboration skills.
* Team player and collaborator across time zones and diverse stakeholder groups.
* Passion for improving software quality and engineering excellence.
* Experience developing, debugging, and supporting code in object\-oriented languages, as well as writing database queries.
* Experience building infrastructure using Microsoft Azure technologies such as Service Fabric, App Service, and Docker.
\#BICjosbs
Software Engineering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8">
      <c r="A8" t="inlineStr">
        <is>
          <t>in-97a435a696e08e1d</t>
        </is>
      </c>
      <c r="B8" t="inlineStr">
        <is>
          <t>Principal Applied Scientist</t>
        </is>
      </c>
      <c r="C8" t="inlineStr">
        <is>
          <t>Microsoft</t>
        </is>
      </c>
      <c r="D8" t="inlineStr">
        <is>
          <t>indeed</t>
        </is>
      </c>
      <c r="E8" t="inlineStr"/>
      <c r="F8" t="inlineStr"/>
      <c r="G8" t="inlineStr">
        <is>
          <t>Washington, DC, US</t>
        </is>
      </c>
      <c r="H8" s="2" t="n">
        <v>46055</v>
      </c>
      <c r="I8" t="inlineStr">
        <is>
          <t>**Overview**  
Be at the forefront of AI by joining M365 Copilot team and take part in shaping the future of AI\-powered user experiences across multiple Microsoft platforms. As a Principal Applied Scientist, you will transform how M365 users conduct Deep Research by finetuning LLMs, chain of thought techniques, intelligent information retrieval techniques or through agent orchestration. These innovations will enhance M365 Chat, Researcher agent, Windows Companions, or highly personalized search and recommendations systems in widely used office applications.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You will master and gain expertise in broad areas of AI and ML, including trending research techniques.
* You’ll also gain deep knowledge of building enterprise intelligence on office user’s data.
* You will review business requirements and incorporate research to meet business goals.
* You ‘ll provide strategic direction for the kinds of data used to solve problems and apply deep subject matter knowledge to support business impact.
* You will participate in onboarding of junior team members and assist in developing academics to be members of multidiscipline teams.
* You’ll identify new research talent to join Microsoft and collaborate with the academic community to develop the recruiting pipeline.
* You will document work in progress and experimentation results and share findings to promote innovation.
* You’ll also use your deep understanding of fairness and bias to contribute to ethics and privacy policies related to research processes and data collection.
* You will collaborate with a multidisciplinary team to create scalable and ethical AI solutions.
**Qualifications** **Required Qualifications:**
* Bachelor's Degree in Statistics, Econometrics, Computer Science, Electrical or Computer Engineering, or related field AND 8\+ years related experience (e.g., statistics, predictive analytics, research)
	+ OR Master's Degree in Statistics, Econometrics, Computer Science, Electrical or Computer Engineering, or related field AND 6\+ years related experience (e.g., statistics, predictive analytics, research)
	+ OR Doctorate in Statistics, Econometrics, Computer Science, Electrical or Computer Engineering, or related field AND 5\+ years related experience (e.g., statistics, predictive analytics, research)
	+ OR equivalent experience.
 **Other Requirements:**
*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Master's Degree in Statistics, Econometrics, Computer Science, Electrical or Computer Engineering, or related field AND 12\+ years related experience (e.g., statistics, predictive analytics, research)
	+ OR Doctorate in Statistics, Econometrics, Computer Science, Electrical or Computer Engineering, or related field AND 8\+ years related experience (e.g., statistics, predictive analytics, research)
	+ OR equivalent experience.
* 2\+ years experience presenting at conferences or other events in the outside research/industry community as an invited speaker.
* 5\+ years experience conducting research as part of a research program (in academic or industry settings).
* 3\+ years experience developing and deploying live production systems, as part of a product team.
* 3\+ years experience developing and deploying products or systems at multiple points in the product cycle from ideation to shipping.
* 5\+ years experience creating publications (e.g., patents, libraries, peer\-reviewed academic papers).
* 3\+ year(s) experience developing and deploying live production systems, as part of a product team.
* 1\+ years experience in Large Language Modeling (LLM) or Machine Learning (ML)
Applied Sciences IC6 \- The typical base pay range for this role across the U.S. is USD $163,000 \- $296,400 per year. There is a different range applicable to specific work locations, within the San Francisco Bay area and New York City metropolitan area, and the base pay range for this role in those locations is USD $220,800 \- $331,200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9">
      <c r="A9" t="inlineStr">
        <is>
          <t>in-bb22d971fb86c994</t>
        </is>
      </c>
      <c r="B9" t="inlineStr">
        <is>
          <t>Machine Learning Engineer - Platforms</t>
        </is>
      </c>
      <c r="C9" t="inlineStr">
        <is>
          <t>MD Anderson Cancer Center</t>
        </is>
      </c>
      <c r="D9" t="inlineStr">
        <is>
          <t>indeed</t>
        </is>
      </c>
      <c r="E9" t="inlineStr"/>
      <c r="F9" t="inlineStr"/>
      <c r="G9" t="inlineStr">
        <is>
          <t>Houston, TX, US</t>
        </is>
      </c>
      <c r="H9" s="2" t="n">
        <v>46055</v>
      </c>
      <c r="I9" t="inlineStr">
        <is>
          <t>a { text\-decoration: none; color: \#464feb; } tr th, tr td { border: 1px solid \#e6e6e6; } tr th { background\-color: \#f5f5f5; }  
As a **Machine Learning Engineer \- Platforms** within the **Data Impact \&amp; Governance** organization, you will shape and scale the enterprise AI/ML platform that powers clinical, research, and operational machine learning across the institution. This is a hands\-on engineering role with direct influence on how data science workflows operate institution\-wide\-enabling safe, efficient, and high\-impact AI delivery.  
You'll work with modern cloud and container technologies, MLOps frameworks, and enterprise\-grade tools while building solutions that improve patient care, strengthen operations, and accelerate scientific discovery.  
**What's in it for you?**  
* **Exceptional Benefits:** Enjoy **paid medical benefits**, generous **paid time off (PTO)**, strong **retirement plans**, and a comprehensive benefits package designed to support your total well\-being.
* **High\-Impact Work:** Develop and maintain the platforms that allow clinicians, researchers, and data scientists to bring AI solutions into real\-world healthcare environments.
* **Cutting\-Edge Technology:** Work with **Dataiku, Kubernetes, Azure, container technologies, and MLOps frameworks** that support large\-scale enterprise ML operations.
* **Career Growth:** Collaborate with ML engineers, data scientists, architects, and IT teams, gaining exposure to complex, enterprise\-wide AI initiatives and governance.
* **Mission\-Driven Culture:** Your work will contribute directly to improving patient outcomes and advancing research at a nationally recognized cancer center.
**Summary**  
The Machine Learning Engineer \- Platforms supports the development, reliability, and scalability of the enterprise AI/ML platform used across clinical and business operations. The role focuses on MLOps engineering, platform integration, automation, container management, model monitoring, and lifecycle governance. The engineer partners closely with data scientists, ML engineers, and enterprise IT teams to support AI development and deployment, while ensuring compliance, performance, and responsible AI practices.  
**Major Work Activities**  
**Technical Expertise**  
* Support development, administration, and maintenance of the enterprise AI/ML platform (Dataiku, Kubernetes, Azure), ensuring scalability, reliability, and smooth integration with institutional systems.
* Orchestrate training, deployment, and inference pipelines within Dataiku targeting Azure and on\-premises Kubernetes clusters.
* Develop and maintain MLOps workflows for reproducibility, version control, governance, and model lifecycle management.
* Manage and optimize containerized environments using Docker and Kubernetes to support data science workloads.
* Provide platform support for data scientists and ML engineers, troubleshooting environment, pipeline, and dependency issues.
* Monitor platform performance, cost, security, and compliance, ensuring alignment with enterprise and regulatory standards.
**Analytical Skills**  
* Build and support scalable pipelines in Dataiku, Kubernetes, and Azure, including feature engineering, model tracking, and validation workflows.
* Debug, test, and resolve complex platform or pipeline issues using strong analytical and problem\-solving skills.
* Assist with healthcare data integration using standards such as HL7, FHIR, or DICOM when required for model development.
**Professionalism: Oral \&amp; Written Communication**  
* Share platform knowledge, best practices, and methodologies through training, documentation, and cross\-team collaboration.
* Support analytics and automation workflows by enabling access to data, reviewing project requests, and assisting with interpretation.
* Communicate platform updates, risks, performance, and issue resolutions clearly during meetings and collaborative sessions.
* Work effectively with leaders, technical peers, and end users, ensuring strong communication across both technical and non\-technical stakeholders.
**Other Duties**  
* Perform additional tasks as assigned to support the AI/ML platform, MLOps practices, and enterprise data science initiatives.
**EDUCATION**  
* Required: Bachelor's Degree Computer Science, Software Engineering, Data Science, Physics, Math \&amp; Statistics, or another related engineering discipline.
* Preferred: Master's Degree Computer Science, Software Engineering, Data Science, Physics, Math \&amp; Statistics, or another related engineering discipline.
**WORK EXPERIENCE**  
* Required: 3 years in machine learning engineering, data science, data engineering, and/or software engineering experience.
* Required: 1 year experience with Master's degree.
* No experience required with PhD.
**Preferred Experience/Skills**: Healthcare experience needed, experience with MLOps platforms and/or cloud AI certifications, strong proficiency in CI/CD and automation of the AI lifecycle, experience working on healthcare focused machine learning projects. Experience with Azure and/or Kubernetes. Proficiency in services such as Azure Kubernetes Services and Azure ML (or similar).  
The University of Texas MD Anderson Cancer Center offers excellent benefits, including medical, dental, paid time off, retirement, tuition benefits, educational opportunities, and individual and team recognition.  
This position may be responsible for maintaining the security and integrity of critical infrastructure, as defined in Section 113\.001(2\) of the Texas Business and Commerce Code and therefore may require routine reviews and screening. The ability to satisfy and maintain all requirements necessary to ensure the continued security and integrity of such infrastructure is a condition of hire and continued employment.  
It is the policy of The University of Texas MD Anderson Cancer Center to provide equal employment opportunity without regard to race, color, religion, age, national origin, sex, gender, sexual orientation, gender identity/expression, disability, protected veteran status, genetic information, or any other basis protected by institutional policy or by federal, state, or local laws unless such distinction is required by law.http://www.mdanderson.org/about\-us/legal\-and\-policy/legal\-statements/eeo\-affirmative\-action.html  
Additional Information
* Requisition ID: 178799
* Employment Status: Full\-Time
* Employee Status: Regular
* Work Week: Days
* Minimum Salary: US Dollar (USD) 123,000
* Midpoint Salary: US Dollar (USD) 154,000
* Maximum Salary : US Dollar (USD) 185,000
* FLSA: exempt and not eligible for overtime pay
* Fund Type: Hard
* Work Location: Remote (within Texas only)
* Pivotal Position: Yes
* Referral Bonus Available?: Yes
* Relocation Assistance Available?: No
\#LI\-Remote</t>
        </is>
      </c>
    </row>
    <row r="10">
      <c r="A10" t="inlineStr">
        <is>
          <t>in-911ac996e70f98f6</t>
        </is>
      </c>
      <c r="B10" t="inlineStr">
        <is>
          <t>Full Stack AI Engineer – Healthcare</t>
        </is>
      </c>
      <c r="C10" t="inlineStr">
        <is>
          <t>ARTIFICIAL GENERALIZED INTELLIGENCE SOLUTIONS</t>
        </is>
      </c>
      <c r="D10" t="inlineStr">
        <is>
          <t>indeed</t>
        </is>
      </c>
      <c r="E10" t="inlineStr"/>
      <c r="F10" t="inlineStr"/>
      <c r="G10" t="inlineStr">
        <is>
          <t>US</t>
        </is>
      </c>
      <c r="H10" s="2" t="n">
        <v>46058</v>
      </c>
      <c r="I10" t="inlineStr">
        <is>
          <t>**Full Stack AI Engineer – Healthcare** 
**Location:** Remote with limited travel  
**Job Type:** Full\-time  
**Experience Level:** Mid\+
**Overview** 
We’re looking for a talented and detail\-oriented full stack engineer with strong experience in AI and web development. You'll work closely with and be the bridge between the product management team and clients to build AI assisted healthcare solutions.
**Responsibilities**
· Integrate AI services (LLMs, OCR, document processing, STT \&amp; TTS, or classification systems) into new and existing application architectures
· Adjust, refine, and version AI prompts and workflows to improve accuracy, reliability, and real\-world performance in production systems
· Develop high\-quality, reusable UI components using modern JavaScript frameworks
· Collaborate with designers, peers, and product management to deliver consistent, elegant experiences
· Thoroughly test and debug code, participate in code reviews, provide documentation, and ensure systems meet healthcare\-grade requirements
**Requirements**
· At least 3–6\+ years of experience as a full\-stack engineer
· Hands\-on experience integrating AI or ML services into applications, including prompt design and iteration for LLM\-based systems
· Strong proficiency with Node.js, Express, etc and building RESTful and event\-driven backend services
· Experience with modern web development (HTML, CSS, JavaScript, and at least one modern frontend framework or jQuery\-based production stacks)
· Comfort working across multiple codebases and projects simultaneously
· Familiarity with databases (SQL and/or NoSQL) and data modeling for real\-world applications
· Attention to detail and strong testing experience
**Nice to Have**
· Familiarity with automated, testing frameworks (e.g., Jest, Cypress)
· Knowledge of authentication/authorization patterns (JWT, role\-based access control)
· Experience with monitoring, logging, and production debugging
**What We Offer**
**About Us**
AGIS is a cutting\-edge, rapidly growing artificial intelligence company delivering proven, real\-world AI solutions across healthcare, gaming, retail, government, and education. We partner with forward\-thinking organizations to deploy intelligent systems that drive efficiency, insight, and measurable impact. At AGIS, you will work alongside a highly technical, execution\-focused team in a fast\-paced environment where ownership, initiative, and results matter. If you want to help shape the future of applied AI, this role offers a unique opportunity to grow with a company at the forefront of the industry.
**You’ll Experience:**
· Competitive salary \+ compensation structure
· Flexible working hours and with remote work options
· Opportunity to grow within a fast\-growing scale\-up
**How to Apply**
To ensure all applications are reviewed consistently, **applications must be submitted through our website**. Visit: https://www.agis.ai/jobs
Pay: $101,767\.41 \- $125,000\.00 per year
Benefits:
* 401(k) matching
* Health insurance
* Paid time off
Work Location: Remote</t>
        </is>
      </c>
    </row>
    <row r="11">
      <c r="A11" t="inlineStr">
        <is>
          <t>in-c8ec7b493e0fcc84</t>
        </is>
      </c>
      <c r="B11" t="inlineStr">
        <is>
          <t>AI/ML Engineer</t>
        </is>
      </c>
      <c r="C11" t="inlineStr">
        <is>
          <t>Contrast Security</t>
        </is>
      </c>
      <c r="D11" t="inlineStr">
        <is>
          <t>indeed</t>
        </is>
      </c>
      <c r="E11" t="inlineStr"/>
      <c r="F11" t="inlineStr"/>
      <c r="G11" t="inlineStr">
        <is>
          <t>Baltimore, MD, US</t>
        </is>
      </c>
      <c r="H11" s="2" t="n">
        <v>46057</v>
      </c>
      <c r="I11" t="inlineStr">
        <is>
          <t>At Contrast Security, we’re redefining how organizations protect their software at the speed of modern development. With industry\-leading Application Detection and Response (ADR), we give teams the power to detect, stop and fix real threats in real time. If you're passionate about building smarter, faster, more effective security, you’ll fit right in.
We’re looking for sharp minds, fearless builders, and problem\-solvers who thrive on turning complex challenges into innovative solutions.
Are you passionate about using AI and machine learning to revolutionize cybersecurity? Do you want to be part of a team that's building the next generation of intelligent application security solutions using both traditional ML models and modern AI systems? If so, we invite you to join Contrast Security as an AI/ML Engineer.
At Contrast Security, we are at the forefront of application security innovation. Our AI/ML team is developing cutting\-edge solutions like SmartFix (automated vulnerability remediation), intelligent vulnerability analysis, and next\-generation security tools that leverage the power of large language models and advanced machine learning. As an AI/ML Engineer, you'll play a crucial role in building and scaling these intelligent systems that protect software worldwide.
This is a **mid\-level** position perfect for a highly skilled and creative engineer who wants to make a significant impact in the intersection of AI and cybersecurity. We value both traditional ML expertise and modern AI application development skills \- ideally both, but strong experience in either domain is valuable.
What You'll Do (Responsibilities)
* **Core Model \&amp; System Development:** Design, build, and deploy production\-grade AI/ML systems to solve complex security problems, from traditional vulnerability detection models to LLM\-powered code analysis and remediation agents.
* **Generative AI Innovation:** Design and implement advanced prompt engineering strategies and build complex, multi\-step agentic workflows to power our intelligent features.
* **MLOps \&amp; Infrastructure:** Build and optimize the data pipelines, training workflows, and serving infrastructure that form the backbone of our AI platform.
* **Collaboration \&amp; Impact:** Partner closely with engineering teams and security researchers to integrate AI/ML models into the Contrast platform and solve real\-world customer problems.
* **Mentorship \&amp; Growth:** Contribute to our engineering culture by participating in code reviews, mentoring team members, and staying current with the latest research in AI and cybersecurity.
What You'll Bring (Qualifications)
**Required Qualifications:**
* 4\+ years of professional software engineering experience building and deploying production systems.
* Expertise in **Python** and common AI/ML frameworks.
* Proficiency in **Java** for building and maintaining production\-grade backend services.
* Demonstrable experience in **one or both** of the following areas:
	+ **A) Machine Learning:** Hands\-on experience building, training, and deploying ML models in production using frameworks like TensorFlow, PyTorch, or scikit\-learn.
	+ **B) Generative AI:** Experience developing applications using Large Language Models (LLMs), including prompt engineering, RAG systems, or agentic frameworks.
* Experience deploying applications in a cloud environment (e.g., AWS, GCP, Azure).
* A bachelor's degree in Computer Science, a related technical field, or equivalent practical experience.
**Preferred Qualifications:**
* A strong understanding of application security concepts and vulnerability types.
* Experience with MLOps tools and practices (e.g., Docker, Kubernetes, CI/CD).
* Experience using AI coding assistants (e.g., GitHub Copilot, Claude Code) as part of your professional workflow.
We're transforming the way the world secures software. If you're ready to make a real impact, thrive in a fast\-paced environment, and grow alongside a team of passionate professionals, we’d love to hear from you.
Apply today and help us shape the future of application security.</t>
        </is>
      </c>
    </row>
    <row r="12">
      <c r="A12" t="inlineStr">
        <is>
          <t>in-552aa3ad6447cfdd</t>
        </is>
      </c>
      <c r="B12" t="inlineStr">
        <is>
          <t>Applied AI Engineer-Associate</t>
        </is>
      </c>
      <c r="C12" t="inlineStr">
        <is>
          <t>JPMorganChase</t>
        </is>
      </c>
      <c r="D12" t="inlineStr">
        <is>
          <t>indeed</t>
        </is>
      </c>
      <c r="E12" t="inlineStr"/>
      <c r="F12" t="inlineStr"/>
      <c r="G12" t="inlineStr">
        <is>
          <t>Wilmington, DE, US</t>
        </is>
      </c>
      <c r="H12" s="2" t="n">
        <v>46057</v>
      </c>
      <c r="I12" t="inlineStr">
        <is>
          <t>**JOB DESCRIPTION**  
As Applied AI Engineer\-Associate at JPMorganChase within the Consumer \&amp; Community Banking Machine Learning, you are an integral part of an agile team that works to enhance, build, and deliver trusted market\-leading technology products in a secure, stable, and scalable way. Drive significant business impact through your capabilities and contributions, and apply deep technical expertise and problem\-solving methodologies to tackle a diverse array of challenges that span multiple technologies and applications.
**Job Responsibilities**
* Regularly provides technical guidance and direction to support the business and its technical teams, contractors, and vendors
* Develops secure and high\-quality production code, and reviews and debugs code written by others
* Drives decisions that influence the product design, application functionality, and technical operations and processes
* Serves as a function\-wide subject matter expert in one or more areas of focus
* Actively contributes to the engineering community as an advocate of firmwide frameworks, tools, and practices of the Software Development Life Cycle
* Influences peers and project decision\-makers to consider the use and application of leading\-edge technologies
* Drive innovation in machine learning solutions, ensuring scalability, flexibility, and future\-proof architecture
* Act as a thought leader and trusted advisor to executive leadership, providing strategic recommendations on machine learning initiatives and solutions
* Architect and oversee the development of next\-generation machine learning models and systems leveraging cutting\-edge technologies
* Ensure the platform supports complex use cases, including real\-time predictions, big data processing, and advanced analytics
* Promote software and model quality, integrity, and security across the organization
**Required qualifications, capabilities, and skills**
* Formal training or certification on software engineering concepts and 1\+ years applied AI experience
* Proven track record of building and scaling software and or machine learning platforms in high\-growth or enterprise environments
* 3 plus years of hands\-on experience and expertise in software development frameworks and tools such as Java, Python and JavaScript
* Deep understanding of distributed systems, cloud\-native architectures, and modern machine learning technologies
* Experience in cloud platforms such as AWS, GCP, or Azure
* Knowledgeable in machine learning frameworks, ML Ops tools and practices
* Strong proficiency in engineering programming languages (e.g., Python, Java) and infrastructure as code (e.g., Terraform, CloudFormation)
* Proficient in building AI Agents (e.g., LangChain, LangGraph, AutoGen), integration of tools (e.g., API) and RAG based solutions (e.g., open search)
* Hands\-on experience with software development pipeline and orchestration tools (e.g., Jenkins, GitLab CI/CD)
* Exceptional ability to communicate complex technical concepts to both technical and non\-technical audiences
* Hands\-on experience with big data, pipeline, orchestration tools and real\-time processing frameworks
**Preferred qualifications, capabilities, and skills**
* Certified as AWS Solutions Architect, Certified Developer, or similar certification
**ABOUT US**  
Chase is a leading financial services firm, helping nearly half of America’s households and small businesses achieve their financial goals through a broad range of financial products. Our mission is to create engaged, lifelong relationships and put our customers at the heart of everything we do. We also help small businesses, nonprofits and cities grow, delivering solutions to solve all their financial needs.
We offer a competitive total rewards package including base salary determined based on the role, experience, skill set and location. Those in eligible roles may receive commission\-based pay and/or discretionary incentive compensation, paid in the form of cash and/or forfeitable equity, awarded in recognition of individual achievements and contributions. We also offer a range of benefits and programs to meet employee needs, based on eligibility. These benefits include comprehensive health care coverage, on\-site health and wellness centers, a retirement savings plan, backup childcare, tuition reimbursement, mental health support, financial coaching and more. Additional details about total compensation and benefits will be provided during the hiring process.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
Equal Opportunity Employer/Disability/Veterans
**ABOUT THE TEAM**  
Our Consumer \&amp; Community Banking division serves our Chase customers through a range of financial services, including personal banking, credit cards, mortgages, auto financing, investment advice, small business loans and payment processing. We’re proud to lead the U.S. in credit card sales and deposit growth and have the most\-used digital solutions – all while ranking first in customer satisfaction.  
The CCB Data \&amp; Analytics team responsibly leverages data across Chase to build competitive advantages for the businesses while providing value and protection for customers. The team encompasses a variety of disciplines from data governance and strategy to reporting, data science and machine learning. We have a strong partnership with Technology, which provides cutting edge data and analytics infrastructure. The team powers Chase with insights to create the best customer and business outcomes.</t>
        </is>
      </c>
    </row>
    <row r="13">
      <c r="A13" t="inlineStr">
        <is>
          <t>in-5748c0aa272b72e5</t>
        </is>
      </c>
      <c r="B13" t="inlineStr">
        <is>
          <t>AI/ML Engineer</t>
        </is>
      </c>
      <c r="C13" t="inlineStr">
        <is>
          <t>Dhara Consulting Group</t>
        </is>
      </c>
      <c r="D13" t="inlineStr">
        <is>
          <t>indeed</t>
        </is>
      </c>
      <c r="E13" t="inlineStr"/>
      <c r="F13" t="inlineStr"/>
      <c r="G13" t="inlineStr">
        <is>
          <t>Fairborn, OH, US</t>
        </is>
      </c>
      <c r="H13" s="2" t="n">
        <v>46057</v>
      </c>
      <c r="I13" t="inlineStr">
        <is>
          <t>Posted today
Top Secret/SCI
$118,000 \- $125,000
Unspecified
Fairborn, OH (On\-Site/Office)**Riverside Overview**  
Riverside Research is an independent National Security Nonprofit dedicated to research and development in the national interest. We provide high\-end technical services, research and development, and prototype solutions to some of the country's most challenging technical problems.  
All Riverside Research opportunities require U.S. Citizenship.  
**Position Overview**  
Riverside Research is seeking an Artificial Intelligence / Machine Learning Engineer to support existing contracts to prototype and develop automation solutions to NASIC's most difficult Scientific \&amp; Technical Intelligence problems. As a highly valued and sought\-after Riverside Research employee, you will be part of a highly skilled and integrated team that analyzes intelligence data to discover opportunities for automated solutions.  
**Responsibilities**  
AI/ML Algorithm R\&amp;D  
* Develop innovative machine learning and computer vision solutions to analyze and exploit large, complex datasets from remote sensing phenomenology
* Develop algorithms and associated software tools using Python and associated machine learning libraries (PyTorch, TensorFlow)
* Train AI/ML models and tune their hyperparameters for a given dataset and algorithm objectives
* Provide solutions for data collection and data linting that enable rapid, automated curation of training data
* Keep up with the SoTA practices for AI/ML
Software development, documentation, and coding best practices:  
* Adhere to teams' standards for reviewing source code, unit\-testing, source code control, and documentation practices
* Utilize Python PEP8 standards
Beneficial FPGA experience  
* Design, implement, and optimize FPGA logic using AMD/Xilinx toolchains (Vivado, Vitis, HLS) development in VHDL/Verilog
* Integrate FPGA designs into larger systems, ensuring robust verification, documentation, and deployment across multiple platforms (Zynq/Zynq UltraScale\+, Versal, or custom boards)
**Qualifications**  
Required Qualifications:  
* Ability to obtain TS/SCI clearance
* Bachelor's Degree in either Electrical Engineering, Mathematics, Statistics, Physics, Computer Science, or related field of study
* Experience with AI/ML, software R\&amp;D, or related experience
* Proficiency in Python\-based AI/ML model development
* Awareness of version control, branches, merge conflict resolution, and git in general
* Proficient in collaborative Office 365 tools such as MS Word, Excel, and PowerPoint
* Ability to work closely with subject\-matter experts to develop tools, algorithms, and datasets needed for developing relevant and useful AI/ML prototype algorithms
* Self\-driven, strong analytic, inferencing, critical thinking, and creative problem\-solving skills
* Communicates highly technical results and methods clearly and succinctly
Desired Qualifications:  
* Pursuing advanced degree (MS/PhD) in Data Science, Mathematics, Statistics, Computer Science, a Physical Science or Engineering is strongly desired
* 1\+ years' experience with AI/ML, software R\&amp;D, or related experience
* Experience with DoD intelligence production processes and workflows
* Experience in radar signal processing analysis, overhead imagery analysis, orbital mechanics, and/or electronic warfare data analysis
* Experience using data visualization tools and libraries in Python
* Visualizations/Web Development Skills (e.g., Tableau, MEAN stack \- MongoDB, ExpressJS, AngularJS, NodeJS)
* Experience with large (1 GB \+) image data and formats such as HDF5, JSON, GEOTIFF, TFRecords, etc.
* Experience in development of distributed, web\-based systems, service\-oriented architectures, front\-end user interfaces, and back\-end databases are a plus
* Experience with interpretability of deep learning computer vision models including visualization and reasoning about model latent spaces and activation maps to assess model effectiveness / weaknesses
* Familiarity in differences of supervised learning vs. unsupervised learning techniques
**Global Comp**  
$118,000 \- $125,000 This represents the typical compensation range for this position based on experience, location and other factors.
**Closing Statement**  
Riverside Research Institute is a not\-for\-profit, technology\-oriented defense company, where service to our customers and support of our staff is our overall mission. Riverside is an affirmative action\-equal opportunity employer and complies with all applicable federal, state, and local laws regarding recruitment and hiring. Riverside offers comprehensive compensation and benefit packages to our employees.  
Riverside bases its employment decisions solely on technical experience, qualifications and other job\-related criteria related to our organizational purpose as a not\-for\-profit company, and without regard to race, color, religion, age, sex marital status, sexual orientation, national origin, physical or mental disability, veteran's status or any other status legally protected by applicable federal, state, and local law.**GROUP ID:** 10184231**R****Recruiter**
**APPLY NOW**</t>
        </is>
      </c>
    </row>
    <row r="14">
      <c r="A14" t="inlineStr">
        <is>
          <t>in-ae64c0cc86727cd3</t>
        </is>
      </c>
      <c r="B14" t="inlineStr">
        <is>
          <t>Sr Machine Learning Engineer</t>
        </is>
      </c>
      <c r="C14" t="inlineStr">
        <is>
          <t>Capital One</t>
        </is>
      </c>
      <c r="D14" t="inlineStr">
        <is>
          <t>indeed</t>
        </is>
      </c>
      <c r="E14" t="inlineStr"/>
      <c r="F14" t="inlineStr"/>
      <c r="G14" t="inlineStr">
        <is>
          <t>San Francisco, CA, US</t>
        </is>
      </c>
      <c r="H14" s="2" t="n">
        <v>46056</v>
      </c>
      <c r="I14" t="inlineStr">
        <is>
          <t>Sr Machine Learning Engineer**As a Capital One Machine Learning Engineer (MLE), you'll be part of an Agile team dedicated to productionizing machine learning applications and systems at scale. You’ll participate in the detailed technical design, development, and implementation of machine learning applications using existing and emerging technology platforms. You’ll focus on machine learning architectural design, develop and review model and application code, and ensure high availability and performance of our machine learning applications. You'll have the opportunity to continuously learn and apply the latest innovations and best practices in machine learning engineering.**
**What you’ll do in the role:**
**The MLE role overlaps with many disciplines, such as Ops, Modeling, and Data Engineering. In this role, you'll be expected to perform many ML engineering activities, including one or more of the following:**
* **Design, build, and/or deliver ML models and components that solve real\-world business problems, while working in collaboration with the Product and Data Science teams.**
* **Inform your ML infrastructure decisions using your understanding of ML modeling techniques and issues, including choice of model, data, and feature selection, model training, hyperparameter tuning, dimensionality, bias/variance, and validation).**
* **Solve complex problems by writing and testing application code, developing and validating ML models, and automating tests and deployment.**
* **Collaborate as part of a cross\-functional Agile team to create and enhance software that enables state\-of\-the\-art big data and ML applications.**
* **Retrain, maintain, and monitor models in production.**
* **Leverage or build cloud\-based architectures, technologies, and/or platforms to deliver optimized ML models at scale.**
* **Construct optimized data pipelines to feed ML models.**
* **Leverage continuous integration and continuous deployment best practices, including test automation and monitoring, to ensure successful deployment of ML models and application code.**
* **Ensure all code is well\-managed to reduce vulnerabilities, models are well\-governed from a risk perspective, and the ML follows best practices in Responsible and Explainable AI.**
* **Use programming languages like Python, Scala, or Java.**
**Basic Qualifications:**
* **Bachelor’s Degree**
* **At least 4 years of experience programming with Python, Scala, or Java (Internship experience does not apply)**
* **At least 3 years of experience designing and building data\-intensive solutions using distributed computing**
* **At least 2 years of on\-the\-job experience with an industry recognized ML frameworks (scikit\-learn, PyTorch, Dask, Spark, or TensorFlow)**
* **At least 1 year of experience productionizing, monitoring, and maintaining models**
**Preferred Qualifications:**
* **1\+ years of experience building, scaling, and optimizing ML systems**
* **1\+ years of experience with data gathering and preparation for ML models**
* **2\+ years of experience developing performant, resilient, and maintainable code**
* **Experience developing and deploying ML solutions in a public cloud such as AWS, Azure, or Google Cloud Platform**
* **Master's or doctoral degree in computer science, electrical engineering, mathematics, or a similar field**
* **3\+ years of experience with distributed file systems or multi\-node database paradigms**
* **Contributed to open source ML software**
* **Authored/co\-authored a paper on a ML technique, model, or proof of concept**
* **3\+ years of experience building production\-ready data pipelines that feed ML models**
* **Experience designing, implementing, and scaling complex data pipelines for ML models and evaluating their performance**
***At this time, Capital One will not sponsor a new applicant for employment authorization, or offer any immigration related support for this position (i.e. H1B, F\-1 OPT, F\-1 STEM OPT, F\-1 CPT, J\-1, TN, E\-2, E\-3, L\-1 and O\-1, or any EADs or other forms of work authorization that require immigration support from an employer).***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San Francisco, CA: $176,500 \- $201,400 for Senior Machine Learning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15">
      <c r="A15" t="inlineStr">
        <is>
          <t>in-33466b805d9e09d6</t>
        </is>
      </c>
      <c r="B15" t="inlineStr">
        <is>
          <t>Machine Learning Engineer II</t>
        </is>
      </c>
      <c r="C15" t="inlineStr">
        <is>
          <t>Microsoft</t>
        </is>
      </c>
      <c r="D15" t="inlineStr">
        <is>
          <t>indeed</t>
        </is>
      </c>
      <c r="E15" t="inlineStr"/>
      <c r="F15" t="inlineStr"/>
      <c r="G15" t="inlineStr">
        <is>
          <t>Redmond, WA, US</t>
        </is>
      </c>
      <c r="H15" s="2" t="n">
        <v>46054</v>
      </c>
      <c r="I15" t="inlineStr">
        <is>
          <t>**Overview**  
Microsoft is pioneering the future of collaborative intelligence through AI\-native agents that transform how people work together (e.g., through Microsoft Teams). As part of our applied research initiative, we are reimagining the foundations of teamwork—making collaboration more intuitive, productive, and adaptive across diverse modalities and contexts. We are seeking a **Machine Learning Engineer II** with deep expertise in large\-scale model deployment, production\-grade systems, and engineering excellence.
As a **Machine Learning Engineer II**, you will work alongside leading scientists to build and optimize infrastructure for frontier models—including large language models (LLM), small language models (SLM), and multimodal systems—leveraging both proprietary and open\-source frameworks. Your responsibilities will span the full engineering lifecycle: from model training and serving to monitoring and continuous deployment, with a focus on reliability, performance, and scalability in real\-world environments.
We value startup\-style efficiency and practical problem\-solving. We are seeking a curious, adaptable problem\-solver who thrives on continuous learning, embraces changing priorities, and is motivated by creating meaningful impact. Candidates must be self\-driven, able to write production\-grade code and debug complex distributed systems, understand how to best leverage extensive graphics processing unit (GPU) resources, document engineering decisions, and demonstrate a track record in shipping ML systems at scale. The ability to quickly translate ideas into working code for rapid experimentation is a plus. You may include information about any individual who can serve as your referral in your application.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Research and develop an understanding of the state\-of\-the\-art tools, technologies, and methods being used in the research community and product groups.
* Advance research agenda through one or more projects, yielding new algorithms, prototypes, theories, tools, methods, or collections of data.
* Drive the team's strategic vision and align it with the overall company objectives.
* Collaborate with stakeholders to define project goals, success criteria, and deliverables.
**Qualifications** **Required Qualifications:**
* Bachelor's Degree in Computer Science or related technical field AND 2\+ years technical engineering experience with building ML infra and deploying ML models for scaled production services (including in research settings) and coding in languages including, but not limited to, C, C\+\+, C\#, Java, JavaScript, or Python
	+ OR equivalent experience.
**Other Requirements:**
*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Master's Degree in Computer Science or related technical field AND 3\+ years technical engineering experience with coding in languages including, but not limited to, C, C\+\+, C\#, Java, JavaScript, or Python
	+ OR Bachelor's Degree in Computer Science or related technical field AND 5\+ years technical engineering experience with coding in languages including, but not limited to, C, C\+\+, C\#, Java, JavaScript, or Python
	+ OR equivalent experience.
* 3\+ years experience with Python and relevant ML libraries (e.g., PyTorch).
* 3\+ years experience with building ML infrastructure and developing and deploying ML models.
* 3\+ years experience in coding and design, specifically in the development of AI models for scaled production services.
* 3\+ years experience in shipping applied research to production, highlighting a track record of combining coding skills with advanced expertise in AI model development.
* Publication record in the areas of Large Language Models, Machine Learning, or Natural Language Processing.
Software Engineering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16">
      <c r="A16" t="inlineStr">
        <is>
          <t>in-dd6ff76ac9f49660</t>
        </is>
      </c>
      <c r="B16" t="inlineStr">
        <is>
          <t>Senior GenAI Engineer/Data Scientist / Remote</t>
        </is>
      </c>
      <c r="C16" t="inlineStr">
        <is>
          <t>Molina Healthcare</t>
        </is>
      </c>
      <c r="D16" t="inlineStr">
        <is>
          <t>indeed</t>
        </is>
      </c>
      <c r="E16">
        <f>HYPERLINK("https://www.indeed.com/viewjob?jk=dd6ff76ac9f49660", "https://www.indeed.com/viewjob?jk=dd6ff76ac9f49660")</f>
        <v/>
      </c>
      <c r="F16">
        <f>HYPERLINK("https://careers.molinahealthcare.com/job/-/-/21726/91387536544", "https://careers.molinahealthcare.com/job/-/-/21726/91387536544")</f>
        <v/>
      </c>
      <c r="G16" t="inlineStr">
        <is>
          <t>AZ, US</t>
        </is>
      </c>
      <c r="H16" s="3" t="n">
        <v>46057</v>
      </c>
      <c r="I16" t="inlineStr">
        <is>
          <t>Job Description
Job Summary
We are seeking a highly skilled GenAI / Agentic AI Engineer to design, build, and deploy autonomous, LLM\-powered systems that solve complex business problems at scale. This role focuses on agentic workflows, retrieval\-augmented generation (RAG), tool orchestration, evaluation, and production deployment of GenAI systems.
You will work at the intersection of LLMs, systems engineering, and applied ML, building intelligent agents that reason, plan, interact with tools, and operate reliably in real\-world environments—particularly across regulated domains such as healthcare.
Job Duties
Agentic AI \&amp; GenAI System Development
Design, build, and deploy agentic AI systems using LLMs, tools, memory, and planning frameworks.
Implement multi\-agent and single\-agent workflows for autonomous task execution, decision support, and orchestration.
Develop tool\-using agents (function calling, structured outputs, APIs, databases, workflows).
Retrieval\-Augmented Generation (RAG)
Design and optimize RAG pipelines, including document ingestion, chunking strategies, embeddings, vector stores, and retrieval ranking.
Implement advanced retrieval techniques (hybrid search, metadata filtering, re\-ranking, query rewriting).
Evaluate and tune RAG systems for accuracy, latency, grounding, and hallucination reduction.
Model Adaptation \&amp; Optimization
Fine\-tune and adapt foundation models (instruction tuning, LoRA, adapters) for domain\-specific use cases.
Optimize prompts, schemas, and system instructions for reliability and determinism.
Apply reinforcement or feedback\-driven optimization where applicable (human or automated eval loops).
Evaluation, Monitoring \&amp; Governance
Define evaluation frameworks for GenAI systems, including task success, factuality, grounding, latency, and cost.
Build monitoring and observability for agent behavior, tool calls, and failure modes.
Partner with governance and risk teams to ensure responsible AI practices, traceability, and compliance.
Production Deployment \&amp; MLOps for GenAI
Deploy GenAI and agentic systems into production using cloud\-native architectures.
Implement CI/CD, versioning, rollback, and runtime safeguards for LLM applications.
Optimize systems for performance, cost efficiency, and scalability.
Collaboration \&amp; Leadership
Collaborate closely with software engineers, product managers, data scientists, and business stakeholders.
Translate ambiguous business problems into well\-structured agentic solutions.
Mentor junior engineers and contribute to GenAI best practices and internal standards.
**Job Qualifications:**  
Technical Skills
Strong Python proficiency and experience building production\-grade services.
Deep understanding of LLMs and foundation models (GPT, Claude, Llama, etc.).
Hands\-on experience with agent frameworks (e.g., LangGraph, Semantic Kernel, DSPy, AutoGen, CrewAI, custom frameworks).
Strong knowledge of RAG architectures, vector databases, and embedding models.
Experience with structured outputs, function calling, JSON schemas, and tool orchestration.
Familiarity with LLM evaluation techniques and failure mode analysis.
Experience with APIs, microservices, and distributed systems.
Problem Solving \&amp; Communication
Strong analytical thinking and ability to structure ambiguous problems.
Ability to explain complex GenAI concepts to both technical and non\-technical audiences.
Proven ability to work cross\-functionally in fast\-moving environments.
**REQUIRED EDUCATION:**  
Master’s Degree in Computer Science, Data Science, Statistics, or a related field
**REQUIRED EXPERIENCE/KNOWLEDGE, SKILLS \&amp; ABILITIES:**  
* 6 plus years work experience as a data scientist preferably in healthcare environment but candidates with suitable experience in other industries will be considered
* Knowledge of big data technologies (e.g., Hadoop, Spark)
* Familiar with relational database concepts, and SDLC concepts
* Demonstrate critical thinking and the ability to bring order to unstructured problems
* Technical Proficiency: Strong programming skills in languages such as Python and R, and experience with machine learning frameworks like TensorFlow, Keras, or PyTorch.
* Statistical Analysis: Excellent understanding of statistical methods and machine learning algorithms, including k\-NN, Naive Bayes, SVM, and neural networks.
* Experience with Agentic Workflows: Familiarity with designing and implementing agentic workflows that leverage AI agents for autonomous operations.
* RAG Techniques: Knowledge of retrieval\-augmented generation techniques and their application in enhancing AI model outputs.
* Model Fine\-Tuning Expertise: Proven experience in fine\-tuning models for specific tasks, ensuring they meet the required performance metrics.
* Data Visualization: Proficiency in data visualization tools (e.g., Tableau, Power BI) to present complex data insights effectively.
* Database Management: Experience with SQL and NoSQL databases, data warehousing, and ETL processes.
* Problem\-Solving Skills: Strong analytical and problem\-solving abilities, with a focus on developing innovative solutions to complex challenges.
**PREFERRED EXPERIENCE:**  
Hands\-on experience building and deploying GenAI / LLM\-based systems.
Experience working in regulated industries (healthcare, finance, insurance).
Hands\-on experience with cloud GenAI platforms (Azure AI Studio / Foundry, Databricks, Snowflake Cortex).
Experience with observability and governance tools for GenAI systems.
Familiarity with NLP, document intelligence, or multimodal AI.
PhD or equivalent advanced research experience is a plus.
Proven experience designing agentic workflows, not just prompt\-based applications.
**To all current Molina employees:** If you are interested in applying for this position, please apply through the intranet job listing.
Molina Healthcare offers a competitive benefits and compensation package. Molina Healthcare is an Equal Opportunity Employer (EOE) M/F/D/V.
**Pay Range:** $107,028 \- $250,446 / ANNUAL
* Actual compensation may vary from posting based on geographic location, work experience, education and/or skill level.</t>
        </is>
      </c>
    </row>
    <row r="17">
      <c r="A17" t="inlineStr">
        <is>
          <t>in-9896bd5edee12e0a</t>
        </is>
      </c>
      <c r="B17" t="inlineStr">
        <is>
          <t>Senior Lead AI Engineer (Gen AI Platform Services, Agentic AI)</t>
        </is>
      </c>
      <c r="C17" t="inlineStr">
        <is>
          <t>Capital One</t>
        </is>
      </c>
      <c r="D17" t="inlineStr">
        <is>
          <t>indeed</t>
        </is>
      </c>
      <c r="E17">
        <f>HYPERLINK("https://www.indeed.com/viewjob?jk=9896bd5edee12e0a", "https://www.indeed.com/viewjob?jk=9896bd5edee12e0a")</f>
        <v/>
      </c>
      <c r="F17">
        <f>HYPERLINK("https://www.capitalonecareers.com/job/-/-/1732/91386385824", "https://www.capitalonecareers.com/job/-/-/1732/91386385824")</f>
        <v/>
      </c>
      <c r="G17" t="inlineStr">
        <is>
          <t>San Jose, CA, US</t>
        </is>
      </c>
      <c r="H17" s="3" t="n">
        <v>46056</v>
      </c>
      <c r="I17" t="inlineStr">
        <is>
          <t>Senior Lead AI Engineer (Gen AI Platform Services, Agentic AI)**Overview:**
At Capital One, we are creating responsible and reliable AI systems, changing banking for good. For years, Capital One has been an industry leader in using machine learning to create real\-time, personalized customer experiences. Our investments in technology infrastructure and world\-class talent — along with our deep experience in machine learning — position us to be at the forefront of enterprises leveraging AI. From informing customers about unusual charges to answering their questions in real time, our applications of AI \&amp; ML are bringing humanity and simplicity to banking. We are committed to continuing to build world\-class applied science and engineering teams to deliver our industry leading capabilities with breakthrough product experiences and scalable, high\-performance AI infrastructure. At Capital One, you will help bring the transformative power of emerging AI capabilities to reimagine how we serve our customers and businesses who have come to love the products and services we build.
**Team Description:**
The Intelligent Foundations and Experiences (IFX) team is at the center of bringing our vision for AI at Capital One to life. We work hand\-in\-hand with our partners across the company to advance the state of the art in science and AI engineering, and we build and deploy proprietary solutions that are central to our business and deliver value to millions of customers. Our AI models and platforms empower teams across Capital One to enhance their products with the transformative power of AI, in responsible and scalable ways for the highest leverage impact.
 **In this role, you will:**
* Partner with a cross\-functional team of engineers, research scientists, technical program managers, and product managers to deliver AI\-powered products that change how our associates work and how our customers interact with Capital One.
* Design, develop, test, deploy, and support AI software components including foundation model training, large language model inference, similarity search, guardrails, model evaluation, experimentation, governance, and observability, etc.
* Leverage a broad stack of Open Source and SaaS AI technologies such as AWS Ultraclusters, Huggingface, VectorDBs, Nemo Guardrails, PyTorch, and more.
* Invent and introduce state\-of\-the\-art LLM optimization techniques to improve the performance — scalability, cost, latency, throughput — of large scale production AI systems.
* Contribute to the technical vision and the long term roadmap of foundational AI systems at Capital One.
**The Ideal Candidate:**
* You love to build systems, take pride in the quality of your work, and also share our passion to do the right thing. You want to work on problems that will help change banking for good.
* Passion for staying abreast of the latest research, and an ability to intuitively understand scientific publications and judiciously apply novel techniques in production.
* You adapt quickly and thrive on bringing clarity to big, undefined problems. You love asking questions and digging deep to uncover the root of problems and can articulate your findings concisely with clarity. You have the courage to share new ideas even when they are unproven.
* You are deeply Technical. You possess a strong foundation in engineering and mathematics, and your expertise in hardware, software, and AI enable you to see and exploit optimization opportunities that others miss.
* You are a resilient trail blazer who can forge new paths to achieve business goals when the route is unknown.
**Basic Qualifications:**
* Bachelor's degree in Computer Science, AI, Electrical Engineering, Computer Engineering, or related fields plus at least 6 years of experience developing AI and ML algorithms or technologies, or a Master's degree in Computer Science, AI, Electrical Engineering, Computer Engineering, or related fields plus at least 4 years of experience developing AI and ML algorithms or technologies
* At least 6 years of experience programming with Python, Go, Scala, or Java
**Preferred Qualifications:**
* 7 years of experience deploying scalable and responsible AI solutions on cloud platforms (e.g. AWS, Google Cloud, Azure, or equivalent private cloud)
* Experience designing, developing, integrating, delivering, and supporting complex AI systems
* Demonstrated ability to lead and mentor an engineering team and influence cross\-functional stakeholders
* Experience developing AI and ML algorithms or technologies (e.g. LLM Inference, Similarity Search and VectorDBs, Guardrails, Memory) using Python, C\+\+, C\#, Java, or Golang
* Experience developing and applying state\-of\-the\-art techniques for optimizing training and inference software to improve hardware utilization, latency, throughput, and cost
* Passion for staying abreast of the latest AI research and AI systems, and judiciously apply novel techniques in production
* Excellent communication and presentation skills, with the ability to articulate complex AI concepts to peers
*Capital One will consider sponsoring a new qualified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Cambridge, MA: $229,900 \- $262,400 for Sr. Lead AI Engineer  
McLean, VA: $229,900 \- $262,400 for Sr. Lead AI Engineer  
New York, NY: $250,800 \- $286,200 for Sr. Lead AI Engineer  
San Jose, CA: $250,800 \- $286,200 for Sr. Lead AI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18">
      <c r="A18" t="inlineStr">
        <is>
          <t>in-fa4d95dc9edb11d3</t>
        </is>
      </c>
      <c r="B18" t="inlineStr">
        <is>
          <t>Senior Lead AI Engineer</t>
        </is>
      </c>
      <c r="C18" t="inlineStr">
        <is>
          <t>Capital One</t>
        </is>
      </c>
      <c r="D18" t="inlineStr">
        <is>
          <t>indeed</t>
        </is>
      </c>
      <c r="E18">
        <f>HYPERLINK("https://www.indeed.com/viewjob?jk=fa4d95dc9edb11d3", "https://www.indeed.com/viewjob?jk=fa4d95dc9edb11d3")</f>
        <v/>
      </c>
      <c r="F18">
        <f>HYPERLINK("https://www.capitalonecareers.com/job/-/-/1732/91377102608", "https://www.capitalonecareers.com/job/-/-/1732/91377102608")</f>
        <v/>
      </c>
      <c r="G18" t="inlineStr">
        <is>
          <t>San Jose, CA, US</t>
        </is>
      </c>
      <c r="H18" s="3" t="n">
        <v>46056</v>
      </c>
      <c r="I18" t="inlineStr">
        <is>
          <t>Senior Lead AI Engineer**Overview:**
At Capital One, we are creating responsible and reliable AI systems, changing banking for good. For years, Capital One has been an industry leader in using machine learning to create real\-time, personalized customer experiences. Our investments in technology infrastructure and world\-class talent — along with our deep experience in machine learning — position us to be at the forefront of enterprises leveraging AI. From informing customers about unusual charges to answering their questions in real time, our applications of AI \&amp; ML are bringing humanity and simplicity to banking. We are committed to continuing to build world\-class applied science and engineering teams to deliver our industry leading capabilities with breakthrough product experiences and scalable, high\-performance AI infrastructure. At Capital One, you will help bring the transformative power of emerging AI capabilities to reimagine how we serve our customers and businesses who have come to love the products and services we build.
**Team Description:**
The Intelligent Foundations and Experiences (IFX) team is at the center of bringing our vision for AI at Capital One to life. We work hand\-in\-hand with our partners across the company to advance the state of the art in science and AI engineering, and we build and deploy proprietary solutions that are central to our business and deliver value to millions of customers. Our AI models and platforms empower teams across Capital One to enhance their products with the transformative power of AI, in responsible and scalable ways for the highest leverage impact.
 **In this role, you will:**
* Partner with a cross\-functional team of engineers, research scientists, technical program managers, and product managers to deliver AI\-powered products that change how our associates work and how our customers interact with Capital One.
* Design, develop, test, deploy, and support AI software components including foundation model training, large language model inference, similarity search, guardrails, model evaluation, experimentation, governance, and observability, etc.
* Leverage a broad stack of Open Source and SaaS AI technologies such as AWS Ultraclusters, Huggingface, VectorDBs, Nemo Guardrails, PyTorch, and more.
* Invent and introduce state\-of\-the\-art LLM optimization techniques to improve the performance — scalability, cost, latency, throughput — of large scale production AI systems.
* Contribute to the technical vision and the long term roadmap of foundational AI systems at Capital One.
**The Ideal Candidate:**
* You love to build systems, take pride in the quality of your work, and also share our passion to do the right thing. You want to work on problems that will help change banking for good.
* Passion for staying abreast of the latest research, and an ability to intuitively understand scientific publications and judiciously apply novel techniques in production.
* You adapt quickly and thrive on bringing clarity to big, undefined problems. You love asking questions and digging deep to uncover the root of problems and can articulate your findings concisely with clarity. You have the courage to share new ideas even when they are unproven.
* You are deeply Technical. You possess a strong foundation in engineering and mathematics, and your expertise in hardware, software, and AI enable you to see and exploit optimization opportunities that others miss.
* You are a resilient trail blazer who can forge new paths to achieve business goals when the route is unknown.
**Basic Qualifications:**
* Bachelor's degree in Computer Science, AI, Electrical Engineering, Computer Engineering, or related fields plus at least 6 years of experience developing AI and ML algorithms or technologies, or a Master's degree in Computer Science, AI, Electrical Engineering, Computer Engineering, or related fields plus at least 4 years of experience developing AI and ML algorithms or technologies
* At least 6 years of experience programming with Python, Go, Scala, or Java
**Preferred Qualifications:**
* 7 years of experience deploying scalable and responsible AI solutions on cloud platforms (e.g. AWS, Google Cloud, Azure, or equivalent private cloud)
* Experience designing, developing, integrating, delivering, and supporting complex AI systems
* Demonstrated ability to lead and mentor an engineering team and influence cross\-functional stakeholders
* Experience developing AI and ML algorithms or technologies (e.g. LLM Inference, Similarity Search and VectorDBs, Guardrails, Memory) using Python, C\+\+, C\#, Java, or Golang
* Experience developing and applying state\-of\-the\-art techniques for optimizing training and inference software to improve hardware utilization, latency, throughput, and cost
* Passion for staying abreast of the latest AI research and AI systems, and judiciously apply novel techniques in production
* Excellent communication and presentation skills, with the ability to articulate complex AI concepts to peers
*Capital One will consider sponsoring a new qualified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McLean, VA: $229,900 \- $262,400 for Sr. Lead AI Engineer  
New York, NY: $250,800 \- $286,200 for Sr. Lead AI Engineer  
San Francisco, CA: $250,800 \- $286,200 for Sr. Lead AI Engineer  
San Jose, CA: $250,800 \- $286,200 for Sr. Lead AI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19">
      <c r="A19" t="inlineStr">
        <is>
          <t>in-cbc94f8c29b49762</t>
        </is>
      </c>
      <c r="B19" t="inlineStr">
        <is>
          <t>Lead AI Engineer (FM Hosting, LLM Inference)</t>
        </is>
      </c>
      <c r="C19" t="inlineStr">
        <is>
          <t>Capital One</t>
        </is>
      </c>
      <c r="D19" t="inlineStr">
        <is>
          <t>indeed</t>
        </is>
      </c>
      <c r="E19">
        <f>HYPERLINK("https://www.indeed.com/viewjob?jk=cbc94f8c29b49762", "https://www.indeed.com/viewjob?jk=cbc94f8c29b49762")</f>
        <v/>
      </c>
      <c r="F19">
        <f>HYPERLINK("https://www.capitalonecareers.com/job/-/-/1732/91386385456", "https://www.capitalonecareers.com/job/-/-/1732/91386385456")</f>
        <v/>
      </c>
      <c r="G19" t="inlineStr">
        <is>
          <t>New York, NY, US</t>
        </is>
      </c>
      <c r="H19" s="3" t="n">
        <v>46056</v>
      </c>
      <c r="I19" t="inlineStr">
        <is>
          <t>Lead AI Engineer (FM Hosting, LLM Inference)**Overview**
At Capital One, we are creating responsible and reliable AI systems, changing banking for good. For years, Capital One has been an industry leader in using machine learning to create real\-time, personalized customer experiences. Our investments in technology infrastructure and world\-class talent — along with our deep experience in machine learning — position us to be at the forefront of enterprises leveraging AI. From informing customers about unusual charges to answering their questions in real time, our applications of AI \&amp; ML are bringing humanity and simplicity to banking. We are committed to continuing to build world\-class applied science and engineering teams to deliver our industry leading capabilities with breakthrough product experiences and scalable, high\-performance AI infrastructure. At Capital One, you will help bring the transformative power of emerging AI capabilities to reimagine how we serve our customers and businesses who have come to love the products and services we build.
**Team Description:**
The Intelligent Foundations and Experiences (IFX) team is at the center of bringing our vision for AI at Capital One to life. We work hand\-in\-hand with our partners across the company to advance the state of the art in science and AI engineering, and we build and deploy proprietary solutions that are central to our business and deliver value to millions of customers. Our AI models and platforms empower teams across Capital One to enhance their products with the transformative power of AI, in responsible and scalable ways for the highest leverage impact.
 **In this role, you will:**
* Partner with a cross\-functional team of engineers, research scientists, technical program managers, and product managers to deliver AI\-powered products that change how our associates work and how our customers interact with Capital One.
* Design, develop, test, deploy, and support AI software components including foundation model training, large language model inference, similarity search, guardrails, model evaluation, experimentation, governance, and observability, etc.
* Leverage a broad stack of Open Source and SaaS AI technologies such as AWS Ultraclusters, Huggingface, VectorDBs, Nemo Guardrails, PyTorch, and more.
* Invent and introduce state\-of\-the\-art LLM optimization techniques to improve the performance — scalability, cost, latency, throughput — of large scale production AI systems.
* Contribute to the technical vision and the long term roadmap of foundational AI systems at Capital One.
**The Ideal Candidate:**
* You love to build systems, take pride in the quality of your work, and also share our passion to do the right thing. You want to work on problems that will help change banking for good.
* Passion for staying abreast of the latest research, and an ability to intuitively understand scientific publications and judiciously apply novel techniques in production.
* You adapt quickly and thrive on bringing clarity to big, undefined problems. You love asking questions and digging deep to uncover the root of problems and can articulate your findings concisely with clarity. You have the courage to share new ideas even when they are unproven.
* You are deeply Technical. You possess a strong foundation in engineering and mathematics, and your expertise in hardware, software, and AI enable you to see and exploit optimization opportunities that others miss.
* You are a resilient trail blazer who can forge new paths to achieve business goals when the route is unknown.
**Basic Qualifications:**
* Bachelor's degree in Computer Science, AI, Electrical Engineering, Computer Engineering, or related fields plus at least 4 years of experience developing AI and ML algorithms or technologies, or a Master's degree in Computer Science, AI, Electrical Engineering, Computer Engineering, or related fields plus at least 2 years of experience developing AI and ML algorithms or technologies
* At least 4 years of experience programming with Python, Go, Scala, or Java
**Preferred Qualifications:**
* 6 years of experience deploying scalable and responsible AI solutions on cloud platforms (e.g. AWS, Google Cloud, Azure, or equivalent private cloud)
* Experience designing, developing, delivering, and supporting AI services
* Experience developing AI and ML algorithms or technologies (e.g. LLM Inference, Similarity Search and VectorDBs, Guardrails, Memory) using Python, C\+\+, C\#, Java, or Golang
* Experience developing and applying state\-of\-the\-art techniques for optimizing training and inference software to improve hardware utilization, latency, throughput, and cost
* Passion for staying abreast of the latest AI research and AI systems, and judiciously apply novel techniques in production
*Capital One will consider sponsoring a new qualified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Cambridge, MA: $197,300 \- $225,100 for Lead AI Engineer  
McLean, VA: $197,300 \- $225,100 for Lead AI Engineer  
New York, NY: $215,200 \- $245,600 for Lead AI Engineer  
San Jose, CA: $215,200 \- $245,600 for Lead AI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20">
      <c r="A20" t="inlineStr">
        <is>
          <t>in-bdfb5b5ffcaa8455</t>
        </is>
      </c>
      <c r="B20" t="inlineStr">
        <is>
          <t>AI Engineer</t>
        </is>
      </c>
      <c r="C20" t="inlineStr">
        <is>
          <t>Barclays</t>
        </is>
      </c>
      <c r="D20" t="inlineStr">
        <is>
          <t>indeed</t>
        </is>
      </c>
      <c r="E20">
        <f>HYPERLINK("https://www.indeed.com/viewjob?jk=bdfb5b5ffcaa8455", "https://www.indeed.com/viewjob?jk=bdfb5b5ffcaa8455")</f>
        <v/>
      </c>
      <c r="F20">
        <f>HYPERLINK("https://search.jobs.barclays/job/-/-/13015/91386213008", "https://search.jobs.barclays/job/-/-/13015/91386213008")</f>
        <v/>
      </c>
      <c r="G20" t="inlineStr">
        <is>
          <t>Whippany, NJ, US</t>
        </is>
      </c>
      <c r="H20" s="3" t="n">
        <v>46056</v>
      </c>
      <c r="I20" t="inlineStr">
        <is>
          <t>Embark on a transformative journey as an AI Engineer. At Barclays, our vision is clear – to redefine the future of banking and help craft innovative solutions. This role anchors the firm’s transition from AI experimentation to AI excellence, connecting advanced AI research with real\-world, enterprise\-scale impact across digital, compliance, and financial transformation initiatives.
To be successful as an AI Engineer, you should have experience with:
* Designing and deploying applied AI and machine learning solutions that move from research into production
* Building and operationalizing LLM\-based systems using frameworks such as LangChain, LlamaIndex, CrewAI, or AutoGen
* Developing AI solutions in Python using modern ML frameworks such as PyTorch or TensorFlow
* Implementing AI systems within enterprise or regulated environments while addressing risk, governance, and controls
* Translating AI capabilities into measurable business outcomes such as revenue growth, risk reduction, or automation
Some other highly valued skills may include:
* Driving adoption of AI platforms, tools, or standards across large organizations
* Partnering across technology, compliance, and business teams to deliver scalable AI solutions
* Measuring and communicating the business impact of deployed AI models
* Contributing to AI strategy, roadmap definition, and best\-practice frameworks
* Mentoring and uplifting AI engineers or researchers within cross\-functional teams
You may be assessed on the key critical skills relevant for success in this role, such as risk and controls, change and transformation, business acumen, strategic thinking, digital and technology, as well as job\-specific technical skills.
This role is located in Whippany, New Jersey.
Minimum Salary: $170,000
Maximum Salary: $230,000
The minimum and maximum salary/rate information above includes only base salary or base hourly rate. It does not include any other type of compensation or benefits that may be available.
Barclays employees are eligible for a suite of competitive and generous employee benefits, including medical, dental and vision coverage, 401(k), life insurance, and other paid leave for qualifying circumstances.
This position is eligible for an incentive award.
**Purpose of the role**
To lead and manage engineering teams, providing technical guidance, mentorship, and support to ensure the delivery of high\-quality software solutions, driving technical excellence, fostering a culture of innovation, and collaborating with cross\-functional teams to align technical decisions with business objectives.
**Accountabilities**
* Lead engineering teams effectively, fostering a collaborative and high\-performance culture to achieve project goals and meet organizational objectives.
* Oversee timelines, team allocation, risk management and task prioritization to ensure the successful delivery of solutions within scope, time, and budget.
* Mentor and support team members' professional growth, conduct performance reviews, provide actionable feedback, and identify opportunities for improvement.
* Evaluation and enhancement of engineering processes, tools, and methodologies to increase efficiency, streamline workflows, and optimize team productivity.
* Collaboration with business partners, product managers, designers, and other stakeholders to translate business requirements into technical solutions and ensure a cohesive approach to product development.
* Enforcement of technology standards, facilitate peer reviews, and implement robust testing practices to ensure the delivery of high\-quality solutions.
**Vice President Expectations**
* To contribute or set strategy, drive requirements and make recommendations for change. Plan resources, budgets, and policies; manage and maintain policies/ processes; deliver continuous improvements and escalate breaches of policies/procedures..
* If managing a team, they define jobs and responsibilities, planning for the department’s future needs and operations, counselling employees on performance and contributing to employee pay decisions/changes. They may also lead a number of specialists to influence the operations of a department, in alignment with strategic as well as tactical priorities, while balancing short and long term goals and ensuring that budgets and schedules meet corporate requirements..
* If the position has leadership responsibilities, People Leaders are expected to demonstrate a clear set of leadership behaviours to create an environment for colleagues to thrive and deliver to a consistently excellent standard. The four LEAD behaviours are: L – Listen and be authentic, E – Energise and inspire, A – Align across the enterprise, D – Develop others..
* OR for an individual contributor, they will be a subject matter expert within own discipline and will guide technical direction. They will lead collaborative, multi\-year assignments and guide team members through structured assignments, identify the need for the inclusion of other areas of specialisation to complete assignments. They will train, guide and coach less experienced specialists and provide information affecting long term profits, organisational risks and strategic decisions..
* Advise key stakeholders, including functional leadership teams and senior management on functional and cross functional areas of impact and alignment.
* Manage and mitigate risks through assessment, in support of the control and governance agenda.
* Demonstrate leadership and accountability for managing risk and strengthening controls in relation to the work your team does.
* Demonstrate comprehensive understanding of the organisation functions to contribute to achieving the goals of the business.
* Collaborate with other areas of work, for business aligned support areas to keep up to speed with business activity and the business strategies.
* Create solutions based on sophisticated analytical thought comparing and selecting complex alternatives. In\-depth analysis with interpretative thinking will be required to define problems and develop innovative solutions.
* Adopt and include the outcomes of extensive research in problem solving processes.
* Seek out, build and maintain trusting relationships and partnerships with internal and external stakeholders in order to accomplish key business objectives, using influencing and negotiating skills to achieve outcomes.
All colleagues will be expected to demonstrate the Barclays Values of Respect, Integrity, Service, Excellence and Stewardship – our moral compass, helping us do what we believe is right. They will also be expected to demonstrate the Barclays Mindset – to Empower, Challenge and Drive – the operating manual for how we behave.</t>
        </is>
      </c>
    </row>
    <row r="21">
      <c r="A21" t="inlineStr">
        <is>
          <t>in-8e99418da339ad95</t>
        </is>
      </c>
      <c r="B21" t="inlineStr">
        <is>
          <t>Senior Applied AI Engineer</t>
        </is>
      </c>
      <c r="C21" t="inlineStr">
        <is>
          <t>Microsoft</t>
        </is>
      </c>
      <c r="D21" t="inlineStr">
        <is>
          <t>indeed</t>
        </is>
      </c>
      <c r="E21">
        <f>HYPERLINK("https://www.indeed.com/viewjob?jk=8e99418da339ad95", "https://www.indeed.com/viewjob?jk=8e99418da339ad95")</f>
        <v/>
      </c>
      <c r="F21">
        <f>HYPERLINK("https://apply.careers.microsoft.com/careers/job/1970393556745545?utm_source=indeed&amp;domain=microsoft.com", "https://apply.careers.microsoft.com/careers/job/1970393556745545?utm_source=indeed&amp;domain=microsoft.com")</f>
        <v/>
      </c>
      <c r="G21" t="inlineStr">
        <is>
          <t>Redmond, WA, US</t>
        </is>
      </c>
      <c r="H21" s="3" t="n">
        <v>46042</v>
      </c>
      <c r="I21" t="inlineStr">
        <is>
          <t>**Overview**  
Microsoft is seeking a **Senior Applied AI Engineer** to join a pioneering team focused on building the future of automated business workflows through Agentic AI systems and Digital Collaborators. This role is part of the Software Engineering discipline and combines strong engineering fundamentals with deep applied AI expertise.
You will work at the intersection of generative AI, large language models (LLMs), and Conversational and autonomous agent architectures, building intelligent systems capable of reasoning, planning, and executing complex, multi\-step tasks across enterprise environments.
As part of the Microsoft Dynamics organization, you will help shape the next generation of intelligent assistants and digital collaborators that deliver real business outcomes at scale. You will take applied AI solutions from experimentation through production deployment, influencing system architecture, product direction, and customer experience.
 **Culture \&amp; Values**
You’ll be part of an inclusive, customer\-driven team that values growth mindset, collaboration, and continuous learning. Our team is passionate about building AI solutions that empower users and transform industries. We operate at the forefront of AI innovation, with a strong sense of ownership, creativity, and purpose.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Design, build, and ship AI\-powered software systems leveraging generative AI, LLMs, and agentic reasoning frameworks.
* Develop and integrate autonomous AI agents capable of task decomposition, multi\-step planning, memory, tool usage, and dynamic decision\-making across enterprise workflows.
* Apply state\-of\-the\-art techniques including foundation models, prompt engineering, retrieval\-augmented generation (RAG), multi\-agent architectures, and classical machine learning where appropriate.
* Fine\-tune and adapt foundation models using domain\-specific data, and evaluate model behavior across relevance, quality, hallucination, bias, latency, and cost.
* Build rapid prototypes and translate them into production\-grade systems, contributing to deployment, debugging, monitoring, and operational excellence.
* Design and implement evaluation frameworks and automated evaluators, using offline experiments, shadow testing, online experimentation, and telemetry to measure impact and guide iteration.
* Partner closely with product managers, researchers, and engineers to bring agentic capabilities into Microsoft’s business and productivity platforms.
* Write high\-quality, well\-documented, and maintainable code, along with clear technical design specifications.
* Mentor engineers and contribute to raising the overall engineering and applied AI bar across the team.
* Apply Responsible AI principles throughout the development lifecycle, proactively identifying and mitigating risks related to fairness, bias, privacy, security, and misuse.
**Qualifications** **Required Qualifications:**
* Bachelor's Degree in Computer Science, Engineering, Data Science, Math, Business, or related field AND 4\+ years experience in engineering, product/technical program management, data analysis, or product development
	+ OR equivalent experience.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Qualifications:**
* 8\+ years of professional software development experience with at least one of the following: C\#, C\+\+, or Java.
* 8\+ years of professional experience building cloud applications, preferably full stack.
* 3\+ years of experience with GenAI, LLMs, or agentic systems.
* Experience designing and implementing enterprise\-scale services.
* Experience delivering Dynamics 365 and/or Power Platform solutions is desirable.
* Experience in agentic AI development and leveraging AI tools for development.
* Verbal, written, and cross\-team collaboration skills.
* Team player and collaborator across time zones and diverse stakeholder groups.
* Passion for improving software quality and engineering excellence.
* Experience developing, debugging, and supporting code in object\-oriented languages, as well as writing database queries.
* Experience building infrastructure using Microsoft Azure technologies such as Service Fabric, App Service, and Docker.
\#BICjosbs
Software Engineering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22">
      <c r="A22" t="inlineStr">
        <is>
          <t>in-97a435a696e08e1d</t>
        </is>
      </c>
      <c r="B22" t="inlineStr">
        <is>
          <t>Principal Applied Scientist</t>
        </is>
      </c>
      <c r="C22" t="inlineStr">
        <is>
          <t>Microsoft</t>
        </is>
      </c>
      <c r="D22" t="inlineStr">
        <is>
          <t>indeed</t>
        </is>
      </c>
      <c r="E22">
        <f>HYPERLINK("https://www.indeed.com/viewjob?jk=97a435a696e08e1d", "https://www.indeed.com/viewjob?jk=97a435a696e08e1d")</f>
        <v/>
      </c>
      <c r="F22">
        <f>HYPERLINK("https://apply.careers.microsoft.com/careers/job/1970393556751332?utm_source=indeed&amp;domain=microsoft.com", "https://apply.careers.microsoft.com/careers/job/1970393556751332?utm_source=indeed&amp;domain=microsoft.com")</f>
        <v/>
      </c>
      <c r="G22" t="inlineStr">
        <is>
          <t>Washington, DC, US</t>
        </is>
      </c>
      <c r="H22" s="3" t="n">
        <v>46055</v>
      </c>
      <c r="I22" t="inlineStr">
        <is>
          <t>**Overview**  
Be at the forefront of AI by joining M365 Copilot team and take part in shaping the future of AI\-powered user experiences across multiple Microsoft platforms. As a Principal Applied Scientist, you will transform how M365 users conduct Deep Research by finetuning LLMs, chain of thought techniques, intelligent information retrieval techniques or through agent orchestration. These innovations will enhance M365 Chat, Researcher agent, Windows Companions, or highly personalized search and recommendations systems in widely used office applications.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You will master and gain expertise in broad areas of AI and ML, including trending research techniques.
* You’ll also gain deep knowledge of building enterprise intelligence on office user’s data.
* You will review business requirements and incorporate research to meet business goals.
* You ‘ll provide strategic direction for the kinds of data used to solve problems and apply deep subject matter knowledge to support business impact.
* You will participate in onboarding of junior team members and assist in developing academics to be members of multidiscipline teams.
* You’ll identify new research talent to join Microsoft and collaborate with the academic community to develop the recruiting pipeline.
* You will document work in progress and experimentation results and share findings to promote innovation.
* You’ll also use your deep understanding of fairness and bias to contribute to ethics and privacy policies related to research processes and data collection.
* You will collaborate with a multidisciplinary team to create scalable and ethical AI solutions.
**Qualifications** **Required Qualifications:**
* Bachelor's Degree in Statistics, Econometrics, Computer Science, Electrical or Computer Engineering, or related field AND 8\+ years related experience (e.g., statistics, predictive analytics, research)
	+ OR Master's Degree in Statistics, Econometrics, Computer Science, Electrical or Computer Engineering, or related field AND 6\+ years related experience (e.g., statistics, predictive analytics, research)
	+ OR Doctorate in Statistics, Econometrics, Computer Science, Electrical or Computer Engineering, or related field AND 5\+ years related experience (e.g., statistics, predictive analytics, research)
	+ OR equivalent experience.
 **Other Requirements:**
*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Master's Degree in Statistics, Econometrics, Computer Science, Electrical or Computer Engineering, or related field AND 12\+ years related experience (e.g., statistics, predictive analytics, research)
	+ OR Doctorate in Statistics, Econometrics, Computer Science, Electrical or Computer Engineering, or related field AND 8\+ years related experience (e.g., statistics, predictive analytics, research)
	+ OR equivalent experience.
* 2\+ years experience presenting at conferences or other events in the outside research/industry community as an invited speaker.
* 5\+ years experience conducting research as part of a research program (in academic or industry settings).
* 3\+ years experience developing and deploying live production systems, as part of a product team.
* 3\+ years experience developing and deploying products or systems at multiple points in the product cycle from ideation to shipping.
* 5\+ years experience creating publications (e.g., patents, libraries, peer\-reviewed academic papers).
* 3\+ year(s) experience developing and deploying live production systems, as part of a product team.
* 1\+ years experience in Large Language Modeling (LLM) or Machine Learning (ML)
Applied Sciences IC6 \- The typical base pay range for this role across the U.S. is USD $163,000 \- $296,400 per year. There is a different range applicable to specific work locations, within the San Francisco Bay area and New York City metropolitan area, and the base pay range for this role in those locations is USD $220,800 \- $331,200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23">
      <c r="A23" t="inlineStr">
        <is>
          <t>in-bb22d971fb86c994</t>
        </is>
      </c>
      <c r="B23" t="inlineStr">
        <is>
          <t>Machine Learning Engineer - Platforms</t>
        </is>
      </c>
      <c r="C23" t="inlineStr">
        <is>
          <t>MD Anderson Cancer Center</t>
        </is>
      </c>
      <c r="D23" t="inlineStr">
        <is>
          <t>indeed</t>
        </is>
      </c>
      <c r="E23">
        <f>HYPERLINK("https://www.indeed.com/viewjob?jk=bb22d971fb86c994", "https://www.indeed.com/viewjob?jk=bb22d971fb86c994")</f>
        <v/>
      </c>
      <c r="F23">
        <f>HYPERLINK("https://jsv3.recruitics.com/redirect?rx_cid=3708&amp;rx_jobId=178799&amp;rx_url=https%3A%2F%2Fjobs.mdanderson.org%2Fsearch%2Fjobdetails%2Fmachine-learning-engineer---platforms%2F429d79f8-38ea-4c0c-9273-a07e7cb219e6%3Fafid%3Dbb5141b5-ab13-405b-a113-690fda969884%26rx_a%3D0%26rx_c%3D%26rx_ch%3Djobp4p%26rx_group%3D460772%26rx_id%3Dbf3e9c27-024b-11f1-8007-45fa46b5fbf6%26rx_job%3D178799%26rx_medium%3Dcpc%26rx_r%3Dnone%26rx_source%3Dindeed%26rx_ts%3D20260205T140412Z%26rx_vp%3Dcpc%26utm_source%3Drecruitics_indeed_organic", "https://jsv3.recruitics.com/redirect?rx_cid=3708&amp;rx_jobId=178799&amp;rx_url=https%3A%2F%2Fjobs.mdanderson.org%2Fsearch%2Fjobdetails%2Fmachine-learning-engineer---platforms%2F429d79f8-38ea-4c0c-9273-a07e7cb219e6%3Fafid%3Dbb5141b5-ab13-405b-a113-690fda969884%26rx_a%3D0%26rx_c%3D%26rx_ch%3Djobp4p%26rx_group%3D460772%26rx_id%3Dbf3e9c27-024b-11f1-8007-45fa46b5fbf6%26rx_job%3D178799%26rx_medium%3Dcpc%26rx_r%3Dnone%26rx_source%3Dindeed%26rx_ts%3D20260205T140412Z%26rx_vp%3Dcpc%26utm_source%3Drecruitics_indeed_organic")</f>
        <v/>
      </c>
      <c r="G23" t="inlineStr">
        <is>
          <t>Houston, TX, US</t>
        </is>
      </c>
      <c r="H23" s="3" t="n">
        <v>46055</v>
      </c>
      <c r="I23" t="inlineStr">
        <is>
          <t>a { text\-decoration: none; color: \#464feb; } tr th, tr td { border: 1px solid \#e6e6e6; } tr th { background\-color: \#f5f5f5; }  
As a **Machine Learning Engineer \- Platforms** within the **Data Impact \&amp; Governance** organization, you will shape and scale the enterprise AI/ML platform that powers clinical, research, and operational machine learning across the institution. This is a hands\-on engineering role with direct influence on how data science workflows operate institution\-wide\-enabling safe, efficient, and high\-impact AI delivery.  
You'll work with modern cloud and container technologies, MLOps frameworks, and enterprise\-grade tools while building solutions that improve patient care, strengthen operations, and accelerate scientific discovery.  
**What's in it for you?**  
* **Exceptional Benefits:** Enjoy **paid medical benefits**, generous **paid time off (PTO)**, strong **retirement plans**, and a comprehensive benefits package designed to support your total well\-being.
* **High\-Impact Work:** Develop and maintain the platforms that allow clinicians, researchers, and data scientists to bring AI solutions into real\-world healthcare environments.
* **Cutting\-Edge Technology:** Work with **Dataiku, Kubernetes, Azure, container technologies, and MLOps frameworks** that support large\-scale enterprise ML operations.
* **Career Growth:** Collaborate with ML engineers, data scientists, architects, and IT teams, gaining exposure to complex, enterprise\-wide AI initiatives and governance.
* **Mission\-Driven Culture:** Your work will contribute directly to improving patient outcomes and advancing research at a nationally recognized cancer center.
**Summary**  
The Machine Learning Engineer \- Platforms supports the development, reliability, and scalability of the enterprise AI/ML platform used across clinical and business operations. The role focuses on MLOps engineering, platform integration, automation, container management, model monitoring, and lifecycle governance. The engineer partners closely with data scientists, ML engineers, and enterprise IT teams to support AI development and deployment, while ensuring compliance, performance, and responsible AI practices.  
**Major Work Activities**  
**Technical Expertise**  
* Support development, administration, and maintenance of the enterprise AI/ML platform (Dataiku, Kubernetes, Azure), ensuring scalability, reliability, and smooth integration with institutional systems.
* Orchestrate training, deployment, and inference pipelines within Dataiku targeting Azure and on\-premises Kubernetes clusters.
* Develop and maintain MLOps workflows for reproducibility, version control, governance, and model lifecycle management.
* Manage and optimize containerized environments using Docker and Kubernetes to support data science workloads.
* Provide platform support for data scientists and ML engineers, troubleshooting environment, pipeline, and dependency issues.
* Monitor platform performance, cost, security, and compliance, ensuring alignment with enterprise and regulatory standards.
**Analytical Skills**  
* Build and support scalable pipelines in Dataiku, Kubernetes, and Azure, including feature engineering, model tracking, and validation workflows.
* Debug, test, and resolve complex platform or pipeline issues using strong analytical and problem\-solving skills.
* Assist with healthcare data integration using standards such as HL7, FHIR, or DICOM when required for model development.
**Professionalism: Oral \&amp; Written Communication**  
* Share platform knowledge, best practices, and methodologies through training, documentation, and cross\-team collaboration.
* Support analytics and automation workflows by enabling access to data, reviewing project requests, and assisting with interpretation.
* Communicate platform updates, risks, performance, and issue resolutions clearly during meetings and collaborative sessions.
* Work effectively with leaders, technical peers, and end users, ensuring strong communication across both technical and non\-technical stakeholders.
**Other Duties**  
* Perform additional tasks as assigned to support the AI/ML platform, MLOps practices, and enterprise data science initiatives.
**EDUCATION**  
* Required: Bachelor's Degree Computer Science, Software Engineering, Data Science, Physics, Math \&amp; Statistics, or another related engineering discipline.
* Preferred: Master's Degree Computer Science, Software Engineering, Data Science, Physics, Math \&amp; Statistics, or another related engineering discipline.
**WORK EXPERIENCE**  
* Required: 3 years in machine learning engineering, data science, data engineering, and/or software engineering experience.
* Required: 1 year experience with Master's degree.
* No experience required with PhD.
**Preferred Experience/Skills**: Healthcare experience needed, experience with MLOps platforms and/or cloud AI certifications, strong proficiency in CI/CD and automation of the AI lifecycle, experience working on healthcare focused machine learning projects. Experience with Azure and/or Kubernetes. Proficiency in services such as Azure Kubernetes Services and Azure ML (or similar).  
The University of Texas MD Anderson Cancer Center offers excellent benefits, including medical, dental, paid time off, retirement, tuition benefits, educational opportunities, and individual and team recognition.  
This position may be responsible for maintaining the security and integrity of critical infrastructure, as defined in Section 113\.001(2\) of the Texas Business and Commerce Code and therefore may require routine reviews and screening. The ability to satisfy and maintain all requirements necessary to ensure the continued security and integrity of such infrastructure is a condition of hire and continued employment.  
It is the policy of The University of Texas MD Anderson Cancer Center to provide equal employment opportunity without regard to race, color, religion, age, national origin, sex, gender, sexual orientation, gender identity/expression, disability, protected veteran status, genetic information, or any other basis protected by institutional policy or by federal, state, or local laws unless such distinction is required by law.http://www.mdanderson.org/about\-us/legal\-and\-policy/legal\-statements/eeo\-affirmative\-action.html  
Additional Information
* Requisition ID: 178799
* Employment Status: Full\-Time
* Employee Status: Regular
* Work Week: Days
* Minimum Salary: US Dollar (USD) 123,000
* Midpoint Salary: US Dollar (USD) 154,000
* Maximum Salary : US Dollar (USD) 185,000
* FLSA: exempt and not eligible for overtime pay
* Fund Type: Hard
* Work Location: Remote (within Texas only)
* Pivotal Position: Yes
* Referral Bonus Available?: Yes
* Relocation Assistance Available?: No
\#LI\-Remote</t>
        </is>
      </c>
    </row>
    <row r="24">
      <c r="A24" t="inlineStr">
        <is>
          <t>in-911ac996e70f98f6</t>
        </is>
      </c>
      <c r="B24" t="inlineStr">
        <is>
          <t>Full Stack AI Engineer – Healthcare</t>
        </is>
      </c>
      <c r="C24" t="inlineStr">
        <is>
          <t>ARTIFICIAL GENERALIZED INTELLIGENCE SOLUTIONS</t>
        </is>
      </c>
      <c r="D24" t="inlineStr">
        <is>
          <t>indeed</t>
        </is>
      </c>
      <c r="E24">
        <f>HYPERLINK("https://www.indeed.com/viewjob?jk=911ac996e70f98f6", "https://www.indeed.com/viewjob?jk=911ac996e70f98f6")</f>
        <v/>
      </c>
      <c r="F24">
        <f>HYPERLINK("https://www.agis.ai/jobs", "https://www.agis.ai/jobs")</f>
        <v/>
      </c>
      <c r="G24" t="inlineStr">
        <is>
          <t>US</t>
        </is>
      </c>
      <c r="H24" s="3" t="n">
        <v>46058</v>
      </c>
      <c r="I24" t="inlineStr">
        <is>
          <t>**Full Stack AI Engineer – Healthcare** 
**Location:** Remote with limited travel  
**Job Type:** Full\-time  
**Experience Level:** Mid\+
**Overview** 
We’re looking for a talented and detail\-oriented full stack engineer with strong experience in AI and web development. You'll work closely with and be the bridge between the product management team and clients to build AI assisted healthcare solutions.
**Responsibilities**
· Integrate AI services (LLMs, OCR, document processing, STT \&amp; TTS, or classification systems) into new and existing application architectures
· Adjust, refine, and version AI prompts and workflows to improve accuracy, reliability, and real\-world performance in production systems
· Develop high\-quality, reusable UI components using modern JavaScript frameworks
· Collaborate with designers, peers, and product management to deliver consistent, elegant experiences
· Thoroughly test and debug code, participate in code reviews, provide documentation, and ensure systems meet healthcare\-grade requirements
**Requirements**
· At least 3–6\+ years of experience as a full\-stack engineer
· Hands\-on experience integrating AI or ML services into applications, including prompt design and iteration for LLM\-based systems
· Strong proficiency with Node.js, Express, etc and building RESTful and event\-driven backend services
· Experience with modern web development (HTML, CSS, JavaScript, and at least one modern frontend framework or jQuery\-based production stacks)
· Comfort working across multiple codebases and projects simultaneously
· Familiarity with databases (SQL and/or NoSQL) and data modeling for real\-world applications
· Attention to detail and strong testing experience
**Nice to Have**
· Familiarity with automated, testing frameworks (e.g., Jest, Cypress)
· Knowledge of authentication/authorization patterns (JWT, role\-based access control)
· Experience with monitoring, logging, and production debugging
**What We Offer**
**About Us**
AGIS is a cutting\-edge, rapidly growing artificial intelligence company delivering proven, real\-world AI solutions across healthcare, gaming, retail, government, and education. We partner with forward\-thinking organizations to deploy intelligent systems that drive efficiency, insight, and measurable impact. At AGIS, you will work alongside a highly technical, execution\-focused team in a fast\-paced environment where ownership, initiative, and results matter. If you want to help shape the future of applied AI, this role offers a unique opportunity to grow with a company at the forefront of the industry.
**You’ll Experience:**
· Competitive salary \+ compensation structure
· Flexible working hours and with remote work options
· Opportunity to grow within a fast\-growing scale\-up
**How to Apply**
To ensure all applications are reviewed consistently, **applications must be submitted through our website**. Visit: https://www.agis.ai/jobs
Pay: $101,767\.41 \- $125,000\.00 per year
Benefits:
* 401(k) matching
* Health insurance
* Paid time off
Work Location: Remote</t>
        </is>
      </c>
    </row>
    <row r="25">
      <c r="A25" t="inlineStr">
        <is>
          <t>in-c8ec7b493e0fcc84</t>
        </is>
      </c>
      <c r="B25" t="inlineStr">
        <is>
          <t>AI/ML Engineer</t>
        </is>
      </c>
      <c r="C25" t="inlineStr">
        <is>
          <t>Contrast Security</t>
        </is>
      </c>
      <c r="D25" t="inlineStr">
        <is>
          <t>indeed</t>
        </is>
      </c>
      <c r="E25">
        <f>HYPERLINK("https://www.indeed.com/viewjob?jk=c8ec7b493e0fcc84", "https://www.indeed.com/viewjob?jk=c8ec7b493e0fcc84")</f>
        <v/>
      </c>
      <c r="F25">
        <f>HYPERLINK("https://jobs.ashbyhq.com/contrast-security/00944677-236e-4c39-b6f1-30c291b559f0", "https://jobs.ashbyhq.com/contrast-security/00944677-236e-4c39-b6f1-30c291b559f0")</f>
        <v/>
      </c>
      <c r="G25" t="inlineStr">
        <is>
          <t>Baltimore, MD, US</t>
        </is>
      </c>
      <c r="H25" s="3" t="n">
        <v>46057</v>
      </c>
      <c r="I25" t="inlineStr">
        <is>
          <t>At Contrast Security, we’re redefining how organizations protect their software at the speed of modern development. With industry\-leading Application Detection and Response (ADR), we give teams the power to detect, stop and fix real threats in real time. If you're passionate about building smarter, faster, more effective security, you’ll fit right in.
We’re looking for sharp minds, fearless builders, and problem\-solvers who thrive on turning complex challenges into innovative solutions.
Are you passionate about using AI and machine learning to revolutionize cybersecurity? Do you want to be part of a team that's building the next generation of intelligent application security solutions using both traditional ML models and modern AI systems? If so, we invite you to join Contrast Security as an AI/ML Engineer.
At Contrast Security, we are at the forefront of application security innovation. Our AI/ML team is developing cutting\-edge solutions like SmartFix (automated vulnerability remediation), intelligent vulnerability analysis, and next\-generation security tools that leverage the power of large language models and advanced machine learning. As an AI/ML Engineer, you'll play a crucial role in building and scaling these intelligent systems that protect software worldwide.
This is a **mid\-level** position perfect for a highly skilled and creative engineer who wants to make a significant impact in the intersection of AI and cybersecurity. We value both traditional ML expertise and modern AI application development skills \- ideally both, but strong experience in either domain is valuable.
What You'll Do (Responsibilities)
* **Core Model \&amp; System Development:** Design, build, and deploy production\-grade AI/ML systems to solve complex security problems, from traditional vulnerability detection models to LLM\-powered code analysis and remediation agents.
* **Generative AI Innovation:** Design and implement advanced prompt engineering strategies and build complex, multi\-step agentic workflows to power our intelligent features.
* **MLOps \&amp; Infrastructure:** Build and optimize the data pipelines, training workflows, and serving infrastructure that form the backbone of our AI platform.
* **Collaboration \&amp; Impact:** Partner closely with engineering teams and security researchers to integrate AI/ML models into the Contrast platform and solve real\-world customer problems.
* **Mentorship \&amp; Growth:** Contribute to our engineering culture by participating in code reviews, mentoring team members, and staying current with the latest research in AI and cybersecurity.
What You'll Bring (Qualifications)
**Required Qualifications:**
* 4\+ years of professional software engineering experience building and deploying production systems.
* Expertise in **Python** and common AI/ML frameworks.
* Proficiency in **Java** for building and maintaining production\-grade backend services.
* Demonstrable experience in **one or both** of the following areas:
	+ **A) Machine Learning:** Hands\-on experience building, training, and deploying ML models in production using frameworks like TensorFlow, PyTorch, or scikit\-learn.
	+ **B) Generative AI:** Experience developing applications using Large Language Models (LLMs), including prompt engineering, RAG systems, or agentic frameworks.
* Experience deploying applications in a cloud environment (e.g., AWS, GCP, Azure).
* A bachelor's degree in Computer Science, a related technical field, or equivalent practical experience.
**Preferred Qualifications:**
* A strong understanding of application security concepts and vulnerability types.
* Experience with MLOps tools and practices (e.g., Docker, Kubernetes, CI/CD).
* Experience using AI coding assistants (e.g., GitHub Copilot, Claude Code) as part of your professional workflow.
We're transforming the way the world secures software. If you're ready to make a real impact, thrive in a fast\-paced environment, and grow alongside a team of passionate professionals, we’d love to hear from you.
Apply today and help us shape the future of application security.</t>
        </is>
      </c>
    </row>
    <row r="26">
      <c r="A26" t="inlineStr">
        <is>
          <t>in-5748c0aa272b72e5</t>
        </is>
      </c>
      <c r="B26" t="inlineStr">
        <is>
          <t>AI/ML Engineer</t>
        </is>
      </c>
      <c r="C26" t="inlineStr">
        <is>
          <t>Dhara Consulting Group</t>
        </is>
      </c>
      <c r="D26" t="inlineStr">
        <is>
          <t>indeed</t>
        </is>
      </c>
      <c r="E26">
        <f>HYPERLINK("https://www.indeed.com/viewjob?jk=5748c0aa272b72e5", "https://www.indeed.com/viewjob?jk=5748c0aa272b72e5")</f>
        <v/>
      </c>
      <c r="F26">
        <f>HYPERLINK("https://www.clearancejobs.com/jobs/8740084/aiml-engineer", "https://www.clearancejobs.com/jobs/8740084/aiml-engineer")</f>
        <v/>
      </c>
      <c r="G26" t="inlineStr">
        <is>
          <t>Fairborn, OH, US</t>
        </is>
      </c>
      <c r="H26" s="3" t="n">
        <v>46057</v>
      </c>
      <c r="I26" t="inlineStr">
        <is>
          <t>Posted today
Top Secret/SCI
$118,000 \- $125,000
Unspecified
Fairborn, OH (On\-Site/Office)**Riverside Overview**  
Riverside Research is an independent National Security Nonprofit dedicated to research and development in the national interest. We provide high\-end technical services, research and development, and prototype solutions to some of the country's most challenging technical problems.  
All Riverside Research opportunities require U.S. Citizenship.  
**Position Overview**  
Riverside Research is seeking an Artificial Intelligence / Machine Learning Engineer to support existing contracts to prototype and develop automation solutions to NASIC's most difficult Scientific \&amp; Technical Intelligence problems. As a highly valued and sought\-after Riverside Research employee, you will be part of a highly skilled and integrated team that analyzes intelligence data to discover opportunities for automated solutions.  
**Responsibilities**  
AI/ML Algorithm R\&amp;D  
* Develop innovative machine learning and computer vision solutions to analyze and exploit large, complex datasets from remote sensing phenomenology
* Develop algorithms and associated software tools using Python and associated machine learning libraries (PyTorch, TensorFlow)
* Train AI/ML models and tune their hyperparameters for a given dataset and algorithm objectives
* Provide solutions for data collection and data linting that enable rapid, automated curation of training data
* Keep up with the SoTA practices for AI/ML
Software development, documentation, and coding best practices:  
* Adhere to teams' standards for reviewing source code, unit\-testing, source code control, and documentation practices
* Utilize Python PEP8 standards
Beneficial FPGA experience  
* Design, implement, and optimize FPGA logic using AMD/Xilinx toolchains (Vivado, Vitis, HLS) development in VHDL/Verilog
* Integrate FPGA designs into larger systems, ensuring robust verification, documentation, and deployment across multiple platforms (Zynq/Zynq UltraScale\+, Versal, or custom boards)
**Qualifications**  
Required Qualifications:  
* Ability to obtain TS/SCI clearance
* Bachelor's Degree in either Electrical Engineering, Mathematics, Statistics, Physics, Computer Science, or related field of study
* Experience with AI/ML, software R\&amp;D, or related experience
* Proficiency in Python\-based AI/ML model development
* Awareness of version control, branches, merge conflict resolution, and git in general
* Proficient in collaborative Office 365 tools such as MS Word, Excel, and PowerPoint
* Ability to work closely with subject\-matter experts to develop tools, algorithms, and datasets needed for developing relevant and useful AI/ML prototype algorithms
* Self\-driven, strong analytic, inferencing, critical thinking, and creative problem\-solving skills
* Communicates highly technical results and methods clearly and succinctly
Desired Qualifications:  
* Pursuing advanced degree (MS/PhD) in Data Science, Mathematics, Statistics, Computer Science, a Physical Science or Engineering is strongly desired
* 1\+ years' experience with AI/ML, software R\&amp;D, or related experience
* Experience with DoD intelligence production processes and workflows
* Experience in radar signal processing analysis, overhead imagery analysis, orbital mechanics, and/or electronic warfare data analysis
* Experience using data visualization tools and libraries in Python
* Visualizations/Web Development Skills (e.g., Tableau, MEAN stack \- MongoDB, ExpressJS, AngularJS, NodeJS)
* Experience with large (1 GB \+) image data and formats such as HDF5, JSON, GEOTIFF, TFRecords, etc.
* Experience in development of distributed, web\-based systems, service\-oriented architectures, front\-end user interfaces, and back\-end databases are a plus
* Experience with interpretability of deep learning computer vision models including visualization and reasoning about model latent spaces and activation maps to assess model effectiveness / weaknesses
* Familiarity in differences of supervised learning vs. unsupervised learning techniques
**Global Comp**  
$118,000 \- $125,000 This represents the typical compensation range for this position based on experience, location and other factors.
**Closing Statement**  
Riverside Research Institute is a not\-for\-profit, technology\-oriented defense company, where service to our customers and support of our staff is our overall mission. Riverside is an affirmative action\-equal opportunity employer and complies with all applicable federal, state, and local laws regarding recruitment and hiring. Riverside offers comprehensive compensation and benefit packages to our employees.  
Riverside bases its employment decisions solely on technical experience, qualifications and other job\-related criteria related to our organizational purpose as a not\-for\-profit company, and without regard to race, color, religion, age, sex marital status, sexual orientation, national origin, physical or mental disability, veteran's status or any other status legally protected by applicable federal, state, and local law.**GROUP ID:** 10184231**R****Recruiter**
**APPLY NOW**</t>
        </is>
      </c>
    </row>
    <row r="27">
      <c r="A27" t="inlineStr">
        <is>
          <t>in-ae64c0cc86727cd3</t>
        </is>
      </c>
      <c r="B27" t="inlineStr">
        <is>
          <t>Sr Machine Learning Engineer</t>
        </is>
      </c>
      <c r="C27" t="inlineStr">
        <is>
          <t>Capital One</t>
        </is>
      </c>
      <c r="D27" t="inlineStr">
        <is>
          <t>indeed</t>
        </is>
      </c>
      <c r="E27">
        <f>HYPERLINK("https://www.indeed.com/viewjob?jk=ae64c0cc86727cd3", "https://www.indeed.com/viewjob?jk=ae64c0cc86727cd3")</f>
        <v/>
      </c>
      <c r="F27">
        <f>HYPERLINK("https://www.capitalonecareers.com/job/-/-/1732/91369457248", "https://www.capitalonecareers.com/job/-/-/1732/91369457248")</f>
        <v/>
      </c>
      <c r="G27" t="inlineStr">
        <is>
          <t>San Francisco, CA, US</t>
        </is>
      </c>
      <c r="H27" s="3" t="n">
        <v>46056</v>
      </c>
      <c r="I27" t="inlineStr">
        <is>
          <t>Sr Machine Learning Engineer**As a Capital One Machine Learning Engineer (MLE), you'll be part of an Agile team dedicated to productionizing machine learning applications and systems at scale. You’ll participate in the detailed technical design, development, and implementation of machine learning applications using existing and emerging technology platforms. You’ll focus on machine learning architectural design, develop and review model and application code, and ensure high availability and performance of our machine learning applications. You'll have the opportunity to continuously learn and apply the latest innovations and best practices in machine learning engineering.**
**What you’ll do in the role:**
**The MLE role overlaps with many disciplines, such as Ops, Modeling, and Data Engineering. In this role, you'll be expected to perform many ML engineering activities, including one or more of the following:**
* **Design, build, and/or deliver ML models and components that solve real\-world business problems, while working in collaboration with the Product and Data Science teams.**
* **Inform your ML infrastructure decisions using your understanding of ML modeling techniques and issues, including choice of model, data, and feature selection, model training, hyperparameter tuning, dimensionality, bias/variance, and validation).**
* **Solve complex problems by writing and testing application code, developing and validating ML models, and automating tests and deployment.**
* **Collaborate as part of a cross\-functional Agile team to create and enhance software that enables state\-of\-the\-art big data and ML applications.**
* **Retrain, maintain, and monitor models in production.**
* **Leverage or build cloud\-based architectures, technologies, and/or platforms to deliver optimized ML models at scale.**
* **Construct optimized data pipelines to feed ML models.**
* **Leverage continuous integration and continuous deployment best practices, including test automation and monitoring, to ensure successful deployment of ML models and application code.**
* **Ensure all code is well\-managed to reduce vulnerabilities, models are well\-governed from a risk perspective, and the ML follows best practices in Responsible and Explainable AI.**
* **Use programming languages like Python, Scala, or Java.**
**Basic Qualifications:**
* **Bachelor’s Degree**
* **At least 4 years of experience programming with Python, Scala, or Java (Internship experience does not apply)**
* **At least 3 years of experience designing and building data\-intensive solutions using distributed computing**
* **At least 2 years of on\-the\-job experience with an industry recognized ML frameworks (scikit\-learn, PyTorch, Dask, Spark, or TensorFlow)**
* **At least 1 year of experience productionizing, monitoring, and maintaining models**
**Preferred Qualifications:**
* **1\+ years of experience building, scaling, and optimizing ML systems**
* **1\+ years of experience with data gathering and preparation for ML models**
* **2\+ years of experience developing performant, resilient, and maintainable code**
* **Experience developing and deploying ML solutions in a public cloud such as AWS, Azure, or Google Cloud Platform**
* **Master's or doctoral degree in computer science, electrical engineering, mathematics, or a similar field**
* **3\+ years of experience with distributed file systems or multi\-node database paradigms**
* **Contributed to open source ML software**
* **Authored/co\-authored a paper on a ML technique, model, or proof of concept**
* **3\+ years of experience building production\-ready data pipelines that feed ML models**
* **Experience designing, implementing, and scaling complex data pipelines for ML models and evaluating their performance**
***At this time, Capital One will not sponsor a new applicant for employment authorization, or offer any immigration related support for this position (i.e. H1B, F\-1 OPT, F\-1 STEM OPT, F\-1 CPT, J\-1, TN, E\-2, E\-3, L\-1 and O\-1, or any EADs or other forms of work authorization that require immigration support from an employer).***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San Francisco, CA: $176,500 \- $201,400 for Senior Machine Learning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28">
      <c r="A28" t="inlineStr">
        <is>
          <t>in-33466b805d9e09d6</t>
        </is>
      </c>
      <c r="B28" t="inlineStr">
        <is>
          <t>Machine Learning Engineer II</t>
        </is>
      </c>
      <c r="C28" t="inlineStr">
        <is>
          <t>Microsoft</t>
        </is>
      </c>
      <c r="D28" t="inlineStr">
        <is>
          <t>indeed</t>
        </is>
      </c>
      <c r="E28">
        <f>HYPERLINK("https://www.indeed.com/viewjob?jk=33466b805d9e09d6", "https://www.indeed.com/viewjob?jk=33466b805d9e09d6")</f>
        <v/>
      </c>
      <c r="F28">
        <f>HYPERLINK("https://apply.careers.microsoft.com/careers/job/1970393556750281?utm_source=indeed&amp;domain=microsoft.com", "https://apply.careers.microsoft.com/careers/job/1970393556750281?utm_source=indeed&amp;domain=microsoft.com")</f>
        <v/>
      </c>
      <c r="G28" t="inlineStr">
        <is>
          <t>Redmond, WA, US</t>
        </is>
      </c>
      <c r="H28" s="3" t="n">
        <v>46054</v>
      </c>
      <c r="I28" t="inlineStr">
        <is>
          <t>**Overview**  
Microsoft is pioneering the future of collaborative intelligence through AI\-native agents that transform how people work together (e.g., through Microsoft Teams). As part of our applied research initiative, we are reimagining the foundations of teamwork—making collaboration more intuitive, productive, and adaptive across diverse modalities and contexts. We are seeking a **Machine Learning Engineer II** with deep expertise in large\-scale model deployment, production\-grade systems, and engineering excellence.
As a **Machine Learning Engineer II**, you will work alongside leading scientists to build and optimize infrastructure for frontier models—including large language models (LLM), small language models (SLM), and multimodal systems—leveraging both proprietary and open\-source frameworks. Your responsibilities will span the full engineering lifecycle: from model training and serving to monitoring and continuous deployment, with a focus on reliability, performance, and scalability in real\-world environments.
We value startup\-style efficiency and practical problem\-solving. We are seeking a curious, adaptable problem\-solver who thrives on continuous learning, embraces changing priorities, and is motivated by creating meaningful impact. Candidates must be self\-driven, able to write production\-grade code and debug complex distributed systems, understand how to best leverage extensive graphics processing unit (GPU) resources, document engineering decisions, and demonstrate a track record in shipping ML systems at scale. The ability to quickly translate ideas into working code for rapid experimentation is a plus. You may include information about any individual who can serve as your referral in your application.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Research and develop an understanding of the state\-of\-the\-art tools, technologies, and methods being used in the research community and product groups.
* Advance research agenda through one or more projects, yielding new algorithms, prototypes, theories, tools, methods, or collections of data.
* Drive the team's strategic vision and align it with the overall company objectives.
* Collaborate with stakeholders to define project goals, success criteria, and deliverables.
**Qualifications** **Required Qualifications:**
* Bachelor's Degree in Computer Science or related technical field AND 2\+ years technical engineering experience with building ML infra and deploying ML models for scaled production services (including in research settings) and coding in languages including, but not limited to, C, C\+\+, C\#, Java, JavaScript, or Python
	+ OR equivalent experience.
**Other Requirements:**
*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Master's Degree in Computer Science or related technical field AND 3\+ years technical engineering experience with coding in languages including, but not limited to, C, C\+\+, C\#, Java, JavaScript, or Python
	+ OR Bachelor's Degree in Computer Science or related technical field AND 5\+ years technical engineering experience with coding in languages including, but not limited to, C, C\+\+, C\#, Java, JavaScript, or Python
	+ OR equivalent experience.
* 3\+ years experience with Python and relevant ML libraries (e.g., PyTorch).
* 3\+ years experience with building ML infrastructure and developing and deploying ML models.
* 3\+ years experience in coding and design, specifically in the development of AI models for scaled production services.
* 3\+ years experience in shipping applied research to production, highlighting a track record of combining coding skills with advanced expertise in AI model development.
* Publication record in the areas of Large Language Models, Machine Learning, or Natural Language Processing.
Software Engineering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9"/>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li-4359127128</t>
        </is>
      </c>
      <c r="B2" t="inlineStr">
        <is>
          <t>Principal AI Engineer (Autonomous Agent) (US)</t>
        </is>
      </c>
      <c r="C2" t="inlineStr">
        <is>
          <t>PointClickCare</t>
        </is>
      </c>
      <c r="D2" t="inlineStr">
        <is>
          <t>linkedin</t>
        </is>
      </c>
      <c r="E2" t="inlineStr"/>
      <c r="F2" t="inlineStr"/>
      <c r="G2" t="inlineStr"/>
      <c r="H2" t="inlineStr"/>
      <c r="I2" t="inlineStr">
        <is>
          <t>At PointClickCare our mission is simple: to help providers deliver exceptional care. And that starts with our people. As a leading health tech company that’s founder\-led and privately held, we empower our employees to push boundaries, innovate, and shape the future of healthcare.
 With the largest long\-term and post\-acute care dataset and a Marketplace of 400\+ integrated partners, our platform serves over 30,000 provider organizations, making a real difference in millions of lives. We also reinvest a significant percentage of our revenue back into research and development, ensuring our employees have the resources to innovate and make a lasting impact. Recognized by Forbes as a top private cloud company and honored as one of Canada’s Most Admired Corporate Cultures, we offer flexibility, growth opportunities, and meaningful work.
 At PointClickCare, we empower our people to be the architects of a smarter healthcare future; one that is human\-first and accelerated by AI to create meaningful and lasting change. Employees harness AI as a catalyst for creativity, productivity, and thoughtful decision\-making. By integrating AI tools into our daily workflows, collaboration is enhanced, outcomes are improved, and every team member has the proficiency to maximize their impact. It all starts with our hiring practices where we uncover AI expertise that complements our mission, and we continue to invest in training and development to nurture innovation throughout the employee journey.
 Join us in redefining healthcare — so it doesn’t just survive, it thrives. To learn more about PointClickCare, check out Life at PointClickCare and connect with us on Glassdoor and LinkedIn.
* Travel to Office expectations\*\*
**For Remote Roles** 
 : If this role is remote, there will be in\-office events that will require travel to and from the Mississauga and/or Salt Lake City office. These will include, but not limited to, onboarding, team events, semi\-annual and annual team meetings.
**For Hybrid Roles** 
 : If this role is Hybrid, there will be an expectation to reside within commutable distance to the office/location specified in the job listing. This will include, but not limited to, weekly/bi\-weekly/monthly events in the office with your specific team. This is a requirement for this role.
**Team Summary**
 This team will serve as the product owner for GenAI capabilities within PointClickCare, working closely with other engineering teams across the organization to identify, build and support generative AI solutions. This centralized team with deep specialization, closely integrated with key horizontal partners to ensure delivery of safe, scalable and high\-impact AI products.
**Job Summary**
 The AI Engineer – Autonomous Agent will work closely with the Product and Engineering teams to design and implement agent\-based solutions that align with product goals. The AI Engineer – Autonomous Agent will also build new agent data types and pipelines and enable frameworks and workflows for agent reasoning, function calling, and action coordination.
**Key Responsibilities**
* Collaborate with product and engineering teams to translate product objectives into autonomous agent\-based solutions.
* Design and build new agent data types, and pipelines that enable agents frameworks, and workflows to coordinate reasoning, function calling, actions
* Develop and optimize autonomous agents leveraging LLMs, planning algorithms, and multi\-step reasoning approaches.
* Implement comprehensive security mechanisms for autonomous agents, including authentication, role\-based access control, audit logging, and compliance monitoring
* Integrate agents securely with existing systems, APIs, and data sources with secure communication protocols
**Qualifications \&amp; Skills**
* Expert level in Python, frameworks, and functional programming principles
* Experience designing and implementing LLM agent workflows, and familiarity with frameworks such as LangChain, LlamaIndex, LangGraph, CrewAI, and AutoGen.
**Preferred**
* Master’s degree or higher in Artificial Intelligence.
* Experience implementing security at scale including role\-based access control, multi\-factor authentication, network security best practices, and compliance monitoring.
**PointClickCare Benefits \&amp; Perks**
 Benefits starting from Day 1!
 Retirement Plan Matching
 Flexible Paid Time Off
 Wellness Support Programs and Resources
 Parental \&amp; Caregiver Leaves
 Fertility \&amp; Adoption Support
 Continuous Development Support Program
 Employee Assistance Program
 Allyship and Inclusion Communities
 Employee Recognition … and more!
 It is the policy of PointClickCare to ensure equal employment opportunity without discrimination or harassment on the basis of race, religion, national origin, status, age, sex, sexual orientation, gender identity or expression, marital or domestic/civil partnership status, disability, veteran status, genetic information, or any other basis protected by law. PointClickCare welcomes and encourages applications from people with disabilities. Accommodations are available upon request for candidates taking part in all aspects of the selection process. Please contact recruitment@pointclickcare.com should you require any accommodations. As part of our commitment to a streamlined and equitable hiring experience, PointClickCare uses AI tools to assist with candidate screening and assessment.
 When you apply for a position, your information is processed and stored with Lever, in accordance with Lever’s Privacy Policy. We use this information to evaluate your candidacy for the posted position. We also store this information, and may use it in relation to future positions to which you apply, or which we believe may be relevant to you given your background. When we have no ongoing legitimate business need to process your information, we will either delete or anonymize it. If you have any questions about how PointClickCare uses or processes your information, or if you would like to ask to access, correct, or delete your information, please contact PointClickCare’s human resources team: recruitment@pointclickcare.com
 PointClickCare is committed to Information Security. By applying to this position, if hired, you commit to following our information security policies and procedures and making every effort to secure confidential and/or sensitive information.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
*At PointClickCare, base salary is one of the many components that make up our total rewards package. The US base salary range for this position is $179,000\-199,000 (not overtime eligible) \+ bonus \+ benefits. Our salary ranges are determined by job and level. The range displayed on each job posting reflects the target for new hire salaries for the position across all US locations. Within the range, individual compensation is determined by job\-related skills and knowledge, relevant experience including professional and lived experience, and/or work location. Your recruiter can share more information about our total rewards package during the hiring process.*</t>
        </is>
      </c>
    </row>
    <row r="3">
      <c r="A3" t="inlineStr">
        <is>
          <t>li-4357644016</t>
        </is>
      </c>
      <c r="B3" t="inlineStr">
        <is>
          <t>Data Scientist (ML Engineer) - San Ramon, CA</t>
        </is>
      </c>
      <c r="C3" t="inlineStr">
        <is>
          <t>Franklin Templeton</t>
        </is>
      </c>
      <c r="D3" t="inlineStr">
        <is>
          <t>linkedin</t>
        </is>
      </c>
      <c r="E3" t="inlineStr"/>
      <c r="F3" t="inlineStr"/>
      <c r="G3" t="inlineStr">
        <is>
          <t>San Ramon, CA</t>
        </is>
      </c>
      <c r="H3" t="inlineStr"/>
      <c r="I3" t="inlineStr">
        <is>
          <t>At Franklin Templeton, we’re advancing our industry forward by developing new and innovative ways to help our clients achieve their investment goals. Our dynamic firm spans asset management, wealth management, and fintech, offering many ways to help investors make progress toward their goals. Our talented teams working around the globe bring expertise that’s both broad and unique. From our welcoming, inclusive, and flexible culture to our global and diverse business, we provide opportunities to help you reach your potential while helping our clients reach theirs.
**Come join us in delivering better outcomes for our clients around the world!**
**About The Department**
**Franklin Templeton Technology (FTT)** 
 drives the technology strategy and delivers innovative technology solutions for Franklin Templeton (FT), a global investment leader delivering innovative multi\-asset solutions across public and private markets. FT integrates asset allocation, manager research, and implementation to drive portfolio construction, execution, and strategic oversight. Joining FT means working in a collaborative, growth\-oriented environment that values innovation in investment technology.
**What is the Data Scientist (ML Engineer) in the FTT Digital Technology Group Responsible For?**
 As a
 **Data Scientist / ML Engineer** 
 , you will play a critical role in
 **designing, building, and productionizing machine learning systems** 
 that solve real\-world business problems. You will focus on
 **end\-to\-end ML lifecycle ownership** 
 , including data ingestion, feature engineering, model development, deployment, monitoring, and optimization in production environments.
 You will work closely with
 **data engineering, platform, and product teams** 
 to deliver scalable, reliable, and secure ML solutions. Under the guidance of senior technical leaders, you will contribute to
 **engineering\-grade ML architecture** 
 , gain hands\-on experience with
 **cloud\-native ML systems** 
 , and help advance the organization’s AI capabilities.
**Job Location** 
 : San Mateo or San Ramon, California office (Hybrid Schedule)
**Ongoing Responsibilities (Engineering\-Focused)**
***Data Engineering \&amp; Pipelines***
* Design, implement, and maintain robust, scalable data pipelines for ML workloads.
* Build automated data ingestion, validation, and preprocessing frameworks.
* Collaborate with data engineers to integrate ML workflows into enterprise data platforms.
* Optimize data storage and access patterns for high\-volume, high\-performance ML use cases.
* Ensure data quality, lineage, and reproducibility across ML pipelines.
***Machine Learning Engineering***
* Develop, optimize, and maintain production\-grade machine learning models.
* Implement feature engineering pipelines and reusable ML components.
* Design and build end\-to\-end ML architectures, from experimentation to deployment.
* Apply model evaluation, testing, and validation frameworks to ensure robustness.
* Lead efforts in Generative AI system design, mentoring team members on applied GenAI patterns and best practices.
* Translate ambiguous business problems into clear technical designs and ML system architectures.
***MLOps \&amp; Production Systems***
* Deploy ML models using CI/CD pipelines, containerization, and cloud\-native services.
* Implement model monitoring, performance tracking, drift detection, and retraining strategies.
* Partner with platform teams to ensure models meet security, scalability, and reliability standards.
* Troubleshoot and optimize ML systems in production environments.
* Contribute to ML platform standards, tooling, and reusable frameworks.
***Cross\-Functional Engineering Collaboration***
* Work closely with product managers, engineers, and business stakeholders to define technical requirements.
* Translate analytical insights into engineering deliverables for downstream systems.
* Communicate technical designs, trade\-offs, and system behavior to both technical and non\-technical audiences.
* Collaborate with domain experts to integrate business logic into ML system design.
***Continuous Learning \&amp; Technical Innovation***
* Stay current with advancements in ML engineering, cloud platforms, MLOps, and Generative AI.
* Prototype and evaluate new tools, architectures, and frameworks.
* Contribute to technical documentation, design reviews, and best practices.
* Continuously improve system reliability, performance, and maintainability.
**Ideal Qualifications, Skills \&amp; Experience (Engineering\-Heavy)**
***Education \&amp; Experience***
* Bachelor’s or Master’s degree in Computer Science, Engineering, Data Science, or related discipline.
* 5\+ years of hands\-on experience building and deploying ML systems in production.
***Core Technical Skills***
* Strong proficiency in Python with experience building production ML code.
* Advanced SQL skills and experience working with large\-scale datasets.
* Experience with machine learning frameworks.
* Hands\-on experience with data pipelines, feature stores, and ML workflows.
* Familiarity with Generative AI models and applied GenAI system patterns.
***ML Engineering \&amp; MLOps***
* Experience deploying models using containers (Docker) and CI/CD pipelines.
* Exposure to cloud platforms (AWS, Azure, or GCP) and managed ML services.
* Understanding of model monitoring, drift detection, and lifecycle management.
* Ability to design scalable, fault\-tolerant ML architectures.
***Engineering Mindset***
* Strong ability to translate business problems into engineering solutions.
* Comfortable working with ambiguous requirements and defining technical direction.
* Experience designing modular, reusable, and maintainable systems.
* Strong debugging, performance optimization, and problem\-solving skills.
***Collaboration \&amp; Communication***
* Ability to explain complex ML systems and trade\-offs to diverse stakeholders.
* Strong written and verbal communication skills.
* Team\-oriented with the ability to work independently and take ownership.
* Effective planning, prioritization, and execution in fast\-paced environments.
**Compensation Range** 
 : Along with base compensation, other compensation is offered such as a discretionary bonus, 401k plan, health insurance, and other perks. There are several factors taken into consideration in making compensation decisions including but not limited to location, job\-related knowledge, skills, and experience. At Franklin Templeton, we apply a total reward philosophy where all aspects of compensation and benefits are taken into consideration in determining compensation. The salary, benefits and variable rewards will reflect the seniority of the position and a competitive market rate. We expect the annual salary for this position to range between $125,000 to $160,000\.
 When applying, please be sure to
 **attach your resume / CV** 
 . Applications without a resume file attachment will not be reviewed.
 \#ASSOCIATE
******Experience our welcoming culture and reach your professional and personal potential!******
 Our culture is shaped by the variety of perspectives and experiences brought by talent from around the world. Regardless of your interests, lifestyle, or background, there’s a place for you at Franklin Templeton. We provide employees with the tools, resources, and learning opportunities to help them excel in their career and personal life.
 By joining us, you will become part of a culture that focuses on employee well\-being and provides multidimensional support for a positive and healthy lifestyle. We understand that benefits are at the core of employee well\-being and may vary depending on individual needs. Whether you need support for maintaining your physical and mental health, saving for life’s adventures, taking care of your family members, or making a positive impact in your community, we aim to have your needs covered. Learn more about the wide range of benefits we offer at Franklin Templeton.
**Highlights Of Our Benefits Include**
* Three weeks paid time off the first year
* Medical, dental and vision insurance
* 401(k) Retirement Plan with 85% company match on your pre\-tax and/or Roth contributions, up to the IRS limits
* Employee Stock Investment Program
* Tuition Assistance Program
* Purchase of company funds with no sales charge
* Onsite fitness center and recreation center\*
* Onsite cafeteria\*
* Only applicable at certain locations
****Learn more about the wide range of benefits we offer at Franklin Templeton****
 Franklin Templeton is an Equal Opportunity Employer. We are committed to providing equal employment opportunities to all applicants and employees, and we evaluate qualified applicants without regard to ancestry, age, color, disability, genetic information, gender, gender identity, or gender expression, marital status, medical condition, military or veteran status, national origin, race, religion, sex, sexual orientation, and any other basis protected by federal, state, or local law, ordinance, or regulation.
 If you believe that you need an accommodation or adjustment to search for or apply for one of our positions, please send an email to accommodations@franklintempleton.com. In your email, please include the accommodation or adjustment you are requesting, the job title, and the job number you are applying for. It may take up to three business days to receive a response to your request. Please note that only accommodation requests will receive a response.</t>
        </is>
      </c>
    </row>
    <row r="4">
      <c r="A4" t="inlineStr">
        <is>
          <t>li-4369106945</t>
        </is>
      </c>
      <c r="B4" t="inlineStr">
        <is>
          <t>Alibaba.com-Accio-Senior Applied Scientist-Sunnyvale</t>
        </is>
      </c>
      <c r="C4" t="inlineStr">
        <is>
          <t>Alibaba Group</t>
        </is>
      </c>
      <c r="D4" t="inlineStr">
        <is>
          <t>linkedin</t>
        </is>
      </c>
      <c r="E4" t="inlineStr"/>
      <c r="F4" t="inlineStr"/>
      <c r="G4" t="inlineStr">
        <is>
          <t>Sunnyvale, CA</t>
        </is>
      </c>
      <c r="H4" t="inlineStr"/>
      <c r="I4" t="inlineStr">
        <is>
          <t>**About Our Team**
 Our team is dedicated to revolutionizing B2B e\-commerce through the development of a groundbreaking AI search product. Leveraging cutting\-edge LLM technology, we're creating a brand new AI search engine and streamline the entire purchasing process for B2B customers.
**Responsibilities**
* Deliver full projects by defining the data structure, framework, design, and evaluation metrics for AI solution development and implementation.
* Develop and deploy Large Language Models (LLMs) to empower search and agent systems for a variety of applications.
* Identify new and upcoming product innovation areas by interacting with potential external and internal collaborators.
* Identify undefined problems in existing technology and engage stakeholders and leaders to address them.
**Qualifications**
**Job Requirements**
* PhD, Master's, or Bachelor's degree in Computer Science, Engineering, Mathematics, or related fields.
* Ability to implement and verify state\-of\-the\-art NLP or Computer Vision algorithms.
* Experience in successfully applying machine learning approaches to real\-world personalization problems.
* Experience with building large language models.
* Knowledge of statistical methods, with strong mathematical skills.
* Excellent problem\-solving and programming skills in Python.
 The pay range for this position at commencement of employment is expected to be between $162,400/year and $266,000/year. However, base pay offered may vary depending on multiple individualized factors, including market location, job\-related knowledge, skills, and experience.
 If hired, employee will be in an “at\-will position” and the Company reserves the right to modify base salary (as well as any other discretionary payment or compensation program) at any time, including for reasons related to individual performance, Company or individual department/team performance, and market factors.</t>
        </is>
      </c>
    </row>
    <row r="5">
      <c r="A5" t="inlineStr">
        <is>
          <t>li-4315926050</t>
        </is>
      </c>
      <c r="B5" t="inlineStr">
        <is>
          <t>Applied Scientist 4</t>
        </is>
      </c>
      <c r="C5" t="inlineStr">
        <is>
          <t>Oracle</t>
        </is>
      </c>
      <c r="D5" t="inlineStr">
        <is>
          <t>linkedin</t>
        </is>
      </c>
      <c r="E5" t="inlineStr"/>
      <c r="F5" t="inlineStr"/>
      <c r="G5" t="inlineStr"/>
      <c r="H5" t="inlineStr"/>
      <c r="I5" t="inlineStr">
        <is>
          <t>**Job Description**
 Invent, implement and deploy state\-of\-the\-art machine learning and/or specific domain industry algorithms and systems. Build prototypes and explore conceptually new solutions. Work collaboratively with science, engineering, and product teams to identify customer needs in order to create and implement solutions, promote innovation and drive model implementations. Applies data science capabilities and research findings to create and implement solutions to scale. Responsible for developing new intelligence around core products and services through applied research on behalf of our customers. Develops models, prototypes, and experiments that pave the way for innovative products and services. Build cloud services that work out of the box for enterprises, e.g. decision support, anomaly detection, forecasting and recommendations), natural language processing (NLP), Natural Language Understanding (NLU),Time Series, Automatic Speech Recognition (ASR), Machine Learning (ML), and Computer Vision (CV). Design and run experiments, research new algorithms, and find new ways of optimizing risk, profitability, and customer experience. Conversant on ethical problems in consideration of sciences.
**Responsibilities**
 Leading contributor providing guidance and mentorship to define, design and deliver product quality improvements from ideation stage to shipping to the customer. Write high quality code to power experiments and build models. Contributes to writing production model code. Work closely with product management and engineering to deliver products which solves the needs of our customers by building relevant, innovative results which strategically differentiates Oracle in the market. Set up environment needed to run experiments for all projects. Set up distributed environments. Engage with customers and help solve complex problems with the customer/partner. Directly impact our customers via innovation in products and services that make use of ML/AI technology. Clearly articulate technical work to audiences of all levels and across multiple functional areas. Keep track of the progress and ensure the team is following the best practices. Works on training data collection, feature engineering, model training, offline and online experimentation. Drives independent research and development. Advance the state\-of\-the\-art machine learning and algorithms for real\-world large\-scale applications. Ensure solutions are designed with fairness and explainability in mind. May perform other duties as assigned.
**Qualifications**
 Disclaimer:
**Certain US customer or client\-facing roles may be required to comply with applicable requirements, such as immunization and occupational health mandates.**
**Range and benefit information provided in this posting are specific to the stated locations only**
 US: Hiring Range in USD from: $120,100 \- $251,600 per year. May be eligible for bonus, equity, and compensation deferral.
 Oracle maintains broad salary ranges for its roles in order to account for variations in knowledge, skills, experience, market conditions and locations, as well as reflect Oracle’s differing products, industries and lines of business.
 Candidates are typically placed into the range based on the preceding factors as well as internal peer equity.
 Oracle US offers a comprehensive benefits package which includes the following:
* Medical, dental, and vision insurance, including expert medical opinion
* Short term disability and long term disability
* Life insurance and AD\&amp;D
* Supplemental life insurance (Employee/Spouse/Child)
* Health care and dependent care Flexible Spending Accounts
* Pre\-tax commuter and parking benefits
* 401(k) Savings and Investment Plan with company match
* Paid time off: Flexible Vacation is provided to all eligible employees assigned to a salaried (non\-overtime eligible) position. Accrued Vacation is provided to all other employees eligible for vacation benefits. For employees working at least 35 hours per week, the vacation accrual rate is 13 days annually for the first three years of employment and 18 days annually for subsequent years of employment. Vacation accrual is prorated for employees working between 20 and 34 hours per week. Employees working fewer than 20 hours per week are not eligible for vacation.
* 11 paid holidays
* Paid sick leave: 72 hours of paid sick leave upon date of hire. Refreshes each calendar year. Unused balance will carry over each year up to a maximum cap of 112 hours.
* Paid parental leave
* Adoption assistance
* Employee Stock Purchase Plan
* Financial planning and group legal
* Voluntary benefits including auto, homeowner and pet insurance
 The role will generally accept applications for at least three calendar days from the posting date or as long as the job remains posted.
 Career Level \- IC4
**About Us**
 As a world leader in cloud solutions, Oracle uses tomorrow’s technology to tackle today’s challenges. We’ve partnered with industry\-leaders in almost every sector—and continue to thrive after 40\+ years of change by operating with integrity.
 We know that true innovation starts when everyone is empowered to contribute. That’s why we’re committed to growing an inclusive workforce that promotes opportunities for all.
 Oracle careers open the door to global opportunities where work\-life balance flourishes. We offer competitive benefits based on parity and consistency and support our people with flexible medical, life insurance, and retirement options. We also encourage employees to give back to their communities through our volunteer programs.
 We’re committed to including people with disabilities at all stages of the employment process. If you require accessibility assistance or accommodation for a disability at any point, let us know by emailing accommodation\-request\_mb@oracle.com or by calling \+1 888 404 2494 in the United States.
 Oracle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Oracle will consider for employment qualified applicants with arrest and conviction records pursuant to applicable law.</t>
        </is>
      </c>
    </row>
    <row r="6">
      <c r="A6" t="inlineStr">
        <is>
          <t>li-4339947625</t>
        </is>
      </c>
      <c r="B6" t="inlineStr">
        <is>
          <t>Sr. Applied Scientist, Prime Video - Recommendation/Search</t>
        </is>
      </c>
      <c r="C6" t="inlineStr">
        <is>
          <t>Prime Video &amp; Amazon MGM Studios</t>
        </is>
      </c>
      <c r="D6" t="inlineStr">
        <is>
          <t>linkedin</t>
        </is>
      </c>
      <c r="E6" t="inlineStr"/>
      <c r="F6" t="inlineStr"/>
      <c r="G6" t="inlineStr">
        <is>
          <t>Sunnyvale, CA</t>
        </is>
      </c>
      <c r="H6" t="inlineStr"/>
      <c r="I6" t="inlineStr">
        <is>
          <t>**Description**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Sr. Applied Scientists with Recommender System or Search Ranking or Ads Ranking experience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Recommendation/Search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Recommendation/Search Science team owns science solution to power search experience on various devices, from sourcing, relevance, ranking, to name a few. We work closely with the engineering teams to launch our solutions in production.
**Basic Qualifications**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
**Company** 
 \- Amazon.com Services LLC
 Job ID: A3124938</t>
        </is>
      </c>
    </row>
    <row r="7">
      <c r="A7" t="inlineStr">
        <is>
          <t>li-4314908936</t>
        </is>
      </c>
      <c r="B7" t="inlineStr">
        <is>
          <t>Principal Applied Scientist</t>
        </is>
      </c>
      <c r="C7" t="inlineStr">
        <is>
          <t>Oracle</t>
        </is>
      </c>
      <c r="D7" t="inlineStr">
        <is>
          <t>linkedin</t>
        </is>
      </c>
      <c r="E7" t="inlineStr"/>
      <c r="F7" t="inlineStr"/>
      <c r="G7" t="inlineStr"/>
      <c r="H7" t="inlineStr"/>
      <c r="I7" t="inlineStr">
        <is>
          <t>**Job Description**
 Responsible AI: Principal Applied Scientist. We are seeking an exceptional Principal Applied Scientist with deep expertise in Responsible AI to join our fast\-growing AI/ML research team. In this role, you will drive the development and evaluation of scalable safeguards for foundation models, with a focus on large language or multi\-modal models (LLMs/ LMMs). Your work will directly influence how we design, deploy, and monitor trustworthy AI systems across a broad range of products.
**Responsibilities**
**What You’ll Do**
* Conduct cutting\-edge research and development in Responsible AI, including fairness, robustness, explainability, and safety for generative models
* Design and implement safeguards, red teaming pipelines, and bias mitigation strategies for LLMs and other foundation models
* Contribute to the fine\-tuning and alignment of LLMs using techniques such as prompt engineering, instruction tuning, and RLHF/DPO
* Define and implement rigorous evaluation protocols (e.g., bias audits, toxicity analysis, robustness benchmarks)
* Collaborate cross\-functionally with product, policy, legal, and engineering teams to ensure Responsible AI principles are embedded throughout the model lifecycle
* Publish in top\-tier venues (e.g., NeurIPS, ICML, ICLR, ACL, CVPR) and represent the company in academic and industry forums
**Minimum Qualifications**
* Ph.D. in Computer Science, Machine Learning, NLP, or a related field, with publications in top\-tier AI/ML conferences or journals
* Hands\-on experience with LLMs including fine\-tuning, evaluation, and prompt engineering
* Demonstrated expertise in building or evaluating Responsible AI systems (e.g., fairness, safety, interpretability)
* Proficiency in Python and ML/DL frameworks such as PyTorch or TensorFlow
* Strong understanding of model evaluation techniques and metrics related to bias, robustness, and toxicity
* Creative problem\-solving skills with a rapid prototyping mindset and a collaborative attitude
**Preferred Qualifications (Nice To Have)**
* Experience with RLHF (Reinforcement Learning from Human Feedback) or other alignment methods
* Open\-source contributions in the AI/ML community
* Experience working with model guardrails, safety filters, or content moderation systems
**Why Join Us**
 You’ll be working at the intersection of AI innovation and Responsible AI, helping shape the next generation of safe and trustworthy machine learning systems. If you’re passionate about ensuring AI benefits everyone—and you have the technical depth to back it up—we want to hear from you.
**Qualifications**
 Disclaimer:
**Certain US customer or client\-facing roles may be required to comply with applicable requirements, such as immunization and occupational health mandates.**
**Range and benefit information provided in this posting are specific to the stated locations only**
 US: Hiring Range in USD from: $120,100 \- $251,600 per year. May be eligible for bonus, equity, and compensation deferral.
 Oracle maintains broad salary ranges for its roles in order to account for variations in knowledge, skills, experience, market conditions and locations, as well as reflect Oracle’s differing products, industries and lines of business.
 Candidates are typically placed into the range based on the preceding factors as well as internal peer equity.
 Oracle US offers a comprehensive benefits package which includes the following:
* Medical, dental, and vision insurance, including expert medical opinion
* Short term disability and long term disability
* Life insurance and AD\&amp;D
* Supplemental life insurance (Employee/Spouse/Child)
* Health care and dependent care Flexible Spending Accounts
* Pre\-tax commuter and parking benefits
* 401(k) Savings and Investment Plan with company match
* Paid time off: Flexible Vacation is provided to all eligible employees assigned to a salaried (non\-overtime eligible) position. Accrued Vacation is provided to all other employees eligible for vacation benefits. For employees working at least 35 hours per week, the vacation accrual rate is 13 days annually for the first three years of employment and 18 days annually for subsequent years of employment. Vacation accrual is prorated for employees working between 20 and 34 hours per week. Employees working fewer than 20 hours per week are not eligible for vacation.
* 11 paid holidays
* Paid sick leave: 72 hours of paid sick leave upon date of hire. Refreshes each calendar year. Unused balance will carry over each year up to a maximum cap of 112 hours.
* Paid parental leave
* Adoption assistance
* Employee Stock Purchase Plan
* Financial planning and group legal
* Voluntary benefits including auto, homeowner and pet insurance
 The role will generally accept applications for at least three calendar days from the posting date or as long as the job remains posted.
 Career Level \- IC4
**About Us**
 As a world leader in cloud solutions, Oracle uses tomorrow’s technology to tackle today’s challenges. We’ve partnered with industry\-leaders in almost every sector—and continue to thrive after 40\+ years of change by operating with integrity.
 We know that true innovation starts when everyone is empowered to contribute. That’s why we’re committed to growing an inclusive workforce that promotes opportunities for all.
 Oracle careers open the door to global opportunities where work\-life balance flourishes. We offer competitive benefits based on parity and consistency and support our people with flexible medical, life insurance, and retirement options. We also encourage employees to give back to their communities through our volunteer programs.
 We’re committed to including people with disabilities at all stages of the employment process. If you require accessibility assistance or accommodation for a disability at any point, let us know by emailing accommodation\-request\_mb@oracle.com or by calling \+1 888 404 2494 in the United States.
 Oracle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Oracle will consider for employment qualified applicants with arrest and conviction records pursuant to applicable law.</t>
        </is>
      </c>
    </row>
    <row r="8">
      <c r="A8" t="inlineStr">
        <is>
          <t>li-4314917647</t>
        </is>
      </c>
      <c r="B8" t="inlineStr">
        <is>
          <t>Principal Applied Scientist</t>
        </is>
      </c>
      <c r="C8" t="inlineStr">
        <is>
          <t>Oracle</t>
        </is>
      </c>
      <c r="D8" t="inlineStr">
        <is>
          <t>linkedin</t>
        </is>
      </c>
      <c r="E8" t="inlineStr"/>
      <c r="F8" t="inlineStr"/>
      <c r="G8" t="inlineStr"/>
      <c r="H8" t="inlineStr"/>
      <c r="I8" t="inlineStr">
        <is>
          <t>**Job Description**
 Responsible AI: Principal Applied Scientist. We are seeking an exceptional Principal Applied Scientist with deep expertise in Responsible AI to join our fast\-growing AI/ML research team. In this role, you will drive the development and evaluation of scalable safeguards for foundation models, with a focus on large language or multi\-modal models (LLMs/ LMMs). Your work will directly influence how we design, deploy, and monitor trustworthy AI systems across a broad range of products.
**Responsibilities**
**What You’ll Do**
* Conduct cutting\-edge research and development in Responsible AI, including fairness, robustness, explainability, and safety for generative models
* Design and implement safeguards, red teaming pipelines, and bias mitigation strategies for LLMs and other foundation models
* Contribute to the fine\-tuning and alignment of LLMs using techniques such as prompt engineering, instruction tuning, and RLHF/DPO
* Define and implement rigorous evaluation protocols (e.g., bias audits, toxicity analysis, robustness benchmarks)
* Collaborate cross\-functionally with product, policy, legal, and engineering teams to ensure Responsible AI principles are embedded throughout the model lifecycle
* Publish in top\-tier venues (e.g., NeurIPS, ICML, ICLR, ACL, CVPR) and represent the company in academic and industry forums
**Minimum Qualifications**
* Ph.D. in Computer Science, Machine Learning, NLP, or a related field, with publications in top\-tier AI/ML conferences or journals
* Hands\-on experience with LLMs including fine\-tuning, evaluation, and prompt engineering
* Demonstrated expertise in building or evaluating Responsible AI systems (e.g., fairness, safety, interpretability)
* Proficiency in Python and ML/DL frameworks such as PyTorch or TensorFlow
* Strong understanding of model evaluation techniques and metrics related to bias, robustness, and toxicity
* Creative problem\-solving skills with a rapid prototyping mindset and a collaborative attitude
**Preferred Qualifications (Nice To Have)**
* Experience with RLHF (Reinforcement Learning from Human Feedback) or other alignment methods
* Open\-source contributions in the AI/ML community
* Experience working with model guardrails, safety filters, or content moderation systems
**Why Join Us**
 You’ll be working at the intersection of AI innovation and Responsible AI, helping shape the next generation of safe and trustworthy machine learning systems. If you’re passionate about ensuring AI benefits everyone—and you have the technical depth to back it up—we want to hear from you.
**Qualifications**
 Disclaimer:
**Certain US customer or client\-facing roles may be required to comply with applicable requirements, such as immunization and occupational health mandates.**
**Range and benefit information provided in this posting are specific to the stated locations only**
 US: Hiring Range in USD from: $120,100 \- $251,600 per year. May be eligible for bonus, equity, and compensation deferral.
 Oracle maintains broad salary ranges for its roles in order to account for variations in knowledge, skills, experience, market conditions and locations, as well as reflect Oracle’s differing products, industries and lines of business.
 Candidates are typically placed into the range based on the preceding factors as well as internal peer equity.
 Oracle US offers a comprehensive benefits package which includes the following:
* Medical, dental, and vision insurance, including expert medical opinion
* Short term disability and long term disability
* Life insurance and AD\&amp;D
* Supplemental life insurance (Employee/Spouse/Child)
* Health care and dependent care Flexible Spending Accounts
* Pre\-tax commuter and parking benefits
* 401(k) Savings and Investment Plan with company match
* Paid time off: Flexible Vacation is provided to all eligible employees assigned to a salaried (non\-overtime eligible) position. Accrued Vacation is provided to all other employees eligible for vacation benefits. For employees working at least 35 hours per week, the vacation accrual rate is 13 days annually for the first three years of employment and 18 days annually for subsequent years of employment. Vacation accrual is prorated for employees working between 20 and 34 hours per week. Employees working fewer than 20 hours per week are not eligible for vacation.
* 11 paid holidays
* Paid sick leave: 72 hours of paid sick leave upon date of hire. Refreshes each calendar year. Unused balance will carry over each year up to a maximum cap of 112 hours.
* Paid parental leave
* Adoption assistance
* Employee Stock Purchase Plan
* Financial planning and group legal
* Voluntary benefits including auto, homeowner and pet insurance
 The role will generally accept applications for at least three calendar days from the posting date or as long as the job remains posted.
 Career Level \- IC4
**About Us**
 As a world leader in cloud solutions, Oracle uses tomorrow’s technology to tackle today’s challenges. We’ve partnered with industry\-leaders in almost every sector—and continue to thrive after 40\+ years of change by operating with integrity.
 We know that true innovation starts when everyone is empowered to contribute. That’s why we’re committed to growing an inclusive workforce that promotes opportunities for all.
 Oracle careers open the door to global opportunities where work\-life balance flourishes. We offer competitive benefits based on parity and consistency and support our people with flexible medical, life insurance, and retirement options. We also encourage employees to give back to their communities through our volunteer programs.
 We’re committed to including people with disabilities at all stages of the employment process. If you require accessibility assistance or accommodation for a disability at any point, let us know by emailing accommodation\-request\_mb@oracle.com or by calling \+1 888 404 2494 in the United States.
 Oracle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Oracle will consider for employment qualified applicants with arrest and conviction records pursuant to applicable law.</t>
        </is>
      </c>
    </row>
    <row r="9">
      <c r="A9" t="inlineStr">
        <is>
          <t>li-4315476944</t>
        </is>
      </c>
      <c r="B9" t="inlineStr">
        <is>
          <t>Principal Applied Scientist</t>
        </is>
      </c>
      <c r="C9" t="inlineStr">
        <is>
          <t>Oracle</t>
        </is>
      </c>
      <c r="D9" t="inlineStr">
        <is>
          <t>linkedin</t>
        </is>
      </c>
      <c r="E9" t="inlineStr"/>
      <c r="F9" t="inlineStr"/>
      <c r="G9" t="inlineStr"/>
      <c r="H9" t="inlineStr"/>
      <c r="I9" t="inlineStr">
        <is>
          <t>**Job Description**
 Invent, implement and deploy state\-of\-the\-art machine learning and/or specific domain industry algorithms and systems. Build prototypes and explore conceptually new solutions. Work collaboratively with science, engineering, and product teams to identify customer needs in order to create and implement solutions, promote innovation and drive model implementations. Applies data science capabilities and research findings to create and implement solutions to scale. Responsible for developing new intelligence around core products and services through applied research on behalf of our customers. Develops models, prototypes, and experiments that pave the way for innovative products and services
**About The Role**
 We are seeking an exceptional Principal Applied Scientist with deep expertise in Responsible AI to join our fast\-growing AI/ML research team. In this role, you will drive the development and evaluation of scalable safeguards for foundation models, with a focus on large language or multi\-modal models (LLMs/ LMMs). Your work will directly influence how we design, deploy, and monitor trustworthy AI systems across a broad range of products.
**What You’ll Do**
* Conduct cutting\-edge research and development in Responsible AI, including fairness, robustness, explainability, and safety for generative models
* Design and implement safeguards, red teaming pipelines, and bias mitigation strategies for LLMs and other foundation models
* Contribute to the fine\-tuning and alignment of LLMs using techniques such as prompt engineering, instruction tuning, and RLHF/DPO.
* Define and implement rigorous evaluation protocols (e.g., bias audits, toxicity analysis, robustness benchmarks)
* Collaborate cross\-functionally with product, policy, legal, and engineering teams to ensure Responsible AI principles are embedded throughout the model lifecycle
* Publish in top\-tier venues (e.g., NeurIPS, ICML, ICLR, ACL, CVPR) and represent the company in academic and industry forums
**Minimum Qualifications**
* Ph.D. in Computer Science, Machine Learning, NLP, or a related field, with publications in top\-tier AI/ML conferences or journals
* Hands\-on experience with LLMs including fine\-tuning, evaluation, and prompt engineering
* Demonstrated expertise in building or evaluating Responsible AI systems (e.g., fairness, safety, interpretability)
* Proficiency in Python and ML/DL frameworks such as PyTorch or TensorFlow
* Strong understanding of model evaluation techniques and metrics related to bias, robustness, and toxicity
* Creative problem\-solving skills with a rapid prototyping mindset and a collaborative attitude
**Preferred Qualifications (Nice To Have)**
* Experience with RLHF (Reinforcement Learning from Human Feedback) or other alignment methods
* Open\-source contributions in the AI/ML community
* Experience working with model guardrails, safety filters, or content moderation systems
**Why Join Us**
 You’ll be working at the intersection of AI innovation and Responsible AI, helping shape the next generation of safe and trustworthy machine learning systems. If you’re passionate about ensuring AI benefits everyone—and you have the technical depth to back it up—we want to hear from you.
**Business Justification:**
 This role is critical to advancing our AI strategy by accelerating the development and deployment of
 **scalable, production\-grade machine learning solutions** 
 that directly support customer use cases and drive differentiation in our core products. By combining
 **cutting\-edge research with applied innovation** 
 , this role will enable us to:
* Address high\-priority technical gaps in areas such as model safety, bias mitigation, explainability, and performance optimization
* Increase customer trust and adoption through more robust and responsible AI systems
* Strengthen our IP portfolio and thought leadership through novel model development and peer\-reviewed publications
 This position not only supports innovation but also
 **directly impacts revenue, customer satisfaction, and competitive advantage** 
 by ensuring our AI systems are performant, responsible, and aligned with user needs.
**Qualifications**
 Disclaimer:
**Certain US customer or client\-facing roles may be required to comply with applicable requirements, such as immunization and occupational health mandates.**
**Range and benefit information provided in this posting are specific to the stated locations only**
 US: Hiring Range in USD from: $120,100 \- $251,600 per year. May be eligible for bonus, equity, and compensation deferral.
 Oracle maintains broad salary ranges for its roles in order to account for variations in knowledge, skills, experience, market conditions and locations, as well as reflect Oracle’s differing products, industries and lines of business.
 Candidates are typically placed into the range based on the preceding factors as well as internal peer equity.
 Oracle US offers a comprehensive benefits package which includes the following:
* Medical, dental, and vision insurance, including expert medical opinion
* Short term disability and long term disability
* Life insurance and AD\&amp;D
* Supplemental life insurance (Employee/Spouse/Child)
* Health care and dependent care Flexible Spending Accounts
* Pre\-tax commuter and parking benefits
* 401(k) Savings and Investment Plan with company match
* Paid time off: Flexible Vacation is provided to all eligible employees assigned to a salaried (non\-overtime eligible) position. Accrued Vacation is provided to all other employees eligible for vacation benefits. For employees working at least 35 hours per week, the vacation accrual rate is 13 days annually for the first three years of employment and 18 days annually for subsequent years of employment. Vacation accrual is prorated for employees working between 20 and 34 hours per week. Employees working fewer than 20 hours per week are not eligible for vacation.
* 11 paid holidays
* Paid sick leave: 72 hours of paid sick leave upon date of hire. Refreshes each calendar year. Unused balance will carry over each year up to a maximum cap of 112 hours.
* Paid parental leave
* Adoption assistance
* Employee Stock Purchase Plan
* Financial planning and group legal
* Voluntary benefits including auto, homeowner and pet insurance
 The role will generally accept applications for at least three calendar days from the posting date or as long as the job remains posted.
 Career Level \- IC4
**About Us**
 As a world leader in cloud solutions, Oracle uses tomorrow’s technology to tackle today’s challenges. We’ve partnered with industry\-leaders in almost every sector—and continue to thrive after 40\+ years of change by operating with integrity.
 We know that true innovation starts when everyone is empowered to contribute. That’s why we’re committed to growing an inclusive workforce that promotes opportunities for all.
 Oracle careers open the door to global opportunities where work\-life balance flourishes. We offer competitive benefits based on parity and consistency and support our people with flexible medical, life insurance, and retirement options. We also encourage employees to give back to their communities through our volunteer programs.
 We’re committed to including people with disabilities at all stages of the employment process. If you require accessibility assistance or accommodation for a disability at any point, let us know by emailing accommodation\-request\_mb@oracle.com or by calling \+1 888 404 2494 in the United States.
 Oracle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Oracle will consider for employment qualified applicants with arrest and conviction records pursuant to applicable law.</t>
        </is>
      </c>
    </row>
    <row r="10">
      <c r="A10" t="inlineStr">
        <is>
          <t>li-4369111573</t>
        </is>
      </c>
      <c r="B10" t="inlineStr">
        <is>
          <t>Staff Applied Scientist</t>
        </is>
      </c>
      <c r="C10" t="inlineStr">
        <is>
          <t>Visa</t>
        </is>
      </c>
      <c r="D10" t="inlineStr">
        <is>
          <t>linkedin</t>
        </is>
      </c>
      <c r="E10" t="inlineStr"/>
      <c r="F10" t="inlineStr"/>
      <c r="G10" t="inlineStr">
        <is>
          <t>Bellevue, WA</t>
        </is>
      </c>
      <c r="H10" t="inlineStr"/>
      <c r="I10" t="inlineStr">
        <is>
          <t>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We are seeking a highly technical and hands\-on
 **Staff Applied Scientist** 
 to contribute to the development of AI\-driven data products across the Visa Acceptance Platform. In this role, you will work closely with engineering, product, and architecture partners to design, build, and deploy machine learning solutions that operate at global scale.
 This is an execution\-focused role for an experienced data scientist who thrives in production environments and enjoys solving complex data and modeling problems that directly impact customers.
 What You Will Do (Essential Functions)
* Design, develop, and deploy machine learning models and data solutions that support analytics, predictive insights, and AI\-powered platform features.
* Perform data exploration, feature engineering, modeling, and validation using large, complex datasets.
* Build, maintain, and improve data pipelines and model workflows in partnership with engineering teams.
* Apply appropriate metrics and evaluation techniques to measure model performance, reliability, and business impact.
* Collaborate with Product, Engineering, and Security partners to translate business requirements into scalable and secure data science solutions.
* Contribute to platform modernization efforts by improving data quality, performance, reliability, and observability.
* Support operational readiness through monitoring, troubleshooting, and continuous improvement of deployed models.
 This is a hybrid position. Expectation of days in the office will be confirmed by your Hiring Manager.
**Qualifications**
**Basic Qualifications:**
* 5 or more years of relevant work experience with a Bachelors Degree or at least 2 years of work experience with an Advanced degree (e.g. Masters, MBA, JD, MD) or 0 years of work experience with a PhD
**Preferred Qualifications:**
* 6 or more years of work experience with a Bachelors Degree or 4 or more years of relevant experience with an Advanced Degree (e.g. Masters, MBA, JD, MD) or up to 3 years of relevant experience with a PhD
* 2\+ years of experience building and deploying AI/ML models for analytics, predictions, or recommendations in production environments.
* 3\+ years of experience working with large\-scale data technologies such as Spark, Kafka, Hadoop, Hive, NoSQL, or relational databases.
* 2\+ years of experience designing and maintaining ETL or data pipelines.
* Experience working with big data, distributed systems, and batch or streaming data processing.
* Strong understanding of metrics design, experimentation, and model evaluation techniques.
* Proficiency in Python and SQL; experience with modern ML frameworks is a plus.
**Additional Information**
**Work Hours:**
 Varies upon the needs of the department.
**Travel Requirements:**
 This position requires travel 5\-10% of the time.
**Mental/Physical Requirements:**
 This position will be performed in an office setting. The position will require the incumbent to sit and stand at a desk, communicate in person and by telephone, frequently operate standard office equipment, such as telephones and computers.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
 Visa will consider for employment qualified applicants with criminal histories in a manner consistent with applicable local law, including the requirements of Article 49 of the San Francisco Police Code.
**U.S. APPLICANTS ONLY: The estimated salary range for this position is 145,300\.00 to 232,700\.00 USD per year, which may include potential sales incentive payments (if applicable). Salary may vary depending on job\-related factors which may include knowledge, skills, experience, and location. In addition, this position may be eligible for bonus and equity. Visa has a comprehensive benefits package for which this position may be eligible that includes Medical, Dental, Vision, 401 (k), FSA/HSA, Life Insurance, Paid Time Off, and Wellness Program.**</t>
        </is>
      </c>
    </row>
    <row r="11">
      <c r="A11" t="inlineStr">
        <is>
          <t>li-4369616288</t>
        </is>
      </c>
      <c r="B11" t="inlineStr">
        <is>
          <t>Sr. Applied Scientist, AGI Foundations</t>
        </is>
      </c>
      <c r="C11" t="inlineStr">
        <is>
          <t>Amazon</t>
        </is>
      </c>
      <c r="D11" t="inlineStr">
        <is>
          <t>linkedin</t>
        </is>
      </c>
      <c r="E11" t="inlineStr"/>
      <c r="F11" t="inlineStr"/>
      <c r="G11" t="inlineStr">
        <is>
          <t>Bellevue, WA</t>
        </is>
      </c>
      <c r="H11" t="inlineStr"/>
      <c r="I11" t="inlineStr">
        <is>
          <t>**Description**
 The Artificial General Intelligence (AGI) team is looking for a highly skilled and experienced Sr. Applied Scientist, to support the development and implementation of state\-of\-the\-art algorithms and models for supervised fine\-tuning and reinforcement learning through human feedback and and complex reasoning; with a focus across text, image, and video modalities.
 As an Sr. Applied Scientist, you will play a critical role in supporting the development of Generative AI (Gen AI) technologies that can handle Amazon\-scale use cases and have a significant impact on our customers' experiences.
 Key job responsibilities
 Key job responsibilities
 Collaborate with cross\-functional teams of engineers, product managers, and scientists to identify and solve complex problems in Gen AI
 Design and execute experiments to evaluate the performance of different algorithms and models, and iterate quickly to improve results
 Think big about the arc of development of Gen AI over a multi\-year horizon, and identify new opportunities to apply these technologies to solve real\-world problems
 Communicate results and insights to both technical and non\-technical audiences, including through presentations and written reports
**About The Team**
 We are passionate scientists dedicated to pushing the boundaries of innovation in Gen AI with focus on Software Development use cases.
**Basic Qualifications**
* 3\+ years of building machine learning models for business application experience
* PhD, or Master's degree and 6\+ years of applied research experience
* Experience programming in Java, C\+\+, Python or related language
* Experience in any of the following areas: algorithms and data structures, parsing, numerical optimization, data mining, parallel and distributed computing, high\-performance computing
**Preferred Qualifications**
* Experience in patents or publications at top\-tier peer\-reviewed conferences or journals
* PhD in Computer Science, Machine Learning, or a related field, with a focus on Gen AI and reinforcement learning
* Experience in developing and implementing algorithms and models for supervised fine\-tuning and reinforcement learning through human feedback
* Programming skills in Python and experience with deep learning frameworks such as Tensor Flow or PyTorch
* Excellent problem\-solving skills, with the ability to think creatively and critically about complex problems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
**Company** 
 \- Amazon.com Services LLC
 Job ID: A3123268</t>
        </is>
      </c>
    </row>
    <row r="12">
      <c r="A12" t="inlineStr">
        <is>
          <t>li-4369603913</t>
        </is>
      </c>
      <c r="B12" t="inlineStr">
        <is>
          <t>Junior Machine Learning Engineer</t>
        </is>
      </c>
      <c r="C12" t="inlineStr">
        <is>
          <t>ClearML</t>
        </is>
      </c>
      <c r="D12" t="inlineStr">
        <is>
          <t>linkedin</t>
        </is>
      </c>
      <c r="E12" t="inlineStr"/>
      <c r="F12" t="inlineStr"/>
      <c r="G12" t="inlineStr">
        <is>
          <t>California, United States</t>
        </is>
      </c>
      <c r="H12" t="inlineStr"/>
      <c r="I12" t="inlineStr">
        <is>
          <t>**Junior Machine Learning Engineer (Machine Learning AI)**
 Join us to advance data science and machine learning.
 ClearML is a rapidly growing open source MLOps platform that helps data science, ML engineering, and DevOps teams easily develop, orchestrate, and automate ML workflows at scale. Our frictionless, unified, end\-to\-end MLOps suite enables users and customers to focus on developing their ML code and automation, ensuring their work is reproducible and scalable. ClearML is trusted by brands such as NVIDIA, NetApp, Samsung, Hyundai, Bosch, Microsoft, Intel, IBM, and Philips.
**Overview:**
 We are an open source end\-to\-end MLOPs platform, built by developers for developers.
 We're looking for a junior Machine Learning Engineer (Machine Learning AI) to join our growing team. In this role, you will collaborate across our development and product teams and will have a chance to collaborate with our MLOPs experts working in the exciting areas of machine learning, deep learning, DevOps, and AI.
 The ideal candidate will be a recent graduate who wants to learn how to create and fine\-tune models from large amounts of raw information and optimize them You will work with our team to learn to build ML/DL data pipelines to extract valuable business insights, analyze trends, and help us make better decisions.
 We expect you to be highly analytical with a knack for analysis, math, and statistics, and a passion for machine learning and research. Critical thinking and problem\-solving skills are also required.
**Responsibilities:**
 \- Research and analyze valuable data sources and automate processes
 \- Perform preprocessing of structured and unstructured data
 \- Review large amounts of information to discover trends and patterns
 \- Create predictive models and machine\-learning algorithms
 \- Modify and combine different models through ensemble modeling
 \- Organize and present information using data visualization techniques
 \- Develop and suggest solutions and strategies to business challenges
 \- Work together with engineering and product development teams to build and test ML/DL solutions stretching the entire spectrum of ML operationalization from data processing, model training, hyperparameter tuning, deployment, and model management.
**Requirements:**
 \- Graduate role, no experience necessary, remote opportunity
 \- Knowledge of SQL and Python; familiarity with Scala, Java, or C\+\+ is a plus.
 \- Familiar with Kubernetes and/or perhaps similar container system
 \- Strong math and analytical skills, with business acumen
 \- Strong communication and presentation skills
 \- Good problem\-solving abilities
 \- BSc or BA degree in Computer Science, Engineering or other relevant area</t>
        </is>
      </c>
    </row>
    <row r="13">
      <c r="A13" t="inlineStr">
        <is>
          <t>li-4369454889</t>
        </is>
      </c>
      <c r="B13" t="inlineStr">
        <is>
          <t>Machine Learning Engineer</t>
        </is>
      </c>
      <c r="C13" t="inlineStr">
        <is>
          <t>Edison Smart®</t>
        </is>
      </c>
      <c r="D13" t="inlineStr">
        <is>
          <t>linkedin</t>
        </is>
      </c>
      <c r="E13" t="inlineStr"/>
      <c r="F13" t="inlineStr"/>
      <c r="G13" t="inlineStr">
        <is>
          <t>Chicago, IL</t>
        </is>
      </c>
      <c r="H13" t="inlineStr"/>
      <c r="I13" t="inlineStr">
        <is>
          <t>**Machine Learning Engineer \| Robotics \| Chicago, IL (On\-site) \| Up to $125,000** 
 Join a fast\-growing construction robotics startup based in Chicago, building autonomous systems that operate in challenging, real\-world environments.
 As a Computer Vision / ML Engineer you'll focus on taking models from idea to production—owning the full lifecycle from data to deployment on real robots.
**What You’ll Do** 
* Design and implement ML and computer vision models end\-to\-end, from simple classifiers to complex deep learning architectures
* Own the full model lifecycle: data preparation, model selection, training, validation, and deployment
* Optimize models for performance, reliability, and edge deployment on robotic hardware
* Adapt existing models to new problem domains quickly, as our product and environments evolve
* Collaborate closely with robotics, software, and hardware teams to integrate perception into autonomous systems
* Help define best practices for data, evaluation, and production ML in a robotics setting
**Required Skills** 
* Strong experience with Python
* Hands\-on with PyTorch and/or TensorFlow
* Proven ability to build ML pipelines from training through deployment
* Experience with model optimization for edge devices
* Prior experience at a robotics company or robotics\-focused projects (required)
* Ability to rapidly adapt models to new domains and data
**Nice to Have** 
* Experience with real\-time vision systems
* Familiarity with embedded or resource\-constrained platforms
* Background in construction, automation, or industrial robotics</t>
        </is>
      </c>
    </row>
    <row r="14">
      <c r="A14" t="inlineStr">
        <is>
          <t>li-4221292086</t>
        </is>
      </c>
      <c r="B14" t="inlineStr">
        <is>
          <t>Applied Machine Learning Engineer</t>
        </is>
      </c>
      <c r="C14" t="inlineStr">
        <is>
          <t>Nooks</t>
        </is>
      </c>
      <c r="D14" t="inlineStr">
        <is>
          <t>linkedin</t>
        </is>
      </c>
      <c r="E14" t="inlineStr"/>
      <c r="F14" t="inlineStr"/>
      <c r="G14" t="inlineStr">
        <is>
          <t>San Francisco, CA</t>
        </is>
      </c>
      <c r="H14" t="inlineStr"/>
      <c r="I14" t="inlineStr">
        <is>
          <t>**About Nooks.ai**
 Nooks is the AI Sales Assistant Platform (ASAP) that automates the busywork so reps can focus on the human part of selling and generate more sales pipeline. Nooks has helped thousands of sales reps hit quota, saved customers hundreds of thousands of hours, and powered hundreds of millions of dollars in pipeline. Nooks is loved by sales teams at companies like Hubspot, Rippling, and Toast, and hundreds more.
 We’re a team of high performers raising over $70M from top VCs, including Kleiner Perkins, which made its first sales\-tech investment in over 10 years by investing in Nooks. Over the past two years, we’ve grown ARR by 4x and then 3x, and we plan to 3x it again this year.
 For more information, visit Nooks.ai.
**The role**
 Note: Exact job title will be commensurate with experience
 We have an ambitious product vision in a nascent area \- AI\-powered realtime collaboration \- so there are a ton of interesting technical challenges on our roadmap. This is a role focused on implementing ML features into Nooks. Our ideal candidate will have prior experience working in industry for a business where ML is a core part of the offering.
 Responsibilities will include training production models to improve their accuracy for specific sales use cases. You will align our technical strategy with performance, cost and feasibility considerations.
**Examples of engineering problems you may touch**
*These are just examples, this list is non\-exhaustive, and you definitely don’t need experience in all of these areas. But hopefully you find some of them exciting!*
* Realtime audio AI \&amp; precision/recall/latency tradeoffs (algorithms \&amp; models)
+ We use audio data, transcription, silence detection, and several other signals to detect whether a live phone call is a voicemail, a human, or a dial tree. Here, latency is a third factor added to the standard precision/recall tradeoff because it’s important we can detect humans quickly. Our approach involves LLM embeddings, few\-shot learning, data labeling, and continuous monitoring of model performance in prod.
* Smart call funnels \&amp; playbooks (data wrangling, backend eng, GPT\-3, UX)
+ At what point in the conversation do my reps get stuck? What are the toughest questions that we need to address? Can I “program” a playbook so that Nooks will help my team standardize toward best\-practices? We’re using GPT\-3 and other LLM’s to turn companies’ mostly unstructured call data into actionable strategies \&amp; feedback loops.
* Conversation embeddings \&amp; markov models (ML modeling)
+ What does the anatomy of a call look like? If I say XYZ, what are the different ways the prospect might answer and the probabilities of each? Conditioned on the first half of the call, what do I say next to maximize the likelihood that I book a demo at the end of the call? Can we use LLM’s to generate embeddings of conversations that we can use to cluster similar conversation patterns and predict where the conversation is headed?
**Requirements**
* Bachelor's or Master's degree in Computer Science, Machine Learning, Data Science, or a related field.
* 3\+ years of industry experience, including 2\+ years training and deploying ML models in production.
* Full stack ML Eng chops: proficiency in general purposes programming languages such as Python/Javascript, and with libraries like TensorFlow, PyTorch, Keras, scikit\-learn etc.
* Expertise in areas like NLP, Deep Learning, Anomaly Detection, Transformers and Large Language Models.
 Nice to haves
* Background in an analytical field like heuristics, data science \&amp;/or statistics
* Prior experiences working in both startup and research environments
 We offer competitive compensation because we want to hire the best people and reward them for their contributions to our mission. We pay all employees competitively relative to market. In compliance with pay transparency laws and in pursuit of pay equity and fairness, we publish salary ranges for our open roles. The target salary range for this role is $140,000 \- $240,000\. On top of base salary, we also offer equity, generous perks and comprehensive benefits.
**Equal Employment Opportunity Statement**
 Nooks is an equal opportunity employer committed to fostering a diverse and inclusive workforce. We believe in providing equal employment opportunities to all individuals regardless of race, color, religion, gender, gender identity, sexual orientation, national origin, age, disability, veteran status, or any other characteristic protected by law.
 Nooks does not discriminate in hiring, promotion, compensation, or any other employment practices, and we are committed to ensuring a workplace that is free from discrimination, harassment, and retaliation. We encourage individuals from all backgrounds to apply and join our team.</t>
        </is>
      </c>
    </row>
    <row r="15">
      <c r="A15" t="inlineStr">
        <is>
          <t>li-4369610361</t>
        </is>
      </c>
      <c r="B15" t="inlineStr">
        <is>
          <t>Senior AI/ML Engineer</t>
        </is>
      </c>
      <c r="C15" t="inlineStr">
        <is>
          <t>Pragmatike</t>
        </is>
      </c>
      <c r="D15" t="inlineStr">
        <is>
          <t>linkedin</t>
        </is>
      </c>
      <c r="E15" t="inlineStr"/>
      <c r="F15" t="inlineStr"/>
      <c r="G15" t="inlineStr">
        <is>
          <t>Pennsylvania, United States</t>
        </is>
      </c>
      <c r="H15" t="inlineStr"/>
      <c r="I15" t="inlineStr">
        <is>
          <t>**Location:** 
 Cambridge, MA (Eastern Time / UTC \-4\) ﻿
 **Relocation package available**
**Relocation package:** 
 Available
**Start date:** 
 ASAP
**Languages:** 
 English (required)
**About The Role**
 Pragmatike is hiring on behalf of a fast\-growing AI startup recognized as a Top 10 GenAI company by GTM Capital, founded by MIT CSAIL researchers.
 We are looking for a
 **Senior AI/ML Engineer** 
 to join a high\-performing AI engineering team building and deploying real\-world AI systems used by Fortune 500 customers. You will take technical ownership of critical ML components, lead model development and productionization efforts, and work closely with AI researchers, platform engineers, and product teams to deliver scalable, production\-grade AI systems.
 This role is intended for experienced AI/ML engineers who have already built and deployed models in production environments and want to operate at the intersection of
 **research\-quality AI and real\-world systems engineering** 
 .
 What You’ll Do
* Design, build, train, and optimize machine learning and deep learning models for production use
* Lead the deployment of ML models into scalable, reliable production systems
* Architect training, inference, and evaluation pipelines for structured and unstructured data
* Own model performance, reliability, scalability, and lifecycle management
* Drive experimentation, model iteration, and performance benchmarking
* Implement and maintain high\-quality ML codebases primarily in Python
* Monitor, debug, and improve live production models
* Collaborate with platform, backend, and infrastructure teams on system integration
* Contribute to technical direction, architecture decisions, and AI roadmap planning
* Mentor junior engineers and support team\-level technical excellence
 What We’re Looking For
* Bachelor’s, Master’s, or PhD in Computer Science, Engineering, Mathematics, or a related field
* 7\+ years of professional experience in AI/ML, data science, or applied machine learning roles
* Proven experience deploying ML systems into production environments
* Strong understanding of ML fundamentals, evaluation methodologies, and model lifecycle management
* Deep hands\-on experience with ML frameworks such as PyTorch, TensorFlow, or scikit\-learn
* Strong proficiency in Python
* Experience designing scalable ML systems and pipelines
* Ability to operate independently and take technical ownership of complex systems
* Strong problem\-solving, architecture, and system\-design skills
 Bonus Points
* Experience with deep learning, LLMs, GenAI, or modern AI architectures
* Experience building AI systems used by enterprise or large\-scale customers
* Strong experience with cloud platforms (AWS, GCP, Azure)
* MLOps experience (CI/CD for ML, model deployment, monitoring, observability)
* Research background, publications, or applied AI innovation projects
* Experience leading AI initiatives or mentoring ML engineers
 Why This Role Is High\-Impact
* Work directly with MIT CSAIL–founded leadership
* Build AI systems deployed to Fortune 500 customers
* Operate at the intersection of cutting\-edge AI and real\-world production systems
* High ownership and influence over technical direction
* Join a well\-funded, fast\-growing AI startup with strong technical ambition
* Clear path toward Staff/Principal AI Engineer or AI Architect roles
**Benefits**
* Competitive salary \&amp; equity options
* Sign\-on bonus
* Health, Dental, and Vision
* 401(k)
 ﻿
***Pragmatike** 
 is an Equal Opportunity Employer and is committed to providing equal employment opportunities to all applicants without discrimination. We recruit on behalf of our clients and prohibit discrimination and harassment based on race, color, religion, age, sex, national origin, disability status, genetics, protected veteran status, sexual orientation, gender identity or expression, or any other characteristic protected by federal, state, or local laws. This policy applies to all terms and conditions of employment, including recruiting, hiring, placement, promotion, termination, layoff, recall, transfer, leaves of absence, compensation, and training.We are committed to a fair and inclusive hiring process. We process your personal data solely for recruitment purposes, in accordance with applicable privacy laws, and maintain reasonable safeguards to protect your information. Your data may be shared with our client(s) for hiring consideration, but will not be disclosed to third parties outside of the recruitment process.*</t>
        </is>
      </c>
    </row>
    <row r="16">
      <c r="A16" t="inlineStr">
        <is>
          <t>li-4369618165</t>
        </is>
      </c>
      <c r="B16" t="inlineStr">
        <is>
          <t>Senior AI/ML Engineer</t>
        </is>
      </c>
      <c r="C16" t="inlineStr">
        <is>
          <t>Pragmatike</t>
        </is>
      </c>
      <c r="D16" t="inlineStr">
        <is>
          <t>linkedin</t>
        </is>
      </c>
      <c r="E16" t="inlineStr"/>
      <c r="F16" t="inlineStr"/>
      <c r="G16" t="inlineStr">
        <is>
          <t>New Jersey, United States</t>
        </is>
      </c>
      <c r="H16" t="inlineStr"/>
      <c r="I16" t="inlineStr">
        <is>
          <t>**Location:** 
 Cambridge, MA (Eastern Time / UTC \-4\) ﻿
 **Relocation package available**
**Relocation package:** 
 Available
**Start date:** 
 ASAP
**Languages:** 
 English (required)
**About The Role**
 Pragmatike is hiring on behalf of a fast\-growing AI startup recognized as a Top 10 GenAI company by GTM Capital, founded by MIT CSAIL researchers.
 We are looking for a
 **Senior AI/ML Engineer** 
 to join a high\-performing AI engineering team building and deploying real\-world AI systems used by Fortune 500 customers. You will take technical ownership of critical ML components, lead model development and productionization efforts, and work closely with AI researchers, platform engineers, and product teams to deliver scalable, production\-grade AI systems.
 This role is intended for experienced AI/ML engineers who have already built and deployed models in production environments and want to operate at the intersection of
 **research\-quality AI and real\-world systems engineering** 
 .
 What You’ll Do
* Design, build, train, and optimize machine learning and deep learning models for production use
* Lead the deployment of ML models into scalable, reliable production systems
* Architect training, inference, and evaluation pipelines for structured and unstructured data
* Own model performance, reliability, scalability, and lifecycle management
* Drive experimentation, model iteration, and performance benchmarking
* Implement and maintain high\-quality ML codebases primarily in Python
* Monitor, debug, and improve live production models
* Collaborate with platform, backend, and infrastructure teams on system integration
* Contribute to technical direction, architecture decisions, and AI roadmap planning
* Mentor junior engineers and support team\-level technical excellence
 What We’re Looking For
* Bachelor’s, Master’s, or PhD in Computer Science, Engineering, Mathematics, or a related field
* 7\+ years of professional experience in AI/ML, data science, or applied machine learning roles
* Proven experience deploying ML systems into production environments
* Strong understanding of ML fundamentals, evaluation methodologies, and model lifecycle management
* Deep hands\-on experience with ML frameworks such as PyTorch, TensorFlow, or scikit\-learn
* Strong proficiency in Python
* Experience designing scalable ML systems and pipelines
* Ability to operate independently and take technical ownership of complex systems
* Strong problem\-solving, architecture, and system\-design skills
 Bonus Points
* Experience with deep learning, LLMs, GenAI, or modern AI architectures
* Experience building AI systems used by enterprise or large\-scale customers
* Strong experience with cloud platforms (AWS, GCP, Azure)
* MLOps experience (CI/CD for ML, model deployment, monitoring, observability)
* Research background, publications, or applied AI innovation projects
* Experience leading AI initiatives or mentoring ML engineers
 Why This Role Is High\-Impact
* Work directly with MIT CSAIL–founded leadership
* Build AI systems deployed to Fortune 500 customers
* Operate at the intersection of cutting\-edge AI and real\-world production systems
* High ownership and influence over technical direction
* Join a well\-funded, fast\-growing AI startup with strong technical ambition
* Clear path toward Staff/Principal AI Engineer or AI Architect roles
**Benefits**
* Competitive salary \&amp; equity options
* Sign\-on bonus
* Health, Dental, and Vision
* 401(k)
 ﻿
***Pragmatike** 
 is an Equal Opportunity Employer and is committed to providing equal employment opportunities to all applicants without discrimination. We recruit on behalf of our clients and prohibit discrimination and harassment based on race, color, religion, age, sex, national origin, disability status, genetics, protected veteran status, sexual orientation, gender identity or expression, or any other characteristic protected by federal, state, or local laws. This policy applies to all terms and conditions of employment, including recruiting, hiring, placement, promotion, termination, layoff, recall, transfer, leaves of absence, compensation, and training.We are committed to a fair and inclusive hiring process. We process your personal data solely for recruitment purposes, in accordance with applicable privacy laws, and maintain reasonable safeguards to protect your information. Your data may be shared with our client(s) for hiring consideration, but will not be disclosed to third parties outside of the recruitment process.*</t>
        </is>
      </c>
    </row>
    <row r="17">
      <c r="A17" t="inlineStr">
        <is>
          <t>li-4359814646</t>
        </is>
      </c>
      <c r="B17" t="inlineStr">
        <is>
          <t>Machine Learning Engineer</t>
        </is>
      </c>
      <c r="C17" t="inlineStr">
        <is>
          <t>Open Talent</t>
        </is>
      </c>
      <c r="D17" t="inlineStr">
        <is>
          <t>linkedin</t>
        </is>
      </c>
      <c r="E17" t="inlineStr"/>
      <c r="F17" t="inlineStr"/>
      <c r="G17" t="inlineStr">
        <is>
          <t>El Segundo, CA</t>
        </is>
      </c>
      <c r="H17" t="inlineStr"/>
      <c r="I17" t="inlineStr">
        <is>
          <t>**Founding AI/ML Engineer (Production) \- California (SF/Palo Alto)** 
**$450k \- $500k\+ Base \+ Founding Equity** 
***This role requires US Citizenship due to regulatory constraints.***
**Most of the Valley is obsessed with LLM wrappers for HR or marketing. We’re using them to run multi\-ton autonomous machines; \&amp; fast.** 
 We’re a Top 10 hard\-tech startup with real hardware \&amp; real customers. We aren't a research lab \&amp; we don't do R\&amp;D for the sake of it. Our machines are in the field globally right now. We need a
 **Founding AI/ML Engineer** 
 to build the production intelligence layer that turns complex logic into physical movement.
**The Squad** 
 You’ll be joining a high\-density team from SpaceX, Palantir, \&amp; Anduril. We’ve cut out the corporate theater\-no bloated meetings, no process for the sake of process, \&amp; zero ego. As a founding hire, you aren't just training models; you’re architecting the engine of the company.
**The Work: Moving Atoms** 
 In this role, an unreliable model isn't just a "bug"\-it’s a physical failure. You’ll own the stack from fine\-tuning to field deployment.
* **Mission\-Critical Logic:** 
 Fine\-tuning \&amp; deploying models that handle real\-time operational decisions where precision is the only metric that matters.
* **The Pipeline:** 
 Building the RAG systems, data flywheels, \&amp; retrieval logic that allow our robots to understand their environment with sub\-100ms latency.
* **Hardened Evals:** 
 Designing the testing frameworks \&amp; grounding suites required for heavy hardware. You ensure the "reasoning" holds up when things get messy in the real world.
* **Full Autonomy:** 
 You pick the tools, define the architecture, \&amp; own the deployment.
**The Profile** 
 We want builders who are bored with digital\-only products \&amp; want to solve hard problems grounded in physics.
* **Production Grit:** 
 You’ve shipped \&amp; maintained ML systems in high\-bar environments (SpaceX, Tesla, or similar).
* **Systems Thinking:** 
 You understand the full lifecycle\-from raw telemetry \&amp; fine\-tuning to inference optimization \&amp; hardware constraints.
* **High\-Bar Pedigree:** 
 You come from a place where "production\-ready" means it works every time, \&amp; shipping broken code isn't an option.
**The Deal** 
* **Comp:** 
 $450k \- $500k\+ base \+
 **Meaningful Founding Equity** 
 .
* **Location:** 
 SF / Palo Alto \- On\-site.
* **Process:** 
**1 week, 0 take\-homes. No leet code.** 
 We move as fast as we ship.
1. **Technical Deep Dive:** 
 A conversation about a complex system you actually built \&amp; shipped.
2. **Practical Pairing:** 
 Solving a real\-world production problem with the team. No Leetcode.
3. **Founder Chat:** 
 A focus on judgment, trade\-offs, \&amp; vision.
 If you’re ready to build something that actually moves, let’s talk.
**TL;DR** 
* **Role:** 
 Founding AI/ML (Production focus)
* **The Mission:** 
 Critical intelligence for heavy robotics
* **The Team:** 
 Ex\-SpaceX, Palantir, Anduril
* **The Comp:** 
 $450k \- $500k\+ base \+ Equity
* **The Speed:** 
 1\-week process. Zero BS.
 All applicants will receive a response within 72 hours.
**Equal Opportunity** 
 We're hiring for an Equal Opportunity Employer.
 \*All our new jobs are posted here 1st:
**linkedin.com/in/sufyanbashir/**</t>
        </is>
      </c>
    </row>
    <row r="18">
      <c r="A18" t="inlineStr">
        <is>
          <t>li-4369479035</t>
        </is>
      </c>
      <c r="B18" t="inlineStr">
        <is>
          <t>Machine Learning Engineer</t>
        </is>
      </c>
      <c r="C18" t="inlineStr">
        <is>
          <t>Block</t>
        </is>
      </c>
      <c r="D18" t="inlineStr">
        <is>
          <t>linkedin</t>
        </is>
      </c>
      <c r="E18" t="inlineStr"/>
      <c r="F18" t="inlineStr"/>
      <c r="G18" t="inlineStr"/>
      <c r="H18" t="inlineStr"/>
      <c r="I18" t="inlineStr">
        <is>
          <t>**About The Company** 
 Founded a decade ago in Sydney, Australia, Afterpay has established itself as a leading innovator in the financial technology sector. With over 24 million active customers worldwide and partnerships with more than 250,000 top\-tier retailers including Anthropologie, Revolve, DSW, GOAT, Finish Line, Levi's, Mac Cosmetics, Ray\-Ban, and many others, Afterpay is committed to creating a more accessible and responsible financial ecosystem. Our movement is centered around the principle that everyone can win—shoppers, retailers, society, and our team—by fostering fairness, trust, and rewarding integrity. We believe in empowering individuals to achieve financial freedom while enabling retailers to grow globally. As part of the Block ecosystem, we focus on supporting our community of shoppers and promoting a sustainable, inclusive economy.
**About The Role** 
 We are seeking a highly experienced and strategic Machine Learning and Data Science leader to join our team remotely in the US or Canada. In this role, you will be instrumental in architecting and developing advanced ML systems that safeguard our lending products through fraud detection, abuse mitigation, and inclusive credit decisioning. Your work will leverage complex datasets to enhance the precision, speed, and adaptability of our decision frameworks, ensuring portfolio resilience and operational excellence. You will collaborate closely with cross\-functional teams including Product, Engineering, and Operations to design scalable systems, influence risk strategies, and pioneer AI\-native, self\-adapting risk management solutions. Your leadership will help us stay ahead of emerging fraud vectors, improve underwriting processes, and drive innovation in our risk ecosystem.
**Qualifications** 
* Bachelor’s degree in Mathematics, Statistics, Physics, Computer Science, or related quantitative field. Master’s or PhD preferred.
* 10\+ years of professional experience in risk management, fraud prevention, credit underwriting, or a high\-stakes decisioning domain.
* Deep expertise in machine learning methodologies, statistical modeling, and advanced analytics techniques.
* Proven experience designing automated validation frameworks for models and decision logic.
* Strong analytical and testing mindset with experience analyzing large, complex datasets.
* Excellent communication skills, capable of translating complex technical concepts for diverse stakeholders.
* Hands\-on experience with agentic workflows, including LLM\-based agents or automation components that enhance modeling velocity and decision reliability.
* Proficiency with technologies such as SQL, Python (NumPy, Pandas, Sklearn, TensorFlow), GitHub, and cloud platforms like GCP or AWS.
**Responsibilities** 
* Design and implement next\-generation lending decision frameworks utilizing advanced analytics, machine learning, and automation to enhance accuracy and responsiveness.
* Analyze large\-scale datasets to derive insights that influence underwriting strategies, strengthen ecosystem safeguards, and guide product development.
* Lead signal discovery initiatives and conduct deep experimentations to identify evolving risk patterns and inform system enhancements.
* Collaborate with Product, Engineering, and Operations teams to develop systems and features that foster trust and maintain portfolio health.
* Mentor and develop fellow data scientists and modelers, establishing best practices and technical standards across the team.
* Own end\-to\-end solution development—from problem framing and system design to deployment, monitoring, and iterative improvements.
* Stay ahead of emerging fraud vectors and adapt models proactively to mitigate risks before they scale.
**Benefits** 
* Remote work flexibility for US and Canadian candidates.
* Comprehensive medical insurance coverage.
* Flexible time off policies to support work\-life balance.
* Retirement savings plans with company contributions.
* Modern family planning and parental leave benefits.
* Opportunities for professional growth and development within a global fintech leader.
 Equal Opportunity
 Block is an equal\-opportunity employer committed to fostering an inclusive environment. We evaluate all employees and job applicants without regard to race, gender, age, religion, national origin, disability, sexual orientation, gender identity, or any other legally protected status. We consider qualified applicants with arrest or conviction records in accordance with applicable laws and ordinances.</t>
        </is>
      </c>
    </row>
    <row r="19">
      <c r="A19" t="inlineStr">
        <is>
          <t>li-4369610362</t>
        </is>
      </c>
      <c r="B19" t="inlineStr">
        <is>
          <t>Senior AI/ML Engineer</t>
        </is>
      </c>
      <c r="C19" t="inlineStr">
        <is>
          <t>Pragmatike</t>
        </is>
      </c>
      <c r="D19" t="inlineStr">
        <is>
          <t>linkedin</t>
        </is>
      </c>
      <c r="E19" t="inlineStr"/>
      <c r="F19" t="inlineStr"/>
      <c r="G19" t="inlineStr">
        <is>
          <t>Cambridge, MA</t>
        </is>
      </c>
      <c r="H19" t="inlineStr"/>
      <c r="I19" t="inlineStr">
        <is>
          <t>**Location:** 
 Cambridge, MA (Eastern Time / UTC \-4\) ﻿
 **Relocation package available**
**Relocation package:** 
 Available
**Start date:** 
 ASAP
**Languages:** 
 English (required)
**About The Role**
 Pragmatike is hiring on behalf of a fast\-growing AI startup recognized as a Top 10 GenAI company by GTM Capital, founded by MIT CSAIL researchers.
 We are looking for a
 **Senior AI/ML Engineer** 
 to join a high\-performing AI engineering team building and deploying real\-world AI systems used by Fortune 500 customers. You will take technical ownership of critical ML components, lead model development and productionization efforts, and work closely with AI researchers, platform engineers, and product teams to deliver scalable, production\-grade AI systems.
 This role is intended for experienced AI/ML engineers who have already built and deployed models in production environments and want to operate at the intersection of
 **research\-quality AI and real\-world systems engineering** 
 .
 What You’ll Do
* Design, build, train, and optimize machine learning and deep learning models for production use
* Lead the deployment of ML models into scalable, reliable production systems
* Architect training, inference, and evaluation pipelines for structured and unstructured data
* Own model performance, reliability, scalability, and lifecycle management
* Drive experimentation, model iteration, and performance benchmarking
* Implement and maintain high\-quality ML codebases primarily in Python
* Monitor, debug, and improve live production models
* Collaborate with platform, backend, and infrastructure teams on system integration
* Contribute to technical direction, architecture decisions, and AI roadmap planning
* Mentor junior engineers and support team\-level technical excellence
 What We’re Looking For
* Bachelor’s, Master’s, or PhD in Computer Science, Engineering, Mathematics, or a related field
* 7\+ years of professional experience in AI/ML, data science, or applied machine learning roles
* Proven experience deploying ML systems into production environments
* Strong understanding of ML fundamentals, evaluation methodologies, and model lifecycle management
* Deep hands\-on experience with ML frameworks such as PyTorch, TensorFlow, or scikit\-learn
* Strong proficiency in Python
* Experience designing scalable ML systems and pipelines
* Ability to operate independently and take technical ownership of complex systems
* Strong problem\-solving, architecture, and system\-design skills
 Bonus Points
* Experience with deep learning, LLMs, GenAI, or modern AI architectures
* Experience building AI systems used by enterprise or large\-scale customers
* Strong experience with cloud platforms (AWS, GCP, Azure)
* MLOps experience (CI/CD for ML, model deployment, monitoring, observability)
* Research background, publications, or applied AI innovation projects
* Experience leading AI initiatives or mentoring ML engineers
 Why This Role Is High\-Impact
* Work directly with MIT CSAIL–founded leadership
* Build AI systems deployed to Fortune 500 customers
* Operate at the intersection of cutting\-edge AI and real\-world production systems
* High ownership and influence over technical direction
* Join a well\-funded, fast\-growing AI startup with strong technical ambition
* Clear path toward Staff/Principal AI Engineer or AI Architect roles
**Benefits**
* Competitive salary \&amp; equity options
* Sign\-on bonus
* Health, Dental, and Vision
* 401(k)
 ﻿
***Pragmatike** 
 is an Equal Opportunity Employer and is committed to providing equal employment opportunities to all applicants without discrimination. We recruit on behalf of our clients and prohibit discrimination and harassment based on race, color, religion, age, sex, national origin, disability status, genetics, protected veteran status, sexual orientation, gender identity or expression, or any other characteristic protected by federal, state, or local laws. This policy applies to all terms and conditions of employment, including recruiting, hiring, placement, promotion, termination, layoff, recall, transfer, leaves of absence, compensation, and training.We are committed to a fair and inclusive hiring process. We process your personal data solely for recruitment purposes, in accordance with applicable privacy laws, and maintain reasonable safeguards to protect your information. Your data may be shared with our client(s) for hiring consideration, but will not be disclosed to third parties outside of the recruitment process.*</t>
        </is>
      </c>
    </row>
    <row r="20">
      <c r="A20" t="inlineStr">
        <is>
          <t>li-4359873975</t>
        </is>
      </c>
      <c r="B20" t="inlineStr">
        <is>
          <t>Machine Learning Engineer</t>
        </is>
      </c>
      <c r="C20" t="inlineStr">
        <is>
          <t>MRJ Recruitment</t>
        </is>
      </c>
      <c r="D20" t="inlineStr">
        <is>
          <t>linkedin</t>
        </is>
      </c>
      <c r="E20" t="inlineStr"/>
      <c r="F20" t="inlineStr"/>
      <c r="G20" t="inlineStr"/>
      <c r="H20" t="inlineStr"/>
      <c r="I20" t="inlineStr">
        <is>
          <t>**Machine Learning Engineer** 
**$200k to $260k \+ equity \| Remote (North America)** 
 We are working with a growing data and AI platform focused on one thing: helping teams act on their data, not just analyse it.
 They are now investing in machine learning to power real\-time decisioning across personalisation, experimentation and optimisation.
 This is not an academic or research\-heavy environment. It is production ML with clear ownership and visible impact.
 A good fit for engineers who like solving real problems and shipping regularly.
**What you will be doing:** 
 This role sits at the point where data science meets real\-world impact.
 You will be solving questions like:
* Which customers should we engage, and when?
* What content or offers are most likely to convert?
* How do we automatically test thousands of variations without manual setup?
* Where is spend actually driving incremental results vs wasted budget?
* How can AI generate and adapt messaging in real time?
 You will design, ship and iterate on the systems that answer those questions, turning models into live decision engines that sit directly in customer\-facing workflows.
 Expect fast feedback loops, measurable outcomes and real ownership, not long research cycles.
**Skills needed:** 
 To thrive here, you will likely bring:
* Experience deploying machine learning models into production environments
* Strong foundations in statistics, experimentation and optimisation
* Confidence working with large datasets and modern cloud/data infrastructure
* Python and common ML tooling/frameworks
* The ability to move from ambiguous problems to working solutions independently
* Comfort collaborating closely with product and engineering teams
 Backgrounds in recommender systems, growth/marketing optimisation, experimentation platforms or applied LLM use cases are a bonus, not a requirement.
 Most importantly, you care about impact and shipping, not just training models.
**Next steps:** 
 We are supporting this hire directly and working closely with the leadership team.
 You will get clear insight into the roadmap, technical challenges and expectations before interviews, along with honest prep and guidance throughout the process.
 If you are looking for a high\-impact ML role where your work goes straight into production and drives real business results, apply and we will walk you through the details.</t>
        </is>
      </c>
    </row>
    <row r="21">
      <c r="A21" t="inlineStr">
        <is>
          <t>li-4361010758</t>
        </is>
      </c>
      <c r="B21" t="inlineStr">
        <is>
          <t>Machine Learning Engineer - Mid</t>
        </is>
      </c>
      <c r="C21" t="inlineStr">
        <is>
          <t>Silverthorne Advisory Group</t>
        </is>
      </c>
      <c r="D21" t="inlineStr">
        <is>
          <t>linkedin</t>
        </is>
      </c>
      <c r="E21" t="inlineStr"/>
      <c r="F21" t="inlineStr"/>
      <c r="G21" t="inlineStr">
        <is>
          <t>Tampa, FL</t>
        </is>
      </c>
      <c r="H21" t="inlineStr"/>
      <c r="I21" t="inlineStr">
        <is>
          <t>**Benefits:**
* Retirement Plan
* 401(k)
* 401(k) matching
* Bonus based on performance
* Company parties
* Competitive salary
* Dental insurance
* Health insurance
* Opportunity for advancement
* Paid time off
* Training \&amp; development
* Vision insurance
**Job Description**
 As an experienced engineer, you know that machine learning (ML) is critical to understanding and processing massive datasets. Your ability to conduct statistical analyses on business processes using ML techniques makes you an integral part of delivering a customer\-focused solution. We need your technical knowledge and desire to problem\-solve to support DoD program offices. As an ML Engineer on our AI\-enabled team, you will train, test, deploy, and maintain models that learn from data. In this role, you will own and define the direction of mission\-critical solutions by applying best\-fit ML algorithms and technologies. You will be part of a large community of ML engineers across the firm and collaborate with data engineers, data scientist, solutions architects, and product owners to deliver world class solutions to DoD and Federal clients. Your advanced consulting skills and extensive technical expertise will guide clients as they navigate the landscape of ML algorithms, tools, and frameworks. On our team, you will use your leadership skills and data science expertise to create real\-world impact. You will work closely with clients to understand their questions and needs, and then dig into their data\-rich environments to find the pieces of their information puzzle. You will guide teammates and lead the development of
 algorithms and systems. You will use the right combination of tools and frameworks to turn sets of disparate data points into objective answers to advise your clients as they make informed decisions. Ultimately, you will provide a deep understanding of the data, what it all means, and how it can be used.
**Responsibilities**
* Establish scalable, efficient, automated processes for large\-scale data analysis, machine learning model development, model validation and serving.
* Optimize machine learning algorithms.
* Contribute to building an infrastructure that facilitates end\-to\-end ML workflows.
* Experience with one or more Deep Learning packages including but not limited to TensorFlow and PyTorch.
* Explore new technologies like quantum engineering for advanced model development.
* Collaborate with cross\-functional teams to enhance data processing pipelines.
* Communicate and coordinate with teams to accomplish objectives and deliver excellence.
**Requirements**
* Top Secret clearance required (can be sponsored).
* 3\+ years of full software development life cycle, including coding standards, code reviews, source control management, build processes, testing, and operations experience.
* 4\+ years with natural language processing (NLP) topics, including tagging, syntactic parsing, word sense disambiguation, topic modeling, contextual text mining, or application of deep learning to NLP.
* Strong background in a modern programming language, such as Python or Java, and associated numerical and analytics packages (NUMPY, PANDAS); git; PYTORCH or TensorFlow; CI/CD pipelines and regression testing.
* Ability to quickly grasp technical concepts and collaborate with multiple functional groups.
* Excellent communication and collaboration skills, with the ability to work effectively with cross\-functional teams.
* Detail\-oriented mindset with a commitment to delivering high\-quality results.
**Nice to Have**
* Recent DoD or IC\-related experience.
* Experience building distributed deep learning libraries or scaling large distributed deep learning workflows using PyTorch (or similar).
* Experience in machine learning, data mining, information retrieval, statistics, or natural language processing.
* Experience in large scale AI and ML infrastructure, AWS ML tools such as SageMaker.
* Experience with data discovery techniques and tools such as AWS Glue Crawler, Apache Atlas, Datahub, or Collibra.
* Experience in working in an agile development environment.
 If you are passionate about leveraging your machine learning skills and working with cutting\-edge
 technologies to enable efficient data analysis, we encourage you to apply. Join our team and be a part of
 our mission to provide streamlined and rapid access to critical information!
**Benefits**
* Compensation \- We carefully consider a wide range of compensation factors, including but not limited to prior experience, skills, expertise, location, and other considerations permitted by law.
* Healthcare \- We offer Health, Vision, and Dental Plans for our employees and their families.
* Retirement Plan – We invest in your future with a competitive 401(k) plan, where we match 100% of your contributions up to your first 6% and give you access to Vanguard Admiral funds.
* Paid Time Off \- Based on length of service, we offer a generous amount of paid leave.
* Bonus System – As you invest in us, we invest in you. We offer bonuses to all employees who meet and exceed goals throughout the year.
* Professional Development – Support for career growth through training programs and certifications.
* Company Retreats \&amp; Team Events – Sponsored trips, team\-building activities, and annual conferences related to your skillset.</t>
        </is>
      </c>
    </row>
    <row r="22">
      <c r="A22" t="inlineStr">
        <is>
          <t>li-4369111692</t>
        </is>
      </c>
      <c r="B22" t="inlineStr">
        <is>
          <t>Founding AI/ML Engineer</t>
        </is>
      </c>
      <c r="C22" t="inlineStr">
        <is>
          <t>VLM Run</t>
        </is>
      </c>
      <c r="D22" t="inlineStr">
        <is>
          <t>linkedin</t>
        </is>
      </c>
      <c r="E22" t="inlineStr"/>
      <c r="F22" t="inlineStr"/>
      <c r="G22" t="inlineStr">
        <is>
          <t>Santa Clara, CA</t>
        </is>
      </c>
      <c r="H22" t="inlineStr"/>
      <c r="I22" t="inlineStr">
        <is>
          <t>**About the Role:** 
 We’re looking for a
 **Founding AI/ML Engineer** 
 to join our cutting\-edge team at an exciting stage of growth. You will be a hands\-on, research\-aware builder who ships real\-world AI/ML models. This is a unique opportunity to work on
 **bleeding\-edge** 
 projects and contribute to developing advanced AI tools with practical, scalable applications. You will play a key role in shaping our AI/ML architecture from the ground up while actively deploying and optimizing models in production.
**What We’re Looking For:** 
* **Practical Experience with LLMs:** 
 Hands\-on experience deploying and optimizing large language models (LLMs) in real\-world environments, not just theoretical knowledge.
* **Model Deployment:** 
 Experience deploying models locally and at scale, using tools like
 **VLLM** 
 ,
 **Hugging Face** 
 , and
 **Llama/Ollama** 
 .
* **Advanced AI Architectures:** 
 Expertise with
 **Vision Transformers (ViT)** 
 and
 **Vision\-Language Models (VLMs)** 
 .
* **Tech Stack Proficiency:** 
 Proficiency in
 **PyTorch** 
 and experience building, fine\-tuning, and deploying complex AI/ML systems.
* **Research\-Aware Builder:** 
 A unique combination of
 **applied research** 
 and hands\-on
 **production deployment** 
 . You should be comfortable working in both research and production environments, shipping models that drive real\-world outcomes.
* **Experience Flexibility:** 
 We are open to candidates with
 **4\+ years of experience** 
 or demonstrable ability via
 **GitHub contributions** 
 and production\-shipping history. No rigid education requirements—if you have a proven track record, we’re interested.
**Bonus Qualifications:** 
* Familiarity with cutting\-edge
 **AI/ML tools** 
 and model development pipelines.
* Prior experience working in startups or fast\-moving teams with a hands\-on approach to engineering.
**What We Offer:** 
* A chance to work at the forefront of AI/ML innovation with
 **bleeding\-edge tools** 
 and models.
* A collaborative, creative environment where your voice and ideas matter.
* The opportunity to shape the future of AI, working alongside a talented and ambitious team.
 If you're a research\-aware builder who thrives in a fast\-paced, innovative environment, we’d love to connect with you. Apply today!
**Additional Job Application Terms** 
 This job is part of LinkedIn’s Full\-Service Hiring beta program. Eligibility is limited to candidates located in and performing services in the United States, excluding those based in Alaska, Hawaii, Nevada, South Carolina, or West Virginia.
 We’re committed to making our hiring process as smooth and timely as possible, and we understand that waiting to hear back can add to the anticipation. If you’re a potential fit, our team will reach out within two weeks to progress you to the next stage. If you don’t hear from us in that time, we encourage you to explore other opportunities with our team in the future, and we wish you the very best in your job search.</t>
        </is>
      </c>
    </row>
    <row r="23">
      <c r="A23" t="inlineStr">
        <is>
          <t>li-4367561510</t>
        </is>
      </c>
      <c r="B23" t="inlineStr">
        <is>
          <t>Machine Learning Engineer II</t>
        </is>
      </c>
      <c r="C23" t="inlineStr">
        <is>
          <t>The Walt Disney Company</t>
        </is>
      </c>
      <c r="D23" t="inlineStr">
        <is>
          <t>linkedin</t>
        </is>
      </c>
      <c r="E23" t="inlineStr"/>
      <c r="F23" t="inlineStr"/>
      <c r="G23" t="inlineStr">
        <is>
          <t>New York, NY</t>
        </is>
      </c>
      <c r="H23" t="inlineStr"/>
      <c r="I23" t="inlineStr">
        <is>
          <t>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innovation, and scalability for our businesses. We are Storytellers and Innovators. Creators and Builders. Entertainers and Engineers. We work with every part of The Walt Disney Company’s media portfolio to advance the technological foundation and consumer media touch points serving millions of people around the world.
 Here are a few reasons why we think you’d love working here:
* Building the future of Disney’s media: Our Technologists are designing and building the products and platforms that will power our media, advertising, and distribution businesses for years to come.
* Reach, Scale \&amp; Impact: More than ever, Disney’s technology and products serve as a signature doorway for fans' connections with the company’s brands and stories. Disney\+. Hulu. ESPN. ABC. ABC News…and many more. These products and brands – and the unmatched stories, storytellers, and events they carry – matter to millions of people globally.
* Innovation: We develop and implement groundbreaking products and techniques that shape industry norms, and solve complex and distinctive technical problems.
**Responsibilities**
* Understanding business objectives and developing models that help to identify and prevent credential stuffing, ATO (account takeover) and other fraud behaviors, along with metrics to track the progress.
* Exploring and visualizing data to gain an understanding of the problems, then identifying differences in data distribution and selecting the suitable ML algorithms.
* Apply machine learning, statistics or data mining to help to be efficient in every aspects of identity security
* Develop scalable and efficient methods for large scale data analysis and model development.
* Defining data augmentation pipelines, training models and tuning their hyperparameters, deploying models to production, monitoring \&amp; evaluating the performance of ML models.
* Collaborate with developers, program managers, and product managers in an open, creative environment
**Basic Qualifications**
* Bachelors in computer science, EE or other quantitative discipline and a minimum of 3 years of experience
* Experience in large scale machine learning, user behavior analysis, fraud detection in leading internet companies.
* Proficiency with machine learning libraries of scikit\-learn, pandas and machine learning frameworks of TensorFlow/Keras or PyTorch.
* Expertise in visualizing and manipulating big datasets.
* Familiarity with Python, Java/Scala.
* Experience in security domain is highly preferred.
* Passion for technology, open to interdisciplinary work, and experience in building data\-driven services and applications.
* Excellent written and oral communication skills.
 The hiring range for this position in New York, NY is $120,300 to $161,300 per year. The base pay actually offered will take into account internal equity and also may vary depending on the candidate’s geographic region, job\-related knowledge, skills, and experience among other factors. A bonus and/or long\-term incentive units may be provided as part of the compensation package, in addition to the full range of medical, financial, and/or other benefits, dependent on the level and position offered.</t>
        </is>
      </c>
    </row>
    <row r="24">
      <c r="A24" t="inlineStr">
        <is>
          <t>li-4344479020</t>
        </is>
      </c>
      <c r="B24" t="inlineStr">
        <is>
          <t>Machine Learning Engineer</t>
        </is>
      </c>
      <c r="C24" t="inlineStr">
        <is>
          <t>Treeswift</t>
        </is>
      </c>
      <c r="D24" t="inlineStr">
        <is>
          <t>linkedin</t>
        </is>
      </c>
      <c r="E24" t="inlineStr"/>
      <c r="F24" t="inlineStr"/>
      <c r="G24" t="inlineStr">
        <is>
          <t>New York, NY</t>
        </is>
      </c>
      <c r="H24" t="inlineStr"/>
      <c r="I24" t="inlineStr">
        <is>
          <t>**About Treeswift**
 In the face of rising threats like severe storms and wildfires, increasing pressure on affordability and unprecedented demands for system expansion, Treeswift empowers energy companies to modernize their field work to meet the unprecedented growth and challenges ahead.
 To accomplish our mission we deploy our sensors into our customers' field operations , typically on backpacks or vehicles. The resulting LiDAR and imagery data is processed through our AI models to deliver actionable analytics through our web platform. To date, our technology has enabled utilities to reduce wildfire, regulatory and outage risk from vegetation, avoid delays and cost overruns in new construction, and accelerate recovery from severe storms.
 In just a year and a half since our first utility pilot we are working with three of the five largest utilities in the United States and rapidly expanding across new customers and use cases. To tackle this challenge we are bringing together a team of mission\-driven experts from with deep industry experience in robotics (UPenn, Caltech, CMU) and enterprise software development (Palantir, Stripe, Oracle). We have raised from leading investors including Penny Pritzker’s Inspired Capital. We hope you’ll join us on this journey
**About The Role**
 Treeswift is seeking a highly skilled and motivated engineer to join our team. You will play a pivotal role in developing and deploying state\-of\-the\-art machine learning solutions to advance our mission. We are looking for an exceptional candidate with a proven track record of training and deploying models in a commercial setting. If you are a passionate and experienced engineer eager to contribute to the future of distributed infrastructure management we encourage you to apply.
 This is a full\-time, hybrid/2\-day a week in person role in our NYC office.
**Key Responsibilities**
* Develop machine learning models that revolutionize our customers’ businesses. Treeswift develops machine learning algorithms that upend the cost and accuracy of field work for energy infrastructure. Our machine learning model development focuses on two primary areas: (a) LiDAR point cloud models to classify and segment landscapes and infrastructure and (b) image models to derive vegetation attributes such as species and health. In this role you will be responsible for bringing innovative ideas and rapid execution to new and existing models. In the course of development, you will collaborate closely with other teams (product, operations etc…) and have an opportunity to interact with end\-users.
* Create a best\-in\-class feedback loop to accelerate model development. You will improve Treeswift’s ability to assess model performance and adapt to new operating conditions at scale. Treeswift’s cutting edge model development involves significant investment in a proprietary dataset to train our models.
* Help Treeswift scale. In this role you will be expected to bring prior experience with commercial machine learning model development and deployment to help Treeswift cost\-effectively scale its technology to serve a growing number of customers and use cases. You will be responsible for enabling effective collaboration on model development within the engineering team, and you will contribute to efforts to ensure reliable and robust performance of models in production.
**Required Skills**
* Proven track record of training and deploying machine learning models at scale for commercial use cases.
* Experience in segmentation and object detection of point cloud data or image data or other sensor data.
* Experience creating, curating, and cleaning training datasets
* Strong programming skills in Python
* Expertise in deep learning libraries such as PyTorch, TensorFlow, or similar.
* Excellent problem\-solving and analytical abilities.
* Exceptional communication and collaboration skills.
**Preferred Skills**
* Experience with semantic mapping.
* Experience with image processing techniques and computer vision fundamentals.
* Experience with one or more of: Sensor Fusion, SLAM, Visual Odometry.
* Building and using cloud\-based training and inference pipelines.
* 5\+ years of professional experience or 3\+ years with an advanced degree.
* Experience with deep learning training frameworks such as MLflow, Lightning, Weights and Biases, or similar.
**What We Value**
* Mission first. We value low ego team members who focus on working towards the best outcomes for the customer and the business, regardless of who gets the credit.
* Truth seeking. We don’t always have perfect information to make decisions, but we seek to constantly get closer to the ground truth and aren’t afraid to learn we were wrong in the process.
* Owners mindset. If you see an opportunity for improvement, run with it. We believe that good ideas can come from anywhere, no matter your role.
**Benefits**
* Comprehensive medical, dental and vision insurance
* Life insurance package and disability coverage
* Stock options
* Paid leave for new parents
* Unlimited PTO
* 401K
**Salary**
 The estimated salary range for this position is $140,000\-$210,000\. Total compensation for this position is determined by skills, qualifications, relevant work experience, location, and other factors. This salary estimate excludes the value of any potential bonuses; the value of any benefits offered; and the potential future value of any long\-term incentives. This information is provided per the New York City Human Rights Law. Please note that the range provided is applicable only to New York City\-based applicants. Base compensation may vary if the work location is outside of New York City.
 Treeswift is proud to be an equal opportunity employer. We provide employment opportunities without regard to age, race, color, ancestry, national origin, religion, disability, sex, gender identity or expression, sexual orientation, veteran status, or any other protected status in accordance with applicable law.
 If you require any accommodations during the recruitment process, whether it be alternate forms of material, accessible meeting rooms, etc., please let us know and we will work with you to meet your needs.</t>
        </is>
      </c>
    </row>
    <row r="25">
      <c r="A25" t="inlineStr">
        <is>
          <t>li-4341002791</t>
        </is>
      </c>
      <c r="B25" t="inlineStr">
        <is>
          <t>Machine Learning Engineer</t>
        </is>
      </c>
      <c r="C25" t="inlineStr">
        <is>
          <t>Abaka AI</t>
        </is>
      </c>
      <c r="D25" t="inlineStr">
        <is>
          <t>linkedin</t>
        </is>
      </c>
      <c r="E25" t="inlineStr"/>
      <c r="F25" t="inlineStr"/>
      <c r="G25" t="inlineStr">
        <is>
          <t>Palo Alto, CA</t>
        </is>
      </c>
      <c r="H25" t="inlineStr"/>
      <c r="I25" t="inlineStr">
        <is>
          <t>**About Abaka AI**
 Abaka AI is built on one mission: to be the world’s most trusted data partner for AI companies. More than 1,000 industry leaders across Generative AI, Embodied AI, and Automotive AI rely on us to power their data pipelines. With our headquarters in Silicon Valley—and teams in Paris, Singapore, and Tokyo—we support global partners with fast, reliable, and scalable data solutions.
 Our offerings include a diverse catalog of off\-the\-shelf datasets (image, video, multimodal, reasoning, 3D, and beyond) as well as comprehensive data collection and annotation services. Whether teams need raw data, curated datasets, or full\-cycle data engineering, Abaka AI provides the foundation for building high\-performance AI systems.
**About The Role**
 We’re hiring our first Machine Learning Engineer in the United States, a foundational role that will shape how Abaka builds, trains, and optimizes multimodal AI systems. You will own the design and development of scalable training pipelines, work directly with our data engineering and research teams, and help drive the technical roadmap for model development across multiple modalities.
 As an early member of the engineering team, you will influence core decisions around model training strategy, experimentation frameworks, distributed infrastructure, and internal best practices. Your work will directly impact the performance of frontier models trained on Abaka datasets and will help elevate the technical bar for our clients and partners.
 If you thrive in high\-ownership environments and want to shape the machine learning foundation of a fast\-moving AI company, this role offers an opportunity to make an immediate and lasting impact.
**Responsibilities**
* Design, build, and optimize scalable machine learning pipelines for multimodal model training, fine\-tuning, and evaluation across text, image, audio, video, and 3D data.
* Work closely with data engineering and research teams to develop efficient data workflows, including collection, preprocessing, annotation, versioning, and model integration.
* Implement and refine training strategies for large\-scale AI systems, including vision, video, and diffusion models, ensuring reproducibility, efficiency, and strong model performance.
* Develop tools and automation frameworks that accelerate model experimentation, hyperparameter tuning, and deployment.
* Identify and address performance bottlenecks in data or training pipelines to improve throughput, stability, and resource utilization.
* Collaborate with product and infrastructure teams to ensure smooth integration of model outputs into both internal and client\-facing applications.
* Support internal best practices for model governance, experiment tracking, and documentation to maintain high engineering standards and reproducibility.
**Qualifications**
* Strong academic background in computer science, artificial intelligence, machine learning, or related fields. Master’s degree or Ph.D. is preferred.
* 3\+ years of experience in applied machine learning or ML engineering, with a demonstrated ability to deliver production\-ready models or pipelines.
* Proficient in Python and ML frameworks such as PyTorch, TensorFlow, or JAX, with hands\-on experience in large\-scale distributed training and inference systems.
* Familiarity with multimodal data processing (e.g., text\-image pairing, video understanding, speech\-audio modeling) and dataset optimization for model training.
* Solid understanding of ML system design, including feature pipelines, data loaders, model serving, and evaluation frameworks.
* Experience with modern infrastructure tools such as Kubernetes, Ray, Airflow, or MLflow, along with cloud\-based training environments (AWS, GCP, Azure).
* Excellent communication and collaboration skills, capable of working effectively across engineering, research, and product teams to accomplish shared goals.
* Self\-driven and adaptable, comfortable operating in a fast\-paced startup environment, and able to demonstrate strong ownership and urgency in execution.
**Compensation \&amp; Benefits**
 The base salary range for this position is $175,000 \- $275,000 USD annually.
 Compensation may vary outside of this range depending on a number of factors, including a candidate’s qualifications, skills, competencies and experience. Base pay is one part of the Total Package that is provided to compensate and recognize employees for their work at Abaka AI. This role is eligible for equity, as well as a comprehensive benefits package (health, dental, vision, PTO, flexible work schedule).</t>
        </is>
      </c>
    </row>
    <row r="26">
      <c r="A26" t="inlineStr">
        <is>
          <t>li-4369608794</t>
        </is>
      </c>
      <c r="B26" t="inlineStr">
        <is>
          <t>Artificial Intelligence/Machine Learning Engineer</t>
        </is>
      </c>
      <c r="C26" t="inlineStr">
        <is>
          <t>Sancian LLC</t>
        </is>
      </c>
      <c r="D26" t="inlineStr">
        <is>
          <t>linkedin</t>
        </is>
      </c>
      <c r="E26" t="inlineStr"/>
      <c r="F26" t="inlineStr"/>
      <c r="G26" t="inlineStr">
        <is>
          <t>Atlanta, GA</t>
        </is>
      </c>
      <c r="H26" t="inlineStr"/>
      <c r="I26" t="inlineStr">
        <is>
          <t>**Company Description**
 Sancian LLC is a transformative scientific consultancy dedicated to public health, policy innovation, and leveraging AI\-powered solutions to address critical challenges. We collaborate with federal agencies, healthcare systems, and private organizations to drive measurable impact, foster health equity, and enhance public trust. With expertise in AI strategy, data science, regulatory science, and policy, we deliver results\-driven, ethical solutions for complex issues in health and innovation. Our mission is to empower organizations to make data\-driven decisions that save lives, promote equity, and shape a healthier future. Headquartered in Atlanta, GA, Sancian LLC is recognized for setting a high standard in AI\-driven public health consulting.
**Role Description**
 We are seeking a full\-time Artificial Intelligence/Machine Learning Engineer for a hybrid role based in Atlanta, GA, with flexibility for partial remote work. In this role, you will design, develop, and implement cutting\-edge AI and machine learning models to tackle pressing public health and scientific challenges. Daily responsibilities include analyzing large datasets, developing algorithms, and building predictive models to drive data\-driven solutions. You will collaborate with cross\-functional teams to ensure technical solutions align with ethical, equity\-centered practices and support client goals. You will also engage in documentation, testing, and optimization of machine learning architectures.
**Qualifications**
* Expertise in Pattern Recognition, Neural Networks, and designing predictive models
* Strong foundation in Computer Science and advanced knowledge of Algorithms
* Proficiency in Statistics and data analysis for model development and validation
* Proven ability to work with large datasets and transform data into actionable insights
* Experience in AI applications for healthcare or public health is a plus
* Proficiency in programming languages such as Python, R, or similar
* Master’s or Ph.D. in Computer Science, Data Science, Artificial Intelligence, or related field preferred
* Strong problem\-solving skills and the ability to work collaboratively</t>
        </is>
      </c>
    </row>
    <row r="27">
      <c r="A27" t="inlineStr">
        <is>
          <t>li-4369614354</t>
        </is>
      </c>
      <c r="B27" t="inlineStr">
        <is>
          <t>Senior AI/ML Engineer</t>
        </is>
      </c>
      <c r="C27" t="inlineStr">
        <is>
          <t>Pragmatike</t>
        </is>
      </c>
      <c r="D27" t="inlineStr">
        <is>
          <t>linkedin</t>
        </is>
      </c>
      <c r="E27" t="inlineStr"/>
      <c r="F27" t="inlineStr"/>
      <c r="G27" t="inlineStr">
        <is>
          <t>New York, NY</t>
        </is>
      </c>
      <c r="H27" t="inlineStr"/>
      <c r="I27" t="inlineStr">
        <is>
          <t>**Location:** 
 Cambridge, MA (Eastern Time / UTC \-4\) ﻿
 **Relocation package available**
**Relocation package:** 
 Available
**Start date:** 
 ASAP
**Languages:** 
 English (required)
**About The Role**
 Pragmatike is hiring on behalf of a fast\-growing AI startup recognized as a Top 10 GenAI company by GTM Capital, founded by MIT CSAIL researchers.
 We are looking for a
 **Senior AI/ML Engineer** 
 to join a high\-performing AI engineering team building and deploying real\-world AI systems used by Fortune 500 customers. You will take technical ownership of critical ML components, lead model development and productionization efforts, and work closely with AI researchers, platform engineers, and product teams to deliver scalable, production\-grade AI systems.
 This role is intended for experienced AI/ML engineers who have already built and deployed models in production environments and want to operate at the intersection of
 **research\-quality AI and real\-world systems engineering** 
 .
 What You’ll Do
* Design, build, train, and optimize machine learning and deep learning models for production use
* Lead the deployment of ML models into scalable, reliable production systems
* Architect training, inference, and evaluation pipelines for structured and unstructured data
* Own model performance, reliability, scalability, and lifecycle management
* Drive experimentation, model iteration, and performance benchmarking
* Implement and maintain high\-quality ML codebases primarily in Python
* Monitor, debug, and improve live production models
* Collaborate with platform, backend, and infrastructure teams on system integration
* Contribute to technical direction, architecture decisions, and AI roadmap planning
* Mentor junior engineers and support team\-level technical excellence
 What We’re Looking For
* Bachelor’s, Master’s, or PhD in Computer Science, Engineering, Mathematics, or a related field
* 7\+ years of professional experience in AI/ML, data science, or applied machine learning roles
* Proven experience deploying ML systems into production environments
* Strong understanding of ML fundamentals, evaluation methodologies, and model lifecycle management
* Deep hands\-on experience with ML frameworks such as PyTorch, TensorFlow, or scikit\-learn
* Strong proficiency in Python
* Experience designing scalable ML systems and pipelines
* Ability to operate independently and take technical ownership of complex systems
* Strong problem\-solving, architecture, and system\-design skills
 Bonus Points
* Experience with deep learning, LLMs, GenAI, or modern AI architectures
* Experience building AI systems used by enterprise or large\-scale customers
* Strong experience with cloud platforms (AWS, GCP, Azure)
* MLOps experience (CI/CD for ML, model deployment, monitoring, observability)
* Research background, publications, or applied AI innovation projects
* Experience leading AI initiatives or mentoring ML engineers
 Why This Role Is High\-Impact
* Work directly with MIT CSAIL–founded leadership
* Build AI systems deployed to Fortune 500 customers
* Operate at the intersection of cutting\-edge AI and real\-world production systems
* High ownership and influence over technical direction
* Join a well\-funded, fast\-growing AI startup with strong technical ambition
* Clear path toward Staff/Principal AI Engineer or AI Architect roles
**Benefits**
* Competitive salary \&amp; equity options
* Sign\-on bonus
* Health, Dental, and Vision
* 401(k)
 ﻿
***Pragmatike** 
 is an Equal Opportunity Employer and is committed to providing equal employment opportunities to all applicants without discrimination. We recruit on behalf of our clients and prohibit discrimination and harassment based on race, color, religion, age, sex, national origin, disability status, genetics, protected veteran status, sexual orientation, gender identity or expression, or any other characteristic protected by federal, state, or local laws. This policy applies to all terms and conditions of employment, including recruiting, hiring, placement, promotion, termination, layoff, recall, transfer, leaves of absence, compensation, and training.We are committed to a fair and inclusive hiring process. We process your personal data solely for recruitment purposes, in accordance with applicable privacy laws, and maintain reasonable safeguards to protect your information. Your data may be shared with our client(s) for hiring consideration, but will not be disclosed to third parties outside of the recruitment process.*</t>
        </is>
      </c>
    </row>
    <row r="28">
      <c r="A28" t="inlineStr">
        <is>
          <t>li-4360513443</t>
        </is>
      </c>
      <c r="B28" t="inlineStr">
        <is>
          <t>Senior Machine Learning Engineer at fast-growing AI data startup</t>
        </is>
      </c>
      <c r="C28" t="inlineStr">
        <is>
          <t>Jack &amp; Jill</t>
        </is>
      </c>
      <c r="D28" t="inlineStr">
        <is>
          <t>linkedin</t>
        </is>
      </c>
      <c r="E28" t="inlineStr"/>
      <c r="F28" t="inlineStr"/>
      <c r="G28" t="inlineStr">
        <is>
          <t>San Francisco, CA</t>
        </is>
      </c>
      <c r="H28" t="inlineStr"/>
      <c r="I28" t="inlineStr">
        <is>
          <t>This is a job that Jill, our AI Recruiter, is recruiting for on behalf of one of our customers.
 She will pick the best candidates from Jack's network.
 The next step is to speak to Jack.
 Senior Machine Learning Engineer
**Company Description:** 
 Fast\-growing AI data startup
**Job Description:**
 As a Senior Machine Learning Engineer, you will drive the development of advanced models to extract insights from complex data streams. You will play a pivotal role in architecting scalable ML pipelines and deploying production\-ready algorithms. This is an opportunity to lead high\-impact technical initiatives within a fast\-moving, collaborative environment focused on cutting\-edge innovation.
**Location:** 
 San Francisco, USA
**Why this role is remarkable:**
* Work at the intersection of data integrity and advanced machine learning within a high\-growth sector.
* Join a mission\-driven team backed by top\-tier VCs with significant runway and market traction.
* Influence the core product roadmap and technical architecture during a critical stage of scaling.
**What you will do:**
* Design, train, and deploy sophisticated ML models to solve complex pattern recognition challenges.
* Architect and maintain robust, scalable data pipelines to support large\-scale model inference.
* Collaborate with cross\-functional teams to integrate ML capabilities into the core user experience.
**The ideal candidate:**
* Proven experience building and deploying machine learning models in a production startup environment.
* Deep expertise in Python and modern ML frameworks such as PyTorch, TensorFlow, or JAX.
* Strong background in software engineering best practices, including version control and CI/CD for ML.
**Who are Jack \&amp; Jill?**
 Ok, I'll go first. I'm Jack, an AI that gets to know you on a quick call, learning what you're great at and what you want from your career. Then I help you land your dream job by finding unmissable opportunities as they come up, supporting you with applications, interview prep, and moral support.
 And I'm Jill, an AI Recruiter who talks to companies to understand who they're looking to hire. Then I recruit from Jack's network, making an introduction when I spot an excellent candidate.
**Next steps**
 Step 1\. Visit
 **our website** 
 .
 Step 2\. Click
 **'Talk to Jack'** 
 .
 Step 3\. Talk to Jack so he can understand your experience and ambitions.
 Step 4\. Jack will make sure Jill (the AI agent working for the company) considers you for this role.
 Step 5\. If Jill thinks you're a great fit and her client wants to meet you, they will make the introduction.
 Step 6\. If not, Jack will find you excellent alternatives. All for free.
**We never post fake jobs**
 This isn't a trick. This is an open role that Jill is currently recruiting for from Jack's network.
 Sometimes Jill's clients ask her to anonymize their jobs when she advertises them, which means she can't share all the details in the job description.
 We appreciate this can make them look a bit suspect, but there isn't much we can do about it.
 Give Jack a spin! You could land this role. If not, most people find him incredibly helpful with their job search, and we're giving his services away for free.</t>
        </is>
      </c>
    </row>
    <row r="29">
      <c r="A29" t="inlineStr">
        <is>
          <t>li-4359071618</t>
        </is>
      </c>
      <c r="B29" t="inlineStr">
        <is>
          <t>Machine Learning Engineer, 3D Object Detection (PhD New Grad)</t>
        </is>
      </c>
      <c r="C29" t="inlineStr">
        <is>
          <t>Waymo</t>
        </is>
      </c>
      <c r="D29" t="inlineStr">
        <is>
          <t>linkedin</t>
        </is>
      </c>
      <c r="E29" t="inlineStr"/>
      <c r="F29" t="inlineStr"/>
      <c r="G29" t="inlineStr">
        <is>
          <t>San Francisco, CA</t>
        </is>
      </c>
      <c r="H29" t="inlineStr"/>
      <c r="I29" t="inlineStr">
        <is>
          <t>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saving thousands of lives now lost to traffic crashes. The Waymo Driver powers Waymo’s fully autonomous ride\-hail service and can also be applied to a range of vehicle platforms and product use cases. The Waymo Driver has provided over ten million rider\-only trips, enabled by its experience autonomously driving over 100 million miles on public roads and tens of billions in simulation across 15\+ U.S. states.
 The Perception team builds the system which learns the spatial\-temporal representation and their semantic meanings of the surrounding environment of the autonomously driving vehicle (ADV), i.e., the system that “perceives” the world around the car. We work jointly with downstream teams on the optimization and integration into the Waymo Driver. We conduct our own research to address real\-world problems and collaborate with research teams at Alphabet. We have access to millions of miles of driving data from a diverse set of sensors, enabling engineers like you to (1\) develop methods for efficiently and continuously learning from large scale real\-world data, to (2\) develop models and model training at scale, to (3\) analyze real\-world behavior and develop systems for handling the complexities of interacting with the real\-world, and (4\) optimize models for our onboard and offboard hardware.
 In this hybrid role you will report to a Technical Lead Manager.
**You Will**
* Own tasks in the ML Driver, take responsibility for task scaling and task performance, create ML methods and recipes to scale and improve tasks.
* Analyze behavior of ML systems in real\-world application, identify issues and root causes, advise or develop short\- and long\-term solutions.
* Monitor ML systems in production, develop methods for automatically detecting issues or regressions, develop AI\-aided analysis and debugging tooling.
* Develop and maintain metrics for ADV relevant issues, including safety\-critical and longtail issues.
**You Have**
* Bachelors in Computer Science or a similar discipline, or an equivalent amount of deep learning experience
* 3\+ years experience in Machine Learning and Computer Vision
* Experience with Python
* Experience with ML frameworks like PyTorch or JAX
**We Prefer**
* MS or PhD Degree in Machine Learning, Robotics, Computer Science or a similar discipline
* Publications at top\-tier conferences like CVPR, ICCV, ECCV, ICLR, ICML, ICRA, IROS, RSS, NeurIPS, AAAI, IJCV, PAMI
* Experience with C\+\+
 The expected base salary range for this full\-time position across US locations is listed below. Actual starting pay will be based on job\-related factors, including exact work location, experience, relevant training and education, and skill level. Your recruiter can share more about the specific salary range for the role location or, if the role can be performed remote, the specific salary range for your preferred location, during the hiring process.
 Waymo employees are also eligible to participate in Waymo’s discretionary annual bonus program, equity incentive plan, and generous Company benefits program, subject to eligibility requirements.
 Salary Range
 $170,000—$216,000 USD</t>
        </is>
      </c>
    </row>
    <row r="30">
      <c r="A30" t="inlineStr">
        <is>
          <t>li-4359123522</t>
        </is>
      </c>
      <c r="B30" t="inlineStr">
        <is>
          <t>ML Engineer, Foundation Model Evaluation</t>
        </is>
      </c>
      <c r="C30" t="inlineStr">
        <is>
          <t>Waymo</t>
        </is>
      </c>
      <c r="D30" t="inlineStr">
        <is>
          <t>linkedin</t>
        </is>
      </c>
      <c r="E30" t="inlineStr"/>
      <c r="F30" t="inlineStr"/>
      <c r="G30" t="inlineStr">
        <is>
          <t>Mountain View, CA</t>
        </is>
      </c>
      <c r="H30" t="inlineStr"/>
      <c r="I30" t="inlineStr">
        <is>
          <t>Waymo is an autonomous driving technology company with the mission to be the world's most trusted driver. Since its start as the Google Self\-Driving Car Project in 2009, Waymo has focused on building the Waymo Driver—The World's Most Experienced Driver™—to improve access to mobility while saving thousands of lives now lost to traffic crashes. The Waymo Driver powers Waymo’s fully autonomous ride\-hail service and can also be applied to a range of vehicle platforms and product use cases. The Waymo Driver has provided over ten million rider\-only trips, enabled by its experience autonomously driving over 100 million miles on public roads and tens of billions in simulation across 15\+ U.S. states.
 The mission of the Waymo AI Foundations team is to develop machine learning solutions addressing open problems in autonomous driving, towards the goal of safely operating Waymo vehicles in dozens of cities and under all driving conditions. As part of our work, we also initiate and foster collaborations with other research teams in Alphabet. AI Foundations areas that we are currently focusing on include reinforcement learning, learning from demonstration, generative modeling, Bayesian inference, hierarchical learning, and robust evaluation.
*This role follows a hybrid work schedule and you will report to a Senior Research Scientist.*
**You Will**
* Develop and extend cutting\-edge research in robotics and machine learning to advance state\-of\-the\-art methodologies for evaluating the quality, safety, and realism of embodied AI agents
* Partner within and across organizations to land disruptive and innovative tech in production
* Work with a variety of state\-of\-the\-art Foundation Models
* Drive model development through defining evaluation and benchmarks
* Implement and extend large large scale data and evaluation pipelines.
**You Have**
* Masters degree in Computer Science, Machine Learning, Robotics, similar technical field of study, or equivalent practical experience
* Proficiency in Python
* Familiarity with one of the modern deep learning frameworks (e.g. Pytorch, JAX, Tensorflow)
* Prior work in an industrial or research setting developing methodologies for the evaluation of ML models
**We Prefer**
* Strong hands\-on SWE skills, able to design, implement, and extend large distributed pipelines
* Track record of publications in top\-tier conferences or leading open source projects in the related fields
* Proficiency in C\+\+
* Experience in AV planning and related research
* Experience in labeling and curating data for ML eval and training
 ((Remote jobs only \- Please note that Waymo may not be able to employ remotely in all locations. Please speak with your recruiter about your preferred location for remote work when you begin the interview process.))
 The expected base salary range for this full\-time position across US locations is listed below. Actual starting pay will be based on job\-related factors, including exact work location, experience, relevant training and education, and skill level. Your recruiter can share more about the specific salary range for the role location or, if the role can be performed remote, the specific salary range for your preferred location, during the hiring process.
 Waymo employees are also eligible to participate in Waymo’s discretionary annual bonus program, equity incentive plan, and generous Company benefits program, subject to eligibility requirements.
 Salary Range
 $170,000—$216,000 USD</t>
        </is>
      </c>
    </row>
    <row r="31">
      <c r="A31" t="inlineStr">
        <is>
          <t>li-4314920194</t>
        </is>
      </c>
      <c r="B31" t="inlineStr">
        <is>
          <t>Senior Machine Learning Engineer</t>
        </is>
      </c>
      <c r="C31" t="inlineStr">
        <is>
          <t>Samsara</t>
        </is>
      </c>
      <c r="D31" t="inlineStr">
        <is>
          <t>linkedin</t>
        </is>
      </c>
      <c r="E31" t="inlineStr"/>
      <c r="F31" t="inlineStr"/>
      <c r="G31" t="inlineStr"/>
      <c r="H31" t="inlineStr"/>
      <c r="I31"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We’re looking for a motivated Senior Machine Learning Engineer I to join our Safety In\-Vehicle Experience team. Samsara’s In\-Vehicle Experience team is shaping how millions of drivers interact with Samsara on the road. From real\-time safety alerts and AI\-driven insights to intuitive in\-cab experiences, our work directly improves driver safety, engagement, and trust.
 This role calls for an experienced Edge AI engineer passionate about developing and optimizing ML models for highly constrained embedded environments. You will bridge the gap between research and production by deploying efficient, reliable, and scalable AI models that power the next generation of Samsara’s in\-vehicle intelligence.
**This is a remote position open to candidates residing in the US.**
**You should apply if:**
* You want to impact the industries that run our world: The software, firmware, and hardware you build will result in real\-world impact—helping to keep the lights on, get food into grocery stores, and most importantly, ensure workers return home safely.
* You want to build for scale: With over 2\.3 million IoT devices deployed to our global customers, you will work on a range of new and mature technologies driving scalable innovation for customers across industries driving the world's physical operations.
* You are a life\-long learner: We have ambitious goals. Every Samsarian has a growth mindset as we work with a wide range of technologies, challenges, and customers that push us to learn on the go.
* You believe customers are more than a number: Samsara engineers enjoy a rare closeness to the end user and you will have the opportunity to participate in customer interviews, collaborate with customer success and product managers, and use metrics to ensure our work is translating into better customer outcomes.
* You are a team player: Working on our Samsara Engineering teams requires a mix of independent effort and collaboration. Motivated by our mission, we’re all racing toward our connected operations vision, and we intend to win—together.
**In this role, you will:**
* Design, optimize, and deploy computer vision and multimodal ML models that run efficiently on constrained edge platforms powering Samsara’s in\-vehicle camera systems.
* Apply advanced model optimization techniques—such as quantization, pruning, and distillation—to achieve real\-time inference under strict CPU, memory, and thermal constraints.
* Partner with ML research and product teams to translate new AI detections into deployable, maintainable edge models.
* Collaborate with firmware, ML research, and hardware teams to productize our ML runtime pipeline, bringing scalable, reliable, and testable on\-device inference to production.
* Develop performance benchmarking, profiling, and validation frameworks for edge\-deployed models to ensure robustness across millions of deployed devices.
* Drive continuous improvement of our edge ML toolchain and advocate for best practices in model optimization, inference reliability, and deployment efficiency.
* Mentor peers on efficient inference design and collaborate cross\-functionally to accelerate feature delivery for safety and driver experience programs.
* Champion, role model, and embed Samsara’s cultural principles (Focus on Customer Success, Build for the Long Term, Adopt a Growth Mindset, Be Inclusive, Win as a Team) as we scale globally and across new offices.
**Minimum requirements for the role:**
* 5\+ years of experience developing and deploying deep learning models for edge, embedded, or real\-time systems.
* Strong background in computer vision or multimodal ML (e.g., 2D/3D CNNs, Transformers) using industry\-standard deep learning frameworks.
* Proficiency in Python and C\+\+, with hands\-on experience optimizing inference runtimes and applying model optimization techniques for edge deployment.
* Deep understanding of performance tuning, including compiler\- or DSP\-level optimizations, runtime profiling, latency analysis, and memory management on constrained hardware.
* Familiarity with middleware or streaming frameworks used in real\-time perception pipelines.
* Excellent cross\-functional communication and collaboration skills, especially across ML, firmware, and product domains.
**An ideal candidate also has:**
* Experience bringing ML infrastructure or runtime systems from prototype to production at scale.
* Background in multimodal ML (e.g., audio \+ vision fusion) or event\-based detection systems.
* Experience validating AI models across large, diverse fleets of deployed devices in real\-world environments.
**Samsara’s Compensation Philosophy:** 
 Samsara’s compensation program is designed to deliver Total Direct Compensation (based on role, level, and geography) that is at or above market. We do this through our base salary \+ bonus/variable \+ restricted stock unit awards (RSUs) for eligible roles. For eligible roles, a new hire RSU award may be awarded at the time of hire, and additional RSU refresh grants may be awarded annually.
 We pay for performance, and top performers in eligible roles may receive above\-market equity refresh awards which allow employees to achieve higher market.
 The range of annual base salary for full\-time employees for this position is below. Please note that base pay offered may vary depending on factors including your city of residence, job\-related knowledge, skills, and experience.
 $135,481\.50—$227,700 USD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**Benefits**
 Full time employees receive a competitive total compensation package along with employee\-led remote and flexible working, health benefits, and much, much more. Take a look at our Benefits site to learn more.
**Accommodations**
 Samsara is an inclusive work environment, and we are committed to ensuring equal opportunity in employment for qualified persons with disabilities. Please email accessibleinterviewing@samsara.com or click here if you require any reasonable accommodations throughout the recruiting process.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t>
        </is>
      </c>
    </row>
    <row r="32">
      <c r="A32" t="inlineStr">
        <is>
          <t>li-4369487106</t>
        </is>
      </c>
      <c r="B32" t="inlineStr">
        <is>
          <t>AI Engineer - Agentic AI</t>
        </is>
      </c>
      <c r="C32" t="inlineStr">
        <is>
          <t>American Express</t>
        </is>
      </c>
      <c r="D32" t="inlineStr">
        <is>
          <t>linkedin</t>
        </is>
      </c>
      <c r="E32" t="inlineStr"/>
      <c r="F32" t="inlineStr"/>
      <c r="G32" t="inlineStr">
        <is>
          <t>New York, NY</t>
        </is>
      </c>
      <c r="H32" t="inlineStr"/>
      <c r="I32" t="inlineStr">
        <is>
          <t>*American Express invites you to share your resume so you can be considered for future Agentic AI opportunities in Enterprise Technology Services organization.*
 At American Express, our culture is built on a 175\-year history of innovation, shared
 values
 and Leadership Behaviors, and an unwavering commitment to back our customers, communities, and colleagues. As part of Team Amex, you'll experience this powerful backing with comprehensive support for your holistic well\-being and many opportunities to learn new skills, develop as a leader, and grow your career.
 Here, your voice and ideas matter, your work makes an impact, and together, you will help us define the future of American Express.
 AI is reshaping the future of commerce and redefining the experiences our commercial customers and card members expect. Within Amex Technology, we are building platforms, products, and governance that enable agentic AI systems to operate responsibly and at scale across the enterprise.
 Our focus is on agentic AI development: designing intelligent, adaptive systems that can plan, reason, and act across complex workflows with appropriate levels of autonomy. These systems power autonomous workflows, decision support, and customer\-facing experiences—while meeting the high standards for security, explainability, reliability, and compliance required in financial services.
 We partner closely with product, design, and business teams to deliver agentic capabilities that reduce operational friction, improve decision\-making, and transform how customers interact, transact, and grow. 
**The Role**
 As an AI Engineer – Agentic AI, you will be a hands\-on builder contributing to the development of production agentic AI systems that operate on real financial data and serve real customers.
 You will work alongside experienced engineers, product managers, and designers to design, build, and ship AI\-powered features, while learning how to operate within a regulated, customer\-facing environment. This role offers strong mentorship and opportunities to grow your technical depth in LLMs, agentic systems, and production AI engineering.
 This is not a research\-only role. You will write production code, contribute to system design discussions, and help operate what you build after launch, with support and guidance from more senior engineers.
**What You’ll Do** 
* Contribute to the design and implementation of LLM\-powered and agentic product features.
* Build and extend agentic AI workflows that reason over context, call tools, and perform actions under guidance from senior engineers.
* Help implement and maintain retrieval\-augmented generation (RAG) pipelines over financial data, with an emphasis on correctness and safety.
* Contribute to shared AI infrastructure such as LLM services, orchestration components, and evaluation or monitoring tooling.
* Participate in operating AI systems in production, including monitoring, debugging, and improving reliability and performance.
* Collaborate closely with product and design partners, learning to translate customer needs into technical solutions.
**Technical Environment**
 We don’t hire to a narrow checklist, but candidates should be excited to grow in a modern, enterprise\-scale engineering environment with a focus on agentic AI.
**Core engineering stack** 
* Languages: Python, Go, TypeScript
* Cloud and infrastructure: AWS and/or GCP, Kubernetes
* APIs and services: REST, gRPC
* Distributed systems: event\-driven architectures, including Kafka
**Agentic AI and ML** 
* Commercial and open\-source LLMs integrated into agentic workflows
* Tooling for agent orchestration, retrieval\-augmented generation, vector storage, and evaluation
* Schema validation and structured data handling
**AI\-assisted development** 
* Use of AI\-assisted and agentic development tools for design, implementation, testing, debugging, and refactoring
* Learning how to apply these tools responsibly while maintaining production\-quality standards
 All systems are built to meet high standards for reliability, security, and auditability, reflecting the responsibility of deploying autonomous AI in a financial services environment.
**What We’re Looking For** 
* 2\+ years of professional software engineering experience.
* Some hands\-on experience building or contributing to AI\-powered features, LLM\-based applications, or applied ML systems (professional or project\-based).
* Solid engineering fundamentals in at least one backend language (Python, Go, or TypeScript).
* Familiarity with APIs, basic cloud concepts, and modern development practices.
* Interest in agentic AI systems, autonomy, and AI\-assisted development workflows.
* Willingness to learn, take feedback, and grow technical ownership over time.
* Comfort working in collaborative, cross\-functional teams.
* A strong customer mindset and curiosity about real\-world problem solving.
**Preferred Qualifications** 
* Exposure to LLM tooling, prompt engineering, RAG, or agent frameworks through work, coursework, or personal projects.
* Internship or early\-career experience in fintech or other regulated environments.
* Contributions to open\-source projects, hackathons, or side projects related to AI or developer tooling.
 We back you with benefits that support your holistic well\-being so you can be and deliver your best. This means caring for you and your loved ones' physical, financial, and mental health, as well as providing the flexibility you need to thrive personally and professionally:
* Competitive base salaries
* Bonus incentives
* 6% Company Match on retirement savings plan
* Free financial coaching and financial well\-being support
* Comprehensive medical, dental, vision, life insurance, and disability benefits
* Flexible working model with hybrid, onsite or virtual arrangements depending on role and business need
* 20\+ weeks paid parental leave for all parents, regardless of gender, offered for pregnancy, adoption or surrogacy
* Free access to global on\-site wellness centers staffed with nurses and doctors (depending on location)
* Free and confidential counseling support through our Healthy Minds program
* Career development and training opportunities
 For a full list of Team Amex benefits, visit our
 Colleague Benefits Site
 .
 American Express is an equal opportunity employer and makes employment decisions without regard to race, color, religion, sex, sexual orientation, gender identity, national origin, veteran status, disability status, age, or any other status protected by law. American Express will consider for employment all qualified applicants, including those with arrest or conviction records, in accordance with the requirements of applicable state and local laws, including, but not limited to, the California Fair Chance Act, the Los Angeles County Fair Chance Ordinance for Employers, and the City of Los Angeles’ Fair Chance Initiative for Hiring Ordinance. For positions covered by federal and/or state banking regulations, American Express will comply with such regulations as it relates to the consideration of applicants with criminal convictions.
 We back our colleagues with the support they need to thrive, professionally and personally. That's why we have Amex Flex, our enterprise working model that provides greater flexibility to colleagues while ensuring we preserve the important aspects of our unique in\-person culture. Depending on role and business needs, colleagues will either work onsite, in a hybrid model (combination of in\-office and virtual days) or fully virtually.
 US Job Seekers \- Click to view the “
 Know Your Rights
 ” poster. If the link does not work, you may access the poster by copying and pasting the following URL in a new browser window:
 https://www.eeoc.gov/poster
 Depending on factors such as business unit requirements, the nature of the position, cost and applicable laws, 
 American Express may provide visa sponsorship for certain positions.</t>
        </is>
      </c>
    </row>
    <row r="33">
      <c r="A33" t="inlineStr">
        <is>
          <t>li-4355887904</t>
        </is>
      </c>
      <c r="B33" t="inlineStr">
        <is>
          <t>AI/ML Engineer / Defence / $500k+ / NYC</t>
        </is>
      </c>
      <c r="C33" t="inlineStr">
        <is>
          <t>Open Talent</t>
        </is>
      </c>
      <c r="D33" t="inlineStr">
        <is>
          <t>linkedin</t>
        </is>
      </c>
      <c r="E33" t="inlineStr"/>
      <c r="F33" t="inlineStr"/>
      <c r="G33" t="inlineStr">
        <is>
          <t>New York, United States</t>
        </is>
      </c>
      <c r="H33" t="inlineStr"/>
      <c r="I33" t="inlineStr">
        <is>
          <t>**Senior AI/ML Engineer \- (LLMs / RAG / Agentic Systems) \- Aerospace \- NYC \- $500k\+ Equity** 
 We’re hiring for a world class team at one of the fastest growing \&amp; most innovative
 **next\-gen aerospace AI companies** 
 in North America. They're building
 **LLMs, RAG \&amp; high\-performance AI systems** 
 to power mission\-critical operations in defence \&amp; space.
**Only the top 0\.1% of America's AI Engineers can do this.** 
 If you’ve built real mission critical LLM systems that can’t fail \- this could be your next move.
**The Role** 
 You’ll own \&amp; scale a
 **RAG\-driven AI system** 
 powering critical aerospace operations. Expect to tackle
 **retrieval quality, latency bottlenecks, \&amp; eval\-driven fine\-tuning** 
 head\-on for the most innovative \&amp; exciting real\-time systems in Aerospace today. This is full production ownership \- from architecture to metrics.
**You should have experience with:** 
* Deploying
 **LLM\-based systems** 
 at scale (Llama, Mistral, GPT\-4, Claude)
* **Retrieval optimisation** 
 \- hybrid search (BM25 \+ vector), reranking, caching
* **Evaluation** 
 \- recall@k, precision@k, groundedness, hallucination metrics
* Fine\-tuning (LoRA/QLoRA), RAG architecture, LangChain / LlamaIndex
* **Tooling:** 
 Hugging Face, Weaviate/Pinecone, FastAPI, PyTorch, Redis, Postgres
* Monitoring inference, eval automation, \&amp; continuous improvement loops
**Bonus:** 
* IoT or Hardware integration or real\-time systems experience exp.
**Ideal background:** 
* CS or Applied ML degree from a top\-tier university
* Proven 0\-1 experience in a fast\-moving AI startup, or Defence related company
* You’ve shipped reliable GenAI systems under pressure
* Degree in Computer Science from a top\-tier university
* Prior experience in high\-performance teams (0\-1, startups)
* You’ve shipped real systems \- not demos
**You’ll be expected to:** 
* Own the
 **LLM pipeline end\-to\-end** 
 – retrieval → evaluation → fine\-tuning
* Improve
 **accuracy, grounding, and eval metrics** 
 continuously
* Make architecture decisions for scale, reliability \&amp; speed
* Collaborate directly with
 **founders \&amp; domain experts**
**Stack:** 
 Python / PyTorch / LangChain / Transformers / FastAPI / Hugging Face / Weaviate / Redis / Postgres / Docker / Kubernetes
**Offer:** 
* Up to $500,000\+ base salary \+ equity
* Hybrid in NYC
* Tight\-knit, high\-output team
* High ownership, real impact, flat structure
**Interview Process:** 
 1\) Technical Deep Dive
 2\) Technical Assessment or Live Pairing
 3\) Panel focused on mindset \&amp; team fit
**Equal Opportunity** 
 We're hiring for an Equal Opportunity Employer.
 If you’ve shipped real GenAI systems, thrive under pressure, and want to see your models
 **power live aerospace systems** 
 \- this is where theory meets orbit.
**TL;DR \- Senior AI Engineer (NYC, On\-site)** 
* Build \&amp; scale
 **production\-grade GenAI systems** 
 from
 **0 to 1**
* Own and improve
 **RAG pipelines** 
 \- accuracy and latency matter
* Deep experience with
 **LLMs, LangChain, Hugging Face** 
 \&amp; real deployments
* Must have shipped
 **working GenAI products** 
 , not just prototypes
* Ideal: startup DNA, top\-tier CS degree, fast execution mindset
* $350K\+ base \+ equity \-
 **on\-site** 
 at a
 **VC\-backed aerospace startup** 
 in NYC
 \*All our new jobs are posted here 1st:
**linkedin.com/in/sufyanbashir/**</t>
        </is>
      </c>
    </row>
    <row r="34">
      <c r="A34" t="inlineStr">
        <is>
          <t>li-4359568045</t>
        </is>
      </c>
      <c r="B34" t="inlineStr">
        <is>
          <t>Founding AI/ML Engineer (Production) - NYC - $250k-$500k+ + Founding Equity</t>
        </is>
      </c>
      <c r="C34" t="inlineStr">
        <is>
          <t>Open Talent</t>
        </is>
      </c>
      <c r="D34" t="inlineStr">
        <is>
          <t>linkedin</t>
        </is>
      </c>
      <c r="E34" t="inlineStr"/>
      <c r="F34" t="inlineStr"/>
      <c r="G34" t="inlineStr">
        <is>
          <t>New York, NY</t>
        </is>
      </c>
      <c r="H34" t="inlineStr"/>
      <c r="I34" t="inlineStr">
        <is>
          <t>**Founding AI/ML Engineer (Production) \- NYC \- $250k\-$500k\+ \+ Founding Equity** 
*We’re hiring for one of NYC’s top 10 robotics startups. If you’re an elite engineer looking to join an A squad\-builders from SpaceX, Palantir, Google \&amp; Anduril \- this is where you want to be.* 
 \*
 Most AI roles are currently focused on generating pixels or text. This team are using LLMs to command multi\-ton autonomous machines.
***Must be based in NYC \&amp; role requires US citizenship due to regulatory constraints.***
 We need a
 **Founding AI/ML Engineer** 
 to build the production intelligence layer for autonomous heavy machinery. This isn't a research lab. We have real robots, real customers, and systems operating in the field 24/7\. Your work won't just generate tokens; it will drive physical outcomes.
**The Work** 
 This is a 100% production role focused on critical AI infrastructure. You are responsible for the intelligence that allows multi\-ton machines to act on complex environments.
* **Production LLMs:** 
 Fine\-tuning and deploying models that handle mission\-critical operational logic.
* **Systems \&amp; Infra:** 
 Building the RAG pipelines and data flywheels that power our fleet’s intelligence.
* **Evals \&amp; Determinism:** 
 Designing evaluation frameworks to ensure model outputs are safe and reliable enough for heavy hardware.
* **Problem Solving:** 
 Moving from raw telemetry to deployed models. You own the pipeline, the tuning, and the performance in the field.
**The Team** 
 You’ll be joining a high\-density team from
 **SpaceX, Palantir, and Anduril** 
 . We’ve stripped away the typical corporate friction\-no bloated meetings or research for the sake of research. We hire for high agency and low ego. As a founding hire, you aren't just training models; you’re architecting the intelligence of the company.
**What we're looking for** 
 We want high\-signal builders who are bored with "wrapper" apps and want to solve hard problems grounded in physics.
* **Production Grit:** 
 You’ve shipped ML systems at scale. You care about inference latency and reliability more than "vibe checks."
* **LLM Mastery:** 
 Deep experience with fine\-tuning, RAG, and prompt engineering in high\-stakes environments.
* **Systems Thinker:** 
 You understand the full stack. You know how to optimize models to run efficiently and how to build the infra that supports them.
* **High\-Bar Pedigree:** 
 You’ve worked in environments where the standard for "production\-ready" is exceptionally high.
**Stack \&amp; Comp** 
* **Stack:** 
 Python, PyTorch, LLMs, RAG, Vector DBs, Kubernetes.
* **Location:** 
 NYC (Manhattan) \- On\-site/Hybrid.
* **Comp:** 
 $250k \- $500k\+ base \+
 **Founding Member Equity** 
 .
**The Process:** 
**1 Week \&amp; 0 Take\-Homes** 
 We move as fast as we ship. We can go from first touch to offer in one week:
1. **(Founders) Technical Deep Dive:** 
 A conversation about the most complex AI system you’ve actually shipped.
2. **(Team)Practical Pairing:** 
 Solving a real\-world production ML or data infra problem together.
 **No Leetcode.**
3. **(Exec) Founding Team Chat:** 
 A focus on judgment, trade\-offs \&amp; vision.
 If you’re ready to put AI into the physical world, let’s talk.
**TL;DR** 
* **Role:** 
 Founding AI/ML Engineer (Production)
* **Focus:** 
 Fine\-tuning, Evals, and RAG for Robotics
* **Team:** 
 Ex\-SpaceX, Palantir, Anduril, Google
* **Comp:** 
 $250k \- $500k\+ base \+ Founding Equity
* **Process:** 
 1 week. 3 rounds.
**Equal Opportunity** 
 We're hiring for an Equal Opportunity Employer.
 \*All our new jobs are posted here 1st:
**linkedin.com/in/sufyanbashir/**</t>
        </is>
      </c>
    </row>
    <row r="35">
      <c r="A35" t="inlineStr">
        <is>
          <t>li-4369615237</t>
        </is>
      </c>
      <c r="B35" t="inlineStr">
        <is>
          <t>Applied AI Engineer - REMOTE</t>
        </is>
      </c>
      <c r="C35" t="inlineStr">
        <is>
          <t>Jobgether</t>
        </is>
      </c>
      <c r="D35" t="inlineStr">
        <is>
          <t>linkedin</t>
        </is>
      </c>
      <c r="E35" t="inlineStr"/>
      <c r="F35" t="inlineStr"/>
      <c r="G35" t="inlineStr"/>
      <c r="H35" t="inlineStr"/>
      <c r="I35" t="inlineStr">
        <is>
          <t>This position is posted by Jobgether on behalf of a partner company. We are currently looking for an Applied AI Engineer. In this role, you'll be at the forefront of transforming financial services for millions, working on AI models that enhance customer interactions across West Africa. By bridging the gap between research and production, you'll develop systems that operate under challenging conditions. Your efforts will directly influence the ease of financial access for individuals and businesses in emerging markets, contributing to a vision of a cashless continent. We encourage innovative problem\-solving and ownership of projects, making this an exciting opportunity to create meaningful impact.
**Accountabilities**
* Bridge research and production by building AI models and agent systems for real products.
* Architect, evaluate, and optimize autonomous voice and digital agents for 10M\+ monthly customer interactions.
* Address challenging edge cases such as poor connectivity and low literacy.
* Experiment with the latest voice and text models to enhance user experience.
* Own problems from discovery to production in collaboration with product and engineering teams.
**Requirements**
* 5\+ years of experience in AI/ML engineering.
* Strong Python and backend engineering skills.
* Solid foundation in statistics and ML theory.
* Experience with building and deploying LLMs and AI coding agents.
* Proven track record of taking ML models from prototype to production.
* Fluency in English; bilingual in French is a big plus.
**Benefits**
* Remote work flexibility with a $1,200 yearly stipend for coworking meetups.
* Competitive salary up to $222,700 depending on experience and location.
* Generous equity package.
* Subsidized health insurance and retirement contributions.
* 6 months of fully paid parental leave and subsidized fertility assistance.
* Flexible vacation policy, with most employees taking 21\-30 days off.
**Why Apply Through Jobgether?**
 We use an AI\-powered matching process 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
 We appreciate your interest and wish you the best!
 Data Privacy Notice: 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36">
      <c r="A36" t="inlineStr">
        <is>
          <t>li-4362491507</t>
        </is>
      </c>
      <c r="B36" t="inlineStr">
        <is>
          <t>AI Engineer - Agent Automation</t>
        </is>
      </c>
      <c r="C36" t="inlineStr">
        <is>
          <t>Zoom</t>
        </is>
      </c>
      <c r="D36" t="inlineStr">
        <is>
          <t>linkedin</t>
        </is>
      </c>
      <c r="E36" t="inlineStr"/>
      <c r="F36" t="inlineStr"/>
      <c r="G36" t="inlineStr">
        <is>
          <t>San Jose, CA</t>
        </is>
      </c>
      <c r="H36" t="inlineStr"/>
      <c r="I36" t="inlineStr">
        <is>
          <t>**What You Can Expect**
 We're seeking an experienced AI Engineer specialized in agent orchestrator design and implementation, agent workflow, and LLM evaluation metrics and pipeline design. You'll be instrumental in developing and deploying intelligent agent systems that can understand context, orchestrate multi\-step processes, automate complex workflows, and execute tasks autonomously across Zoom. Your expertise will help us create agents that streamline operations, reduce manual intervention, and optimize end\-to\-end business processes through intelligent automation.
**About The Team**
 The Agentic Workflow Automation team is committed to revolutionizing productivity by streamlining complex workflows, automating routine tasks, and making decisions with great speed and clarity. We are passionate about leveraging cutting\-edge technology to drive significant advancements in how people communicate and collaborate.
**Responsibilities**
* Designing and implementing agent architectures that can reason about tasks, plan actions, and execute solutions
* Developing prompt engineering frameworks and techniques for reliable agent behavior
* Implementing safety mechanisms and oversight protocols for autonomous systems
* Building and maintaining LLM\-powered services using models like GPT\-4, Claude, and internal models
* Optimizing model infrastructure for low latency and high throughput
* Building robust testing frameworks for agent behavior validation
**What We’re Looking For**
* Possess a Bachelor's degree in Computer Science, Artificial Intelligence, Machine Learning, Cognitive Science, or a related field.
* Have 3\+ years of experience in ML engineering
* Exhibit expertise in microservice design and implementation
* Have experience with production agent systems
* Demonstrate programming skills in Python or Java, with deep learning frameworks (PyTorch, Transformers, LangChain)
* Have experience with cloud infrastructure stack (Kubernetes, Docker, AWS)
**Minimum**
**Salary Range or On Target Earnings:**
 $151,800\.00
**Maximum**
 $332,200\.00
 In addition to the base salary and/or OTE listed Zoom has a Total Direct Compensation philosophy that takes into consideration; base salary, bonus and equity value.
 Note: Starting pay will be based on a number of factors and commensurate with qualifications \&amp; experience.
 We also have a location based compensation structure; there may be a different range for candidates in this and other locations.
**Ways of Working**
 Our structured hybrid approach is centered around our offices and remote work environments. The work style of each role, Hybrid, Remote, or In\-Person is indicated in the job description/posting.
**Benefits**
 As part of our award\-winning workplace culture and commitment to delivering happiness, our benefits program offers a variety of perks, benefits, and options to help employees maintain their physical, mental, emotional, and financial health; support work\-life balance; and contribute to their community in meaningful ways. Click Learn for more information.
**About Us**
 Zoomies help people stay connected so they can get more done together. We set out to build the best collaboration platform for the enterprise, and today help people communicate better with products like Zoom Contact Center, Zoom Phone, Zoom Events, Zoom Apps, Zoom Rooms, and Zoom Webinars.
 We’re problem\-solvers, working at a fast pace to design solutions with our customers and users in mind. Find room to grow with opportunities to stretch your skills and advance your career in a collaborative, growth\-focused environment.
**Our Commitment**
 At Zoom, we believe great work happens when people feel supported and empowered. We’re committed to fair hiring practices that ensure every candidate is evaluated based on skills, experience, and potential. If you require an accommodation during the hiring process, let us know—we’re here to support you at every step.
 We welcome people of different backgrounds, experiences, abilities and perspectives including qualified applicants with arrest and conviction records and any qualified applicants requiring reasonable accommodations in accordance with the law.
 If you need assistance navigating the interview process due to a medical disability, please submit an Accommodations Request Form and someone from our team will reach out soon. This form is solely for applicants who require an accommodation due to a qualifying medical disability. Non\-accommodation\-related requests, such as application follow\-ups or technical issues, will not be addressed.
 Think of this opportunity as a marathon, not a sprint! We're building a strong team at Zoom, and we're looking for talented individuals to join us for the long haul. No need to rush your application – take your time to ensure it's a good fit for your career goals. We continuously review applications, so submit yours whenever you're ready to take the next step.</t>
        </is>
      </c>
    </row>
    <row r="37">
      <c r="A37" t="inlineStr">
        <is>
          <t>li-4369615376</t>
        </is>
      </c>
      <c r="B37" t="inlineStr">
        <is>
          <t>Machine Learning Engineer</t>
        </is>
      </c>
      <c r="C37" t="inlineStr">
        <is>
          <t>Trimble Inc.</t>
        </is>
      </c>
      <c r="D37" t="inlineStr">
        <is>
          <t>linkedin</t>
        </is>
      </c>
      <c r="E37" t="inlineStr"/>
      <c r="F37" t="inlineStr"/>
      <c r="G37" t="inlineStr">
        <is>
          <t>Westminster, CO</t>
        </is>
      </c>
      <c r="H37" t="inlineStr"/>
      <c r="I37" t="inlineStr">
        <is>
          <t>**Shape the Future of AI: Machine Learning Engineer**
 Are you ready to take ownership of the full ML lifecycle and turn complex data into world\-changing products? We are looking for a proactive Machine Learning Engineer to bridge the gap between research and production. If you are passionate about deploying deep learning models at scale and mentoring the next generation of innovators, your work here will directly transform how global industries operate.
**About Us** 
 Trimble is a global technology company that connects the physical and digital worlds, transforming the ways work gets done. With relentless innovation in precise positioning, modeling and data analytics, Trimble enables essential industries including construction, geospatial and transportation.
 The Trimble AECO segment provides digital construction solutions that increase precision and productivity for Architecture, Engineering, Construction, and Operations.
**What Makes This Role Great:** 
 In this role, you’ll be the technical architect of our machine learning future, moving beyond theory to deploy deep learning models that solve real\-world industrial challenges at scale. You will have the unique opportunity to act as a visionary pragmatist—independently identifying and refining models that directly enhance the accuracy and reliability of our global product suite.
**Key Exciting Responsibilities**
* Mastermind the ML Lifecycle: Spearhead the full journey of deep learning models from initial conceptualization to large\-scale production deployment.
* Drive MLOps Excellence: Elevate our technical standards by implementing robust containerization, versioning, and monitoring practices to ensure model reliability.
* Bridge the Gap: Collaborate with domain experts to translate ambiguous business needs into crisp, actionable machine learning tasks and technical solutions.
* Innovate at the Frontier: Research and adapt breakthrough methods, such as foundation models and self\-supervised learning, into our production environment.
* Empower the Team: Serve as a pivotal technical resource, providing informal guidance and sharing best practices to foster the growth of emerging talent.
**Essential Skills \&amp; Experience**
* Bachelor's degree in Computer Science, Math, Engineering, Statistics, or a related quantitative field with 3\-5 years of relevant experience, or a Master's degree with 1\-3 years of relevant experience, demonstrating in\-depth knowledge and practical application.
* In\-depth conceptual and practical knowledge of machine learning and deep learning principles, including model selection, training, and evaluation methodologies.
* Proven track record as a Machine Learning Engineer or similar role, with evidence of production\-ready ML work, including shipped projects, open\-source contributions, or strong GitHub portfolios.
* Fluency in Python and deep learning frameworks (PyTorch is a must, TensorFlow is welcome), along with strong familiarity with NumPy, pandas, and scikit\-learn.
* Experience with Linux and bash scripting.
* Solid grounding in data structures, data modeling, and software architecture, with an understanding of how code fits together and how to maintain its tidiness.
* Practical statistical sense, with the ability to run experiments with rigor, understand how to collect data, compare approaches, and avoid biased sampling or flawed metrics.
* Strong algorithmic and problem\-solving skills, capable of tackling complex challenges with a structured approach and knowing when to iterate rapidly and deploy effective solutions.
**Bonus Points For**
* Experience with large\-scale computing frameworks (e.g., Spark, Hadoop) and designing/implementing solutions for distributed systems.
* Contributions to open\-source projects or academic publications in ML/AI, showcasing thought leadership.
* Experience with MLOps practices for seamless model deployment, monitoring, and lifecycle management, including tools like Azure DevOps, New Relic, and Azure Monitor for AI\-driven infrastructure optimization and automated incident management.
* Familiarity with cloud\-native ML services (e.g., Azure Cognitive Services, AWS SageMaker) and their integration into broader architectures.
* Adaptable and curious mindset, eager to dig into new techniques or tools where appropriate and iterate rapidly.
* Experience with generative AI models (e.g., LLMs, diffusion models) and their application in real\-world scenarios, including conversational AI and agentic platforms (e.g., Semantic Kernel).
* Familiarity with computer vision techniques for image/video analysis (e.g., drawing title block extraction, symbol classification).
**Why You’ll Love Working With Us** 
 At Trimble, we’re not just a company that “does good”—we are a team dedicated to making a tangible, positive
 **Real\-World Impact** 
 . We build innovative solutions designed to solve the world’s most critical challenges. From construction sites to transportation hubs, our work tangibly improves how people live, build, move, and grow.
 You’ll work on
 **projects that truly matter** 
 : Our purpose\-driven culture means you’ll be helping to build and deliver solutions that make work faster, safer, and more sustainable for millions of people worldwide. You will work with a
 **collaborative, supportive team** 
 that shares your purpose and fosters a genuine sense of belonging. Trimble thrives on individuals who take initiative and
 **embrace ownership** 
 ; you’ll find an entrepreneurial spirit where success is often “self\-authored”.
 Machine Learning Engineer, Senior ML Engineer, Deep Learning, PyTorch, MLOps, Python, AECO, Digital Construction, AI Research, Data Science
****Compensation:****
 Trimble provides the following compensation range and general description of other compensation and benefits that it in good faith believes it might pay and/or offer for this position. This compensation range is based on a full time schedule. Trimble reserves the right to ultimately pay more or less than the posted range and offer additional benefits and other compensation, depending on circumstances not related to an applicant’s sex or other status protected by local, state, or federal law.
****Hiring Range****
 $122,500\.00–$168,400\.00
****Pay Rate Type****
 Salary
****Bonus Eligible?****
 Yes
****Commission Eligible?****
 No
****Benefits:****
 Trimble offers comprehensive core benefits that include Medical, Dental, Vision, Life, Disability, Time off plans and retirement plans. Most of our businesses also offer tax savings plans for health, dependent care and commuter expenses as well as Paid Parental Leave and Employee Stock Purchase Plan. If this position is identified above as commission\- or bonus\-eligible, the terms of the commission plan or discretionary bonus plan for which you are eligible will be provided following the employee start date.
****How to Apply:****
 Please submit an online application for this position by clicking on the ‘Apply Now’ button located in this posting.
****Application Deadline:****
 Applications could be accepted until at least 30 days from the posting date.
 At Trimble, we are committed to fostering a diverse, inclusive, and equitable workplace where everyone can thrive. Guided by our core values—Belong, Innovate, and Grow—we embrace and celebrate differences, knowing they make us stronger and more innovative. We are proud to be an equal opportunity employer, welcoming individuals of all backgrounds and advancing opportunities while embracing race, color, gender identity, sexual orientation, religion, disability, veteran status, or any other protected and diverse characteristic. We are committed to offering our candidates and employees with disabilities or sincerely held religious beliefs the ability to seek reasonable accommodations in accordance with applicable law and/or where it would not constitute undue hardship for Trimble. For more, please see Trimble's Code of Business Conduct and Ethics at https://investor.trimble.com, under “Corporate Governance.”
 Our mission to transform the way the world works starts with transforming how we work together. By actively listening, asking questions, and taking intentional actions, we cultivate a culture that provides equitable opportunities for everyone to contribute and grow.
 Trimble’s Privacy Policy
 If you need assistance or would like to request an accommodation in connection with the application process, please contact AskPX@px.trimble.com.</t>
        </is>
      </c>
    </row>
    <row r="38">
      <c r="A38" t="inlineStr">
        <is>
          <t>li-4369621222</t>
        </is>
      </c>
      <c r="B38" t="inlineStr">
        <is>
          <t>Machine Learning Engineer</t>
        </is>
      </c>
      <c r="C38" t="inlineStr">
        <is>
          <t>Trimble Inc.</t>
        </is>
      </c>
      <c r="D38" t="inlineStr">
        <is>
          <t>linkedin</t>
        </is>
      </c>
      <c r="E38" t="inlineStr"/>
      <c r="F38" t="inlineStr"/>
      <c r="G38" t="inlineStr">
        <is>
          <t>Lake Oswego, OR</t>
        </is>
      </c>
      <c r="H38" t="inlineStr"/>
      <c r="I38" t="inlineStr">
        <is>
          <t>**Shape the Future of AI: Machine Learning Engineer**
 Are you ready to take ownership of the full ML lifecycle and turn complex data into world\-changing products? We are looking for a proactive Machine Learning Engineer to bridge the gap between research and production. If you are passionate about deploying deep learning models at scale and mentoring the next generation of innovators, your work here will directly transform how global industries operate.
**About Us** 
 Trimble is a global technology company that connects the physical and digital worlds, transforming the ways work gets done. With relentless innovation in precise positioning, modeling and data analytics, Trimble enables essential industries including construction, geospatial and transportation.
 The Trimble AECO segment provides digital construction solutions that increase precision and productivity for Architecture, Engineering, Construction, and Operations.
**What Makes This Role Great:** 
 In this role, you’ll be the technical architect of our machine learning future, moving beyond theory to deploy deep learning models that solve real\-world industrial challenges at scale. You will have the unique opportunity to act as a visionary pragmatist—independently identifying and refining models that directly enhance the accuracy and reliability of our global product suite.
**Key Exciting Responsibilities**
* Mastermind the ML Lifecycle: Spearhead the full journey of deep learning models from initial conceptualization to large\-scale production deployment.
* Drive MLOps Excellence: Elevate our technical standards by implementing robust containerization, versioning, and monitoring practices to ensure model reliability.
* Bridge the Gap: Collaborate with domain experts to translate ambiguous business needs into crisp, actionable machine learning tasks and technical solutions.
* Innovate at the Frontier: Research and adapt breakthrough methods, such as foundation models and self\-supervised learning, into our production environment.
* Empower the Team: Serve as a pivotal technical resource, providing informal guidance and sharing best practices to foster the growth of emerging talent.
**Essential Skills \&amp; Experience**
* Bachelor's degree in Computer Science, Math, Engineering, Statistics, or a related quantitative field with 3\-5 years of relevant experience, or a Master's degree with 1\-3 years of relevant experience, demonstrating in\-depth knowledge and practical application.
* In\-depth conceptual and practical knowledge of machine learning and deep learning principles, including model selection, training, and evaluation methodologies.
* Proven track record as a Machine Learning Engineer or similar role, with evidence of production\-ready ML work, including shipped projects, open\-source contributions, or strong GitHub portfolios.
* Fluency in Python and deep learning frameworks (PyTorch is a must, TensorFlow is welcome), along with strong familiarity with NumPy, pandas, and scikit\-learn.
* Experience with Linux and bash scripting.
* Solid grounding in data structures, data modeling, and software architecture, with an understanding of how code fits together and how to maintain its tidiness.
* Practical statistical sense, with the ability to run experiments with rigor, understand how to collect data, compare approaches, and avoid biased sampling or flawed metrics.
* Strong algorithmic and problem\-solving skills, capable of tackling complex challenges with a structured approach and knowing when to iterate rapidly and deploy effective solutions.
**Bonus Points For**
* Experience with large\-scale computing frameworks (e.g., Spark, Hadoop) and designing/implementing solutions for distributed systems.
* Contributions to open\-source projects or academic publications in ML/AI, showcasing thought leadership.
* Experience with MLOps practices for seamless model deployment, monitoring, and lifecycle management, including tools like Azure DevOps, New Relic, and Azure Monitor for AI\-driven infrastructure optimization and automated incident management.
* Familiarity with cloud\-native ML services (e.g., Azure Cognitive Services, AWS SageMaker) and their integration into broader architectures.
* Adaptable and curious mindset, eager to dig into new techniques or tools where appropriate and iterate rapidly.
* Experience with generative AI models (e.g., LLMs, diffusion models) and their application in real\-world scenarios, including conversational AI and agentic platforms (e.g., Semantic Kernel).
* Familiarity with computer vision techniques for image/video analysis (e.g., drawing title block extraction, symbol classification).
**Why You’ll Love Working With Us** 
 At Trimble, we’re not just a company that “does good”—we are a team dedicated to making a tangible, positive
 **Real\-World Impact** 
 . We build innovative solutions designed to solve the world’s most critical challenges. From construction sites to transportation hubs, our work tangibly improves how people live, build, move, and grow.
 You’ll work on
 **projects that truly matter** 
 : Our purpose\-driven culture means you’ll be helping to build and deliver solutions that make work faster, safer, and more sustainable for millions of people worldwide. You will work with a
 **collaborative, supportive team** 
 that shares your purpose and fosters a genuine sense of belonging. Trimble thrives on individuals who take initiative and
 **embrace ownership** 
 ; you’ll find an entrepreneurial spirit where success is often “self\-authored”.
 Machine Learning Engineer, Senior ML Engineer, Deep Learning, PyTorch, MLOps, Python, AECO, Digital Construction, AI Research, Data Science
****Compensation:****
 Trimble provides the following compensation range and general description of other compensation and benefits that it in good faith believes it might pay and/or offer for this position. This compensation range is based on a full time schedule. Trimble reserves the right to ultimately pay more or less than the posted range and offer additional benefits and other compensation, depending on circumstances not related to an applicant’s sex or other status protected by local, state, or federal law.
****Hiring Range****
 $122,500\.00–$168,400\.00
****Pay Rate Type****
 Salary
****Bonus Eligible?****
 Yes
****Commission Eligible?****
 No
****Benefits:****
 Trimble offers comprehensive core benefits that include Medical, Dental, Vision, Life, Disability, Time off plans and retirement plans. Most of our businesses also offer tax savings plans for health, dependent care and commuter expenses as well as Paid Parental Leave and Employee Stock Purchase Plan. If this position is identified above as commission\- or bonus\-eligible, the terms of the commission plan or discretionary bonus plan for which you are eligible will be provided following the employee start date.
****How to Apply:****
 Please submit an online application for this position by clicking on the ‘Apply Now’ button located in this posting.
****Application Deadline:****
 Applications could be accepted until at least 30 days from the posting date.
 At Trimble, we are committed to fostering a diverse, inclusive, and equitable workplace where everyone can thrive. Guided by our core values—Belong, Innovate, and Grow—we embrace and celebrate differences, knowing they make us stronger and more innovative. We are proud to be an equal opportunity employer, welcoming individuals of all backgrounds and advancing opportunities while embracing race, color, gender identity, sexual orientation, religion, disability, veteran status, or any other protected and diverse characteristic. We are committed to offering our candidates and employees with disabilities or sincerely held religious beliefs the ability to seek reasonable accommodations in accordance with applicable law and/or where it would not constitute undue hardship for Trimble. For more, please see Trimble's Code of Business Conduct and Ethics at https://investor.trimble.com, under “Corporate Governance.”
 Our mission to transform the way the world works starts with transforming how we work together. By actively listening, asking questions, and taking intentional actions, we cultivate a culture that provides equitable opportunities for everyone to contribute and grow.
 Trimble’s Privacy Policy
 If you need assistance or would like to request an accommodation in connection with the application process, please contact AskPX@px.trimble.com.</t>
        </is>
      </c>
    </row>
    <row r="39">
      <c r="A39" t="inlineStr">
        <is>
          <t>li-4369454975</t>
        </is>
      </c>
      <c r="B39" t="inlineStr">
        <is>
          <t>Principal AI/ML Engineer - Remote</t>
        </is>
      </c>
      <c r="C39" t="inlineStr">
        <is>
          <t>ExecutivePlacements.com</t>
        </is>
      </c>
      <c r="D39" t="inlineStr">
        <is>
          <t>linkedin</t>
        </is>
      </c>
      <c r="E39" t="inlineStr"/>
      <c r="F39" t="inlineStr"/>
      <c r="G39" t="inlineStr">
        <is>
          <t>Austin, TX</t>
        </is>
      </c>
      <c r="H39" t="inlineStr"/>
      <c r="I39" t="inlineStr">
        <is>
          <t>Optum Tech is a global leader in health care innovation. Our teams develop cutting\-edge solutions that help people live healthier lives and help make the health system work better for everyone. From advanced data analytics and AI to cybersecurity, we use innovative approaches to solve some of health care's most complex challenges. Your contributions here have the potential to change lives. Ready to build the next breakthrough? Join us to start
 **Caring. Connecting. Growing together.**
 Optum AI is UnitedHealth Group's enterprise AI team. We are AI/ML scientists and engineers with deep expertise in AI/ML engineering for health care. We develop AI/ML solutions for the highest impact opportunitiesacross UnitedHealth Group businesses including UnitedHealthcare, Optum Financial, Optum Health, Optum Insight,and Optum Rx. In addition to transforming the health care journey through responsible AI/ML innovation, our charter also includes developing and supporting an enterprise AI/ML development platform.
 You'll enjoy the flexibility to work remotely \* from anywhere within the U.S. as you take on some tough challenges. For all hires in the Minneapolis or Washington, D.C. area, you will be required to work in the office a minimum of four days per week.
**Primary Responsibilities**
* Drive end\-to\-end Machine Learning projects that have a high degree of ambiguity, scale and complexity
* Build Machine Learning models, perform proof\-of\-concept, experiment, optimize, and deploy your models into production; work closely with software engineers to assist in productionizing the ML models
* Perform hands\-on analysis and modeling of healthcare data sets to develop insights that increase business value
* Run A/B experiments, gather data, and perform statistical analysis
* Establish scalable, efficient, automated processes for large\-scale data analysis, machine\-learning model development, model validation and serving
* Research and implement innovative machine learning approaches
* Mentor and help recruit AI/ML scientists and machine learning engineers to the team
* Present findings and insights to senior leadership and at internal venues
* Be the thought leader in cutting\-edge AI research and proactively pursue IP submissions
 You'll be rewarded and recognized for your performance in an environment that will challenge you and give you clear direction on what it takes to succeed in your role as well as provide development for other roles you may be interested in.
**Required Qualifications**
* PhD in AI, computer science, data science, applied math or related technical fields
* 10\+ years of industry/academic experience in machine learning or a related field
* 5\+ years of building models for business application experience
* 5\+ years leading technical teams
* Experienced mathematical background, especially in optimization theory, stochastic algorithms, and/or numerical methods
* Experience with state\-of\-the\-art algorithms and topologies including, but not limited to: GNNs, GANs, Transformers, deep and wide, SSMs, LLMs among others
* Experience with LLM alignment (DPO, PPO among others)
* Solid Python programming skills and experience with deep learning frameworks such as PyTorch or TensorFlow
* In\-depth knowledge in Generative AI technology and Large Language Models (LLM) with focus in LLM optimization
* Advanced understanding of Deep Learning with applications in NLP and multimodal modeling
**Preferred Qualifications**
* Experience in AI/ML in the healthcare and or Fintech sector
* Experience working with cross\-functional and distributed teams in a global and diverse environment
* Experience in establishing AI/ML best practices, standards, and ethics
* All employees working remotely will be required to adhere to UnitedHealth Group's Telecommuter Policy
 Pay is based on several factors including but not limited to local labor markets, education, work experience, certifications, etc. In addition to your salary, we offer benefits such as, a comprehensive benefits package, incentive and recognition programs, equity stock purchase and k contribution (all benefits are subject to eligibility requirements). No matter where or when you begin a career with us, you'll find a far\-reaching choice of benefits and incentives. The salary for this role will range from $, to $, annually based on full\-time employment. We comply with all minimum wage laws as applicable.
**Application Deadline:** 
 This will be posted for a minimum of 2 business days or until a sufficient candidate pool has been collected. Job posting may come down early due to volume of applicants.
 At UnitedHealth Group, our mission is to help people live healthier lives and make the health system work better for everyone. We believe everyone\-of every race, gender, sexuality, age, location and income\-deserves the opportunity to live their healthiest life. Today, however, there are still far too many barriers to good health which are disproportionately experienced by people of color, historically marginalized groups and those with lower incomes. We are committed to mitigating our impact on the environment and enabling and delivering equitable care that addresses health disparities and improves health outcomes \- an enterprise priority reflected in our mission.
 UnitedHealth Group is an Equal Employment Opportunity employer under applicable law and qualified applicants will receive consideration for employment without regard to race, national origin, religion, age, color, sex, sexual orientation, gender identity, disability, or protected veteran status, or any other characteristic protected by local, state, or federal laws, rules, or regulations.
 UnitedHealth Group is a drug\-free workplace. Candidates are required to pass a drug test before beginning employment.</t>
        </is>
      </c>
    </row>
    <row r="40">
      <c r="A40" t="inlineStr">
        <is>
          <t>li-4369606115</t>
        </is>
      </c>
      <c r="B40" t="inlineStr">
        <is>
          <t>Applied AI Engineer-Associate</t>
        </is>
      </c>
      <c r="C40" t="inlineStr">
        <is>
          <t>JPMorganChase</t>
        </is>
      </c>
      <c r="D40" t="inlineStr">
        <is>
          <t>linkedin</t>
        </is>
      </c>
      <c r="E40" t="inlineStr"/>
      <c r="F40" t="inlineStr"/>
      <c r="G40" t="inlineStr">
        <is>
          <t>Wilmington, DE</t>
        </is>
      </c>
      <c r="H40" t="inlineStr"/>
      <c r="I40" t="inlineStr">
        <is>
          <t>**Job Description**
 As Applied AI Engineer\-Associate at JPMorganChase within the Consumer \&amp; Community Banking Machine Learning, you are an integral part of an agile team that works to enhance, build, and deliver trusted market\-leading technology products in a secure, stable, and scalable way. Drive significant business impact through your capabilities and contributions, and apply deep technical expertise and problem\-solving methodologies to tackle a diverse array of challenges that span multiple technologies and applications.
**Job Responsibilities**
* Regularly provides technical guidance and direction to support the business and its technical teams, contractors, and vendors
* Develops secure and high\-quality production code, and reviews and debugs code written by others
* Drives decisions that influence the product design, application functionality, and technical operations and processes
* Serves as a function\-wide subject matter expert in one or more areas of focus
* Actively contributes to the engineering community as an advocate of firmwide frameworks, tools, and practices of the Software Development Life Cycle
* Influences peers and project decision\-makers to consider the use and application of leading\-edge technologies
* Drive innovation in machine learning solutions, ensuring scalability, flexibility, and future\-proof architecture
* Act as a thought leader and trusted advisor to executive leadership, providing strategic recommendations on machine learning initiatives and solutions
* Architect and oversee the development of next\-generation machine learning models and systems leveraging cutting\-edge technologies
* Ensure the platform supports complex use cases, including real\-time predictions, big data processing, and advanced analytics
* Promote software and model quality, integrity, and security across the organization
**Required Qualifications, Capabilities, And Skills**
* Formal training or certification on software engineering concepts and 1\+ years applied AI experience
* Proven track record of building and scaling software and or machine learning platforms in high\-growth or enterprise environments
* 3 plus years of hands\-on experience and expertise in software development frameworks and tools such as Java, Python and JavaScript
* Deep understanding of distributed systems, cloud\-native architectures, and modern machine learning technologies
* Experience in cloud platforms such as AWS, GCP, or Azure
* Knowledgeable in machine learning frameworks, ML Ops tools and practices
* Strong proficiency in engineering programming languages (e.g., Python, Java) and infrastructure as code (e.g., Terraform, CloudFormation)
* Proficient in building AI Agents (e.g., LangChain, LangGraph, AutoGen), integration of tools (e.g., API) and RAG based solutions (e.g., open search)
* Hands\-on experience with software development pipeline and orchestration tools (e.g., Jenkins, GitLab CI/CD)
* Exceptional ability to communicate complex technical concepts to both technical and non\-technical audiences
* Hands\-on experience with big data, pipeline, orchestration tools and real\-time processing frameworks
**Preferred Qualifications, Capabilities, And Skills**
* Certified as AWS Solutions Architect, Certified Developer, or similar certification
**ABOUT US**
 Chase is a leading financial services firm, helping nearly half of America’s households and small businesses achieve their financial goals through a broad range of financial products. Our mission is to create engaged, lifelong relationships and put our customers at the heart of everything we do. We also help small businesses, nonprofits and cities grow, delivering solutions to solve all their financial needs.
 We offer a competitive total rewards package including base salary determined based on the role, experience, skill set and location. Those in eligible roles may receive commission\-based pay and/or discretionary incentive compensation, paid in the form of cash and/or forfeitable equity, awarded in recognition of individual achievements and contributions. We also offer a range of benefits and programs to meet employee needs, based on eligibility. These benefits include comprehensive health care coverage, on\-site health and wellness centers, a retirement savings plan, backup childcare, tuition reimbursement, mental health support, financial coaching and more. Additional details about total compensation and benefits will be provided during the hiring process.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
 Equal Opportunity Employer/Disability/Veterans
**About The Team**
 Our Consumer \&amp; Community Banking division serves our Chase customers through a range of financial services, including personal banking, credit cards, mortgages, auto financing, investment advice, small business loans and payment processing. We’re proud to lead the U.S. in credit card sales and deposit growth and have the most\-used digital solutions – all while ranking first in customer satisfaction.
 The CCB Data \&amp; Analytics team responsibly leverages data across Chase to build competitive advantages for the businesses while providing value and protection for customers. The team encompasses a variety of disciplines from data governance and strategy to reporting, data science and machine learning. We have a strong partnership with Technology, which provides cutting edge data and analytics infrastructure. The team powers Chase with insights to create the best customer and business outcomes.</t>
        </is>
      </c>
    </row>
    <row r="41">
      <c r="A41" t="inlineStr">
        <is>
          <t>li-4236739499</t>
        </is>
      </c>
      <c r="B41" t="inlineStr">
        <is>
          <t>Agentic AI Engineer</t>
        </is>
      </c>
      <c r="C41" t="inlineStr">
        <is>
          <t>DPR Construction</t>
        </is>
      </c>
      <c r="D41" t="inlineStr">
        <is>
          <t>linkedin</t>
        </is>
      </c>
      <c r="E41" t="inlineStr"/>
      <c r="F41" t="inlineStr"/>
      <c r="G41" t="inlineStr">
        <is>
          <t>Nashville, TN</t>
        </is>
      </c>
      <c r="H41" t="inlineStr"/>
      <c r="I41" t="inlineStr">
        <is>
          <t>**Job Description**
 Join a dynamic and fast\-evolving team that is building next\-generation AI\-based tools and agent systems for the construction Industry. Our AI and Data Team is focused on designing intelligent AI agents and copilots using modern AI/ML techniques.
 You will work closely with cross\-functional teams, including business stakeholders, data engineers, and technical leads, to ensure alignment between business needs and data architecture and define data models for specific focus areas.
**Responsibilities**
* Build end\-to\-end Gen AI solutions \- develop, refine, and implement advanced Gen AI models and ensure the successful delivery of projects.
* Develop and execute comprehensive plans to integrate AI technologies into business processes, aimed at enhancing operational efficiency and boosting employee productivity.
* Utilize Python and other data manipulation languages proficiently to prepare and manipulate data.
* Understand the business requirements and translate into Gen AI solution design that successfully meets the business objectives.
* Collaborate with stakeholders, present findings to non\-technical audiences and provide strategic recommendations.
* Ensure the scalability, reliability, and security of AI solutions by implementing best practices for AI model development, deployment, and maintenance.
* Drive innovation by exploring new AI applications and solutions that can benefit the enterprise, leading research and development efforts to keep DPR at the forefront of AI technology.
* Follow the roadmap for AI initiatives, ensuring they align with organizational goals and show measurable impact.
**Qualifications**
* At least 3 years of experience with Software Development, Machine Learning.
* At least 2 years of experience Generative AI, specifically with Large Language Models (LLM).
* Experience with generative AI concepts such as Retrieval\-Augmented Generation (RAG), agentic workflows, training LLMs with structured and unstructured data sets.
* Experience with Data Connectors and API gateways that support seamless communication between systems.
* Deep subject matter expertise in AI technologies, including but not limited to Copilot Studio, OpenAI, Semantic Kernels, Azure AI Foundry, Google Gemini, Microsoft 365, and M365 Copilot or Anthropic or AWS platforms.
* Familiarity with Cloud computing skills.
* Strong programming skills in Python and experience with AI/ML frameworks.
* Proficiency in vector databases and embedding models for retrieval tasks.
* Understanding of Knowledge Graph is a plus.
* Strong problem\-solving and strategic thinking abilities.
* Strong communicator with the ability to present ideas clearly and influence stakeholders — with a passion for enabling data\-driven transformation.
 Work Conditions
* Prolonged periods of sitting and/or standing at a computer screen.
* Must be able to sit or stand for long periods of time.
* Must be able to lift 15 pounds at times.
* Occasional domestic travel, via airplane, will be required for meetings.
 This is a hybrid role with most time being spent working from home. Attendance at important meetings and events at the local DPR office is required.
 DPR Construction is a forward\-thinking, self\-performing general contractor specializing in technically complex and sustainable projects for the advanced technology, life sciences, healthcare, higher education and commercial markets. Founded in 1990, DPR is a great story of entrepreneurial success as a private, employee\-owned company that has grown into a multi\-billion\-dollar family of companies with offices around the world.
 Working at DPR, you'll have the chance to try new things, explore unique paths and shape your future. Here, we build opportunity together—by harnessing our talents, enabling curiosity and pursuing our collective ambition to make the best ideas happen. We are proud to be recognized as a great place to work by our talented teammates and leading news organizations like U.S. News and World Report, Forbes, Fast Company and Newsweek.
 Explore our open opportunities at www.dpr.com/careers.</t>
        </is>
      </c>
    </row>
    <row r="42">
      <c r="A42" t="inlineStr">
        <is>
          <t>li-4369468901</t>
        </is>
      </c>
      <c r="B42" t="inlineStr">
        <is>
          <t>Senior AI Engineer - Agentic AI</t>
        </is>
      </c>
      <c r="C42" t="inlineStr">
        <is>
          <t>American Express</t>
        </is>
      </c>
      <c r="D42" t="inlineStr">
        <is>
          <t>linkedin</t>
        </is>
      </c>
      <c r="E42" t="inlineStr"/>
      <c r="F42" t="inlineStr"/>
      <c r="G42" t="inlineStr">
        <is>
          <t>New York, NY</t>
        </is>
      </c>
      <c r="H42" t="inlineStr"/>
      <c r="I42" t="inlineStr">
        <is>
          <t>*American Express invites you to share your resume so you can be considered for future Agentic AI opportunities in Enterprise Technology Services organization.*
 At American Express, our culture is built on a 175\-year history of innovation, shared
 values
 and Leadership Behaviors, and an unwavering commitment to back our customers, communities, and colleagues. As part of Team Amex, you'll experience this powerful backing with comprehensive support for your holistic well\-being and many opportunities to learn new skills, develop as a leader, and grow your career.
 Here, your voice and ideas matter, your work makes an impact, and together, you will help us define the future of American Express.
 AI is reshaping the future of commerce and redefining the experiences our commercial customers and card members expect. Within Amex Technology, we are building platforms, products, and governance that enable agentic AI systems to operate responsibly and at scale across the enterprise. 
 Our focus is on agentic AI development: designing intelligent, adaptive systems that can plan, reason, and act across complex workflows with appropriate levels of autonomy. These systems power autonomous workflows, decision support, and customer\-facing experiences—while meeting the high standards for security, explainability, reliability, and compliance required in financial services. 
 We partner closely with product, design, and business teams to deliver agentic capabilities that reduce operational friction, improve decision\-making, and transform how customers interact, transact, and grow. 
**The Role**
 As a Senior AI Engineer – Agentic AI, you will be a core builder responsible for turning complex, ambiguous problems into production\-grade agentic systems that operate on real financial data, serve real customers, and meet real regulatory requirements.
 You will work end to end: shaping solutions with product and design, building and shipping production code, and owning what you deliver after launch. The scope of this role spans customer\-facing LLM\-powered features, agentic systems that automate financial workflows, and internal AI capabilities that enable other engineers to build with AI safely and efficiently.
 This is not a research\-only role. We are looking for engineers who are comfortable operating with autonomy, exercising sound judgment, and pushing the technical envelope within the realities of a regulated financial environment.
**What You’ll Do** 
* Design, build, and ship LLM\-powered and agentic product features that change how customers manage their finances.
* Build agentic AI systems that reason over context, invoke tools, take real actions, and recover gracefully from failure.
* Architect and implement production\-grade RAG pipelines over sensitive financial data, with strict requirements for correctness, auditability, and safety.
* Contribute to shared AI infrastructure, including LLM services, agent orchestration frameworks, and evaluation and monitoring tooling, that scales agentic development across Amex Technology.
* Own the systems you build in production, including reliability, latency, cost, and failure modes.
* Work closely with product and design partners; engineers in this role are expected to think in terms of customer outcomes, not just technical execution.
**Technical Environment**
 We don’t hire to a narrow checklist, but candidates should be comfortable operating in a modern, enterprise\-scale environment with a strong emphasis on agentic AI.
**Core engineering stack** 
* Languages: Python, Go, TypeScript
* Cloud and infrastructure: AWS and/or GCP, Kubernetes
* APIs and services: REST, gRPC
* Distributed systems: event\-driven architectures, including Kafka
**Agentic AI and ML** 
* Commercial and open\-source LLMs integrated into agentic workflows
* Tooling for agent orchestration, retrieval\-augmented generation, vector storage, and evaluation
* Strong schema, validation, and state management practices
**AI\-assisted development** 
* Fluency with AI\-assisted and agentic development workflows for design, implementation, testing, debugging, and refactoring
* Thoughtful use of these tools while maintaining production\-quality engineering standards
 All systems are built to meet high standards for reliability, security, and auditability, reflecting the responsibility of deploying autonomous AI in a financial services environment.
**What We’re Looking For** 
* 5\+ years of software engineering experience, including meaningful production experience with LLMs or applied ML systems.
* A track record of shipping AI\-powered or agentic systems that real users depend on.
* Strong engineering fundamentals across backend systems, APIs, data pipelines, and cloud infrastructure.
* Hands\-on experience with modern LLM tooling and agentic patterns and architectures.
* Fluency with AI\-assisted and agentic development workflows.
* Strong sense of ownership and sound technical judgment.
* Comfort operating with ambiguity and turning it into shipped reliable product.
* A strong product mindset and customer orientation.
**Preferred Qualifications** 
* Experience building agentic systems in fintech or other regulated industries.
* Experience as a founding engineer or early technical contributor in high\-growth environments.
* Demonstrated ability to ship technically complex systems in regulated contexts that customers actively rely on.
* Meaningful open\-source contributions, particularly in AI or developer tooling.
 We back you with benefits that support your holistic well\-being so you can be and deliver your best. This means caring for you and your loved ones' physical, financial, and mental health, as well as providing the flexibility you need to thrive personally and professionally:
* Competitive base salaries
* Bonus incentives
* 6% Company Match on retirement savings plan
* Free financial coaching and financial well\-being support
* Comprehensive medical, dental, vision, life insurance, and disability benefits
* Flexible working model with hybrid, onsite or virtual arrangements depending on role and business need
* 20\+ weeks paid parental leave for all parents, regardless of gender, offered for pregnancy, adoption or surrogacy
* Free access to global on\-site wellness centers staffed with nurses and doctors (depending on location)
* Free and confidential counseling support through our Healthy Minds program
* Career development and training opportunities
 For a full list of Team Amex benefits, visit our
 Colleague Benefits Site
 .
 American Express is an equal opportunity employer and makes employment decisions without regard to race, color, religion, sex, sexual orientation, gender identity, national origin, veteran status, disability status, age, or any other status protected by law. American Express will consider for employment all qualified applicants, including those with arrest or conviction records, in accordance with the requirements of applicable state and local laws, including, but not limited to, the California Fair Chance Act, the Los Angeles County Fair Chance Ordinance for Employers, and the City of Los Angeles’ Fair Chance Initiative for Hiring Ordinance. For positions covered by federal and/or state banking regulations, American Express will comply with such regulations as it relates to the consideration of applicants with criminal convictions.
 We back our colleagues with the support they need to thrive, professionally and personally. That's why we have Amex Flex, our enterprise working model that provides greater flexibility to colleagues while ensuring we preserve the important aspects of our unique in\-person culture. Depending on role and business needs, colleagues will either work onsite, in a hybrid model (combination of in\-office and virtual days) or fully virtually.
 US Job Seekers \- Click to view the “
 Know Your Rights
 ” poster. If the link does not work, you may access the poster by copying and pasting the following URL in a new browser window:
 https://www.eeoc.gov/poster
 Depending on factors such as business unit requirements, the nature of the position, cost and applicable laws, 
 American Express may provide visa sponsorship for certain positions.</t>
        </is>
      </c>
    </row>
    <row r="43">
      <c r="A43" t="inlineStr">
        <is>
          <t>li-4362733307</t>
        </is>
      </c>
      <c r="B43" t="inlineStr">
        <is>
          <t>Senior Associate - AI Engineer</t>
        </is>
      </c>
      <c r="C43" t="inlineStr">
        <is>
          <t>New York Life Insurance Company</t>
        </is>
      </c>
      <c r="D43" t="inlineStr">
        <is>
          <t>linkedin</t>
        </is>
      </c>
      <c r="E43" t="inlineStr"/>
      <c r="F43" t="inlineStr"/>
      <c r="G43" t="inlineStr">
        <is>
          <t>New York, NY</t>
        </is>
      </c>
      <c r="H43" t="inlineStr"/>
      <c r="I43" t="inlineStr">
        <is>
          <t>**Location Designation:** 
 Hybrid \- 3 days per week
 Our New York Life culture has laid the foundation for over 180 years of commitment to our employees, agents, policy owners, and the communities where we live and work. Here you become a valued part of a welcoming, inclusive, and caring organization with a long\-standing legacy in stability and growth. The strength revolves around our diversified, multi\-dimensional business portfolio that goes beyond life insurance.
 As a Fortune 100 company and industry leader, we provide an environment where you can explore your career ambitions, offering opportunities to tackle meaningful challenges and stretch your skills while balancing work and life priorities. You will be part of an inclusive team guided by our belief to always be there for each other–providing the support and flexibility to grow and reach new heights while making an impact in the lives of others.
 You are our future, and we commit to investing in you accordingly.
 When you join New York Life, you are joining a company that values career development, collaboration, innovation, and inclusiveness. We want employees to feel proud about being part of a company that is committed to doing the right thing. You will have the opportunity to grow your career while developing personally and professionally through various resources and programs. New York Life is a relationship\-based company and appreciates how both virtual and in\-person interactions support our culture.
 New York Life’s AI and Data team delivers innovative data, insights and AI solutions for the organization. Our AI team works on a diverse portfolio of AI and GenAI projects, by combining agile and entrepreneurial drive with industry\-leading methods and tools. Our efforts are fully supported by executive leadership, and we work hand in hand with our Business Partners through all stages of model development from ideation to deployment. As it takes multiple skill sets to deliver AI models to production, our AI team includes product managers, data scientists, AI engineers, program managers, a model validation \&amp; governance group, and a communications \&amp; development group.
 You will work with Data Scientists and Platform Engineers to deliver AI and GenAI solutions to our business customers. You will influence design, implementation, and best practices for our AI solutions.
**What You’ll Do**
* Responsible for design and development of production grade AI solutions
* Ensuring all AI code conforms to software engineering best practices and coding standards
* Implementation of models with debugging, scaling and monitoring in mind
* Help set up ML experiments for server\-based hyperparameter tuning
* Work with Platform Engineers to develop pipelines and tools to automate model deployment
* Collaborate with the team on architecture and implementation
* Expertise in developing solution architectures that integrate ML models into real\-world systems
* Hands\-on prototyping of new technology and AI solutions
* Collaborate with product managers, data scientists and other engineers
* Review code to ensure solutions are properly designed and implemented
* Stay up to date with the latest AI trends/emerging technologies and look for opportunities to improve the stack
* Current understanding of LLMs and their use
**What You’ll Bring**
* 5\+ years of experience in Software Engineering with at least 2\-years hands on with implementing AI/ML solutions
* Experience in API development, best standards and practices
* Competency in Python
* Experience with machine learning libraries and frameworks such as sklearn, TensorFlow, PyTorch, or Keras
* Understanding of containerization (Docker \&amp; Linux experience)
* Passionate about technology transformations, innovation, and continuous improvement
* Experience with advanced natural language processing ( NLP ) techniques and tools, such as SpaCy, NLTK, or Hugging Face
* Strong knowledge of data structures, algorithms, and software engineering principles
* Experience with SQL and big data platforms such as Postgres, Redshift and Snowflake
* Experience with cloud compute environments (AWS) along with cloud\-native tools
* Experience with Agile/Scrum methodology and best practices
**Preferred**
* Previous work experience with Generative AI
* Understanding of use and implementation of Vector Databases
* Kubernetes container orchestration experience
* Exposure of MCP servers
**Pay Transparency**
 Salary Range: $124,000\-$177,000
 Overtime eligible: Exempt
 Discretionary bonus eligible: Yes
 Sales bonus eligible: No
 Actual base salary will be determined based on several factors but not limited to individual’s experience, skills, qualifications, and job location. Additionally, employees are eligible for an annual discretionary bonus. In addition to base salary, employees may also be eligible to participate in an incentive program.
**Our Benefits**
 We provide a full package of benefits for employees – and have unique offerings for a modern workforce, including leave programs, adoption assistance, and student loan repayment programs. Based on feedback from our employees, we continue to refine and add benefits to our offering, so that you can flourish both inside and outside of work. Click here to discover more about our comprehensive benefit options or visit our NYL Benefits Site.
**Our Commitment to Inclusion**
 At New York Life, fostering an inclusive workplace is fundamental to who we are and how we serve our communities. We have a longstanding commitment to creating an environment where individuals can contribute their best and succeed together. This foundation is rooted in our core values of humanity and integrity, ensuring that every employee feels valued and supported. By embracing a broad range of perspectives and experiences, we achieve greater success and fulfill our promise of providing financial security and peace of mind to families across all communities. Click here to learn more about New York Life’s leadership in this space.
 Recognized as one of
 *Fortune’s* 
 World’s Most Admired Companies, New York Life is committed to improving local communities through a culture of employee giving and volunteerism, supported by the Foundation. We're proud that due to our mutuality, we operate in the best interests of our policy owners. To learn more about career opportunities at New York Life, please visit the Careers page of www.NewYorkLife.com.
 Visit our LinkedIn to see how our employees and agents are leading the industry and impacting communities.
 Visit our Newsroom to learn more about how our company is constantly evolving to meet our clients' and employees’ needs.
 Job Requisition ID: 92281</t>
        </is>
      </c>
    </row>
    <row r="44">
      <c r="A44" t="inlineStr">
        <is>
          <t>li-4362770885</t>
        </is>
      </c>
      <c r="B44" t="inlineStr">
        <is>
          <t>Senior Associate - AI Engineer</t>
        </is>
      </c>
      <c r="C44" t="inlineStr">
        <is>
          <t>New York Life Insurance Company</t>
        </is>
      </c>
      <c r="D44" t="inlineStr">
        <is>
          <t>linkedin</t>
        </is>
      </c>
      <c r="E44" t="inlineStr"/>
      <c r="F44" t="inlineStr"/>
      <c r="G44" t="inlineStr">
        <is>
          <t>New York, NY</t>
        </is>
      </c>
      <c r="H44" t="inlineStr"/>
      <c r="I44" t="inlineStr">
        <is>
          <t>**Location Designation:** 
 Hybrid \- 3 days per week
 Our New York Life culture has laid the foundation for over 180 years of commitment to our employees, agents, policy owners, and the communities where we live and work. Here you become a valued part of a welcoming, inclusive, and caring organization with a long\-standing legacy in stability and growth. The strength revolves around our diversified, multi\-dimensional business portfolio that goes beyond life insurance.
 As a Fortune 100 company and industry leader, we provide an environment where you can explore your career ambitions, offering opportunities to tackle meaningful challenges and stretch your skills while balancing work and life priorities. You will be part of an inclusive team guided by our belief to always be there for each other–providing the support and flexibility to grow and reach new heights while making an impact in the lives of others.
 You are our future, and we commit to investing in you accordingly.
 When you join New York Life, you are joining a company that values career development, collaboration, innovation, and inclusiveness. We want employees to feel proud about being part of a company that is committed to doing the right thing. You will have the opportunity to grow your career while developing personally and professionally through various resources and programs. New York Life is a relationship\-based company and appreciates how both virtual and in\-person interactions support our culture.
 New York Life’s AI and Data team delivers innovative data, insights and AI solutions for the organization. Our AI team works on a diverse portfolio of AI and GenAI projects, by combining agile and entrepreneurial drive with industry\-leading methods and tools. Our efforts are fully supported by executive leadership, and we work hand in hand with our Business Partners through all stages of model development from ideation to deployment. As it takes multiple skill sets to deliver AI models to production, our AI team includes product managers, data scientists, AI engineers, program managers, a model validation \&amp; governance group, and a communications \&amp; development group.
 You will work with Data Scientists and Platform Engineers to deliver AI and GenAI solutions to our business customers. You will influence design, implementation, and best practices for our AI solutions.
**What You’ll Do**
* Responsible for design and development of production grade AI solutions
* Ensuring all AI code conforms to software engineering best practices and coding standards
* Implementation of models with debugging, scaling and monitoring in mind
* Help set up ML experiments for server\-based hyperparameter tuning
* Work with Platform Engineers to develop pipelines and tools to automate model deployment
* Collaborate with the team on architecture and implementation
* Expertise in developing solution architectures that integrate ML models into real\-world systems
* Hands\-on prototyping of new technology and AI solutions
* Collaborate with product managers, data scientists and other engineers
* Review code to ensure solutions are properly designed and implemented
* Stay up to date with the latest AI trends/emerging technologies and look for opportunities to improve the stack
* Current understanding of LLMs and their use
**What You’ll Bring:**
* 5\+ years of experience in Software Engineering with at least 2\-years hands on with implementing AI/ML solutions
* Experience in API development, best standards and practices
* Competency in Python
* Experience with machine learning libraries and frameworks such as sklearn, TensorFlow, PyTorch, or Keras
* Understanding of containerization (Docker \&amp; Linux experience)
* Passionate about technology transformations, innovation, and continuous improvement
* Experience with advanced natural language processing ( NLP ) techniques and tools, such as SpaCy, NLTK, or Hugging Face
* Strong knowledge of data structures, algorithms, and software engineering principles
* Experience with SQL and big data platforms such as Postgres, Redshift and Snowflake
* Experience with cloud compute environments (AWS) along with cloud\-native tools
* Experience with Agile/Scrum methodology and best practices
**Preferred**
* Previous work experience with Generative AI
* Understanding of use and implementation of Vector Databases
* Kubernetes container orchestration experience
* Exposure of MCP servers
**Pay Transparency**
 Salary Range: $124,000\-$177,000
 Overtime eligible: Exempt
 Discretionary bonus eligible: Yes
 Sales bonus eligible: No
 Actual base salary will be determined based on several factors but not limited to individual’s experience, skills, qualifications, and job location. Additionally, employees are eligible for an annual discretionary bonus. In addition to base salary, employees may also be eligible to participate in an incentive program.
**Our Benefits**
 We provide a full package of benefits for employees – and have unique offerings for a modern workforce, including leave programs, adoption assistance, and student loan repayment programs. Based on feedback from our employees, we continue to refine and add benefits to our offering, so that you can flourish both inside and outside of work. Click here to discover more about our comprehensive benefit options or visit our NYL Benefits Site.
**Our Commitment to Inclusion**
 At New York Life, fostering an inclusive workplace is fundamental to who we are and how we serve our communities. We have a longstanding commitment to creating an environment where individuals can contribute their best and succeed together. This foundation is rooted in our core values of humanity and integrity, ensuring that every employee feels valued and supported. By embracing a broad range of perspectives and experiences, we achieve greater success and fulfill our promise of providing financial security and peace of mind to families across all communities. Click here to learn more about New York Life’s leadership in this space.
 Recognized as one of
 *Fortune’s* 
 World’s Most Admired Companies, New York Life is committed to improving local communities through a culture of employee giving and volunteerism, supported by the Foundation. We're proud that due to our mutuality, we operate in the best interests of our policy owners. To learn more about career opportunities at New York Life, please visit the Careers page of www.NewYorkLife.com.
 Visit our LinkedIn to see how our employees and agents are leading the industry and impacting communities.
 Visit our Newsroom to learn more about how our company is constantly evolving to meet our clients' and employees’ needs.
 Job Requisition ID: 92280</t>
        </is>
      </c>
    </row>
    <row r="45">
      <c r="A45" t="inlineStr">
        <is>
          <t>li-4322192886</t>
        </is>
      </c>
      <c r="B45" t="inlineStr">
        <is>
          <t>Staff Machine Learning Engineer, Growth</t>
        </is>
      </c>
      <c r="C45" t="inlineStr">
        <is>
          <t>Hinge</t>
        </is>
      </c>
      <c r="D45" t="inlineStr">
        <is>
          <t>linkedin</t>
        </is>
      </c>
      <c r="E45" t="inlineStr"/>
      <c r="F45" t="inlineStr"/>
      <c r="G45" t="inlineStr">
        <is>
          <t>New York, NY</t>
        </is>
      </c>
      <c r="H45" t="inlineStr"/>
      <c r="I45" t="inlineStr">
        <is>
          <t>**Hinge is the dating app designed to be deleted** 
 In today's digital world, finding genuine relationships is tougher than ever. At Hinge, we’re on a mission to inspire intimate connection to create a less lonely world. We’re obsessed with understanding our users’ behaviors to help them find love, and our success is defined by one simple metric– setting up great dates. With millions of users across the globe, we’ve become the most trusted way to find a relationship, for all.
**About the Role:** 
 We are hiring a
 **Staff Machine Learning Engineer** 
 to drive the design, development, and deployment of machine learning systems that power our core products in User Growth and Monetization. You will work on building deeply personalized user experiences that drive business growth and meet individual needs and preferences: by targeting the right users with the right products at the right time, we empower product teams to drive meaningful growth in revenue and user engagement while enhancing user satisfaction.
 The Growth Product Group is responsible for the development of paid features to accelerate dating outcomes, driving engagement throughout a user’s lifecycle and making Hinge the dating destination for all communities.  You can expect to work on a broad range of problems, from identifying how to send the right message to the right user at the right time to optimizing the efficacy of our paid offerings. This is a fast growing team, and you will help define the vision and strategy that drives meaningful growth and accelerates machine learning at Hinge.
**Responsibilities:** 
- Lead the end\-to\-end development of production\-grade ML systems such as user targeting models that will help drive engagement, improve dating outcomes and/or improve user adoption of and engagement with paid features
- Define and own the technical roadmap for ML within your product area and align with company\-wide priorities
- Collaborate closely with ML Engineers, Data Scientists, and Product Managers to understand their needs and identify opportunities to accelerate the AI/ML development and deployment process
- Design, advocate, and implement for availability, scalability, operational excellence, and cost management while delivering impact to our daters incrementally
- Keep abreast of and bring to Hinge applicable cutting\-edge research, technologies, and best practices in the ML/AI space
- Mentor and educate ML Engineers on current and up and coming research, technologies and best practices of doing ML at scale
- Ensure the ethical and responsible use of ML/AI and compliance with privacy regulations to protect user data
- Communicate effectively to audiences of various technical and non\-technical backgrounds
**What We're Looking For:** 
- **Strong programming skills:** 
 Proficiency in Python and ML libraries such as PyTorch
- **Domain expertise:** 
 Deep understanding of machine learning, deep learning, and emerging AI technologies.  Proven track record of building, debugging, and fine\-tuning machine learning for user facing products. Experience with causal inference, uplift modeling, and interventional data collection is a plus
- **System design \&amp; architecture:** 
 Strong background in setting up and optimizing ML infrastructure, including containerization (Docker), orchestration (Kubernetes), and CI/CD workflows for ML (e.g., model versioning, automated testing)
- **Cloud platform proficiency:** 
 The ability to utilize cloud environments such as GCP, AWS, or Azure. Familiarity with ML serving solutions like Ray, KubeFlow, or Weights \&amp; Biases is a plus
- **Data engineering knowledge:** 
 Skills in handling and managing large datasets including data cleaning, preprocessing, and storage. Good understanding of batch and streaming pipelines as well as orchestrators like Argo and Airflow
- **Collaboration and communication skills:** 
 The ability to work effectively in a team and communicate complex ideas clearly with individuals from diverse technical and non\-technical backgrounds.
- **Software leadership skills:** 
 A track record of leading projects through completion with quantifiable and measurable outcomes
- 5\+ years of experience, depending on education, as an MLE, with at least 2 years in a senior or staff\-level role
- Previous experience in User Growth or Monetization
- 3\+ years of experience designing and developing end\-to\-end, production grade ML systems
- 4\+ years of experience working in a cloud environment such as GCP, AWS, Azure
- 3\+ years of experience leading projects with at least 1 other team member through completion
- A degree in computer science, engineering, or a related field or equivalent experience
**As a member of our team, you’ll enjoy:** 
**401(k) Matching:** 
 We match 100% of the first 10% of pre\-tax 401(k) contributions you make, up to a maximum of $10,000 per year.
**Professional Growth:** 
 Get an annual Learning \&amp; Development stipend once you’ve been with us for three months. You also get free access to Udemy, an online learning and teaching marketplace with over 6000 courses, starting your first day.
**Parental Leave \&amp; Planning:** 
 When you become a new parent, you’re eligible for 100% paid parental leave (20 paid weeks for both birth and non\-birth parents.)
**Fertility Support:** 
 You’ll get easy access to fertility care through Carrot, from basic treatments to fertility preservation. We also provide a stipend towards fertility preservation. You and your spouse/domestic partner are both eligible.
**Date Stipend:** 
 All Hinge employees receive a $100 monthly stipend for epic dates– Romantic or otherwise. Hinge Premium is also free for employees and their loved ones.
**ERGs:** 
 We have eight Employee Resource Groups (ERGs)—Asian, Unapologetic, Disability, LGBTQIA\+, R
 aices
 , Women/Nonbinary, Parents —that hold regular meetings, host events, and provide dedicated support to the organization \&amp; its community.
**At Hinge, our core values are…** 
**Authenticity:** 
 We share, never hide, our words, actions and intentions.
**Courage:** 
 We embrace lofty goals and tough challenges.
**Empathy:** 
 We deeply consider the perspective of others.
**Diversity inspires innovation** 
 Hinge is an equal\-opportunity employer. We value diversity at our company and do not discriminate on the basis of race, religion, color, national origin, gender, sexual orientation, age, marital status, veteran status, or disability status. We believe success is created by a diverse workforce of individuals with different ideas, strengths, interests, and cultural backgrounds.
***If you require reasonable accommodation to complete a job application, pre\-employment testing, or a job interview or to otherwise participate in the hiring process, please let your Talent Acquisition partner know.***
*\#Hinge* 
 Factors such as scope and responsibilities of the position, candidate's work experience, education/training, job\-related skills, internal peer equity, as well as market and business considerations may influence base pay offered. This salary range is reflective of a position based in New York City. This salary will be subject to a geographic adjustment (according to a specific city and state), if an authorization is granted to work outside of the location listed in this posting.</t>
        </is>
      </c>
    </row>
    <row r="46">
      <c r="A46" t="inlineStr">
        <is>
          <t>li-4341726241</t>
        </is>
      </c>
      <c r="B46" t="inlineStr">
        <is>
          <t>Senior ML Engineer/Hybrid/ Austin, TX/ Startup</t>
        </is>
      </c>
      <c r="C46" t="inlineStr">
        <is>
          <t>Motion Recruitment</t>
        </is>
      </c>
      <c r="D46" t="inlineStr">
        <is>
          <t>linkedin</t>
        </is>
      </c>
      <c r="E46" t="inlineStr"/>
      <c r="F46" t="inlineStr"/>
      <c r="G46" t="inlineStr">
        <is>
          <t>Austin, TX</t>
        </is>
      </c>
      <c r="H46" t="inlineStr"/>
      <c r="I46" t="inlineStr">
        <is>
          <t>We are building the world’s first objective mental health diagnostics platform, using mobile\-based neurotechnology to measure cognitive activity through the eye. After six years of R\&amp;D and multiple iterations, we are entering clinical trials for our PTSD diagnostic with Anxiety and Depression to follow. As the world faces a growing mental health crisis, we are creating a scalable, objective, and clinically validated approach to diagnosing mental health conditions. This role exists to help design and deliver the ML systems that will power this platform and enable clinicians to access accurate, real\-time diagnostic signals.
 We are seeking an experienced ML Engineer with strong expertise in computer vision and time\-series modeling. You will work across the entire ML lifecycle, from data exploration to modeling to production deployment. You excel at breaking down ambiguous problems, running rigorous experiments, and building production\-grade systems. This is a hands\-on role suited for someone who thrives in fast\-paced environments, enjoys solving open\-ended technical challenges, and wants to make a direct impact on the future of digital mental health.
 What you will do
* Design, develop, and deploy ML models for computer vision and time\-series applications such as segmentation, gaze tracking, keypoint detection, biosignal extraction, and transformer\-based architectures.
* Select architectures and training approaches that account for real\-world constraints in data quality, timelines, and budgets, including semi\-supervised and few\-shot methods.
* Build and maintain reliable, scalable ML services that support core product workflows.
* Monitor live model performance and establish evaluation frameworks that reflect real\-world user behavior.
* Conduct exploratory data analysis to inform scoping, feature design, and model strategy.
* Work closely with platform and infrastructure teams to optimize ML tooling, pipelines, and data flow.
* Translate complex or ambiguous business needs into structured ML problems and clear solution paths.
* Identify new data signals, run experiments, and iterate on models to maximize clinical and user impact.
* Write and maintain high\-quality, testable, well\-documented ML pipelines and codebases.
* Lead technical discussions and communicate modeling decisions and results to stakeholders across the company.
* Integrate emerging research and tools when they meaningfully improve performance or efficiency.
**What You Bring**
* 5\+ years of applied ML experience, including production deployment of models.
* Expertise in computer vision and time\-series modeling, ideally in camera\-based or video\-based systems.
* Strong experience extracting signal from noisy datasets and applying statistical modeling techniques.
* Proficiency in Python and deep learning frameworks such as PyTorch, JAX, or TensorFlow.
* Proven ability to translate research concepts into scalable production ML systems.
* Experience with large\-scale data systems, MLOps tooling, and model versioning.
* Ability to manage ambiguity and independently drive projects to completion.
* Strong communication skills with the ability to explain technical decisions and business impact.
**Posted By:** 
 Joshua Cairns</t>
        </is>
      </c>
    </row>
    <row r="47">
      <c r="A47" t="inlineStr">
        <is>
          <t>li-4362724917</t>
        </is>
      </c>
      <c r="B47" t="inlineStr">
        <is>
          <t>Senior Associate - AI Engineer</t>
        </is>
      </c>
      <c r="C47" t="inlineStr">
        <is>
          <t>New York Life Insurance Company</t>
        </is>
      </c>
      <c r="D47" t="inlineStr">
        <is>
          <t>linkedin</t>
        </is>
      </c>
      <c r="E47" t="inlineStr"/>
      <c r="F47" t="inlineStr"/>
      <c r="G47" t="inlineStr">
        <is>
          <t>New York, NY</t>
        </is>
      </c>
      <c r="H47" t="inlineStr"/>
      <c r="I47" t="inlineStr">
        <is>
          <t>**Location Designation:** 
 Hybrid \- 3 days per week
 As part of Technology, you'll have the opportunity to contribute to groundbreaking initiatives that shape New York Life's digital landscape. Leverage cutting\-edge technologies like Generative AI to increase productivity, streamline processes, and create seamless experiences for clients, agents, and employees. Your expertise fuels innovation, agility, and growth — driving the company's success.
 New York Life’s AI and Data team delivers innovative data, insights and AI solutions for the organization. Our AI team works on a diverse portfolio of AI and GenAI projects, by combining agile and entrepreneurial drive with industry\-leading methods and tools. Our efforts are fully supported by executive leadership, and we work hand in hand with our Business Partners through all stages of model development from ideation to deployment. As it takes multiple skill sets to deliver AI models to production, our AI team includes product managers, data scientists, AI engineers, program managers, a model validation \&amp; governance group, and a communications \&amp; development group.
 You will work with Data Scientists and Platform Engineers to deliver AI and GenAI solutions to our business customers. You will influence design, implementation, and best practices for our AI solutions.
**What You’ll Do**
* Responsible for design and development of production grade AI solutions
* Ensuring all AI code conforms to software engineering best practices and coding standards
* Implementation of models with debugging, scaling and monitoring in mind
* Help set up ML experiments for server\-based hyperparameter tuning
* Work with Platform Engineers to develop pipelines and tools to automate model deployment
* Collaborate with the team on architecture and implementation
* Expertise in developing solution architectures that integrate ML models into real\-world systems
* Hands\-on prototyping of new technology and AI solutions
* Collaborate with product managers, data scientists and other engineers
* Review code to ensure solutions are properly designed and implemented
* Stay up to date with the latest AI trends/emerging technologies and look for opportunities to improve the stack
* Current understanding of LLMs and their use
**What You’ll Bring**
* 5\+ years of experience in Software Engineering with at least 2\-years hands on with implementing AI/ML solutions
* Experience in API development, best standards and practices
* Competency in Python
* Experience with machine learning libraries and frameworks such as sklearn, TensorFlow, PyTorch, or Keras
* Understanding of containerization (Docker \&amp; Linux experience)
* Passionate about technology transformations, innovation, and continuous improvement
* Experience with advanced natural language processing ( NLP ) techniques and tools, such as SpaCy, NLTK, or Hugging Face
* Strong knowledge of data structures, algorithms, and software engineering principles
* Experience with SQL and big data platforms such as Postgres, Redshift and Snowflake
* Experience with cloud compute environments (AWS) along with cloud\-native tools
* Experience with Agile/Scrum methodology and best practices
**Preferred**
* Previous work experience with Generative AI
* Understanding of use and implementation of Vector Databases
* Kubernetes container orchestration experience
* Exposure of MCP servers
**Pay Transparency**
 Salary Range: $124,000\-$177,000
 Overtime eligible: Exempt
 Discretionary bonus eligible: Yes
 Sales bonus eligible: No
 Actual base salary will be determined based on several factors but not limited to individual’s experience, skills, qualifications, and job location. Additionally, employees are eligible for an annual discretionary bonus. In addition to base salary, employees may also be eligible to participate in an incentive program.
**Company Overview**
 At New York Life, our 180\-year legacy of purpose and integrity fuels our future. As we evolve into a more technology\-, data\-, and AI\-enabled organization, we remain grounded in the values that drive lasting impact.
 Our diverse business portfolio creates opportunities to make a difference across industries and communities—inviting bold thinking, collaborative problem\-solving, and purpose\-driven innovation. Here, you’ll find the rare balance of long\-standing stability and forward momentum, supported by an inclusive team that honors tradition while embracing progress.
 As a Fortune 100 mutual company, we offer a place to grow your skills, contribute to meaningful work, and deliver solutions that matter. Your ideas drive what’s next, and your growth powers it.
**Our Benefits**
 We provide a full package of benefits for employees – and have unique offerings for a modern workforce, including leave programs, adoption assistance, and student loan repayment programs. Based on feedback from our employees, we continue to refine and add benefits to our offering, so that you can flourish both inside and outside of work. Click here to discover more about our comprehensive benefit options or visit our NYL Benefits Site.
**Our Commitment to Inclusion**
 At New York Life, fostering an inclusive workplace is fundamental to who we are and how we serve our communities. We have a longstanding commitment to creating an environment where individuals can contribute their best and succeed together. This foundation is rooted in our core values of humanity and integrity, ensuring that every employee feels valued and supported. By embracing a broad range of perspectives and experiences, we achieve greater success and fulfill our promise of providing financial security and peace of mind to families across all communities. Click here to learn more about New York Life’s leadership in this space.
 Recognized as one of
 *Fortune’s* 
 World’s Most Admired Companies, New York Life is committed to improving local communities through a culture of employee giving and volunteerism, supported by the Foundation. We're proud that due to our mutuality, we operate in the best interests of our policy owners. To learn more about career opportunities at New York Life, please visit the Careers page of www.NewYorkLife.com.
 Visit our LinkedIn to see how our employees and agents are leading the industry and impacting communities.
 Visit our Newsroom to learn more about how our company is constantly evolving to meet our clients' and employees’ needs.
 Job Requisition ID: 92726</t>
        </is>
      </c>
    </row>
    <row r="48">
      <c r="A48" t="inlineStr">
        <is>
          <t>li-4359824722</t>
        </is>
      </c>
      <c r="B48" t="inlineStr">
        <is>
          <t>Staff AI Engineer</t>
        </is>
      </c>
      <c r="C48" t="inlineStr">
        <is>
          <t>People In AI</t>
        </is>
      </c>
      <c r="D48" t="inlineStr">
        <is>
          <t>linkedin</t>
        </is>
      </c>
      <c r="E48" t="inlineStr"/>
      <c r="F48" t="inlineStr"/>
      <c r="G48" t="inlineStr"/>
      <c r="H48" t="inlineStr"/>
      <c r="I48" t="inlineStr">
        <is>
          <t>**Staff AI Software Engineer, AI Agents / LLM Systems** 
**Compensation:** 
 $215,000\-$300,00 \+ meaningful equity
 (TC determined on experience)
**Location:** 
 Remote (USA ONLY)
**Company:** 
 A fast\-growing, Series C technology company building production\-grade AI agents for complex, high\-stakes workflows.
**About the Company** 
 This company is building AI agents that operate inside real products used daily by professionals. Their mission is to move agentic systems out of demos and notebooks and into reliable, trusted production environments. The focus is on robustness, usability, and real\-world impact not research for research’s sake.
**The Role** 
 This is a hands\-on engineering role focused on designing, shipping, and owning agentic systems in production. You’ll work on agents that plan, reason, call tools, and operate across multi\-step workflows while dealing with the realities of failure modes, observability, guardrails, and human interaction.
 This is
 **not** 
 a research role,
 **not** 
 a chatbot\-only position, and
 **not** 
 a thin wrapper around an API. It’s about building AI systems that actually work under real constraints.
**What You’ll Do** 
* Design and ship agentic systems that plan, reason, and operate across complex, multi\-step workflows
* Build production agents that combine LLMs, retrieval systems, APIs, and business logic
* Own agent behavior in production, including evaluation, monitoring, iteration, and reliability
* Translate ambiguous real\-world problems into concrete agent capabilities and guardrails
* Design prompt structures, memory systems, and orchestration layers that hold up under real usage
* Partner closely with product and design to ship agent experiences customers trust
**What You’ll Bring** 
* Strong software engineering fundamentals with experience shipping production systems
* Hands\-on experience building LLM\-powered applications or agent workflows
* Comfort working with APIs, stateful systems, and complex control flow
* Experience with retrieval, tool calling, or multi\-step orchestration (strong plus)
* Sound judgment around tradeoffs, reliability, and user impact
* Ability to operate with ownership in an ambiguous, fast\-moving environment
*Candidates at multiple levels are being considered. Scope and seniority will be calibrated during the interview process we care more about what you’ve built and owned than titles or years of experience.* 
**Tech Stack** 
* Large Language Models (commercial and/or open\-source)
* Retrieval systems (e.g. vector databases, search pipelines)
* Agent orchestration and tool\-calling frameworks
* Modern backend infrastructure and APIs
* Production monitoring, evaluation, and observability tooling
**Why Join?** 
* Work on agents that matter not demos
* Clear path to production and real customer impact
* Strong engineering culture with high ownership and low bureaucracy
* Competitive compensation and meaningful equity
* Opportunity to shape how agentic systems behave in the real world
**About People In AI** 
 People In AI is a specialist recruitment partner focused exclusively on AI, ML, and data\-driven technology roles. We work closely with high\-growth companies to build exceptional technical teams, and we support candidates through a transparent, human\-first hiring process.</t>
        </is>
      </c>
    </row>
    <row r="49">
      <c r="A49" t="inlineStr">
        <is>
          <t>li-4357644016</t>
        </is>
      </c>
      <c r="B49" t="inlineStr">
        <is>
          <t>Data Scientist (ML Engineer) - San Ramon, CA</t>
        </is>
      </c>
      <c r="C49" t="inlineStr">
        <is>
          <t>Franklin Templeton</t>
        </is>
      </c>
      <c r="D49" t="inlineStr">
        <is>
          <t>linkedin</t>
        </is>
      </c>
      <c r="E49">
        <f>HYPERLINK("https://www.linkedin.com/jobs/view/4357644016", "https://www.linkedin.com/jobs/view/4357644016")</f>
        <v/>
      </c>
      <c r="F49">
        <f>HYPERLINK("https://franklintempleton.wd5.myworkdayjobs.com/en-US/Primary-External-1/job/San-Ramon-California-United-States-of-America/Data-Scientist\u002d\u002dML-Engineer-_859081?src=JB-10760&amp;source=Linkedin&amp;urlHash=OWRD", "https://franklintempleton.wd5.myworkdayjobs.com/en-US/Primary-External-1/job/San-Ramon-California-United-States-of-America/Data-Scientist\u002d\u002dML-Engineer-_859081?src=JB-10760&amp;source=Linkedin&amp;urlHash=OWRD")</f>
        <v/>
      </c>
      <c r="G49" t="inlineStr">
        <is>
          <t>San Ramon, CA</t>
        </is>
      </c>
      <c r="H49" t="inlineStr"/>
      <c r="I49" t="inlineStr">
        <is>
          <t>At Franklin Templeton, we’re advancing our industry forward by developing new and innovative ways to help our clients achieve their investment goals. Our dynamic firm spans asset management, wealth management, and fintech, offering many ways to help investors make progress toward their goals. Our talented teams working around the globe bring expertise that’s both broad and unique. From our welcoming, inclusive, and flexible culture to our global and diverse business, we provide opportunities to help you reach your potential while helping our clients reach theirs.
**Come join us in delivering better outcomes for our clients around the world!**
**About The Department**
**Franklin Templeton Technology (FTT)** 
 drives the technology strategy and delivers innovative technology solutions for Franklin Templeton (FT), a global investment leader delivering innovative multi\-asset solutions across public and private markets. FT integrates asset allocation, manager research, and implementation to drive portfolio construction, execution, and strategic oversight. Joining FT means working in a collaborative, growth\-oriented environment that values innovation in investment technology.
**What is the Data Scientist (ML Engineer) in the FTT Digital Technology Group Responsible For?**
 As a
 **Data Scientist / ML Engineer** 
 , you will play a critical role in
 **designing, building, and productionizing machine learning systems** 
 that solve real\-world business problems. You will focus on
 **end\-to\-end ML lifecycle ownership** 
 , including data ingestion, feature engineering, model development, deployment, monitoring, and optimization in production environments.
 You will work closely with
 **data engineering, platform, and product teams** 
 to deliver scalable, reliable, and secure ML solutions. Under the guidance of senior technical leaders, you will contribute to
 **engineering\-grade ML architecture** 
 , gain hands\-on experience with
 **cloud\-native ML systems** 
 , and help advance the organization’s AI capabilities.
**Job Location** 
 : San Mateo or San Ramon, California office (Hybrid Schedule)
**Ongoing Responsibilities (Engineering\-Focused)**
***Data Engineering \&amp; Pipelines***
* Design, implement, and maintain robust, scalable data pipelines for ML workloads.
* Build automated data ingestion, validation, and preprocessing frameworks.
* Collaborate with data engineers to integrate ML workflows into enterprise data platforms.
* Optimize data storage and access patterns for high\-volume, high\-performance ML use cases.
* Ensure data quality, lineage, and reproducibility across ML pipelines.
***Machine Learning Engineering***
* Develop, optimize, and maintain production\-grade machine learning models.
* Implement feature engineering pipelines and reusable ML components.
* Design and build end\-to\-end ML architectures, from experimentation to deployment.
* Apply model evaluation, testing, and validation frameworks to ensure robustness.
* Lead efforts in Generative AI system design, mentoring team members on applied GenAI patterns and best practices.
* Translate ambiguous business problems into clear technical designs and ML system architectures.
***MLOps \&amp; Production Systems***
* Deploy ML models using CI/CD pipelines, containerization, and cloud\-native services.
* Implement model monitoring, performance tracking, drift detection, and retraining strategies.
* Partner with platform teams to ensure models meet security, scalability, and reliability standards.
* Troubleshoot and optimize ML systems in production environments.
* Contribute to ML platform standards, tooling, and reusable frameworks.
***Cross\-Functional Engineering Collaboration***
* Work closely with product managers, engineers, and business stakeholders to define technical requirements.
* Translate analytical insights into engineering deliverables for downstream systems.
* Communicate technical designs, trade\-offs, and system behavior to both technical and non\-technical audiences.
* Collaborate with domain experts to integrate business logic into ML system design.
***Continuous Learning \&amp; Technical Innovation***
* Stay current with advancements in ML engineering, cloud platforms, MLOps, and Generative AI.
* Prototype and evaluate new tools, architectures, and frameworks.
* Contribute to technical documentation, design reviews, and best practices.
* Continuously improve system reliability, performance, and maintainability.
**Ideal Qualifications, Skills \&amp; Experience (Engineering\-Heavy)**
***Education \&amp; Experience***
* Bachelor’s or Master’s degree in Computer Science, Engineering, Data Science, or related discipline.
* 5\+ years of hands\-on experience building and deploying ML systems in production.
***Core Technical Skills***
* Strong proficiency in Python with experience building production ML code.
* Advanced SQL skills and experience working with large\-scale datasets.
* Experience with machine learning frameworks.
* Hands\-on experience with data pipelines, feature stores, and ML workflows.
* Familiarity with Generative AI models and applied GenAI system patterns.
***ML Engineering \&amp; MLOps***
* Experience deploying models using containers (Docker) and CI/CD pipelines.
* Exposure to cloud platforms (AWS, Azure, or GCP) and managed ML services.
* Understanding of model monitoring, drift detection, and lifecycle management.
* Ability to design scalable, fault\-tolerant ML architectures.
***Engineering Mindset***
* Strong ability to translate business problems into engineering solutions.
* Comfortable working with ambiguous requirements and defining technical direction.
* Experience designing modular, reusable, and maintainable systems.
* Strong debugging, performance optimization, and problem\-solving skills.
***Collaboration \&amp; Communication***
* Ability to explain complex ML systems and trade\-offs to diverse stakeholders.
* Strong written and verbal communication skills.
* Team\-oriented with the ability to work independently and take ownership.
* Effective planning, prioritization, and execution in fast\-paced environments.
**Compensation Range** 
 : Along with base compensation, other compensation is offered such as a discretionary bonus, 401k plan, health insurance, and other perks. There are several factors taken into consideration in making compensation decisions including but not limited to location, job\-related knowledge, skills, and experience. At Franklin Templeton, we apply a total reward philosophy where all aspects of compensation and benefits are taken into consideration in determining compensation. The salary, benefits and variable rewards will reflect the seniority of the position and a competitive market rate. We expect the annual salary for this position to range between $125,000 to $160,000\.
 When applying, please be sure to
 **attach your resume / CV** 
 . Applications without a resume file attachment will not be reviewed.
 \#ASSOCIATE
******Experience our welcoming culture and reach your professional and personal potential!******
 Our culture is shaped by the variety of perspectives and experiences brought by talent from around the world. Regardless of your interests, lifestyle, or background, there’s a place for you at Franklin Templeton. We provide employees with the tools, resources, and learning opportunities to help them excel in their career and personal life.
 By joining us, you will become part of a culture that focuses on employee well\-being and provides multidimensional support for a positive and healthy lifestyle. We understand that benefits are at the core of employee well\-being and may vary depending on individual needs. Whether you need support for maintaining your physical and mental health, saving for life’s adventures, taking care of your family members, or making a positive impact in your community, we aim to have your needs covered. Learn more about the wide range of benefits we offer at Franklin Templeton.
**Highlights Of Our Benefits Include**
* Three weeks paid time off the first year
* Medical, dental and vision insurance
* 401(k) Retirement Plan with 85% company match on your pre\-tax and/or Roth contributions, up to the IRS limits
* Employee Stock Investment Program
* Tuition Assistance Program
* Purchase of company funds with no sales charge
* Onsite fitness center and recreation center\*
* Onsite cafeteria\*
* Only applicable at certain locations
****Learn more about the wide range of benefits we offer at Franklin Templeton****
 Franklin Templeton is an Equal Opportunity Employer. We are committed to providing equal employment opportunities to all applicants and employees, and we evaluate qualified applicants without regard to ancestry, age, color, disability, genetic information, gender, gender identity, or gender expression, marital status, medical condition, military or veteran status, national origin, race, religion, sex, sexual orientation, and any other basis protected by federal, state, or local law, ordinance, or regulation.
 If you believe that you need an accommodation or adjustment to search for or apply for one of our positions, please send an email to accommodations@franklintempleton.com. In your email, please include the accommodation or adjustment you are requesting, the job title, and the job number you are applying for. It may take up to three business days to receive a response to your request. Please note that only accommodation requests will receive a response.</t>
        </is>
      </c>
    </row>
    <row r="50">
      <c r="A50" t="inlineStr">
        <is>
          <t>li-4369106945</t>
        </is>
      </c>
      <c r="B50" t="inlineStr">
        <is>
          <t>Alibaba.com-Accio-Senior Applied Scientist-Sunnyvale</t>
        </is>
      </c>
      <c r="C50" t="inlineStr">
        <is>
          <t>Alibaba Group</t>
        </is>
      </c>
      <c r="D50" t="inlineStr">
        <is>
          <t>linkedin</t>
        </is>
      </c>
      <c r="E50">
        <f>HYPERLINK("https://www.linkedin.com/jobs/view/4369106945", "https://www.linkedin.com/jobs/view/4369106945")</f>
        <v/>
      </c>
      <c r="F50">
        <f>HYPERLINK("https://aidc-jobs.alibaba.com/en/off-campus/position-detail?lang=en&amp;positionId=300024421&amp;SRC=Linkedin&amp;urlHash=P_nM", "https://aidc-jobs.alibaba.com/en/off-campus/position-detail?lang=en&amp;positionId=300024421&amp;SRC=Linkedin&amp;urlHash=P_nM")</f>
        <v/>
      </c>
      <c r="G50" t="inlineStr">
        <is>
          <t>Sunnyvale, CA</t>
        </is>
      </c>
      <c r="H50" t="inlineStr"/>
      <c r="I50" t="inlineStr">
        <is>
          <t>**About Our Team**
 Our team is dedicated to revolutionizing B2B e\-commerce through the development of a groundbreaking AI search product. Leveraging cutting\-edge LLM technology, we're creating a brand new AI search engine and streamline the entire purchasing process for B2B customers.
**Responsibilities**
* Deliver full projects by defining the data structure, framework, design, and evaluation metrics for AI solution development and implementation.
* Develop and deploy Large Language Models (LLMs) to empower search and agent systems for a variety of applications.
* Identify new and upcoming product innovation areas by interacting with potential external and internal collaborators.
* Identify undefined problems in existing technology and engage stakeholders and leaders to address them.
**Qualifications**
**Job Requirements**
* PhD, Master's, or Bachelor's degree in Computer Science, Engineering, Mathematics, or related fields.
* Ability to implement and verify state\-of\-the\-art NLP or Computer Vision algorithms.
* Experience in successfully applying machine learning approaches to real\-world personalization problems.
* Experience with building large language models.
* Knowledge of statistical methods, with strong mathematical skills.
* Excellent problem\-solving and programming skills in Python.
 The pay range for this position at commencement of employment is expected to be between $162,400/year and $266,000/year. However, base pay offered may vary depending on multiple individualized factors, including market location, job\-related knowledge, skills, and experience.
 If hired, employee will be in an “at\-will position” and the Company reserves the right to modify base salary (as well as any other discretionary payment or compensation program) at any time, including for reasons related to individual performance, Company or individual department/team performance, and market factors.</t>
        </is>
      </c>
    </row>
    <row r="51">
      <c r="A51" t="inlineStr">
        <is>
          <t>li-4339947625</t>
        </is>
      </c>
      <c r="B51" t="inlineStr">
        <is>
          <t>Sr. Applied Scientist, Prime Video - Recommendation/Search</t>
        </is>
      </c>
      <c r="C51" t="inlineStr">
        <is>
          <t>Prime Video &amp; Amazon MGM Studios</t>
        </is>
      </c>
      <c r="D51" t="inlineStr">
        <is>
          <t>linkedin</t>
        </is>
      </c>
      <c r="E51">
        <f>HYPERLINK("https://www.linkedin.com/jobs/view/4339947625", "https://www.linkedin.com/jobs/view/4339947625")</f>
        <v/>
      </c>
      <c r="F51">
        <f>HYPERLINK("https://www.amazon.jobs/jobs/3124938/sr-applied-scientist-prime-video\u002d\u002drecommendationsearch?cmpid=SPLICX0248M&amp;utm_source=linkedin.com&amp;utm_campaign=cxro&amp;utm_medium=social_media&amp;utm_content=job_posting&amp;ss=paid&amp;urlHash=8fM8", "https://www.amazon.jobs/jobs/3124938/sr-applied-scientist-prime-video\u002d\u002drecommendationsearch?cmpid=SPLICX0248M&amp;utm_source=linkedin.com&amp;utm_campaign=cxro&amp;utm_medium=social_media&amp;utm_content=job_posting&amp;ss=paid&amp;urlHash=8fM8")</f>
        <v/>
      </c>
      <c r="G51" t="inlineStr">
        <is>
          <t>Sunnyvale, CA</t>
        </is>
      </c>
      <c r="H51" t="inlineStr"/>
      <c r="I51" t="inlineStr">
        <is>
          <t>**Description**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Sr. Applied Scientists with Recommender System or Search Ranking or Ads Ranking experience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Recommendation/Search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Recommendation/Search Science team owns science solution to power search experience on various devices, from sourcing, relevance, ranking, to name a few. We work closely with the engineering teams to launch our solutions in production.
**Basic Qualifications**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
**Company** 
 \- Amazon.com Services LLC
 Job ID: A3124938</t>
        </is>
      </c>
    </row>
    <row r="52">
      <c r="A52" t="inlineStr">
        <is>
          <t>li-4369110596</t>
        </is>
      </c>
      <c r="B52" t="inlineStr">
        <is>
          <t>Sr. Staff Applied Scientist</t>
        </is>
      </c>
      <c r="C52" t="inlineStr">
        <is>
          <t>Visa</t>
        </is>
      </c>
      <c r="D52" t="inlineStr">
        <is>
          <t>linkedin</t>
        </is>
      </c>
      <c r="E52">
        <f>HYPERLINK("https://www.linkedin.com/jobs/view/4369110596", "https://www.linkedin.com/jobs/view/4369110596")</f>
        <v/>
      </c>
      <c r="F52" t="inlineStr"/>
      <c r="G52" t="inlineStr">
        <is>
          <t>Bellevue, WA</t>
        </is>
      </c>
      <c r="H52" t="inlineStr"/>
      <c r="I52" t="inlineStr">
        <is>
          <t>Visa is a world leader in payments technology, facilitating transactions between consumers, merchants, financial institutions and government entities across more than 200 countries and territories, dedicated to uplifting everyone, everywhere by being the best way to pay and be paid.
 At Visa, you'll have the opportunity to create impact at scale — tackling meaningful challenges, growing your skills and seeing your contributions impact lives around the world. Join Visa and do work that matters — to you, to your community, and to the world.
 Progress starts with you.
**Job Description**
 The Visa Acceptance Platform is the foundation for creating innovative payment solutions that drive exceptional customer experience. It lets you easily leverage a broad range of pre\-integrated modular services and a growing ecosystem of technology and payments partners. Because it's Visa, the platform is secure, robust, and resilient. And because it's open, it will continue evolving to support you into the future.
 At Visa, we believe AI technologies have the potential to radically transform commerce. We launched Visa Intelligent Commerce to enable this next era of commerce. This program provides the infrastructure and tools developers need to build trusted, agentic experiences.
 Make an impact with a purpose\-driven industry leader. Join us today and be part of AI transformation journey at Visa.
 We are looking for a versatile, curious, and energetic Senior Applied Scientist to join our team of passionate and dedicated data scientists and engineers. We are the backbone for innovative data science and artificial intelligence developments at Visa acceptance, and we thrive on solving complex challenges on a global scale! As a Senior Applied Scientist, you will be an integral part of a multi\-functional development team inventing, designing, building, and testing products that reach a truly global customer base.
* You will face big challenges and question the status quo, changing the way data products are developed at Visa! Come join us and see your efforts shape the digital future of payments.
* The focus is on defining, executing, and delivering product and technical features at scale quickly and promoting a diverse culture of cross\-functional collaboration and engineering excellence. Be an idea leader and bring industry best practices to benefit the team and the wider organization. The ability to balance demanding business capabilities with building for operational excellence while meeting regulatory, security and privacy requirements.
* Ability to quickly grasp and evaluate new ideas and technologies from internal and external sources. Lead/Influence multiple teams, matching them with appropriate technology and business problems while building a culture of both innovation and drive for excellence.
* Transform our digital offerings by leveraging AI to enhance our current product line and develop exciting new products targeting our banking, fintech and integration partners, which will enable the next wave of innovation in payments. We need a strong technology leader, who is an expert in data science, agile delivery, building purpose driven teams, and has a background in complex integration projects. Prior experience in payments, or a background in building high volume transaction and data processing systems is preferred.
 Essential Functions:
* Provides technical expertise and mentors others to implement extensible, maintainable, and reusable data models and strategies and adheres to all security and privacy requirements for the application of artificial intelligence and data science.
* Develops strategies for and leads team's efforts to drive efficiencies across data extraction and ensure data quality and completeness using data wrangling, complex data modeling, and artificial intelligence.
* Ensures adherence to data management principles, governance, process, and tools to maintain data quality across products.
* Advises on technical specifications during discussions with collaborators (e.g., Product owners, business partners, Cybersecurity) to identify and clarify sophisticated technical or business requirements and identify business needs and upstream and/or downstream system/application dependencies.
* Defines technical standards for the design and documents the architecture for a complex product, using existing architecture design patterns.
* Oversees and establishes unit testing requirements of unit testing to confirm functional capability of code, acts as subject matter expert in testing for coding standards and security scans, strategically leads user acceptance testing in collaboration with customer across multiple domains.
* Identifies complex trends across relevant data sources and uses insights to plan platform\-wide future solution updates. Identifies opportunities and defines roadmap for software upgrades and server patches for security remediation where applicable.
 This is a hybrid position. Expectation of days in office will be confirmed by your hiring manager.
**Qualifications**
**Basic Qualifications:**
* 8\+ years of relevant work experience with a Bachelor’s Degree or at least 5 years of experience with an Advanced Degree (e.g. Masters, MBA, JD, MD) or 2 years of work experience with a PhD, OR 11\+ years of relevant work experience.
**Preferred Qualifications:**
* 9 or more years of relevant work experience with a Bachelor Degree or 7 or more relevant years of experience with an Advanced Degree (e.g. Masters, MBA, JD, MD) or 3 or more years of experience with a PhD
* Four (4\) years of experience solving data problems using data technologies (e.g., Hadoop, Hive, Kafka, Redis, NoSQL, RDBMS)
* Two (2\) years of experience designing, building/fine tuning ML/AI models around data insights, anomaly detection e.t.c
* Two (2\) years of experience in designing, building, evaluating metrics for model performance and business outcome
* Three (3\) years of experience building and pushing code into production.
* Expert in at least one of the following: Python, R, Java
* Experience with Big Data and Analytics in general leveraging technologies like Hadoop, Spark, Flink and MapReduce
**Additional Information**
**Work Hours:**
 Varies upon the needs of the department.
**Travel Requirements:**
 This position requires travel 5\-10% of the time.
**Mental/Physical Requirements:**
 This position will be performed in an office setting. The position will require the incumbent to sit and stand at a desk, communicate in person and by telephone, frequently operate standard office equipment, such as telephones and computers.
 Visa is an EEO Employer. Qualified applicants will receive consideration for employment without regard to race, color, religion, sex, national origin, sexual orientation, gender identity, disability or protected veteran status. Visa will also consider for employment qualified applicants with criminal histories in a manner consistent with EEOC guidelines and applicable local law.
 Visa will consider for employment qualified applicants with criminal histories in a manner consistent with applicable local law, including the requirements of Article 49 of the San Francisco Police Code.
**U.S. APPLICANTS ONLY: The estimated salary range for this position is 162,500\.00 to 260,400\.00 USD per year, which may include potential sales incentive payments (if applicable). Salary may vary depending on job\-related factors which may include knowledge, skills, experience, and location. In addition, this position may be eligible for bonus and equity. Visa has a comprehensive benefits package for which this position may be eligible that includes Medical, Dental, Vision, 401 (k), FSA/HSA, Life Insurance, Paid Time Off, and Wellness Program.**</t>
        </is>
      </c>
    </row>
    <row r="53">
      <c r="A53" t="inlineStr">
        <is>
          <t>li-4369603913</t>
        </is>
      </c>
      <c r="B53" t="inlineStr">
        <is>
          <t>Junior Machine Learning Engineer</t>
        </is>
      </c>
      <c r="C53" t="inlineStr">
        <is>
          <t>ClearML</t>
        </is>
      </c>
      <c r="D53" t="inlineStr">
        <is>
          <t>linkedin</t>
        </is>
      </c>
      <c r="E53">
        <f>HYPERLINK("https://www.linkedin.com/jobs/view/4369603913", "https://www.linkedin.com/jobs/view/4369603913")</f>
        <v/>
      </c>
      <c r="F53" t="inlineStr"/>
      <c r="G53" t="inlineStr">
        <is>
          <t>California, United States</t>
        </is>
      </c>
      <c r="H53" t="inlineStr"/>
      <c r="I53" t="inlineStr">
        <is>
          <t>**Junior Machine Learning Engineer (Machine Learning AI)**
 Join us to advance data science and machine learning.
 ClearML is a rapidly growing open source MLOps platform that helps data science, ML engineering, and DevOps teams easily develop, orchestrate, and automate ML workflows at scale. Our frictionless, unified, end\-to\-end MLOps suite enables users and customers to focus on developing their ML code and automation, ensuring their work is reproducible and scalable. ClearML is trusted by brands such as NVIDIA, NetApp, Samsung, Hyundai, Bosch, Microsoft, Intel, IBM, and Philips.
**Overview:**
 We are an open source end\-to\-end MLOPs platform, built by developers for developers.
 We're looking for a junior Machine Learning Engineer (Machine Learning AI) to join our growing team. In this role, you will collaborate across our development and product teams and will have a chance to collaborate with our MLOPs experts working in the exciting areas of machine learning, deep learning, DevOps, and AI.
 The ideal candidate will be a recent graduate who wants to learn how to create and fine\-tune models from large amounts of raw information and optimize them You will work with our team to learn to build ML/DL data pipelines to extract valuable business insights, analyze trends, and help us make better decisions.
 We expect you to be highly analytical with a knack for analysis, math, and statistics, and a passion for machine learning and research. Critical thinking and problem\-solving skills are also required.
**Responsibilities:**
 \- Research and analyze valuable data sources and automate processes
 \- Perform preprocessing of structured and unstructured data
 \- Review large amounts of information to discover trends and patterns
 \- Create predictive models and machine\-learning algorithms
 \- Modify and combine different models through ensemble modeling
 \- Organize and present information using data visualization techniques
 \- Develop and suggest solutions and strategies to business challenges
 \- Work together with engineering and product development teams to build and test ML/DL solutions stretching the entire spectrum of ML operationalization from data processing, model training, hyperparameter tuning, deployment, and model management.
**Requirements:**
 \- Graduate role, no experience necessary, remote opportunity
 \- Knowledge of SQL and Python; familiarity with Scala, Java, or C\+\+ is a plus.
 \- Familiar with Kubernetes and/or perhaps similar container system
 \- Strong math and analytical skills, with business acumen
 \- Strong communication and presentation skills
 \- Good problem\-solving abilities
 \- BSc or BA degree in Computer Science, Engineering or other relevant area</t>
        </is>
      </c>
    </row>
    <row r="54">
      <c r="A54" t="inlineStr">
        <is>
          <t>li-4369454889</t>
        </is>
      </c>
      <c r="B54" t="inlineStr">
        <is>
          <t>Machine Learning Engineer</t>
        </is>
      </c>
      <c r="C54" t="inlineStr">
        <is>
          <t>Edison Smart®</t>
        </is>
      </c>
      <c r="D54" t="inlineStr">
        <is>
          <t>linkedin</t>
        </is>
      </c>
      <c r="E54">
        <f>HYPERLINK("https://www.linkedin.com/jobs/view/4369454889", "https://www.linkedin.com/jobs/view/4369454889")</f>
        <v/>
      </c>
      <c r="F54" t="inlineStr"/>
      <c r="G54" t="inlineStr">
        <is>
          <t>Chicago, IL</t>
        </is>
      </c>
      <c r="H54" t="inlineStr"/>
      <c r="I54" t="inlineStr">
        <is>
          <t>**Machine Learning Engineer \| Robotics \| Chicago, IL (On\-site) \| Up to $125,000** 
 Join a fast\-growing construction robotics startup based in Chicago, building autonomous systems that operate in challenging, real\-world environments.
 As a Computer Vision / ML Engineer you'll focus on taking models from idea to production—owning the full lifecycle from data to deployment on real robots.
**What You’ll Do** 
* Design and implement ML and computer vision models end\-to\-end, from simple classifiers to complex deep learning architectures
* Own the full model lifecycle: data preparation, model selection, training, validation, and deployment
* Optimize models for performance, reliability, and edge deployment on robotic hardware
* Adapt existing models to new problem domains quickly, as our product and environments evolve
* Collaborate closely with robotics, software, and hardware teams to integrate perception into autonomous systems
* Help define best practices for data, evaluation, and production ML in a robotics setting
**Required Skills** 
* Strong experience with Python
* Hands\-on with PyTorch and/or TensorFlow
* Proven ability to build ML pipelines from training through deployment
* Experience with model optimization for edge devices
* Prior experience at a robotics company or robotics\-focused projects (required)
* Ability to rapidly adapt models to new domains and data
**Nice to Have** 
* Experience with real\-time vision systems
* Familiarity with embedded or resource\-constrained platforms
* Background in construction, automation, or industrial robotics</t>
        </is>
      </c>
    </row>
    <row r="55">
      <c r="A55" t="inlineStr">
        <is>
          <t>li-4221292086</t>
        </is>
      </c>
      <c r="B55" t="inlineStr">
        <is>
          <t>Applied Machine Learning Engineer</t>
        </is>
      </c>
      <c r="C55" t="inlineStr">
        <is>
          <t>Nooks</t>
        </is>
      </c>
      <c r="D55" t="inlineStr">
        <is>
          <t>linkedin</t>
        </is>
      </c>
      <c r="E55">
        <f>HYPERLINK("https://www.linkedin.com/jobs/view/4221292086", "https://www.linkedin.com/jobs/view/4221292086")</f>
        <v/>
      </c>
      <c r="F55" t="inlineStr"/>
      <c r="G55" t="inlineStr">
        <is>
          <t>San Francisco, CA</t>
        </is>
      </c>
      <c r="H55" t="inlineStr"/>
      <c r="I55" t="inlineStr">
        <is>
          <t>**About Nooks.ai**
 Nooks is the AI Sales Assistant Platform (ASAP) that automates the busywork so reps can focus on the human part of selling and generate more sales pipeline. Nooks has helped thousands of sales reps hit quota, saved customers hundreds of thousands of hours, and powered hundreds of millions of dollars in pipeline. Nooks is loved by sales teams at companies like Hubspot, Rippling, and Toast, and hundreds more.
 We’re a team of high performers raising over $70M from top VCs, including Kleiner Perkins, which made its first sales\-tech investment in over 10 years by investing in Nooks. Over the past two years, we’ve grown ARR by 4x and then 3x, and we plan to 3x it again this year.
 For more information, visit Nooks.ai.
**The role**
 Note: Exact job title will be commensurate with experience
 We have an ambitious product vision in a nascent area \- AI\-powered realtime collaboration \- so there are a ton of interesting technical challenges on our roadmap. This is a role focused on implementing ML features into Nooks. Our ideal candidate will have prior experience working in industry for a business where ML is a core part of the offering.
 Responsibilities will include training production models to improve their accuracy for specific sales use cases. You will align our technical strategy with performance, cost and feasibility considerations.
**Examples of engineering problems you may touch**
*These are just examples, this list is non\-exhaustive, and you definitely don’t need experience in all of these areas. But hopefully you find some of them exciting!*
* Realtime audio AI \&amp; precision/recall/latency tradeoffs (algorithms \&amp; models)
+ We use audio data, transcription, silence detection, and several other signals to detect whether a live phone call is a voicemail, a human, or a dial tree. Here, latency is a third factor added to the standard precision/recall tradeoff because it’s important we can detect humans quickly. Our approach involves LLM embeddings, few\-shot learning, data labeling, and continuous monitoring of model performance in prod.
* Smart call funnels \&amp; playbooks (data wrangling, backend eng, GPT\-3, UX)
+ At what point in the conversation do my reps get stuck? What are the toughest questions that we need to address? Can I “program” a playbook so that Nooks will help my team standardize toward best\-practices? We’re using GPT\-3 and other LLM’s to turn companies’ mostly unstructured call data into actionable strategies \&amp; feedback loops.
* Conversation embeddings \&amp; markov models (ML modeling)
+ What does the anatomy of a call look like? If I say XYZ, what are the different ways the prospect might answer and the probabilities of each? Conditioned on the first half of the call, what do I say next to maximize the likelihood that I book a demo at the end of the call? Can we use LLM’s to generate embeddings of conversations that we can use to cluster similar conversation patterns and predict where the conversation is headed?
**Requirements**
* Bachelor's or Master's degree in Computer Science, Machine Learning, Data Science, or a related field.
* 3\+ years of industry experience, including 2\+ years training and deploying ML models in production.
* Full stack ML Eng chops: proficiency in general purposes programming languages such as Python/Javascript, and with libraries like TensorFlow, PyTorch, Keras, scikit\-learn etc.
* Expertise in areas like NLP, Deep Learning, Anomaly Detection, Transformers and Large Language Models.
 Nice to haves
* Background in an analytical field like heuristics, data science \&amp;/or statistics
* Prior experiences working in both startup and research environments
 We offer competitive compensation because we want to hire the best people and reward them for their contributions to our mission. We pay all employees competitively relative to market. In compliance with pay transparency laws and in pursuit of pay equity and fairness, we publish salary ranges for our open roles. The target salary range for this role is $140,000 \- $240,000\. On top of base salary, we also offer equity, generous perks and comprehensive benefits.
**Equal Employment Opportunity Statement**
 Nooks is an equal opportunity employer committed to fostering a diverse and inclusive workforce. We believe in providing equal employment opportunities to all individuals regardless of race, color, religion, gender, gender identity, sexual orientation, national origin, age, disability, veteran status, or any other characteristic protected by law.
 Nooks does not discriminate in hiring, promotion, compensation, or any other employment practices, and we are committed to ensuring a workplace that is free from discrimination, harassment, and retaliation. We encourage individuals from all backgrounds to apply and join our team.</t>
        </is>
      </c>
    </row>
    <row r="56">
      <c r="A56" t="inlineStr">
        <is>
          <t>li-4369610361</t>
        </is>
      </c>
      <c r="B56" t="inlineStr">
        <is>
          <t>Senior AI/ML Engineer</t>
        </is>
      </c>
      <c r="C56" t="inlineStr">
        <is>
          <t>Pragmatike</t>
        </is>
      </c>
      <c r="D56" t="inlineStr">
        <is>
          <t>linkedin</t>
        </is>
      </c>
      <c r="E56">
        <f>HYPERLINK("https://www.linkedin.com/jobs/view/4369610361", "https://www.linkedin.com/jobs/view/4369610361")</f>
        <v/>
      </c>
      <c r="F56" t="inlineStr"/>
      <c r="G56" t="inlineStr">
        <is>
          <t>Pennsylvania, United States</t>
        </is>
      </c>
      <c r="H56" t="inlineStr"/>
      <c r="I56" t="inlineStr">
        <is>
          <t>**Location:** 
 Cambridge, MA (Eastern Time / UTC \-4\) ﻿
 **Relocation package available**
**Relocation package:** 
 Available
**Start date:** 
 ASAP
**Languages:** 
 English (required)
**About The Role**
 Pragmatike is hiring on behalf of a fast\-growing AI startup recognized as a Top 10 GenAI company by GTM Capital, founded by MIT CSAIL researchers.
 We are looking for a
 **Senior AI/ML Engineer** 
 to join a high\-performing AI engineering team building and deploying real\-world AI systems used by Fortune 500 customers. You will take technical ownership of critical ML components, lead model development and productionization efforts, and work closely with AI researchers, platform engineers, and product teams to deliver scalable, production\-grade AI systems.
 This role is intended for experienced AI/ML engineers who have already built and deployed models in production environments and want to operate at the intersection of
 **research\-quality AI and real\-world systems engineering** 
 .
 What You’ll Do
* Design, build, train, and optimize machine learning and deep learning models for production use
* Lead the deployment of ML models into scalable, reliable production systems
* Architect training, inference, and evaluation pipelines for structured and unstructured data
* Own model performance, reliability, scalability, and lifecycle management
* Drive experimentation, model iteration, and performance benchmarking
* Implement and maintain high\-quality ML codebases primarily in Python
* Monitor, debug, and improve live production models
* Collaborate with platform, backend, and infrastructure teams on system integration
* Contribute to technical direction, architecture decisions, and AI roadmap planning
* Mentor junior engineers and support team\-level technical excellence
 What We’re Looking For
* Bachelor’s, Master’s, or PhD in Computer Science, Engineering, Mathematics, or a related field
* 7\+ years of professional experience in AI/ML, data science, or applied machine learning roles
* Proven experience deploying ML systems into production environments
* Strong understanding of ML fundamentals, evaluation methodologies, and model lifecycle management
* Deep hands\-on experience with ML frameworks such as PyTorch, TensorFlow, or scikit\-learn
* Strong proficiency in Python
* Experience designing scalable ML systems and pipelines
* Ability to operate independently and take technical ownership of complex systems
* Strong problem\-solving, architecture, and system\-design skills
 Bonus Points
* Experience with deep learning, LLMs, GenAI, or modern AI architectures
* Experience building AI systems used by enterprise or large\-scale customers
* Strong experience with cloud platforms (AWS, GCP, Azure)
* MLOps experience (CI/CD for ML, model deployment, monitoring, observability)
* Research background, publications, or applied AI innovation projects
* Experience leading AI initiatives or mentoring ML engineers
 Why This Role Is High\-Impact
* Work directly with MIT CSAIL–founded leadership
* Build AI systems deployed to Fortune 500 customers
* Operate at the intersection of cutting\-edge AI and real\-world production systems
* High ownership and influence over technical direction
* Join a well\-funded, fast\-growing AI startup with strong technical ambition
* Clear path toward Staff/Principal AI Engineer or AI Architect roles
**Benefits**
* Competitive salary \&amp; equity options
* Sign\-on bonus
* Health, Dental, and Vision
* 401(k)
 ﻿
***Pragmatike** 
 is an Equal Opportunity Employer and is committed to providing equal employment opportunities to all applicants without discrimination. We recruit on behalf of our clients and prohibit discrimination and harassment based on race, color, religion, age, sex, national origin, disability status, genetics, protected veteran status, sexual orientation, gender identity or expression, or any other characteristic protected by federal, state, or local laws. This policy applies to all terms and conditions of employment, including recruiting, hiring, placement, promotion, termination, layoff, recall, transfer, leaves of absence, compensation, and training.We are committed to a fair and inclusive hiring process. We process your personal data solely for recruitment purposes, in accordance with applicable privacy laws, and maintain reasonable safeguards to protect your information. Your data may be shared with our client(s) for hiring consideration, but will not be disclosed to third parties outside of the recruitment process.*</t>
        </is>
      </c>
    </row>
    <row r="57">
      <c r="A57" t="inlineStr">
        <is>
          <t>li-4369618165</t>
        </is>
      </c>
      <c r="B57" t="inlineStr">
        <is>
          <t>Senior AI/ML Engineer</t>
        </is>
      </c>
      <c r="C57" t="inlineStr">
        <is>
          <t>Pragmatike</t>
        </is>
      </c>
      <c r="D57" t="inlineStr">
        <is>
          <t>linkedin</t>
        </is>
      </c>
      <c r="E57">
        <f>HYPERLINK("https://www.linkedin.com/jobs/view/4369618165", "https://www.linkedin.com/jobs/view/4369618165")</f>
        <v/>
      </c>
      <c r="F57">
        <f>HYPERLINK("https://jobs.ashbyhq.com/pragmatike/a5fe3e57-9388-44c1-8aa6-fd47fba526dd/application?utm_source=pKPejxJ0kE&amp;urlHash=V2MG", "https://jobs.ashbyhq.com/pragmatike/a5fe3e57-9388-44c1-8aa6-fd47fba526dd/application?utm_source=pKPejxJ0kE&amp;urlHash=V2MG")</f>
        <v/>
      </c>
      <c r="G57" t="inlineStr">
        <is>
          <t>New Jersey, United States</t>
        </is>
      </c>
      <c r="H57" t="inlineStr"/>
      <c r="I57" t="inlineStr">
        <is>
          <t>**Location:** 
 Cambridge, MA (Eastern Time / UTC \-4\) ﻿
 **Relocation package available**
**Relocation package:** 
 Available
**Start date:** 
 ASAP
**Languages:** 
 English (required)
**About The Role**
 Pragmatike is hiring on behalf of a fast\-growing AI startup recognized as a Top 10 GenAI company by GTM Capital, founded by MIT CSAIL researchers.
 We are looking for a
 **Senior AI/ML Engineer** 
 to join a high\-performing AI engineering team building and deploying real\-world AI systems used by Fortune 500 customers. You will take technical ownership of critical ML components, lead model development and productionization efforts, and work closely with AI researchers, platform engineers, and product teams to deliver scalable, production\-grade AI systems.
 This role is intended for experienced AI/ML engineers who have already built and deployed models in production environments and want to operate at the intersection of
 **research\-quality AI and real\-world systems engineering** 
 .
 What You’ll Do
* Design, build, train, and optimize machine learning and deep learning models for production use
* Lead the deployment of ML models into scalable, reliable production systems
* Architect training, inference, and evaluation pipelines for structured and unstructured data
* Own model performance, reliability, scalability, and lifecycle management
* Drive experimentation, model iteration, and performance benchmarking
* Implement and maintain high\-quality ML codebases primarily in Python
* Monitor, debug, and improve live production models
* Collaborate with platform, backend, and infrastructure teams on system integration
* Contribute to technical direction, architecture decisions, and AI roadmap planning
* Mentor junior engineers and support team\-level technical excellence
 What We’re Looking For
* Bachelor’s, Master’s, or PhD in Computer Science, Engineering, Mathematics, or a related field
* 7\+ years of professional experience in AI/ML, data science, or applied machine learning roles
* Proven experience deploying ML systems into production environments
* Strong understanding of ML fundamentals, evaluation methodologies, and model lifecycle management
* Deep hands\-on experience with ML frameworks such as PyTorch, TensorFlow, or scikit\-learn
* Strong proficiency in Python
* Experience designing scalable ML systems and pipelines
* Ability to operate independently and take technical ownership of complex systems
* Strong problem\-solving, architecture, and system\-design skills
 Bonus Points
* Experience with deep learning, LLMs, GenAI, or modern AI architectures
* Experience building AI systems used by enterprise or large\-scale customers
* Strong experience with cloud platforms (AWS, GCP, Azure)
* MLOps experience (CI/CD for ML, model deployment, monitoring, observability)
* Research background, publications, or applied AI innovation projects
* Experience leading AI initiatives or mentoring ML engineers
 Why This Role Is High\-Impact
* Work directly with MIT CSAIL–founded leadership
* Build AI systems deployed to Fortune 500 customers
* Operate at the intersection of cutting\-edge AI and real\-world production systems
* High ownership and influence over technical direction
* Join a well\-funded, fast\-growing AI startup with strong technical ambition
* Clear path toward Staff/Principal AI Engineer or AI Architect roles
**Benefits**
* Competitive salary \&amp; equity options
* Sign\-on bonus
* Health, Dental, and Vision
* 401(k)
 ﻿
***Pragmatike** 
 is an Equal Opportunity Employer and is committed to providing equal employment opportunities to all applicants without discrimination. We recruit on behalf of our clients and prohibit discrimination and harassment based on race, color, religion, age, sex, national origin, disability status, genetics, protected veteran status, sexual orientation, gender identity or expression, or any other characteristic protected by federal, state, or local laws. This policy applies to all terms and conditions of employment, including recruiting, hiring, placement, promotion, termination, layoff, recall, transfer, leaves of absence, compensation, and training.We are committed to a fair and inclusive hiring process. We process your personal data solely for recruitment purposes, in accordance with applicable privacy laws, and maintain reasonable safeguards to protect your information. Your data may be shared with our client(s) for hiring consideration, but will not be disclosed to third parties outside of the recruitment process.*</t>
        </is>
      </c>
    </row>
    <row r="58">
      <c r="A58" t="inlineStr">
        <is>
          <t>li-4359814646</t>
        </is>
      </c>
      <c r="B58" t="inlineStr">
        <is>
          <t>Machine Learning Engineer</t>
        </is>
      </c>
      <c r="C58" t="inlineStr">
        <is>
          <t>Open Talent</t>
        </is>
      </c>
      <c r="D58" t="inlineStr">
        <is>
          <t>linkedin</t>
        </is>
      </c>
      <c r="E58">
        <f>HYPERLINK("https://www.linkedin.com/jobs/view/4359814646", "https://www.linkedin.com/jobs/view/4359814646")</f>
        <v/>
      </c>
      <c r="F58" t="inlineStr"/>
      <c r="G58" t="inlineStr">
        <is>
          <t>El Segundo, CA</t>
        </is>
      </c>
      <c r="H58" t="inlineStr"/>
      <c r="I58" t="inlineStr">
        <is>
          <t>**Founding AI/ML Engineer (Production) \- California (SF/Palo Alto)** 
**$450k \- $500k\+ Base \+ Founding Equity** 
***This role requires US Citizenship due to regulatory constraints.***
**Most of the Valley is obsessed with LLM wrappers for HR or marketing. We’re using them to run multi\-ton autonomous machines; \&amp; fast.** 
 We’re a Top 10 hard\-tech startup with real hardware \&amp; real customers. We aren't a research lab \&amp; we don't do R\&amp;D for the sake of it. Our machines are in the field globally right now. We need a
 **Founding AI/ML Engineer** 
 to build the production intelligence layer that turns complex logic into physical movement.
**The Squad** 
 You’ll be joining a high\-density team from SpaceX, Palantir, \&amp; Anduril. We’ve cut out the corporate theater\-no bloated meetings, no process for the sake of process, \&amp; zero ego. As a founding hire, you aren't just training models; you’re architecting the engine of the company.
**The Work: Moving Atoms** 
 In this role, an unreliable model isn't just a "bug"\-it’s a physical failure. You’ll own the stack from fine\-tuning to field deployment.
* **Mission\-Critical Logic:** 
 Fine\-tuning \&amp; deploying models that handle real\-time operational decisions where precision is the only metric that matters.
* **The Pipeline:** 
 Building the RAG systems, data flywheels, \&amp; retrieval logic that allow our robots to understand their environment with sub\-100ms latency.
* **Hardened Evals:** 
 Designing the testing frameworks \&amp; grounding suites required for heavy hardware. You ensure the "reasoning" holds up when things get messy in the real world.
* **Full Autonomy:** 
 You pick the tools, define the architecture, \&amp; own the deployment.
**The Profile** 
 We want builders who are bored with digital\-only products \&amp; want to solve hard problems grounded in physics.
* **Production Grit:** 
 You’ve shipped \&amp; maintained ML systems in high\-bar environments (SpaceX, Tesla, or similar).
* **Systems Thinking:** 
 You understand the full lifecycle\-from raw telemetry \&amp; fine\-tuning to inference optimization \&amp; hardware constraints.
* **High\-Bar Pedigree:** 
 You come from a place where "production\-ready" means it works every time, \&amp; shipping broken code isn't an option.
**The Deal** 
* **Comp:** 
 $450k \- $500k\+ base \+
 **Meaningful Founding Equity** 
 .
* **Location:** 
 SF / Palo Alto \- On\-site.
* **Process:** 
**1 week, 0 take\-homes. No leet code.** 
 We move as fast as we ship.
1. **Technical Deep Dive:** 
 A conversation about a complex system you actually built \&amp; shipped.
2. **Practical Pairing:** 
 Solving a real\-world production problem with the team. No Leetcode.
3. **Founder Chat:** 
 A focus on judgment, trade\-offs, \&amp; vision.
 If you’re ready to build something that actually moves, let’s talk.
**TL;DR** 
* **Role:** 
 Founding AI/ML (Production focus)
* **The Mission:** 
 Critical intelligence for heavy robotics
* **The Team:** 
 Ex\-SpaceX, Palantir, Anduril
* **The Comp:** 
 $450k \- $500k\+ base \+ Equity
* **The Speed:** 
 1\-week process. Zero BS.
 All applicants will receive a response within 72 hours.
**Equal Opportunity** 
 We're hiring for an Equal Opportunity Employer.
 \*All our new jobs are posted here 1st:
**linkedin.com/in/sufyanbashir/**</t>
        </is>
      </c>
    </row>
    <row r="59">
      <c r="A59" t="inlineStr">
        <is>
          <t>li-4369479035</t>
        </is>
      </c>
      <c r="B59" t="inlineStr">
        <is>
          <t>Machine Learning Engineer</t>
        </is>
      </c>
      <c r="C59" t="inlineStr">
        <is>
          <t>Block</t>
        </is>
      </c>
      <c r="D59" t="inlineStr">
        <is>
          <t>linkedin</t>
        </is>
      </c>
      <c r="E59">
        <f>HYPERLINK("https://www.linkedin.com/jobs/view/4369479035", "https://www.linkedin.com/jobs/view/4369479035")</f>
        <v/>
      </c>
      <c r="F59" t="inlineStr"/>
      <c r="G59" t="inlineStr"/>
      <c r="H59" t="inlineStr"/>
      <c r="I59" t="inlineStr">
        <is>
          <t>**About The Company** 
 Founded a decade ago in Sydney, Australia, Afterpay has established itself as a leading innovator in the financial technology sector. With over 24 million active customers worldwide and partnerships with more than 250,000 top\-tier retailers including Anthropologie, Revolve, DSW, GOAT, Finish Line, Levi's, Mac Cosmetics, Ray\-Ban, and many others, Afterpay is committed to creating a more accessible and responsible financial ecosystem. Our movement is centered around the principle that everyone can win—shoppers, retailers, society, and our team—by fostering fairness, trust, and rewarding integrity. We believe in empowering individuals to achieve financial freedom while enabling retailers to grow globally. As part of the Block ecosystem, we focus on supporting our community of shoppers and promoting a sustainable, inclusive economy.
**About The Role** 
 We are seeking a highly experienced and strategic Machine Learning and Data Science leader to join our team remotely in the US or Canada. In this role, you will be instrumental in architecting and developing advanced ML systems that safeguard our lending products through fraud detection, abuse mitigation, and inclusive credit decisioning. Your work will leverage complex datasets to enhance the precision, speed, and adaptability of our decision frameworks, ensuring portfolio resilience and operational excellence. You will collaborate closely with cross\-functional teams including Product, Engineering, and Operations to design scalable systems, influence risk strategies, and pioneer AI\-native, self\-adapting risk management solutions. Your leadership will help us stay ahead of emerging fraud vectors, improve underwriting processes, and drive innovation in our risk ecosystem.
**Qualifications** 
* Bachelor’s degree in Mathematics, Statistics, Physics, Computer Science, or related quantitative field. Master’s or PhD preferred.
* 10\+ years of professional experience in risk management, fraud prevention, credit underwriting, or a high\-stakes decisioning domain.
* Deep expertise in machine learning methodologies, statistical modeling, and advanced analytics techniques.
* Proven experience designing automated validation frameworks for models and decision logic.
* Strong analytical and testing mindset with experience analyzing large, complex datasets.
* Excellent communication skills, capable of translating complex technical concepts for diverse stakeholders.
* Hands\-on experience with agentic workflows, including LLM\-based agents or automation components that enhance modeling velocity and decision reliability.
* Proficiency with technologies such as SQL, Python (NumPy, Pandas, Sklearn, TensorFlow), GitHub, and cloud platforms like GCP or AWS.
**Responsibilities** 
* Design and implement next\-generation lending decision frameworks utilizing advanced analytics, machine learning, and automation to enhance accuracy and responsiveness.
* Analyze large\-scale datasets to derive insights that influence underwriting strategies, strengthen ecosystem safeguards, and guide product development.
* Lead signal discovery initiatives and conduct deep experimentations to identify evolving risk patterns and inform system enhancements.
* Collaborate with Product, Engineering, and Operations teams to develop systems and features that foster trust and maintain portfolio health.
* Mentor and develop fellow data scientists and modelers, establishing best practices and technical standards across the team.
* Own end\-to\-end solution development—from problem framing and system design to deployment, monitoring, and iterative improvements.
* Stay ahead of emerging fraud vectors and adapt models proactively to mitigate risks before they scale.
**Benefits** 
* Remote work flexibility for US and Canadian candidates.
* Comprehensive medical insurance coverage.
* Flexible time off policies to support work\-life balance.
* Retirement savings plans with company contributions.
* Modern family planning and parental leave benefits.
* Opportunities for professional growth and development within a global fintech leader.
 Equal Opportunity
 Block is an equal\-opportunity employer committed to fostering an inclusive environment. We evaluate all employees and job applicants without regard to race, gender, age, religion, national origin, disability, sexual orientation, gender identity, or any other legally protected status. We consider qualified applicants with arrest or conviction records in accordance with applicable laws and ordinances.</t>
        </is>
      </c>
    </row>
    <row r="60">
      <c r="A60" t="inlineStr">
        <is>
          <t>li-4369610362</t>
        </is>
      </c>
      <c r="B60" t="inlineStr">
        <is>
          <t>Senior AI/ML Engineer</t>
        </is>
      </c>
      <c r="C60" t="inlineStr">
        <is>
          <t>Pragmatike</t>
        </is>
      </c>
      <c r="D60" t="inlineStr">
        <is>
          <t>linkedin</t>
        </is>
      </c>
      <c r="E60">
        <f>HYPERLINK("https://www.linkedin.com/jobs/view/4369610362", "https://www.linkedin.com/jobs/view/4369610362")</f>
        <v/>
      </c>
      <c r="F60" t="inlineStr"/>
      <c r="G60" t="inlineStr">
        <is>
          <t>Cambridge, MA</t>
        </is>
      </c>
      <c r="H60" t="inlineStr"/>
      <c r="I60" t="inlineStr">
        <is>
          <t>**Location:** 
 Cambridge, MA (Eastern Time / UTC \-4\) ﻿
 **Relocation package available**
**Relocation package:** 
 Available
**Start date:** 
 ASAP
**Languages:** 
 English (required)
**About The Role**
 Pragmatike is hiring on behalf of a fast\-growing AI startup recognized as a Top 10 GenAI company by GTM Capital, founded by MIT CSAIL researchers.
 We are looking for a
 **Senior AI/ML Engineer** 
 to join a high\-performing AI engineering team building and deploying real\-world AI systems used by Fortune 500 customers. You will take technical ownership of critical ML components, lead model development and productionization efforts, and work closely with AI researchers, platform engineers, and product teams to deliver scalable, production\-grade AI systems.
 This role is intended for experienced AI/ML engineers who have already built and deployed models in production environments and want to operate at the intersection of
 **research\-quality AI and real\-world systems engineering** 
 .
 What You’ll Do
* Design, build, train, and optimize machine learning and deep learning models for production use
* Lead the deployment of ML models into scalable, reliable production systems
* Architect training, inference, and evaluation pipelines for structured and unstructured data
* Own model performance, reliability, scalability, and lifecycle management
* Drive experimentation, model iteration, and performance benchmarking
* Implement and maintain high\-quality ML codebases primarily in Python
* Monitor, debug, and improve live production models
* Collaborate with platform, backend, and infrastructure teams on system integration
* Contribute to technical direction, architecture decisions, and AI roadmap planning
* Mentor junior engineers and support team\-level technical excellence
 What We’re Looking For
* Bachelor’s, Master’s, or PhD in Computer Science, Engineering, Mathematics, or a related field
* 7\+ years of professional experience in AI/ML, data science, or applied machine learning roles
* Proven experience deploying ML systems into production environments
* Strong understanding of ML fundamentals, evaluation methodologies, and model lifecycle management
* Deep hands\-on experience with ML frameworks such as PyTorch, TensorFlow, or scikit\-learn
* Strong proficiency in Python
* Experience designing scalable ML systems and pipelines
* Ability to operate independently and take technical ownership of complex systems
* Strong problem\-solving, architecture, and system\-design skills
 Bonus Points
* Experience with deep learning, LLMs, GenAI, or modern AI architectures
* Experience building AI systems used by enterprise or large\-scale customers
* Strong experience with cloud platforms (AWS, GCP, Azure)
* MLOps experience (CI/CD for ML, model deployment, monitoring, observability)
* Research background, publications, or applied AI innovation projects
* Experience leading AI initiatives or mentoring ML engineers
 Why This Role Is High\-Impact
* Work directly with MIT CSAIL–founded leadership
* Build AI systems deployed to Fortune 500 customers
* Operate at the intersection of cutting\-edge AI and real\-world production systems
* High ownership and influence over technical direction
* Join a well\-funded, fast\-growing AI startup with strong technical ambition
* Clear path toward Staff/Principal AI Engineer or AI Architect roles
**Benefits**
* Competitive salary \&amp; equity options
* Sign\-on bonus
* Health, Dental, and Vision
* 401(k)
 ﻿
***Pragmatike** 
 is an Equal Opportunity Employer and is committed to providing equal employment opportunities to all applicants without discrimination. We recruit on behalf of our clients and prohibit discrimination and harassment based on race, color, religion, age, sex, national origin, disability status, genetics, protected veteran status, sexual orientation, gender identity or expression, or any other characteristic protected by federal, state, or local laws. This policy applies to all terms and conditions of employment, including recruiting, hiring, placement, promotion, termination, layoff, recall, transfer, leaves of absence, compensation, and training.We are committed to a fair and inclusive hiring process. We process your personal data solely for recruitment purposes, in accordance with applicable privacy laws, and maintain reasonable safeguards to protect your information. Your data may be shared with our client(s) for hiring consideration, but will not be disclosed to third parties outside of the recruitment process.*</t>
        </is>
      </c>
    </row>
    <row r="61">
      <c r="A61" t="inlineStr">
        <is>
          <t>li-4359873975</t>
        </is>
      </c>
      <c r="B61" t="inlineStr">
        <is>
          <t>Machine Learning Engineer</t>
        </is>
      </c>
      <c r="C61" t="inlineStr">
        <is>
          <t>MRJ Recruitment</t>
        </is>
      </c>
      <c r="D61" t="inlineStr">
        <is>
          <t>linkedin</t>
        </is>
      </c>
      <c r="E61">
        <f>HYPERLINK("https://www.linkedin.com/jobs/view/4359873975", "https://www.linkedin.com/jobs/view/4359873975")</f>
        <v/>
      </c>
      <c r="F61" t="inlineStr"/>
      <c r="G61" t="inlineStr"/>
      <c r="H61" t="inlineStr"/>
      <c r="I61" t="inlineStr">
        <is>
          <t>**Machine Learning Engineer** 
**$200k to $260k \+ equity \| Remote (North America)** 
 We are working with a growing data and AI platform focused on one thing: helping teams act on their data, not just analyse it.
 They are now investing in machine learning to power real\-time decisioning across personalisation, experimentation and optimisation.
 This is not an academic or research\-heavy environment. It is production ML with clear ownership and visible impact.
 A good fit for engineers who like solving real problems and shipping regularly.
**What you will be doing:** 
 This role sits at the point where data science meets real\-world impact.
 You will be solving questions like:
* Which customers should we engage, and when?
* What content or offers are most likely to convert?
* How do we automatically test thousands of variations without manual setup?
* Where is spend actually driving incremental results vs wasted budget?
* How can AI generate and adapt messaging in real time?
 You will design, ship and iterate on the systems that answer those questions, turning models into live decision engines that sit directly in customer\-facing workflows.
 Expect fast feedback loops, measurable outcomes and real ownership, not long research cycles.
**Skills needed:** 
 To thrive here, you will likely bring:
* Experience deploying machine learning models into production environments
* Strong foundations in statistics, experimentation and optimisation
* Confidence working with large datasets and modern cloud/data infrastructure
* Python and common ML tooling/frameworks
* The ability to move from ambiguous problems to working solutions independently
* Comfort collaborating closely with product and engineering teams
 Backgrounds in recommender systems, growth/marketing optimisation, experimentation platforms or applied LLM use cases are a bonus, not a requirement.
 Most importantly, you care about impact and shipping, not just training models.
**Next steps:** 
 We are supporting this hire directly and working closely with the leadership team.
 You will get clear insight into the roadmap, technical challenges and expectations before interviews, along with honest prep and guidance throughout the process.
 If you are looking for a high\-impact ML role where your work goes straight into production and drives real business results, apply and we will walk you through the details.</t>
        </is>
      </c>
    </row>
    <row r="62">
      <c r="A62" t="inlineStr">
        <is>
          <t>li-4361010758</t>
        </is>
      </c>
      <c r="B62" t="inlineStr">
        <is>
          <t>Machine Learning Engineer - Mid</t>
        </is>
      </c>
      <c r="C62" t="inlineStr">
        <is>
          <t>Silverthorne Advisory Group</t>
        </is>
      </c>
      <c r="D62" t="inlineStr">
        <is>
          <t>linkedin</t>
        </is>
      </c>
      <c r="E62">
        <f>HYPERLINK("https://www.linkedin.com/jobs/view/4361010758", "https://www.linkedin.com/jobs/view/4361010758")</f>
        <v/>
      </c>
      <c r="F62">
        <f>HYPERLINK("https://silverthorne-advisory-group-llc.careerplug.com/j/02vmajw&amp;urlHash=JmFK", "https://silverthorne-advisory-group-llc.careerplug.com/j/02vmajw&amp;urlHash=JmFK")</f>
        <v/>
      </c>
      <c r="G62" t="inlineStr">
        <is>
          <t>Tampa, FL</t>
        </is>
      </c>
      <c r="H62" t="inlineStr"/>
      <c r="I62" t="inlineStr">
        <is>
          <t>**Benefits:**
* Retirement Plan
* 401(k)
* 401(k) matching
* Bonus based on performance
* Company parties
* Competitive salary
* Dental insurance
* Health insurance
* Opportunity for advancement
* Paid time off
* Training \&amp; development
* Vision insurance
**Job Description**
 As an experienced engineer, you know that machine learning (ML) is critical to understanding and processing massive datasets. Your ability to conduct statistical analyses on business processes using ML techniques makes you an integral part of delivering a customer\-focused solution. We need your technical knowledge and desire to problem\-solve to support DoD program offices. As an ML Engineer on our AI\-enabled team, you will train, test, deploy, and maintain models that learn from data. In this role, you will own and define the direction of mission\-critical solutions by applying best\-fit ML algorithms and technologies. You will be part of a large community of ML engineers across the firm and collaborate with data engineers, data scientist, solutions architects, and product owners to deliver world class solutions to DoD and Federal clients. Your advanced consulting skills and extensive technical expertise will guide clients as they navigate the landscape of ML algorithms, tools, and frameworks. On our team, you will use your leadership skills and data science expertise to create real\-world impact. You will work closely with clients to understand their questions and needs, and then dig into their data\-rich environments to find the pieces of their information puzzle. You will guide teammates and lead the development of
 algorithms and systems. You will use the right combination of tools and frameworks to turn sets of disparate data points into objective answers to advise your clients as they make informed decisions. Ultimately, you will provide a deep understanding of the data, what it all means, and how it can be used.
**Responsibilities**
* Establish scalable, efficient, automated processes for large\-scale data analysis, machine learning model development, model validation and serving.
* Optimize machine learning algorithms.
* Contribute to building an infrastructure that facilitates end\-to\-end ML workflows.
* Experience with one or more Deep Learning packages including but not limited to TensorFlow and PyTorch.
* Explore new technologies like quantum engineering for advanced model development.
* Collaborate with cross\-functional teams to enhance data processing pipelines.
* Communicate and coordinate with teams to accomplish objectives and deliver excellence.
**Requirements**
* Top Secret clearance required (can be sponsored).
* 3\+ years of full software development life cycle, including coding standards, code reviews, source control management, build processes, testing, and operations experience.
* 4\+ years with natural language processing (NLP) topics, including tagging, syntactic parsing, word sense disambiguation, topic modeling, contextual text mining, or application of deep learning to NLP.
* Strong background in a modern programming language, such as Python or Java, and associated numerical and analytics packages (NUMPY, PANDAS); git; PYTORCH or TensorFlow; CI/CD pipelines and regression testing.
* Ability to quickly grasp technical concepts and collaborate with multiple functional groups.
* Excellent communication and collaboration skills, with the ability to work effectively with cross\-functional teams.
* Detail\-oriented mindset with a commitment to delivering high\-quality results.
**Nice to Have**
* Recent DoD or IC\-related experience.
* Experience building distributed deep learning libraries or scaling large distributed deep learning workflows using PyTorch (or similar).
* Experience in machine learning, data mining, information retrieval, statistics, or natural language processing.
* Experience in large scale AI and ML infrastructure, AWS ML tools such as SageMaker.
* Experience with data discovery techniques and tools such as AWS Glue Crawler, Apache Atlas, Datahub, or Collibra.
* Experience in working in an agile development environment.
 If you are passionate about leveraging your machine learning skills and working with cutting\-edge
 technologies to enable efficient data analysis, we encourage you to apply. Join our team and be a part of
 our mission to provide streamlined and rapid access to critical information!
**Benefits**
* Compensation \- We carefully consider a wide range of compensation factors, including but not limited to prior experience, skills, expertise, location, and other considerations permitted by law.
* Healthcare \- We offer Health, Vision, and Dental Plans for our employees and their families.
* Retirement Plan – We invest in your future with a competitive 401(k) plan, where we match 100% of your contributions up to your first 6% and give you access to Vanguard Admiral funds.
* Paid Time Off \- Based on length of service, we offer a generous amount of paid leave.
* Bonus System – As you invest in us, we invest in you. We offer bonuses to all employees who meet and exceed goals throughout the year.
* Professional Development – Support for career growth through training programs and certifications.
* Company Retreats \&amp; Team Events – Sponsored trips, team\-building activities, and annual conferences related to your skillset.</t>
        </is>
      </c>
    </row>
    <row r="63">
      <c r="A63" t="inlineStr">
        <is>
          <t>li-4369111692</t>
        </is>
      </c>
      <c r="B63" t="inlineStr">
        <is>
          <t>Founding AI/ML Engineer</t>
        </is>
      </c>
      <c r="C63" t="inlineStr">
        <is>
          <t>VLM Run</t>
        </is>
      </c>
      <c r="D63" t="inlineStr">
        <is>
          <t>linkedin</t>
        </is>
      </c>
      <c r="E63">
        <f>HYPERLINK("https://www.linkedin.com/jobs/view/4369111692", "https://www.linkedin.com/jobs/view/4369111692")</f>
        <v/>
      </c>
      <c r="F63" t="inlineStr"/>
      <c r="G63" t="inlineStr">
        <is>
          <t>Santa Clara, CA</t>
        </is>
      </c>
      <c r="H63" t="inlineStr"/>
      <c r="I63" t="inlineStr">
        <is>
          <t>**About the Role:** 
 We’re looking for a
 **Founding AI/ML Engineer** 
 to join our cutting\-edge team at an exciting stage of growth. You will be a hands\-on, research\-aware builder who ships real\-world AI/ML models. This is a unique opportunity to work on
 **bleeding\-edge** 
 projects and contribute to developing advanced AI tools with practical, scalable applications. You will play a key role in shaping our AI/ML architecture from the ground up while actively deploying and optimizing models in production.
**What We’re Looking For:** 
* **Practical Experience with LLMs:** 
 Hands\-on experience deploying and optimizing large language models (LLMs) in real\-world environments, not just theoretical knowledge.
* **Model Deployment:** 
 Experience deploying models locally and at scale, using tools like
 **VLLM** 
 ,
 **Hugging Face** 
 , and
 **Llama/Ollama** 
 .
* **Advanced AI Architectures:** 
 Expertise with
 **Vision Transformers (ViT)** 
 and
 **Vision\-Language Models (VLMs)** 
 .
* **Tech Stack Proficiency:** 
 Proficiency in
 **PyTorch** 
 and experience building, fine\-tuning, and deploying complex AI/ML systems.
* **Research\-Aware Builder:** 
 A unique combination of
 **applied research** 
 and hands\-on
 **production deployment** 
 . You should be comfortable working in both research and production environments, shipping models that drive real\-world outcomes.
* **Experience Flexibility:** 
 We are open to candidates with
 **4\+ years of experience** 
 or demonstrable ability via
 **GitHub contributions** 
 and production\-shipping history. No rigid education requirements—if you have a proven track record, we’re interested.
**Bonus Qualifications:** 
* Familiarity with cutting\-edge
 **AI/ML tools** 
 and model development pipelines.
* Prior experience working in startups or fast\-moving teams with a hands\-on approach to engineering.
**What We Offer:** 
* A chance to work at the forefront of AI/ML innovation with
 **bleeding\-edge tools** 
 and models.
* A collaborative, creative environment where your voice and ideas matter.
* The opportunity to shape the future of AI, working alongside a talented and ambitious team.
 If you're a research\-aware builder who thrives in a fast\-paced, innovative environment, we’d love to connect with you. Apply today!
**Additional Job Application Terms** 
 This job is part of LinkedIn’s Full\-Service Hiring beta program. Eligibility is limited to candidates located in and performing services in the United States, excluding those based in Alaska, Hawaii, Nevada, South Carolina, or West Virginia.
 We’re committed to making our hiring process as smooth and timely as possible, and we understand that waiting to hear back can add to the anticipation. If you’re a potential fit, our team will reach out within two weeks to progress you to the next stage. If you don’t hear from us in that time, we encourage you to explore other opportunities with our team in the future, and we wish you the very best in your job search.</t>
        </is>
      </c>
    </row>
    <row r="64">
      <c r="A64" t="inlineStr">
        <is>
          <t>li-4367561510</t>
        </is>
      </c>
      <c r="B64" t="inlineStr">
        <is>
          <t>Machine Learning Engineer II</t>
        </is>
      </c>
      <c r="C64" t="inlineStr">
        <is>
          <t>The Walt Disney Company</t>
        </is>
      </c>
      <c r="D64" t="inlineStr">
        <is>
          <t>linkedin</t>
        </is>
      </c>
      <c r="E64">
        <f>HYPERLINK("https://www.linkedin.com/jobs/view/4367561510", "https://www.linkedin.com/jobs/view/4367561510")</f>
        <v/>
      </c>
      <c r="F64">
        <f>HYPERLINK("https://www.disneycareers.com/job/-/-/391/91208314112?source=LINKEDIN_JOB_SLOTS&amp;urlHash=ZIeJ", "https://www.disneycareers.com/job/-/-/391/91208314112?source=LINKEDIN_JOB_SLOTS&amp;urlHash=ZIeJ")</f>
        <v/>
      </c>
      <c r="G64" t="inlineStr">
        <is>
          <t>New York, NY</t>
        </is>
      </c>
      <c r="H64" t="inlineStr"/>
      <c r="I64" t="inlineStr">
        <is>
          <t>Technology is at the heart of Disney’s past, present, and future. Disney Entertainment and ESPN Product \&amp; Technology is a global organization of engineers, product developers, designers, technologists, data scientists, and more – all working to build and advance the technological backbone for Disney’s media business globally.
 The team marries technology with creativity to build world\-class products, enhance storytelling, and drive velocity, innovation, and scalability for our businesses. We are Storytellers and Innovators. Creators and Builders. Entertainers and Engineers. We work with every part of The Walt Disney Company’s media portfolio to advance the technological foundation and consumer media touch points serving millions of people around the world.
 Here are a few reasons why we think you’d love working here:
* Building the future of Disney’s media: Our Technologists are designing and building the products and platforms that will power our media, advertising, and distribution businesses for years to come.
* Reach, Scale \&amp; Impact: More than ever, Disney’s technology and products serve as a signature doorway for fans' connections with the company’s brands and stories. Disney\+. Hulu. ESPN. ABC. ABC News…and many more. These products and brands – and the unmatched stories, storytellers, and events they carry – matter to millions of people globally.
* Innovation: We develop and implement groundbreaking products and techniques that shape industry norms, and solve complex and distinctive technical problems.
**Responsibilities**
* Understanding business objectives and developing models that help to identify and prevent credential stuffing, ATO (account takeover) and other fraud behaviors, along with metrics to track the progress.
* Exploring and visualizing data to gain an understanding of the problems, then identifying differences in data distribution and selecting the suitable ML algorithms.
* Apply machine learning, statistics or data mining to help to be efficient in every aspects of identity security
* Develop scalable and efficient methods for large scale data analysis and model development.
* Defining data augmentation pipelines, training models and tuning their hyperparameters, deploying models to production, monitoring \&amp; evaluating the performance of ML models.
* Collaborate with developers, program managers, and product managers in an open, creative environment
**Basic Qualifications**
* Bachelors in computer science, EE or other quantitative discipline and a minimum of 3 years of experience
* Experience in large scale machine learning, user behavior analysis, fraud detection in leading internet companies.
* Proficiency with machine learning libraries of scikit\-learn, pandas and machine learning frameworks of TensorFlow/Keras or PyTorch.
* Expertise in visualizing and manipulating big datasets.
* Familiarity with Python, Java/Scala.
* Experience in security domain is highly preferred.
* Passion for technology, open to interdisciplinary work, and experience in building data\-driven services and applications.
* Excellent written and oral communication skills.
 The hiring range for this position in New York, NY is $120,300 to $161,300 per year. The base pay actually offered will take into account internal equity and also may vary depending on the candidate’s geographic region, job\-related knowledge, skills, and experience among other factors. A bonus and/or long\-term incentive units may be provided as part of the compensation package, in addition to the full range of medical, financial, and/or other benefits, dependent on the level and position offered.</t>
        </is>
      </c>
    </row>
    <row r="65">
      <c r="A65" t="inlineStr">
        <is>
          <t>li-4344479020</t>
        </is>
      </c>
      <c r="B65" t="inlineStr">
        <is>
          <t>Machine Learning Engineer</t>
        </is>
      </c>
      <c r="C65" t="inlineStr">
        <is>
          <t>Treeswift</t>
        </is>
      </c>
      <c r="D65" t="inlineStr">
        <is>
          <t>linkedin</t>
        </is>
      </c>
      <c r="E65">
        <f>HYPERLINK("https://www.linkedin.com/jobs/view/4344479020", "https://www.linkedin.com/jobs/view/4344479020")</f>
        <v/>
      </c>
      <c r="F65" t="inlineStr"/>
      <c r="G65" t="inlineStr">
        <is>
          <t>New York, NY</t>
        </is>
      </c>
      <c r="H65" t="inlineStr"/>
      <c r="I65" t="inlineStr">
        <is>
          <t>**About Treeswift**
 In the face of rising threats like severe storms and wildfires, increasing pressure on affordability and unprecedented demands for system expansion, Treeswift empowers energy companies to modernize their field work to meet the unprecedented growth and challenges ahead.
 To accomplish our mission we deploy our sensors into our customers' field operations , typically on backpacks or vehicles. The resulting LiDAR and imagery data is processed through our AI models to deliver actionable analytics through our web platform. To date, our technology has enabled utilities to reduce wildfire, regulatory and outage risk from vegetation, avoid delays and cost overruns in new construction, and accelerate recovery from severe storms.
 In just a year and a half since our first utility pilot we are working with three of the five largest utilities in the United States and rapidly expanding across new customers and use cases. To tackle this challenge we are bringing together a team of mission\-driven experts from with deep industry experience in robotics (UPenn, Caltech, CMU) and enterprise software development (Palantir, Stripe, Oracle). We have raised from leading investors including Penny Pritzker’s Inspired Capital. We hope you’ll join us on this journey
**About The Role**
 Treeswift is seeking a highly skilled and motivated engineer to join our team. You will play a pivotal role in developing and deploying state\-of\-the\-art machine learning solutions to advance our mission. We are looking for an exceptional candidate with a proven track record of training and deploying models in a commercial setting. If you are a passionate and experienced engineer eager to contribute to the future of distributed infrastructure management we encourage you to apply.
 This is a full\-time, hybrid/2\-day a week in person role in our NYC office.
**Key Responsibilities**
* Develop machine learning models that revolutionize our customers’ businesses. Treeswift develops machine learning algorithms that upend the cost and accuracy of field work for energy infrastructure. Our machine learning model development focuses on two primary areas: (a) LiDAR point cloud models to classify and segment landscapes and infrastructure and (b) image models to derive vegetation attributes such as species and health. In this role you will be responsible for bringing innovative ideas and rapid execution to new and existing models. In the course of development, you will collaborate closely with other teams (product, operations etc…) and have an opportunity to interact with end\-users.
* Create a best\-in\-class feedback loop to accelerate model development. You will improve Treeswift’s ability to assess model performance and adapt to new operating conditions at scale. Treeswift’s cutting edge model development involves significant investment in a proprietary dataset to train our models.
* Help Treeswift scale. In this role you will be expected to bring prior experience with commercial machine learning model development and deployment to help Treeswift cost\-effectively scale its technology to serve a growing number of customers and use cases. You will be responsible for enabling effective collaboration on model development within the engineering team, and you will contribute to efforts to ensure reliable and robust performance of models in production.
**Required Skills**
* Proven track record of training and deploying machine learning models at scale for commercial use cases.
* Experience in segmentation and object detection of point cloud data or image data or other sensor data.
* Experience creating, curating, and cleaning training datasets
* Strong programming skills in Python
* Expertise in deep learning libraries such as PyTorch, TensorFlow, or similar.
* Excellent problem\-solving and analytical abilities.
* Exceptional communication and collaboration skills.
**Preferred Skills**
* Experience with semantic mapping.
* Experience with image processing techniques and computer vision fundamentals.
* Experience with one or more of: Sensor Fusion, SLAM, Visual Odometry.
* Building and using cloud\-based training and inference pipelines.
* 5\+ years of professional experience or 3\+ years with an advanced degree.
* Experience with deep learning training frameworks such as MLflow, Lightning, Weights and Biases, or similar.
**What We Value**
* Mission first. We value low ego team members who focus on working towards the best outcomes for the customer and the business, regardless of who gets the credit.
* Truth seeking. We don’t always have perfect information to make decisions, but we seek to constantly get closer to the ground truth and aren’t afraid to learn we were wrong in the process.
* Owners mindset. If you see an opportunity for improvement, run with it. We believe that good ideas can come from anywhere, no matter your role.
**Benefits**
* Comprehensive medical, dental and vision insurance
* Life insurance package and disability coverage
* Stock options
* Paid leave for new parents
* Unlimited PTO
* 401K
**Salary**
 The estimated salary range for this position is $140,000\-$210,000\. Total compensation for this position is determined by skills, qualifications, relevant work experience, location, and other factors. This salary estimate excludes the value of any potential bonuses; the value of any benefits offered; and the potential future value of any long\-term incentives. This information is provided per the New York City Human Rights Law. Please note that the range provided is applicable only to New York City\-based applicants. Base compensation may vary if the work location is outside of New York City.
 Treeswift is proud to be an equal opportunity employer. We provide employment opportunities without regard to age, race, color, ancestry, national origin, religion, disability, sex, gender identity or expression, sexual orientation, veteran status, or any other protected status in accordance with applicable law.
 If you require any accommodations during the recruitment process, whether it be alternate forms of material, accessible meeting rooms, etc., please let us know and we will work with you to meet your needs.</t>
        </is>
      </c>
    </row>
    <row r="66">
      <c r="A66" t="inlineStr">
        <is>
          <t>li-4360524786</t>
        </is>
      </c>
      <c r="B66" t="inlineStr">
        <is>
          <t>AI ML Engineer</t>
        </is>
      </c>
      <c r="C66" t="inlineStr">
        <is>
          <t>Iris Software Inc.</t>
        </is>
      </c>
      <c r="D66" t="inlineStr">
        <is>
          <t>linkedin</t>
        </is>
      </c>
      <c r="E66">
        <f>HYPERLINK("https://www.linkedin.com/jobs/view/4360524786", "https://www.linkedin.com/jobs/view/4360524786")</f>
        <v/>
      </c>
      <c r="F66" t="inlineStr"/>
      <c r="G66" t="inlineStr">
        <is>
          <t>Alpharetta, GA</t>
        </is>
      </c>
      <c r="H66" t="inlineStr"/>
      <c r="I66" t="inlineStr">
        <is>
          <t>**Job Posting: AI/ML Engineer (In\-person Interview)** 
**Location:** 
 Alpharetta, GA
**Work Mode:** 
 Hybrid (3 Days Onsite per Week)
**Interview Process:** 
*In‑Person Interview Required* 
**About the Role** 
 We are seeking a talented
 **AI/ML Engineer** 
 to join our team in Alpharetta. In this hybrid role, you will design, develop, and deploy machine learning solutions that enhance business performance and drive innovation. You will work with modern ML frameworks, cloud platforms, and scalable architectures to build end‑to‑end AI systems.
**Key Responsibilities** 
* Design, develop, and deploy machine learning and deep learning models for real\-world applications.
* Build and maintain scalable ML pipelines, including data preprocessing, feature engineering, and model optimization.
* Develop REST APIs and integrate ML models into production environments.
* Leverage cloud\-based AI/ML tools (AWS, Azure, or GCP) and modern frameworks such as Transformers and LLMs.
* Strong proficiency in
 **Python** 
 .
* Experience with
 **TensorFlow** 
 or
 **PyTorch** 
 .
* Solid understanding of
 **machine learning algorithms** 
 and statistical concepts.
* Hands\-on experience in
 **model development, deployment** 
 , and integrating REST APIs.
* Proficiency with data tools like
 **Pandas, NumPy** 
 , and data preprocessing workflows.</t>
        </is>
      </c>
    </row>
    <row r="67">
      <c r="A67" t="inlineStr">
        <is>
          <t>li-4369133091</t>
        </is>
      </c>
      <c r="B67" t="inlineStr">
        <is>
          <t>Machine Learning Engineer</t>
        </is>
      </c>
      <c r="C67" t="inlineStr">
        <is>
          <t>FutureTech Recruitment</t>
        </is>
      </c>
      <c r="D67" t="inlineStr">
        <is>
          <t>linkedin</t>
        </is>
      </c>
      <c r="E67">
        <f>HYPERLINK("https://www.linkedin.com/jobs/view/4369133091", "https://www.linkedin.com/jobs/view/4369133091")</f>
        <v/>
      </c>
      <c r="F67" t="inlineStr"/>
      <c r="G67" t="inlineStr">
        <is>
          <t>San Francisco, CA</t>
        </is>
      </c>
      <c r="H67" t="inlineStr"/>
      <c r="I67" t="inlineStr">
        <is>
          <t>**Founding AI Engineer** 
**Onsite / Hybrid (4–5x per week) \- San Francisco** 
**$225k–$300k base \+ equity** 
 FutureTech Recruitment is partnered with a stealth AI FinTech startup building an AI\-native platform designed to make financial advisors dramatically more effective. The company is tackling outdated, manual workflows in wealth management with production\-grade AI systems, backed by top\-tier investors and operators with deep domain expertise.
 They’re hiring a Founding AI Engineer
 to own and evolve the AI capabilities of the platform from first principles.
**Responsibilities** 
* Evolve the multi\-agent system that powers the platform, from architecture through production deployment
* Own AI capabilities end\-to\-end, driving development of the core product
* Partner closely with founders, designers, and financial advisors to shape product direction and user experience
* Design and build production AI agent systems that enable advisors to tailor portfolios for thousands of clients
* Lead development of multi\-agent orchestration, tool\-calling infrastructure, and evaluation frameworks
* Build and maintain systems for state management, observability, and explainability to ensure reliability, transparency, and auditability
**Requirements** 
* 2\+ years of experience in backend or full\-stack software engineering, operating systems in production
* Strong focus on building and shipping production AI / ML systems
* Proven ability to rapidly iterate on complex systems in an early\-stage environment
* Proficient in Python and TypeScript
* Experience using React in production environments
* Actively uses AI coding tools to significantly increase development velocity
* Experience in financial services, particularly wealth or asset management, is a strong plus
* Interest or experience with agentic / multi\-agent AI systems preferred
**Why join?** 
* Help democratise sophisticated wealth management so millions can build wealth
* Define and lead from pre\-product to true scale as part of the founding team
* Backed by Tier 1 investors, with founder track record including a successful exit
 Interested in building the future of AI\-powered wealth management from the ground up? Click Apply Now!</t>
        </is>
      </c>
    </row>
    <row r="68">
      <c r="A68" t="inlineStr">
        <is>
          <t>li-4341002791</t>
        </is>
      </c>
      <c r="B68" t="inlineStr">
        <is>
          <t>Machine Learning Engineer</t>
        </is>
      </c>
      <c r="C68" t="inlineStr">
        <is>
          <t>Abaka AI</t>
        </is>
      </c>
      <c r="D68" t="inlineStr">
        <is>
          <t>linkedin</t>
        </is>
      </c>
      <c r="E68">
        <f>HYPERLINK("https://www.linkedin.com/jobs/view/4341002791", "https://www.linkedin.com/jobs/view/4341002791")</f>
        <v/>
      </c>
      <c r="F68" t="inlineStr"/>
      <c r="G68" t="inlineStr">
        <is>
          <t>Palo Alto, CA</t>
        </is>
      </c>
      <c r="H68" t="inlineStr"/>
      <c r="I68" t="inlineStr">
        <is>
          <t>**About Abaka AI**
 Abaka AI is built on one mission: to be the world’s most trusted data partner for AI companies. More than 1,000 industry leaders across Generative AI, Embodied AI, and Automotive AI rely on us to power their data pipelines. With our headquarters in Silicon Valley—and teams in Paris, Singapore, and Tokyo—we support global partners with fast, reliable, and scalable data solutions.
 Our offerings include a diverse catalog of off\-the\-shelf datasets (image, video, multimodal, reasoning, 3D, and beyond) as well as comprehensive data collection and annotation services. Whether teams need raw data, curated datasets, or full\-cycle data engineering, Abaka AI provides the foundation for building high\-performance AI systems.
**About The Role**
 We’re hiring our first Machine Learning Engineer in the United States, a foundational role that will shape how Abaka builds, trains, and optimizes multimodal AI systems. You will own the design and development of scalable training pipelines, work directly with our data engineering and research teams, and help drive the technical roadmap for model development across multiple modalities.
 As an early member of the engineering team, you will influence core decisions around model training strategy, experimentation frameworks, distributed infrastructure, and internal best practices. Your work will directly impact the performance of frontier models trained on Abaka datasets and will help elevate the technical bar for our clients and partners.
 If you thrive in high\-ownership environments and want to shape the machine learning foundation of a fast\-moving AI company, this role offers an opportunity to make an immediate and lasting impact.
**Responsibilities**
* Design, build, and optimize scalable machine learning pipelines for multimodal model training, fine\-tuning, and evaluation across text, image, audio, video, and 3D data.
* Work closely with data engineering and research teams to develop efficient data workflows, including collection, preprocessing, annotation, versioning, and model integration.
* Implement and refine training strategies for large\-scale AI systems, including vision, video, and diffusion models, ensuring reproducibility, efficiency, and strong model performance.
* Develop tools and automation frameworks that accelerate model experimentation, hyperparameter tuning, and deployment.
* Identify and address performance bottlenecks in data or training pipelines to improve throughput, stability, and resource utilization.
* Collaborate with product and infrastructure teams to ensure smooth integration of model outputs into both internal and client\-facing applications.
* Support internal best practices for model governance, experiment tracking, and documentation to maintain high engineering standards and reproducibility.
**Qualifications**
* Strong academic background in computer science, artificial intelligence, machine learning, or related fields. Master’s degree or Ph.D. is preferred.
* 3\+ years of experience in applied machine learning or ML engineering, with a demonstrated ability to deliver production\-ready models or pipelines.
* Proficient in Python and ML frameworks such as PyTorch, TensorFlow, or JAX, with hands\-on experience in large\-scale distributed training and inference systems.
* Familiarity with multimodal data processing (e.g., text\-image pairing, video understanding, speech\-audio modeling) and dataset optimization for model training.
* Solid understanding of ML system design, including feature pipelines, data loaders, model serving, and evaluation frameworks.
* Experience with modern infrastructure tools such as Kubernetes, Ray, Airflow, or MLflow, along with cloud\-based training environments (AWS, GCP, Azure).
* Excellent communication and collaboration skills, capable of working effectively across engineering, research, and product teams to accomplish shared goals.
* Self\-driven and adaptable, comfortable operating in a fast\-paced startup environment, and able to demonstrate strong ownership and urgency in execution.
**Compensation \&amp; Benefits**
 The base salary range for this position is $175,000 \- $275,000 USD annually.
 Compensation may vary outside of this range depending on a number of factors, including a candidate’s qualifications, skills, competencies and experience. Base pay is one part of the Total Package that is provided to compensate and recognize employees for their work at Abaka AI. This role is eligible for equity, as well as a comprehensive benefits package (health, dental, vision, PTO, flexible work schedule).</t>
        </is>
      </c>
    </row>
    <row r="69">
      <c r="A69" t="inlineStr">
        <is>
          <t>li-4369611769</t>
        </is>
      </c>
      <c r="B69" t="inlineStr">
        <is>
          <t>Lead AI Engineer</t>
        </is>
      </c>
      <c r="C69" t="inlineStr">
        <is>
          <t>Oteemo Inc.</t>
        </is>
      </c>
      <c r="D69" t="inlineStr">
        <is>
          <t>linkedin</t>
        </is>
      </c>
      <c r="E69">
        <f>HYPERLINK("https://www.linkedin.com/jobs/view/4369611769", "https://www.linkedin.com/jobs/view/4369611769")</f>
        <v/>
      </c>
      <c r="F69" t="inlineStr"/>
      <c r="G69" t="inlineStr">
        <is>
          <t>Richmond, VA</t>
        </is>
      </c>
      <c r="H69" t="inlineStr"/>
      <c r="I69" t="inlineStr">
        <is>
          <t>**Company Description**
 Join Oteemo and become part of a transformation powerhouse where innovation meets impact. We're not just another consulting firm—we're architects of digital evolution, blending cutting\-edge technical expertise with human\-centered design principles to create solutions that resonate. Our work spans Infrastructure, Software Development, DevSecOps, Cybersecurity, Experience and Design, Organizational Change Management, and AI\-enabled solutions, but our approach is what truly sets us apart. We measure success through tangible business outcomes, not billable hours. We foster a culture of continuous learning where your ideas can thrive and technical excellence is celebrated. Our collaborative global team works across borders and time zones, tackling complex challenges for both Commercial Enterprise and Federal Defense clients with equal passion and precision. At Oteemo, you'll have the opportunity to work with emerging technologies and develop your skills alongside industry experts who are reshaping digital landscapes. If you're seeking a place where your technical prowess can drive meaningful change and where innovation isn't just encouraged—it's expected—Oteemo is your next career destination.
**Job Description**
 We are seeking an experienced AI Engineer to join our team and lead the development of cutting\-edge artificial intelligence solutions. In this role, you will architect end\-to\-end AI systems, from proof of concept through production deployment, ensuring they meet performance targets while adhering to ethical AI practices. You will work with cross\-functional teams to translate business requirements into scalable AI solutions that deliver real impact.
 Key Responsibilities
 System Architecture \&amp; Development
- Design and implement AI architectures including model selection, data pipelines, training infrastructure, and inference systems.
 Develop production\-ready AI models achieving \&lt;100ms inference latency and optimal accuracy targets.
 - Build and optimize machine learning models using deep learning, NLP, computer vision, and reinforcement learning techniques.
- Implement model optimization techniques including quantization, pruning, and knowledge distillation.
 Production Deployment
* Deploy AI solutions across diverse platforms including REST APIs, gRPC, serverless, and edge devices.
* Establish CI/CD pipelines, automated testing, and model versioning systems.
* Implement A/B testing frameworks and monitoring dashboards for continuous improvement.
* Ensure 99\.9% uptime and reliability for production AI systems.
 MLOps \&amp; Infrastructure
* Design and maintain MLOps infrastructure using tools like MLflow, Kubeflow, or similar platforms.
* Implement model registries, feature stores, and experiment tracking systems.
* Optimize resource utilization and manage distributed training environments.
* Configure monitoring, alerting, and rollback procedures for production models.
 Ethical AI \&amp; Governance
* Implement bias detection and fairness metrics across all AI systems.
* Develop explainability tools and model documentation.
* Ensure compliance with data privacy regulations and governance frameworks.
* Conduct robustness testing and establish audit trails.
 Collaboration \&amp; Leadership
* Partner with data scientists, software engineers, and product teams to deliver integrated solutions.
* Mentor junior engineers and drive AI best practices across the organization.
* Communicate technical concepts to non\-technical stakeholders.
* Lead technical discussions and architectural reviews.
 Qualifications
* 5\+ years of hands\-on experience building and deploying AI/ML systems in production.
* Proven track record of delivering AI solutions with measurable business impact.
* Experience with large\-scale data processing and distributed computing.
* Strong understanding of machine learning algorithms, neural networks, and deep learning architectures.
* Experience with model optimization and performance tuning.
* Knowledge of software engineering best practices and design patterns.
* Excellent problem\-solving and analytical skills.
* Strong communication and presentation abilities.
* Proficiency with AI/ML or data science tools (Python, Pandas, or similar).
* Experience using LLMs for workflow automation, data analysis, or summarization.
* Clear communication skills to explain AI\-driven findings to engineering, security, and compliance audiences.
* Hands\-on experience building, training, and deploying AI/ML models in production.
* Strong foundation in Machine Learning, Deep Learning, NLP, and Generative AI.
* Proficiency with LLM platforms: OpenAI, HuggingFace, Anthropic Claude, Cohere, Mistral, LLaMA.
* Experience building Agentic AI systems using LangGraph, AutoGen, CrewAI, or LangChain Agents.
* Hands\-on with RAG architectures using LangChain, LlamaIndex, and vector databases (FAISS, ChromaDB, Pinecone, Weaviate).
* Understanding of embeddings, vector similarity search, and semantic retrieval.
* Experience with Docker, Kubernetes, and containerized deployments.
* Hands\-on with CI/CD pipelines and version control (Git).
* Ability to explain complex AI concepts and data\-driven findings to technical and non\-technical audiences.
* Strong documentation skills to enable knowledge transfer and adoption.
* Bachelor's degree in Computer Science, Engineering, Mathematics, or related field; Master's degree preferred.
 Additional Information
**We Value:**
* Drive: Passion and energy to implement quality technical solutions. Self\-motivation and intellectual curiosity
* Commitment to Quality: Passion to conceive and produce world\-class solutions that drive real\-world value for the customer
* Customer Focus: Consultative approach to solving problems for customers. Expectations management.
* Communication: Superior communication skills. Ability to clearly articulate problems, solutions, risks, rewards etc. (written and verbal)
* Technical Skills: Love for technology. You have to be inherently passionate about technology.
* Business Acumen: Technology ultimately is used to enable the business. We look for people who understand how the businesses can be enabled through their technical solutions
**What we offer:**
* Ability to make a noticeable difference for the organization and our customers
* Tremendous growth opportunity by becoming part of a rapidly growing organization. It’s not your tenure but what you can bring to the table that defines how your career will be shaped. You control your growth.
* Complex but interesting challenges to improve the depth and breadth of your technical and business skills. Our consultants are business technologists and understand how technology drives business.
* Competitive pay and benefits
**Work authorization requirement:** 
 US Citizenship or Permanent Residence.
*Oteemo is an equal employment and affirmative action employer. We evaluate qualified applicants on merit and business needs and not on race, color, religion, creed, gender, sexual orientation, national origin, ancestry, age, disability, genetic information, marital status, veteran status or any other factor protected by law. Oteemo complies with the law regarding reasonable accommodations for handicapped and disabled employees.*
*It has come to our attention that unauthorized individuals may be impersonating our company or recruiters using fake email addresses or social media profiles to contact job seekers. These messages may offer fake job opportunities or request sensitive information under false pretenses.
 Please be advised:*
* All official communications from our company will come from email addresses ending in @oteemo.com.
* We do not ask for personal information such as your Social Security number, bank account details, or payment of any kind during the recruitment process.
* If you receive an email or message that seems suspicious, do not respond, click on any links, or provide any information.
* You can verify the legitimacy of any communication by contacting us directly through our official website or LinkedIn page.
*We take these matters seriously and are committed to protecting the integrity of our recruitment process.*</t>
        </is>
      </c>
    </row>
    <row r="70">
      <c r="A70" t="inlineStr">
        <is>
          <t>li-4369614354</t>
        </is>
      </c>
      <c r="B70" t="inlineStr">
        <is>
          <t>Senior AI/ML Engineer</t>
        </is>
      </c>
      <c r="C70" t="inlineStr">
        <is>
          <t>Pragmatike</t>
        </is>
      </c>
      <c r="D70" t="inlineStr">
        <is>
          <t>linkedin</t>
        </is>
      </c>
      <c r="E70">
        <f>HYPERLINK("https://www.linkedin.com/jobs/view/4369614354", "https://www.linkedin.com/jobs/view/4369614354")</f>
        <v/>
      </c>
      <c r="F70">
        <f>HYPERLINK("https://jobs.ashbyhq.com/pragmatike/a5fe3e57-9388-44c1-8aa6-fd47fba526dd/application?utm_source=pKPejxJ0kE&amp;urlHash=V2MG", "https://jobs.ashbyhq.com/pragmatike/a5fe3e57-9388-44c1-8aa6-fd47fba526dd/application?utm_source=pKPejxJ0kE&amp;urlHash=V2MG")</f>
        <v/>
      </c>
      <c r="G70" t="inlineStr">
        <is>
          <t>New York, NY</t>
        </is>
      </c>
      <c r="H70" t="inlineStr"/>
      <c r="I70" t="inlineStr">
        <is>
          <t>**Location:** 
 Cambridge, MA (Eastern Time / UTC \-4\) ﻿
 **Relocation package available**
**Relocation package:** 
 Available
**Start date:** 
 ASAP
**Languages:** 
 English (required)
**About The Role**
 Pragmatike is hiring on behalf of a fast\-growing AI startup recognized as a Top 10 GenAI company by GTM Capital, founded by MIT CSAIL researchers.
 We are looking for a
 **Senior AI/ML Engineer** 
 to join a high\-performing AI engineering team building and deploying real\-world AI systems used by Fortune 500 customers. You will take technical ownership of critical ML components, lead model development and productionization efforts, and work closely with AI researchers, platform engineers, and product teams to deliver scalable, production\-grade AI systems.
 This role is intended for experienced AI/ML engineers who have already built and deployed models in production environments and want to operate at the intersection of
 **research\-quality AI and real\-world systems engineering** 
 .
 What You’ll Do
* Design, build, train, and optimize machine learning and deep learning models for production use
* Lead the deployment of ML models into scalable, reliable production systems
* Architect training, inference, and evaluation pipelines for structured and unstructured data
* Own model performance, reliability, scalability, and lifecycle management
* Drive experimentation, model iteration, and performance benchmarking
* Implement and maintain high\-quality ML codebases primarily in Python
* Monitor, debug, and improve live production models
* Collaborate with platform, backend, and infrastructure teams on system integration
* Contribute to technical direction, architecture decisions, and AI roadmap planning
* Mentor junior engineers and support team\-level technical excellence
 What We’re Looking For
* Bachelor’s, Master’s, or PhD in Computer Science, Engineering, Mathematics, or a related field
* 7\+ years of professional experience in AI/ML, data science, or applied machine learning roles
* Proven experience deploying ML systems into production environments
* Strong understanding of ML fundamentals, evaluation methodologies, and model lifecycle management
* Deep hands\-on experience with ML frameworks such as PyTorch, TensorFlow, or scikit\-learn
* Strong proficiency in Python
* Experience designing scalable ML systems and pipelines
* Ability to operate independently and take technical ownership of complex systems
* Strong problem\-solving, architecture, and system\-design skills
 Bonus Points
* Experience with deep learning, LLMs, GenAI, or modern AI architectures
* Experience building AI systems used by enterprise or large\-scale customers
* Strong experience with cloud platforms (AWS, GCP, Azure)
* MLOps experience (CI/CD for ML, model deployment, monitoring, observability)
* Research background, publications, or applied AI innovation projects
* Experience leading AI initiatives or mentoring ML engineers
 Why This Role Is High\-Impact
* Work directly with MIT CSAIL–founded leadership
* Build AI systems deployed to Fortune 500 customers
* Operate at the intersection of cutting\-edge AI and real\-world production systems
* High ownership and influence over technical direction
* Join a well\-funded, fast\-growing AI startup with strong technical ambition
* Clear path toward Staff/Principal AI Engineer or AI Architect roles
**Benefits**
* Competitive salary \&amp; equity options
* Sign\-on bonus
* Health, Dental, and Vision
* 401(k)
 ﻿
***Pragmatike** 
 is an Equal Opportunity Employer and is committed to providing equal employment opportunities to all applicants without discrimination. We recruit on behalf of our clients and prohibit discrimination and harassment based on race, color, religion, age, sex, national origin, disability status, genetics, protected veteran status, sexual orientation, gender identity or expression, or any other characteristic protected by federal, state, or local laws. This policy applies to all terms and conditions of employment, including recruiting, hiring, placement, promotion, termination, layoff, recall, transfer, leaves of absence, compensation, and training.We are committed to a fair and inclusive hiring process. We process your personal data solely for recruitment purposes, in accordance with applicable privacy laws, and maintain reasonable safeguards to protect your information. Your data may be shared with our client(s) for hiring consideration, but will not be disclosed to third parties outside of the recruitment process.*</t>
        </is>
      </c>
    </row>
    <row r="71">
      <c r="A71" t="inlineStr">
        <is>
          <t>li-4360513443</t>
        </is>
      </c>
      <c r="B71" t="inlineStr">
        <is>
          <t>Senior Machine Learning Engineer at fast-growing AI data startup</t>
        </is>
      </c>
      <c r="C71" t="inlineStr">
        <is>
          <t>Jack &amp; Jill</t>
        </is>
      </c>
      <c r="D71" t="inlineStr">
        <is>
          <t>linkedin</t>
        </is>
      </c>
      <c r="E71">
        <f>HYPERLINK("https://www.linkedin.com/jobs/view/4360513443", "https://www.linkedin.com/jobs/view/4360513443")</f>
        <v/>
      </c>
      <c r="F71">
        <f>HYPERLINK("https://jobs.ashbyhq.com/jack-jill-external-ats/cea2c60d-ad91-45dc-9c40-5a96b6e145fa/application?utm_source=8vjQq4kK9V&amp;src=LinkedIn&amp;urlHash=8lRV", "https://jobs.ashbyhq.com/jack-jill-external-ats/cea2c60d-ad91-45dc-9c40-5a96b6e145fa/application?utm_source=8vjQq4kK9V&amp;src=LinkedIn&amp;urlHash=8lRV")</f>
        <v/>
      </c>
      <c r="G71" t="inlineStr">
        <is>
          <t>San Francisco, CA</t>
        </is>
      </c>
      <c r="H71" t="inlineStr"/>
      <c r="I71" t="inlineStr">
        <is>
          <t>This is a job that Jill, our AI Recruiter, is recruiting for on behalf of one of our customers.
 She will pick the best candidates from Jack's network.
 The next step is to speak to Jack.
 Senior Machine Learning Engineer
**Company Description:** 
 Fast\-growing AI data startup
**Job Description:**
 As a Senior Machine Learning Engineer, you will drive the development of advanced models to extract insights from complex data streams. You will play a pivotal role in architecting scalable ML pipelines and deploying production\-ready algorithms. This is an opportunity to lead high\-impact technical initiatives within a fast\-moving, collaborative environment focused on cutting\-edge innovation.
**Location:** 
 San Francisco, USA
**Why this role is remarkable:**
* Work at the intersection of data integrity and advanced machine learning within a high\-growth sector.
* Join a mission\-driven team backed by top\-tier VCs with significant runway and market traction.
* Influence the core product roadmap and technical architecture during a critical stage of scaling.
**What you will do:**
* Design, train, and deploy sophisticated ML models to solve complex pattern recognition challenges.
* Architect and maintain robust, scalable data pipelines to support large\-scale model inference.
* Collaborate with cross\-functional teams to integrate ML capabilities into the core user experience.
**The ideal candidate:**
* Proven experience building and deploying machine learning models in a production startup environment.
* Deep expertise in Python and modern ML frameworks such as PyTorch, TensorFlow, or JAX.
* Strong background in software engineering best practices, including version control and CI/CD for ML.
**Who are Jack \&amp; Jill?**
 Ok, I'll go first. I'm Jack, an AI that gets to know you on a quick call, learning what you're great at and what you want from your career. Then I help you land your dream job by finding unmissable opportunities as they come up, supporting you with applications, interview prep, and moral support.
 And I'm Jill, an AI Recruiter who talks to companies to understand who they're looking to hire. Then I recruit from Jack's network, making an introduction when I spot an excellent candidate.
**Next steps**
 Step 1\. Visit
 **our website** 
 .
 Step 2\. Click
 **'Talk to Jack'** 
 .
 Step 3\. Talk to Jack so he can understand your experience and ambitions.
 Step 4\. Jack will make sure Jill (the AI agent working for the company) considers you for this role.
 Step 5\. If Jill thinks you're a great fit and her client wants to meet you, they will make the introduction.
 Step 6\. If not, Jack will find you excellent alternatives. All for free.
**We never post fake jobs**
 This isn't a trick. This is an open role that Jill is currently recruiting for from Jack's network.
 Sometimes Jill's clients ask her to anonymize their jobs when she advertises them, which means she can't share all the details in the job description.
 We appreciate this can make them look a bit suspect, but there isn't much we can do about it.
 Give Jack a spin! You could land this role. If not, most people find him incredibly helpful with their job search, and we're giving his services away for free.</t>
        </is>
      </c>
    </row>
    <row r="72">
      <c r="A72" t="inlineStr">
        <is>
          <t>li-4360514335</t>
        </is>
      </c>
      <c r="B72" t="inlineStr">
        <is>
          <t>AI Engineer</t>
        </is>
      </c>
      <c r="C72" t="inlineStr">
        <is>
          <t>UMATR</t>
        </is>
      </c>
      <c r="D72" t="inlineStr">
        <is>
          <t>linkedin</t>
        </is>
      </c>
      <c r="E72">
        <f>HYPERLINK("https://www.linkedin.com/jobs/view/4360514335", "https://www.linkedin.com/jobs/view/4360514335")</f>
        <v/>
      </c>
      <c r="F72" t="inlineStr"/>
      <c r="G72" t="inlineStr"/>
      <c r="H72" t="inlineStr"/>
      <c r="I72" t="inlineStr">
        <is>
          <t>**AI Engineer** 
 We are looking for an AI Engineer with experience building AI\-powered product features using modern foundation models. This role focuses on applied AI, prompt engineering, system orchestration, and product integration, not core model training or ML infrastructure.
 The ideal candidate deeply understands LLM behaviour, strengths, and failure modes and knows how to turn models into reliable, scalable, user\-facing capabilities.
**What You Will Do** 
* Design and implement LLM\-powered product features using prompt engineering, structured outputs, and tool or function calling
* Build prompt pipelines for complex tasks such as reasoning, extraction, classification, summarization, and planning
* Develop and maintain retrieval\-augmented generation systems, including chunking, embeddings, retrieval strategies, and prompt composition
* Evaluate and iterate on prompt quality using both qualitative and quantitative methods
* Orchestrate multi\-step AI workflows including agents, tools, memory, retries, and fallbacks
* Integrate AI systems into production services and APIs
* Collaborate with product and design teams to define AI\-first user experiences
* Stay current with rapid developments in LLM capabilities, best practices, and emerging tools
**What We Are Looking For** 
* 3\+ plus years of experience building AI\-driven or ML\-adjacent product features
* Hands\-on experience with LLMs including OpenAI, Anthropic, or open\-source models and LLMOps
* Demonstrated expertise in prompt engineering
* Experience building retrieval\-augmented generation systems
* Strong Python skills and experience integrating AI APIs into backend services
* Strong product intuition with the ability to balance quality, latency, and cost in real\-world applications
* Familiarity with AI evaluation techniques including golden datasets, human review, and A/B testing
* Experience mitigating hallucinations, prompt injection, and safety issues
* Experience deploying custom models in production
* Must be based in the Bay Area or willing to relocate
**Nice to Have** 
* Experience building agentic systems with tools, planners, and memory
* Familiarity with vector databases and embeddings
* Light experience with fine\-tuning or adapters</t>
        </is>
      </c>
    </row>
    <row r="73">
      <c r="A73" t="inlineStr">
        <is>
          <t>li-4359893518</t>
        </is>
      </c>
      <c r="B73" t="inlineStr">
        <is>
          <t>Senior AI Engineer</t>
        </is>
      </c>
      <c r="C73" t="inlineStr">
        <is>
          <t>ChatGPT Jobs</t>
        </is>
      </c>
      <c r="D73" t="inlineStr">
        <is>
          <t>linkedin</t>
        </is>
      </c>
      <c r="E73">
        <f>HYPERLINK("https://www.linkedin.com/jobs/view/4359893518", "https://www.linkedin.com/jobs/view/4359893518")</f>
        <v/>
      </c>
      <c r="F73">
        <f>HYPERLINK("https://chatgpt-jobs.com/job/senior-ai-engineer-doctor-evidence-2445&amp;urlHash=Q8XU", "https://chatgpt-jobs.com/job/senior-ai-engineer-doctor-evidence-2445&amp;urlHash=Q8XU")</f>
        <v/>
      </c>
      <c r="G73" t="inlineStr"/>
      <c r="H73" t="inlineStr"/>
      <c r="I73" t="inlineStr">
        <is>
          <t>**Job Description**
 Senior AI Engineer
 Doctor Evidence
 Remote Nationwide,
* Remote
* Full\-Time
 Salary: DOE
 Title: Senior AI Engineer
 Reports to: VP, Software Engineering / Chief Architect
 Status: Employee, Exempt
 Location: Remote (must be located in the US)
 Hire Date: Immediate
**Company Summary**
 Dr.Evidence is the preeminent AI\-powered insights platform for life sciences, enabling teams to generate rapid and relevant insights grounded in published medical literature, clinical trial data, drug labels, regulatory documents and beyond, delivering value from drug discovery through commercialization. We push the boundaries of healthcare technology and allow for new possibilities in science, enabling more informed decision making and faster time\-to\-market for accelerated impact.
**Research \&amp; Development (r\&amp;d) Organization Summary**
 The Dr.Evidence R\&amp;D organization includes software engineers, QA/QC engineers, product management, scrum masters, and business analysts. R\&amp;D is responsible for all aspects of product development, from ideation to maintenance. Our software engineers are experienced, talented, precise, and move at a fast pace to ensure speed\-to\-market goals for our customers are met.
**Responsibilities**
* Research \&amp; Prototyping
+ Rapidly prototype state\-of\-the\-art ML/NLP/LLM architectures using frameworks like Python, PyTorch, Hugging Face, and LangChain/LangGraph.
+ Assess open\-source and commercial models (e.g., Llama 3, Mistral, GPT\-series, Qwen, and other modern LLM architectures) for accuracy, latency, cost, hallucination risk, and compliance.
+ Run structured model evaluations (accuracy, relevance, precision/recall, hallucination checks).
* Model Development \&amp; Training
+ Build scalable training pipelines for supervised and self\-supervised learning paradigms.
+ Implement efficient techniques such as LoRA/QLoRA, instruction tuning, and quantization when needed.
+ Develop agentic workflows (tool\-calling, iterative reasoning, ranking, and multi\-step pipelines) for real\-world use cases.
+ Improve and maintain existing ML pipelines.
+ Optimize inference performance with batching, quantization, and efficient serving frameworks.
* Retrieval\-Augmented Generation (RAG) \&amp; Search
+ Design and optimize RAG systems that integrate with internal data sources.
+ Build hybrid retrieval using Elasticsearch/BM25 \+ vector search (PGVector or other vector DBs).
+ Tune chunking, embeddings, reranking, and hallucination\-prevention strategies for long documents.
* Data Engineering for AI
+ Prepare and refine text datasets for training, evaluation, and fine\-tuning.
+ Generate synthetic training data using LLMs to improve extraction accuracy, classification, and reasoning.
+ Build small, targeted datasets for fine\-tuning domain\-specific models.
* LLM Specialization
+ Fine\-tune and align open\-source LLMs for domain\-specific tasks (RAG, agents, tool\-calling, reasoning).
+ Implement safety layers: prompt guards, output filters, adversarial robustness testing.
* Productionization \&amp; MLOps
+ Containerize models with Docker; orchestrate with Docker Swarm.
+ Build monitoring for model quality, latency, hallucinations, and regressions.
+ Collaborate with DevOps and Architecture teams on cost, performance, and scalability decisions.
+ Implement observability around prompts, retrieval, and model outputs.
* Cross\-Functional Impact
+ Collaborate with Product to define AI roadmaps and success metrics.
+ Partner with Product and Engineering to design new AI capabilities across modules.
**Qualifications**
* Education: MS/PhD in CS, ML, Data Science, or related field; or BS \+ 5\+ years of intensive AI industry experience.
* Core Technical Skills:
+ Languages: Python (expert); familiarity with modern web stacks (e.g., PERN) is a plus.
+ Experience with PyTorch, Hugging Face Transformers, and common LLM tooling (PEFT, LoRA, QLoRA).
+ Strong understanding of NLP: tokenization, embeddings, chunking, NER, classification, summarization.
+ Experience with RAG pipelines, vector databases, retrieval/ranking strategies.
+ Experience designing and running model evaluation pipelines.
+ Comfortable with Docker\-based deployments and cloud environments.
+ Knowledge of Elasticsearch.
* Proven Track Record:
+ Shipped at least 3 production LLM\-powered features (e.g., chatbots, summarizers, agents).
+ Experience working with modern large\-scale models.
+ Experience designing clean, maintainable architectures for LLM features.
+ Strong documentation and communication skills.</t>
        </is>
      </c>
    </row>
    <row r="74">
      <c r="A74" t="inlineStr">
        <is>
          <t>li-4142649778</t>
        </is>
      </c>
      <c r="B74" t="inlineStr">
        <is>
          <t>AI Engineer</t>
        </is>
      </c>
      <c r="C74" t="inlineStr">
        <is>
          <t>DRW</t>
        </is>
      </c>
      <c r="D74" t="inlineStr">
        <is>
          <t>linkedin</t>
        </is>
      </c>
      <c r="E74">
        <f>HYPERLINK("https://www.linkedin.com/jobs/view/4142649778", "https://www.linkedin.com/jobs/view/4142649778")</f>
        <v/>
      </c>
      <c r="F74" t="inlineStr"/>
      <c r="G74" t="inlineStr">
        <is>
          <t>Chicago, IL</t>
        </is>
      </c>
      <c r="H74" t="inlineStr"/>
      <c r="I74" t="inlineStr">
        <is>
          <t>**DRW** 
 is a diversified trading firm with over 3 decades of experience bringing sophisticated technology and exceptional people together to operate in markets around the world. We value autonomy and the ability to quickly pivot to capture opportunities, so we operate using our own capital and trading at our own risk.
 Headquartered in Chicago with offices throughout the U.S., Canada, Europe, and Asia, we trade a variety of asset classes including Fixed Income, ETFs, Equities, FX, Commodities and Energy across all major global markets. We have also leveraged our expertise and technology to expand into three non\-traditional strategies: real estate, venture capital and cryptoassets.
 We operate with respect, curiosity and open minds. The people who thrive here share our belief that it’s not just what we do that matters–it's how we do it.
 **DRW** 
 is a place of high expectations, integrity, innovation and a willingness to challenge consensus.
 As an
 **AI Engineer** 
 at DRW, you will be an integral member of a collaborative multi\-asset trading team. You’ll work on high\-impact machine learning (ML) and artificial intelligence (AI) initiatives that are central to our business strategy. In this role, you will build critical infrastructure and tooling that leverages AI and ML technology to enhance productivity, efficiency, and discover innovative paths to challenging business and technology problems. Surrounded by cutting\-edge technology and experienced trading teams, you will have the opportunity to tackle fascinating new projects while becoming a subject\-matter expert in a critical and innovative role.
**Key Responsibilities**
* Drive end\-to\-end development of AI infrastructure and AI driven applications: from initial proof\-of\-concept to production deployment and ongoing maintenance.
* Collaborate with technologists, traders, quantitative researchers, and data scientists to identify high\-impact opportunities for integrating AI and machine learning into technology and business use cases.
* Implement automated systems for continuous training, validation, and monitoring of models, minimizing downtime and ensuring reliability.
* Provide technical leadership in selecting, integrating, and optimizing AI and ML frameworks, libraries, and tools across diverse hardware and software environments.
* Create and maintain feature pipelines, feature stores, and model stores.
* Develop frameworks to enable scalable, reproducible research.
* Proactively troubleshoot performance bottlenecks, conduct root\-cause analyses, and implement solutions to optimize GPU or CPU resource usage.
**Qualifications**
* Bachelor’s or advanced degree in Computer Science, Machine Learning, Artificial Intelligence, or a related field.
* 3\+ years of experience working with machine learning and artificial intelligence technology.
* Strong understanding of core machine learning and artificial intelligence concepts.
* Excellent programming skills in Python.
* Demonstrated experience in building, validating, deploying, monitoring, and updating production ML and AI models.
* Hands\-on experience with MLOps and AIOps infrastructure and tooling.
* Proficient in problem\-solving and analytical reasoning.
* Exceptional communication and collaboration skills.
* Experience with ML frameworks such as TensorFlow, PyTorch, TensorRT, or ONNX.
* Experience with Large Language Models, including RAG and fine\-tuning techniques.
* Familiarity with compute infrastructure necessary to support operating AI and ML technology.
 The annual base salary range for this position is $175,000 to $300,000, depending on the candidate’s experience, qualifications, and relevant skill set. The position is also eligible for an annual discretionary bonus. In addition, DRW offers a comprehensive suite of employee benefits including group medical, pharmacy, dental and vision insurance, 401k (with discretionary employer match), short and long\-term disability, life and AD\&amp;D insurance, health savings accounts, and flexible spending accounts.
**For more information about DRW's processing activities and our use of job applicants' data, please view our Privacy Notice at https://drw.com/privacy\-notice.**
**California residents, please review the California Privacy Notice for information about certain legal rights at https://drw.com/california\-privacy\-notice.**</t>
        </is>
      </c>
    </row>
    <row r="75">
      <c r="A75" t="inlineStr">
        <is>
          <t>li-4369628030</t>
        </is>
      </c>
      <c r="B75" t="inlineStr">
        <is>
          <t>ML Engineer — EEG Signal Processing</t>
        </is>
      </c>
      <c r="C75" t="inlineStr">
        <is>
          <t>READE.ai</t>
        </is>
      </c>
      <c r="D75" t="inlineStr">
        <is>
          <t>linkedin</t>
        </is>
      </c>
      <c r="E75">
        <f>HYPERLINK("https://www.linkedin.com/jobs/view/4369628030", "https://www.linkedin.com/jobs/view/4369628030")</f>
        <v/>
      </c>
      <c r="F75" t="inlineStr"/>
      <c r="G75" t="inlineStr">
        <is>
          <t>Pittsburgh, PA</t>
        </is>
      </c>
      <c r="H75" t="inlineStr"/>
      <c r="I75" t="inlineStr">
        <is>
          <t>Job description. NO VISA sponsorship
 Location: Pittsburgh, PA
 Employment Type: Full\-time
 Stage: Employee \#2 • Direct impact on pivotal study
 Role Summary:
 READE.ai is building NOTIS™, an EEG\-based AI system for real\-time detection of cerebral ischemia risk during vascular procedures. Our near\-term goal is clear: deliver a study\-ready, locked model and launch a pivotal validation study. Our current stack blends classical signal processing and machine learning—and will evolve as we learn. We prioritize robustness, interpretability, and reproducibility in real\-world OR EEG.
 What you’ll own
 You will be the technical owner of model readiness for the study, with authority over model freeze decisions in partnership with the CTO. This is a builder role: you’ll take a strong research system and make it reliable, testable, and locked for study execution.
 Key Responsibilities
 ● Model close\-out \&amp; hardening: improve robustness, calibration, generalization, and failure\-mode behavior on noisy clinical EEG.
 ● Signal processing leadership: drive artifact handling, preprocessing, montage/channel logic, and event/episode logic (low\-amplitude and edge cases included).
 ● Hybrid algorithm evolution: refine the blend of signal processing \+ ML to maximize performance while preserving interpretability and clinical trust.
 ● Reproducibility \&amp; versioning: deterministic training/inference, experiment tracking, data/model lineage, and model packaging.
 ● Model lock for pivotal study: define and deliver the locked model (weights \+ preprocessing \+ thresholds/hysteresis \+ decision rules), including golden cases and regression tests.
 ● Cross\-functional execution: collaborate with clinical and quality/regulatory partners to translate endpoints into measurable outputs, logging/telemetry, and release documentation.
 First 90 Days (Success Criteria)
 ● A locked candidate model with an agreed operating point and clear “what is locked” documentation.
 ● A reproducible pipeline that rebuilds consistently and produces stable outputs.
 ● A verification bundle: unit/regression tests for preprocessing → inference → alerting, plus performance snapshots.
 ● A study\-facing output spec: risk score \+ alert semantics \+ required logs/telemetry for masked adjudication.
 Minimum Qualifications
 ● BS/MS \+ 5\+ years relevant experience or PhD \+ 2–3 years in applied ML / signal processing engineering.
 ● Strong Python \+ ML engineering skills (PyTorch preferred).
 ● Significant signal processing experience (EEG preferred; ECG/EMG acceptable).
 ● Track record turning research code into reliable, testable, reproducible systems.
 Nice to Have
 ● Experience with physiologic signals in noisy clinical settings (OR/ICU).
 ● Familiarity with FDA SaMD, 21 CFR 820, and ISO 14971 risk management.
 ● Security/compliance awareness: HIPAA, ISO 27001 thinking, OWASP practices, and FDA cybersecurity pre\-market guidance.
 ● Experience producing regulated artifacts (e.g., design history / DHF\-ready documentation) supporting De Novo pathways.
 ● Exposure to deployment tooling (containers/cloud/microservices).
 Why READE.ai
 You’ll shape the core algorithm and validation readiness at the earliest stage—high autonomy, real clinical impact, and a milestone\-driven path: model lock → pivotal study → regulatory submission.
 Equal Opportunity Employer — we value diverse backgrounds and perspectives.
 No OPT or Visa can be supported.</t>
        </is>
      </c>
    </row>
    <row r="76">
      <c r="A76" t="inlineStr">
        <is>
          <t>li-4314920194</t>
        </is>
      </c>
      <c r="B76" t="inlineStr">
        <is>
          <t>Senior Machine Learning Engineer</t>
        </is>
      </c>
      <c r="C76" t="inlineStr">
        <is>
          <t>Samsara</t>
        </is>
      </c>
      <c r="D76" t="inlineStr">
        <is>
          <t>linkedin</t>
        </is>
      </c>
      <c r="E76">
        <f>HYPERLINK("https://www.linkedin.com/jobs/view/4314920194", "https://www.linkedin.com/jobs/view/4314920194")</f>
        <v/>
      </c>
      <c r="F76" t="inlineStr"/>
      <c r="G76" t="inlineStr"/>
      <c r="H76" t="inlineStr"/>
      <c r="I76" t="inlineStr">
        <is>
          <t>**Who We Are**
 Samsara (NYSE: IOT) is the pioneer of the Connected Operations™ Cloud, which is a platform that enables organizations that depend on physical operations to harness Internet of Things (IoT) data to develop actionable insights and improve their operations. At Samsara, we are helping improve the safety, efficiency and sustainability of the physical operations that power our global economy. Representing more than 40% of global GDP, these industries are the infrastructure of our planet, including agriculture, construction, field services, transportation, and manufacturing — and we are excited to help digitally transform their operations at scale.
 Working at Samsara means you’ll help define the future of physical operations and be on a team that’s shaping an exciting array of product solutions, including Video\-Based Safety, Vehicle Telematics, Apps and Driver Workflows, and Equipment Monitoring. As part of a recently public company, you’ll have the autonomy and support to make an impact as we build for the long term.
**About the role:**
 We’re looking for a motivated Senior Machine Learning Engineer I to join our Safety In\-Vehicle Experience team. Samsara’s In\-Vehicle Experience team is shaping how millions of drivers interact with Samsara on the road. From real\-time safety alerts and AI\-driven insights to intuitive in\-cab experiences, our work directly improves driver safety, engagement, and trust.
 This role calls for an experienced Edge AI engineer passionate about developing and optimizing ML models for highly constrained embedded environments. You will bridge the gap between research and production by deploying efficient, reliable, and scalable AI models that power the next generation of Samsara’s in\-vehicle intelligence.
**This is a remote position open to candidates residing in the US.**
**You should apply if:**
* You want to impact the industries that run our world: The software, firmware, and hardware you build will result in real\-world impact—helping to keep the lights on, get food into grocery stores, and most importantly, ensure workers return home safely.
* You want to build for scale: With over 2\.3 million IoT devices deployed to our global customers, you will work on a range of new and mature technologies driving scalable innovation for customers across industries driving the world's physical operations.
* You are a life\-long learner: We have ambitious goals. Every Samsarian has a growth mindset as we work with a wide range of technologies, challenges, and customers that push us to learn on the go.
* You believe customers are more than a number: Samsara engineers enjoy a rare closeness to the end user and you will have the opportunity to participate in customer interviews, collaborate with customer success and product managers, and use metrics to ensure our work is translating into better customer outcomes.
* You are a team player: Working on our Samsara Engineering teams requires a mix of independent effort and collaboration. Motivated by our mission, we’re all racing toward our connected operations vision, and we intend to win—together.
**In this role, you will:**
* Design, optimize, and deploy computer vision and multimodal ML models that run efficiently on constrained edge platforms powering Samsara’s in\-vehicle camera systems.
* Apply advanced model optimization techniques—such as quantization, pruning, and distillation—to achieve real\-time inference under strict CPU, memory, and thermal constraints.
* Partner with ML research and product teams to translate new AI detections into deployable, maintainable edge models.
* Collaborate with firmware, ML research, and hardware teams to productize our ML runtime pipeline, bringing scalable, reliable, and testable on\-device inference to production.
* Develop performance benchmarking, profiling, and validation frameworks for edge\-deployed models to ensure robustness across millions of deployed devices.
* Drive continuous improvement of our edge ML toolchain and advocate for best practices in model optimization, inference reliability, and deployment efficiency.
* Mentor peers on efficient inference design and collaborate cross\-functionally to accelerate feature delivery for safety and driver experience programs.
* Champion, role model, and embed Samsara’s cultural principles (Focus on Customer Success, Build for the Long Term, Adopt a Growth Mindset, Be Inclusive, Win as a Team) as we scale globally and across new offices.
**Minimum requirements for the role:**
* 5\+ years of experience developing and deploying deep learning models for edge, embedded, or real\-time systems.
* Strong background in computer vision or multimodal ML (e.g., 2D/3D CNNs, Transformers) using industry\-standard deep learning frameworks.
* Proficiency in Python and C\+\+, with hands\-on experience optimizing inference runtimes and applying model optimization techniques for edge deployment.
* Deep understanding of performance tuning, including compiler\- or DSP\-level optimizations, runtime profiling, latency analysis, and memory management on constrained hardware.
* Familiarity with middleware or streaming frameworks used in real\-time perception pipelines.
* Excellent cross\-functional communication and collaboration skills, especially across ML, firmware, and product domains.
**An ideal candidate also has:**
* Experience bringing ML infrastructure or runtime systems from prototype to production at scale.
* Background in multimodal ML (e.g., audio \+ vision fusion) or event\-based detection systems.
* Experience validating AI models across large, diverse fleets of deployed devices in real\-world environments.
**Samsara’s Compensation Philosophy:** 
 Samsara’s compensation program is designed to deliver Total Direct Compensation (based on role, level, and geography) that is at or above market. We do this through our base salary \+ bonus/variable \+ restricted stock unit awards (RSUs) for eligible roles. For eligible roles, a new hire RSU award may be awarded at the time of hire, and additional RSU refresh grants may be awarded annually.
 We pay for performance, and top performers in eligible roles may receive above\-market equity refresh awards which allow employees to achieve higher market.
 The range of annual base salary for full\-time employees for this position is below. Please note that base pay offered may vary depending on factors including your city of residence, job\-related knowledge, skills, and experience.
 $135,481\.50—$227,700 USD
 At Samsara, we welcome everyone regardless of their background. All qualified applicants will receive consideration for employment without regard to race, color, religion, national origin, sex, gender, gender identity, sexual orientation, protected veteran status, disability, age, and other characteristics protected by law. We depend on the unique approaches of our team members to help us solve complex problems and want to ensure that Samsara is a place where people from all backgrounds can make an impact.
**Benefits**
 Full time employees receive a competitive total compensation package along with employee\-led remote and flexible working, health benefits, and much, much more. Take a look at our Benefits site to learn more.
**Accommodations**
 Samsara is an inclusive work environment, and we are committed to ensuring equal opportunity in employment for qualified persons with disabilities. Please email accessibleinterviewing@samsara.com or click here if you require any reasonable accommodations throughout the recruiting process.
**Flexible Working**
 At Samsara, we embrace a flexible working model that caters to the diverse needs of our teams. Our offices are open for those who prefer to work in\-person and we also support remote work where it aligns with our operational requirements. For certain positions, being close to one of our offices or within a specific geographic area is important to facilitate collaboration, access to resources, or alignment with our service regions. In these cases, the job description will clearly indicate any working location requirements. Our goal is to ensure that all members of our team can contribute effectively, whether they are working on\-site, in a hybrid model, or fully remotely. All offers of employment are contingent upon an individual’s ability to secure and maintain the legal right to work at the company and in the specified work location, if applicable.
**Fraudulent Employment Offers**
 Samsara is aware of scams involving fake job interviews and offers. Please know we do not charge fees to applicants at any stage of the hiring process. Official communication about your application will only come from emails ending in @samsara.com, @us\-greenhouse\-mail.io or @mail3\.guide.co. For more information regarding fraudulent employment offers, please visit our blog post here.</t>
        </is>
      </c>
    </row>
    <row r="77">
      <c r="A77" t="inlineStr">
        <is>
          <t>li-4369487106</t>
        </is>
      </c>
      <c r="B77" t="inlineStr">
        <is>
          <t>AI Engineer - Agentic AI</t>
        </is>
      </c>
      <c r="C77" t="inlineStr">
        <is>
          <t>American Express</t>
        </is>
      </c>
      <c r="D77" t="inlineStr">
        <is>
          <t>linkedin</t>
        </is>
      </c>
      <c r="E77">
        <f>HYPERLINK("https://www.linkedin.com/jobs/view/4369487106", "https://www.linkedin.com/jobs/view/4369487106")</f>
        <v/>
      </c>
      <c r="F77" t="inlineStr"/>
      <c r="G77" t="inlineStr">
        <is>
          <t>New York, NY</t>
        </is>
      </c>
      <c r="H77" t="inlineStr"/>
      <c r="I77" t="inlineStr">
        <is>
          <t>*American Express invites you to share your resume so you can be considered for future Agentic AI opportunities in Enterprise Technology Services organization.*
 At American Express, our culture is built on a 175\-year history of innovation, shared
 values
 and Leadership Behaviors, and an unwavering commitment to back our customers, communities, and colleagues. As part of Team Amex, you'll experience this powerful backing with comprehensive support for your holistic well\-being and many opportunities to learn new skills, develop as a leader, and grow your career.
 Here, your voice and ideas matter, your work makes an impact, and together, you will help us define the future of American Express.
 AI is reshaping the future of commerce and redefining the experiences our commercial customers and card members expect. Within Amex Technology, we are building platforms, products, and governance that enable agentic AI systems to operate responsibly and at scale across the enterprise.
 Our focus is on agentic AI development: designing intelligent, adaptive systems that can plan, reason, and act across complex workflows with appropriate levels of autonomy. These systems power autonomous workflows, decision support, and customer\-facing experiences—while meeting the high standards for security, explainability, reliability, and compliance required in financial services.
 We partner closely with product, design, and business teams to deliver agentic capabilities that reduce operational friction, improve decision\-making, and transform how customers interact, transact, and grow. 
**The Role**
 As an AI Engineer – Agentic AI, you will be a hands\-on builder contributing to the development of production agentic AI systems that operate on real financial data and serve real customers.
 You will work alongside experienced engineers, product managers, and designers to design, build, and ship AI\-powered features, while learning how to operate within a regulated, customer\-facing environment. This role offers strong mentorship and opportunities to grow your technical depth in LLMs, agentic systems, and production AI engineering.
 This is not a research\-only role. You will write production code, contribute to system design discussions, and help operate what you build after launch, with support and guidance from more senior engineers.
**What You’ll Do** 
* Contribute to the design and implementation of LLM\-powered and agentic product features.
* Build and extend agentic AI workflows that reason over context, call tools, and perform actions under guidance from senior engineers.
* Help implement and maintain retrieval\-augmented generation (RAG) pipelines over financial data, with an emphasis on correctness and safety.
* Contribute to shared AI infrastructure such as LLM services, orchestration components, and evaluation or monitoring tooling.
* Participate in operating AI systems in production, including monitoring, debugging, and improving reliability and performance.
* Collaborate closely with product and design partners, learning to translate customer needs into technical solutions.
**Technical Environment**
 We don’t hire to a narrow checklist, but candidates should be excited to grow in a modern, enterprise\-scale engineering environment with a focus on agentic AI.
**Core engineering stack** 
* Languages: Python, Go, TypeScript
* Cloud and infrastructure: AWS and/or GCP, Kubernetes
* APIs and services: REST, gRPC
* Distributed systems: event\-driven architectures, including Kafka
**Agentic AI and ML** 
* Commercial and open\-source LLMs integrated into agentic workflows
* Tooling for agent orchestration, retrieval\-augmented generation, vector storage, and evaluation
* Schema validation and structured data handling
**AI\-assisted development** 
* Use of AI\-assisted and agentic development tools for design, implementation, testing, debugging, and refactoring
* Learning how to apply these tools responsibly while maintaining production\-quality standards
 All systems are built to meet high standards for reliability, security, and auditability, reflecting the responsibility of deploying autonomous AI in a financial services environment.
**What We’re Looking For** 
* 2\+ years of professional software engineering experience.
* Some hands\-on experience building or contributing to AI\-powered features, LLM\-based applications, or applied ML systems (professional or project\-based).
* Solid engineering fundamentals in at least one backend language (Python, Go, or TypeScript).
* Familiarity with APIs, basic cloud concepts, and modern development practices.
* Interest in agentic AI systems, autonomy, and AI\-assisted development workflows.
* Willingness to learn, take feedback, and grow technical ownership over time.
* Comfort working in collaborative, cross\-functional teams.
* A strong customer mindset and curiosity about real\-world problem solving.
**Preferred Qualifications** 
* Exposure to LLM tooling, prompt engineering, RAG, or agent frameworks through work, coursework, or personal projects.
* Internship or early\-career experience in fintech or other regulated environments.
* Contributions to open\-source projects, hackathons, or side projects related to AI or developer tooling.
 We back you with benefits that support your holistic well\-being so you can be and deliver your best. This means caring for you and your loved ones' physical, financial, and mental health, as well as providing the flexibility you need to thrive personally and professionally:
* Competitive base salaries
* Bonus incentives
* 6% Company Match on retirement savings plan
* Free financial coaching and financial well\-being support
* Comprehensive medical, dental, vision, life insurance, and disability benefits
* Flexible working model with hybrid, onsite or virtual arrangements depending on role and business need
* 20\+ weeks paid parental leave for all parents, regardless of gender, offered for pregnancy, adoption or surrogacy
* Free access to global on\-site wellness centers staffed with nurses and doctors (depending on location)
* Free and confidential counseling support through our Healthy Minds program
* Career development and training opportunities
 For a full list of Team Amex benefits, visit our
 Colleague Benefits Site
 .
 American Express is an equal opportunity employer and makes employment decisions without regard to race, color, religion, sex, sexual orientation, gender identity, national origin, veteran status, disability status, age, or any other status protected by law. American Express will consider for employment all qualified applicants, including those with arrest or conviction records, in accordance with the requirements of applicable state and local laws, including, but not limited to, the California Fair Chance Act, the Los Angeles County Fair Chance Ordinance for Employers, and the City of Los Angeles’ Fair Chance Initiative for Hiring Ordinance. For positions covered by federal and/or state banking regulations, American Express will comply with such regulations as it relates to the consideration of applicants with criminal convictions.
 We back our colleagues with the support they need to thrive, professionally and personally. That's why we have Amex Flex, our enterprise working model that provides greater flexibility to colleagues while ensuring we preserve the important aspects of our unique in\-person culture. Depending on role and business needs, colleagues will either work onsite, in a hybrid model (combination of in\-office and virtual days) or fully virtually.
 US Job Seekers \- Click to view the “
 Know Your Rights
 ” poster. If the link does not work, you may access the poster by copying and pasting the following URL in a new browser window:
 https://www.eeoc.gov/poster
 Depending on factors such as business unit requirements, the nature of the position, cost and applicable laws, 
 American Express may provide visa sponsorship for certain positions.</t>
        </is>
      </c>
    </row>
    <row r="78">
      <c r="A78" t="inlineStr">
        <is>
          <t>li-4355887904</t>
        </is>
      </c>
      <c r="B78" t="inlineStr">
        <is>
          <t>AI/ML Engineer / Defence / $500k+ / NYC</t>
        </is>
      </c>
      <c r="C78" t="inlineStr">
        <is>
          <t>Open Talent</t>
        </is>
      </c>
      <c r="D78" t="inlineStr">
        <is>
          <t>linkedin</t>
        </is>
      </c>
      <c r="E78">
        <f>HYPERLINK("https://www.linkedin.com/jobs/view/4355887904", "https://www.linkedin.com/jobs/view/4355887904")</f>
        <v/>
      </c>
      <c r="F78" t="inlineStr"/>
      <c r="G78" t="inlineStr">
        <is>
          <t>New York, United States</t>
        </is>
      </c>
      <c r="H78" t="inlineStr"/>
      <c r="I78" t="inlineStr">
        <is>
          <t>**Senior AI/ML Engineer \- (LLMs / RAG / Agentic Systems) \- Aerospace \- NYC \- $500k\+ Equity** 
 We’re hiring for a world class team at one of the fastest growing \&amp; most innovative
 **next\-gen aerospace AI companies** 
 in North America. They're building
 **LLMs, RAG \&amp; high\-performance AI systems** 
 to power mission\-critical operations in defence \&amp; space.
**Only the top 0\.1% of America's AI Engineers can do this.** 
 If you’ve built real mission critical LLM systems that can’t fail \- this could be your next move.
**The Role** 
 You’ll own \&amp; scale a
 **RAG\-driven AI system** 
 powering critical aerospace operations. Expect to tackle
 **retrieval quality, latency bottlenecks, \&amp; eval\-driven fine\-tuning** 
 head\-on for the most innovative \&amp; exciting real\-time systems in Aerospace today. This is full production ownership \- from architecture to metrics.
**You should have experience with:** 
* Deploying
 **LLM\-based systems** 
 at scale (Llama, Mistral, GPT\-4, Claude)
* **Retrieval optimisation** 
 \- hybrid search (BM25 \+ vector), reranking, caching
* **Evaluation** 
 \- recall@k, precision@k, groundedness, hallucination metrics
* Fine\-tuning (LoRA/QLoRA), RAG architecture, LangChain / LlamaIndex
* **Tooling:** 
 Hugging Face, Weaviate/Pinecone, FastAPI, PyTorch, Redis, Postgres
* Monitoring inference, eval automation, \&amp; continuous improvement loops
**Bonus:** 
* IoT or Hardware integration or real\-time systems experience exp.
**Ideal background:** 
* CS or Applied ML degree from a top\-tier university
* Proven 0\-1 experience in a fast\-moving AI startup, or Defence related company
* You’ve shipped reliable GenAI systems under pressure
* Degree in Computer Science from a top\-tier university
* Prior experience in high\-performance teams (0\-1, startups)
* You’ve shipped real systems \- not demos
**You’ll be expected to:** 
* Own the
 **LLM pipeline end\-to\-end** 
 – retrieval → evaluation → fine\-tuning
* Improve
 **accuracy, grounding, and eval metrics** 
 continuously
* Make architecture decisions for scale, reliability \&amp; speed
* Collaborate directly with
 **founders \&amp; domain experts**
**Stack:** 
 Python / PyTorch / LangChain / Transformers / FastAPI / Hugging Face / Weaviate / Redis / Postgres / Docker / Kubernetes
**Offer:** 
* Up to $500,000\+ base salary \+ equity
* Hybrid in NYC
* Tight\-knit, high\-output team
* High ownership, real impact, flat structure
**Interview Process:** 
 1\) Technical Deep Dive
 2\) Technical Assessment or Live Pairing
 3\) Panel focused on mindset \&amp; team fit
**Equal Opportunity** 
 We're hiring for an Equal Opportunity Employer.
 If you’ve shipped real GenAI systems, thrive under pressure, and want to see your models
 **power live aerospace systems** 
 \- this is where theory meets orbit.
**TL;DR \- Senior AI Engineer (NYC, On\-site)** 
* Build \&amp; scale
 **production\-grade GenAI systems** 
 from
 **0 to 1**
* Own and improve
 **RAG pipelines** 
 \- accuracy and latency matter
* Deep experience with
 **LLMs, LangChain, Hugging Face** 
 \&amp; real deployments
* Must have shipped
 **working GenAI products** 
 , not just prototypes
* Ideal: startup DNA, top\-tier CS degree, fast execution mindset
* $350K\+ base \+ equity \-
 **on\-site** 
 at a
 **VC\-backed aerospace startup** 
 in NYC
 \*All our new jobs are posted here 1st:
**linkedin.com/in/sufyanbashir/**</t>
        </is>
      </c>
    </row>
    <row r="79">
      <c r="A79" t="inlineStr">
        <is>
          <t>li-4359568045</t>
        </is>
      </c>
      <c r="B79" t="inlineStr">
        <is>
          <t>Founding AI/ML Engineer (Production) - NYC - $250k-$500k+ + Founding Equity</t>
        </is>
      </c>
      <c r="C79" t="inlineStr">
        <is>
          <t>Open Talent</t>
        </is>
      </c>
      <c r="D79" t="inlineStr">
        <is>
          <t>linkedin</t>
        </is>
      </c>
      <c r="E79">
        <f>HYPERLINK("https://www.linkedin.com/jobs/view/4359568045", "https://www.linkedin.com/jobs/view/4359568045")</f>
        <v/>
      </c>
      <c r="F79" t="inlineStr"/>
      <c r="G79" t="inlineStr">
        <is>
          <t>New York, NY</t>
        </is>
      </c>
      <c r="H79" t="inlineStr"/>
      <c r="I79" t="inlineStr">
        <is>
          <t>**Founding AI/ML Engineer (Production) \- NYC \- $250k\-$500k\+ \+ Founding Equity** 
*We’re hiring for one of NYC’s top 10 robotics startups. If you’re an elite engineer looking to join an A squad\-builders from SpaceX, Palantir, Google \&amp; Anduril \- this is where you want to be.* 
 \*
 Most AI roles are currently focused on generating pixels or text. This team are using LLMs to command multi\-ton autonomous machines.
***Must be based in NYC \&amp; role requires US citizenship due to regulatory constraints.***
 We need a
 **Founding AI/ML Engineer** 
 to build the production intelligence layer for autonomous heavy machinery. This isn't a research lab. We have real robots, real customers, and systems operating in the field 24/7\. Your work won't just generate tokens; it will drive physical outcomes.
**The Work** 
 This is a 100% production role focused on critical AI infrastructure. You are responsible for the intelligence that allows multi\-ton machines to act on complex environments.
* **Production LLMs:** 
 Fine\-tuning and deploying models that handle mission\-critical operational logic.
* **Systems \&amp; Infra:** 
 Building the RAG pipelines and data flywheels that power our fleet’s intelligence.
* **Evals \&amp; Determinism:** 
 Designing evaluation frameworks to ensure model outputs are safe and reliable enough for heavy hardware.
* **Problem Solving:** 
 Moving from raw telemetry to deployed models. You own the pipeline, the tuning, and the performance in the field.
**The Team** 
 You’ll be joining a high\-density team from
 **SpaceX, Palantir, and Anduril** 
 . We’ve stripped away the typical corporate friction\-no bloated meetings or research for the sake of research. We hire for high agency and low ego. As a founding hire, you aren't just training models; you’re architecting the intelligence of the company.
**What we're looking for** 
 We want high\-signal builders who are bored with "wrapper" apps and want to solve hard problems grounded in physics.
* **Production Grit:** 
 You’ve shipped ML systems at scale. You care about inference latency and reliability more than "vibe checks."
* **LLM Mastery:** 
 Deep experience with fine\-tuning, RAG, and prompt engineering in high\-stakes environments.
* **Systems Thinker:** 
 You understand the full stack. You know how to optimize models to run efficiently and how to build the infra that supports them.
* **High\-Bar Pedigree:** 
 You’ve worked in environments where the standard for "production\-ready" is exceptionally high.
**Stack \&amp; Comp** 
* **Stack:** 
 Python, PyTorch, LLMs, RAG, Vector DBs, Kubernetes.
* **Location:** 
 NYC (Manhattan) \- On\-site/Hybrid.
* **Comp:** 
 $250k \- $500k\+ base \+
 **Founding Member Equity** 
 .
**The Process:** 
**1 Week \&amp; 0 Take\-Homes** 
 We move as fast as we ship. We can go from first touch to offer in one week:
1. **(Founders) Technical Deep Dive:** 
 A conversation about the most complex AI system you’ve actually shipped.
2. **(Team)Practical Pairing:** 
 Solving a real\-world production ML or data infra problem together.
 **No Leetcode.**
3. **(Exec) Founding Team Chat:** 
 A focus on judgment, trade\-offs \&amp; vision.
 If you’re ready to put AI into the physical world, let’s talk.
**TL;DR** 
* **Role:** 
 Founding AI/ML Engineer (Production)
* **Focus:** 
 Fine\-tuning, Evals, and RAG for Robotics
* **Team:** 
 Ex\-SpaceX, Palantir, Anduril, Google
* **Comp:** 
 $250k \- $500k\+ base \+ Founding Equity
* **Process:** 
 1 week. 3 rounds.
**Equal Opportunity** 
 We're hiring for an Equal Opportunity Employer.
 \*All our new jobs are posted here 1st:
**linkedin.com/in/sufyanbashir/**</t>
        </is>
      </c>
    </row>
    <row r="80">
      <c r="A80" t="inlineStr">
        <is>
          <t>li-4359127128</t>
        </is>
      </c>
      <c r="B80" t="inlineStr">
        <is>
          <t>Principal AI Engineer (Autonomous Agent) (US)</t>
        </is>
      </c>
      <c r="C80" t="inlineStr">
        <is>
          <t>PointClickCare</t>
        </is>
      </c>
      <c r="D80" t="inlineStr">
        <is>
          <t>linkedin</t>
        </is>
      </c>
      <c r="E80">
        <f>HYPERLINK("https://www.linkedin.com/jobs/view/4359127128", "https://www.linkedin.com/jobs/view/4359127128")</f>
        <v/>
      </c>
      <c r="F80" t="inlineStr"/>
      <c r="G80" t="inlineStr"/>
      <c r="H80" t="inlineStr"/>
      <c r="I80" t="inlineStr">
        <is>
          <t>At PointClickCare our mission is simple: to help providers deliver exceptional care. And that starts with our people. As a leading health tech company that’s founder\-led and privately held, we empower our employees to push boundaries, innovate, and shape the future of healthcare.
 With the largest long\-term and post\-acute care dataset and a Marketplace of 400\+ integrated partners, our platform serves over 30,000 provider organizations, making a real difference in millions of lives. We also reinvest a significant percentage of our revenue back into research and development, ensuring our employees have the resources to innovate and make a lasting impact. Recognized by Forbes as a top private cloud company and honored as one of Canada’s Most Admired Corporate Cultures, we offer flexibility, growth opportunities, and meaningful work.
 At PointClickCare, we empower our people to be the architects of a smarter healthcare future; one that is human\-first and accelerated by AI to create meaningful and lasting change. Employees harness AI as a catalyst for creativity, productivity, and thoughtful decision\-making. By integrating AI tools into our daily workflows, collaboration is enhanced, outcomes are improved, and every team member has the proficiency to maximize their impact. It all starts with our hiring practices where we uncover AI expertise that complements our mission, and we continue to invest in training and development to nurture innovation throughout the employee journey.
 Join us in redefining healthcare — so it doesn’t just survive, it thrives. To learn more about PointClickCare, check out Life at PointClickCare and connect with us on Glassdoor and LinkedIn.
* Travel to Office expectations\*\*
**For Remote Roles** 
 : If this role is remote, there will be in\-office events that will require travel to and from the Mississauga and/or Salt Lake City office. These will include, but not limited to, onboarding, team events, semi\-annual and annual team meetings.
**For Hybrid Roles** 
 : If this role is Hybrid, there will be an expectation to reside within commutable distance to the office/location specified in the job listing. This will include, but not limited to, weekly/bi\-weekly/monthly events in the office with your specific team. This is a requirement for this role.
**Team Summary**
 This team will serve as the product owner for GenAI capabilities within PointClickCare, working closely with other engineering teams across the organization to identify, build and support generative AI solutions. This centralized team with deep specialization, closely integrated with key horizontal partners to ensure delivery of safe, scalable and high\-impact AI products.
**Job Summary**
 The AI Engineer – Autonomous Agent will work closely with the Product and Engineering teams to design and implement agent\-based solutions that align with product goals. The AI Engineer – Autonomous Agent will also build new agent data types and pipelines and enable frameworks and workflows for agent reasoning, function calling, and action coordination.
**Key Responsibilities**
* Collaborate with product and engineering teams to translate product objectives into autonomous agent\-based solutions.
* Design and build new agent data types, and pipelines that enable agents frameworks, and workflows to coordinate reasoning, function calling, actions
* Develop and optimize autonomous agents leveraging LLMs, planning algorithms, and multi\-step reasoning approaches.
* Implement comprehensive security mechanisms for autonomous agents, including authentication, role\-based access control, audit logging, and compliance monitoring
* Integrate agents securely with existing systems, APIs, and data sources with secure communication protocols
**Qualifications \&amp; Skills**
* Expert level in Python, frameworks, and functional programming principles
* Experience designing and implementing LLM agent workflows, and familiarity with frameworks such as LangChain, LlamaIndex, LangGraph, CrewAI, and AutoGen.
**Preferred**
* Master’s degree or higher in Artificial Intelligence.
* Experience implementing security at scale including role\-based access control, multi\-factor authentication, network security best practices, and compliance monitoring.
**PointClickCare Benefits \&amp; Perks**
 Benefits starting from Day 1!
 Retirement Plan Matching
 Flexible Paid Time Off
 Wellness Support Programs and Resources
 Parental \&amp; Caregiver Leaves
 Fertility \&amp; Adoption Support
 Continuous Development Support Program
 Employee Assistance Program
 Allyship and Inclusion Communities
 Employee Recognition … and more!
 It is the policy of PointClickCare to ensure equal employment opportunity without discrimination or harassment on the basis of race, religion, national origin, status, age, sex, sexual orientation, gender identity or expression, marital or domestic/civil partnership status, disability, veteran status, genetic information, or any other basis protected by law. PointClickCare welcomes and encourages applications from people with disabilities. Accommodations are available upon request for candidates taking part in all aspects of the selection process. Please contact recruitment@pointclickcare.com should you require any accommodations. As part of our commitment to a streamlined and equitable hiring experience, PointClickCare uses AI tools to assist with candidate screening and assessment.
 When you apply for a position, your information is processed and stored with Lever, in accordance with Lever’s Privacy Policy. We use this information to evaluate your candidacy for the posted position. We also store this information, and may use it in relation to future positions to which you apply, or which we believe may be relevant to you given your background. When we have no ongoing legitimate business need to process your information, we will either delete or anonymize it. If you have any questions about how PointClickCare uses or processes your information, or if you would like to ask to access, correct, or delete your information, please contact PointClickCare’s human resources team: recruitment@pointclickcare.com
 PointClickCare is committed to Information Security. By applying to this position, if hired, you commit to following our information security policies and procedures and making every effort to secure confidential and/or sensitive information.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
*At PointClickCare, base salary is one of the many components that make up our total rewards package. The US base salary range for this position is $179,000\-199,000 (not overtime eligible) \+ bonus \+ benefits. Our salary ranges are determined by job and level. The range displayed on each job posting reflects the target for new hire salaries for the position across all US locations. Within the range, individual compensation is determined by job\-related skills and knowledge, relevant experience including professional and lived experience, and/or work location. Your recruiter can share more information about our total rewards package during the hiring process.*</t>
        </is>
      </c>
    </row>
    <row r="81">
      <c r="A81" t="inlineStr">
        <is>
          <t>li-4369101880</t>
        </is>
      </c>
      <c r="B81" t="inlineStr">
        <is>
          <t>AI Engineer</t>
        </is>
      </c>
      <c r="C81" t="inlineStr">
        <is>
          <t>TalentAlly</t>
        </is>
      </c>
      <c r="D81" t="inlineStr">
        <is>
          <t>linkedin</t>
        </is>
      </c>
      <c r="E81">
        <f>HYPERLINK("https://www.linkedin.com/jobs/view/4369101880", "https://www.linkedin.com/jobs/view/4369101880")</f>
        <v/>
      </c>
      <c r="F81" t="inlineStr"/>
      <c r="G81" t="inlineStr">
        <is>
          <t>Whippany, NJ</t>
        </is>
      </c>
      <c r="H81" t="inlineStr"/>
      <c r="I81" t="inlineStr">
        <is>
          <t>Embark on a transformative journey as an AI Engineer. At Barclays, our vision is clear \- to redefine the future of banking and help craft innovative solutions. This role anchors the firm's transition from AI experimentation to AI excellence, connecting advanced AI research with real\-world, enterprise\-scale impact across digital, compliance, and financial transformation initiatives.
 To be successful as an AI Engineer, you should have experience with:
* Designing and deploying applied AI and machine learning solutions that move from research into production
* Building and operationalizing LLM\-based systems using frameworks such as LangChain, LlamaIndex, CrewAI, or AutoGen
* Developing AI solutions in Python using modern ML frameworks such as PyTorch or TensorFlow
* Implementing AI systems within enterprise or regulated environments while addressing risk, governance, and controls
* Translating AI capabilities into measurable business outcomes such as revenue growth, risk reduction, or automation
**Some Other Highly Valued Skills May Include**
* Driving adoption of AI platforms, tools, or standards across large organizations
* Partnering across technology, compliance, and business teams to deliver scalable AI solutions
* Measuring and communicating the business impact of deployed AI models
* Contributing to AI strategy, roadmap definition, and best\-practice frameworks
* Mentoring and uplifting AI engineers or researchers within cross\-functional teams
 You may be assessed on the key critical skills relevant for success in this role, such as risk and controls, change and transformation, business acumen, strategic thinking, digital and technology, as well as job\-specific technical skills.
 This role is located in Whippany, New Jersey.
 Minimum Salary: $170,000
 Maximum Salary: $230,000
 The minimum and maximum salary/rate information above includes only base salary or base hourly rate. It does not include any other type of compensation or benefits that may be available.
 Barclays employees are eligible for a suite of competitive and generous employee benefits, including medical, dental and vision coverage, 401(k), life insurance, and other paid leave for qualifying circumstances.
 This position is eligible for an incentive award.
**Purpose of the role**
 To lead and manage engineering teams, providing technical guidance, mentorship, and support to ensure the delivery of high\-quality software solutions, driving technical excellence, fostering a culture of innovation, and collaborating with cross\-functional teams to align technical decisions with business objectives.
**Accountabilities**
* Lead engineering teams effectively, fostering a collaborative and high\-performance culture to achieve project goals and meet organizational objectives.
* Oversee timelines, team allocation, risk management and task prioritization to ensure the successful delivery of solutions within scope, time, and budget.
* Mentor and support team members' professional growth, conduct performance reviews, provide actionable feedback, and identify opportunities for improvement.
* Evaluation and enhancement of engineering processes, tools, and methodologies to increase efficiency, streamline workflows, and optimize team productivity.
* Collaboration with business partners, product managers, designers, and other stakeholders to translate business requirements into technical solutions and ensure a cohesive approach to product development.
* Enforcement of technology standards, facilitate peer reviews, and implement robust testing practices to ensure the delivery of high\-quality solutions.
**Vice President Expectations**
* To contribute or set strategy, drive requirements and make recommendations for change. Plan resources, budgets, and policies; manage and maintain policies/ processes; deliver continuous improvements and escalate breaches of policies/procedures..
* If managing a team, they define jobs and responsibilities, planning for the department's future needs and operations, counselling employees on performance and contributing to employee pay decisions/changes. They may also lead a number of specialists to influence the operations of a department, in alignment with strategic as well as tactical priorities, while balancing short and long term goals and ensuring that budgets and schedules meet corporate requirements..
* If the position has leadership responsibilities, People Leaders are expected to demonstrate a clear set of leadership behaviours to create an environment for colleagues to thrive and deliver to a consistently excellent standard. The four LEAD behaviours are: L \- Listen and be authentic, E \- Energise and inspire, A \- Align across the enterprise, D \- Develop others..
* OR for an individual contributor, they will be a subject matter expert within own discipline and will guide technical direction. They will lead collaborative, multi\-year assignments and guide team members through structured assignments, identify the need for the inclusion of other areas of specialisation to complete assignments. They will train, guide and coach less experienced specialists and provide information affecting long term profits, organisational risks and strategic decisions..
* Advise key stakeholders, including functional leadership teams and senior management on functional and cross functional areas of impact and alignment.
* Manage and mitigate risks through assessment, in support of the control and governance agenda.
* Demonstrate leadership and accountability for managing risk and strengthening controls in relation to the work your team does.
* Demonstrate comprehensive understanding of the organisation functions to contribute to achieving the goals of the business.
* Collaborate with other areas of work, for business aligned support areas to keep up to speed with business activity and the business strategies.
* Create solutions based on sophisticated analytical thought comparing and selecting complex alternatives. In\-depth analysis with interpretative thinking will be required to define problems and develop innovative solutions.
* Adopt and include the outcomes of extensive research in problem solving processes.
* Seek out, build and maintain trusting relationships and partnerships with internal and external stakeholders in order to accomplish key business objectives, using influencing and negotiating skills to achieve outcomes.
 All colleagues will be expected to demonstrate the Barclays Values of Respect, Integrity, Service, Excellence and Stewardship \- our moral compass, helping us do what we believe is right. They will also be expected to demonstrate the Barclays Mindset \- to Empower, Challenge and Drive \- the operating manual for how we behave.
 PDN\-a1010ef3\-00d4\-4e28\-93dc\-81609890d8b7</t>
        </is>
      </c>
    </row>
    <row r="82">
      <c r="A82" t="inlineStr">
        <is>
          <t>li-4329292440</t>
        </is>
      </c>
      <c r="B82" t="inlineStr">
        <is>
          <t>Machine Learning Engineer Graduate - Global E-commerce Recommendation/Search - 2026 Start (PhD)</t>
        </is>
      </c>
      <c r="C82" t="inlineStr">
        <is>
          <t>TikTok</t>
        </is>
      </c>
      <c r="D82" t="inlineStr">
        <is>
          <t>linkedin</t>
        </is>
      </c>
      <c r="E82">
        <f>HYPERLINK("https://www.linkedin.com/jobs/view/4329292440", "https://www.linkedin.com/jobs/view/4329292440")</f>
        <v/>
      </c>
      <c r="F82">
        <f>HYPERLINK("https://lifeattiktok.com/search/7550798923146250504?spread=5MWH5CQ&amp;urlHash=bqaR", "https://lifeattiktok.com/search/7550798923146250504?spread=5MWH5CQ&amp;urlHash=bqaR")</f>
        <v/>
      </c>
      <c r="G82" t="inlineStr">
        <is>
          <t>San Jose, CA</t>
        </is>
      </c>
      <c r="H82" t="inlineStr"/>
      <c r="I82" t="inlineStr">
        <is>
          <t>**Responsibilities**
 We are looking for talented individuals to join our team in 2026\. As a graduate, you will get opportunities to pursue bold ideas, tackle complex challenges, and unlock limitless growth. Launch your career where inspiration is infinite at TikTok.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TikTok and its affiliates' jobs globally. Applications will be reviewed on a rolling basis \- we encourage you to apply early.
 The Data\-E\-commerce team oversees algorithmic and corresponding engineering work in the e\-commerce business. Our responsibilities encompass not only utilizing recommendation and search algorithms to help users discover appealing products but also implementing risk control and content safety algorithms to identify malicious sellers/influencers and violations in products/videos/live streams, ensuring a secure shopping experience. Furthermore, we are involved in constructing intelligent customer service technology and large\-scale product knowledge graphs, aiming to enhance efficiency across various transaction processes. Through operations optimization and intelligent supply chain algorithms, we work to improve logistics efficiency.
**Responsibilities:**
* Work in a team to conduct cutting\-edge research in machine learning algorithms, such as retrieval and recommendation algorithms.
* Participate in building large\-scale (10 million to 100 million) e\-commerce recommendation algorithms and systems, including commodity recommendations, live stream recommendations, short video recommendations etc in TikTok.
* Build long and short term user interest models, analyze and extract relevant information from large amounts of various data and design algorithms to explore users' latent interests efficiently.
* Apply machine learning algorithms to improve the different business scenarios, such as search ranking, natural language and video understanding, and trust and safety.
**Qualifications**
 Minimum Qualifications
* Final year or recent graduate with a background in Software Development, Computer Science, Computer Engineering, or a related technical discipline.
* Excellent analytical and problem\-solving skills.
* Strong foundation in machine learning and deep learning, with experience in: NLP (Natural Language Processing).
 Personalization.
* Exceptional coding skills with solid knowledge of data structures and algorithms.
* Proficiency in Linux development environments.
 Preferred Qualifications
* Prior experience in search, recommendation, or advertisement algorithms.
* Familiarity e\-commerce businesses.
 By submitting an application for this role, you accept and agree to our global applicant privacy policy, which may be accessed here: https://careers.tiktok.com/legal/privacy
 Job Information
**【For Pay Transparency】Compensation Description (Annually)**
 The base salary range for this position in the selected city is $136800 \- $259200 annually.
 Compensation may vary outside of this range depending on a number of factors, including a candidate’s qualifications, skills, competencies and experience, and location. Base pay is one part of the Total Package that is provided to compensate and recognize employees for their work, and this role may be eligible for additional discretionary bonuses/incentives, and restricted stock units.
 Benefits may vary depending on the nature of employment and the country work location. Employees have day one access to medical, dental, and vision insurance, a 401(k) savings plan with company match, paid parental leave, short\-term and long\-term disability coverage, life insurance, wellbeing benefits, among others. Employees also receive 10 paid holidays per year, 10 paid sick days per year and 17 days of Paid Personal Time (prorated upon hire with increasing accruals by tenure).
 The Company reserves the right to modify or change these benefits programs at any time, with or without notice.
**For Los Angeles County (unincorporated) Candidates:**
 Qualified applicants with arrest or conviction records will be considered for employment in accordance with all federal, state, and local laws including the Los Angeles County Fair Chance Ordinance for Employers and the California Fair Chance Act. Our company believes that criminal history may have a direct, adverse and negative relationship on the following job duties, potentially resulting in the withdrawal of the conditional offer of employment:
* Interacting and occasionally having unsupervised contact with internal/external clients and/or colleagues;
* Appropriately handling and managing confidential information including proprietary and trade secret information and access to information technology systems; and
* Exercising sound judgment.
**About TikTok**
 TikTok is the leading destination for short\-form mobile video. At TikTok, our mission is to inspire creativity and bring joy. TikTok's global headquarters are in Los Angeles and Singapore, and we also have offices in New York City, London, Dublin, Paris, Berlin, Dubai, Jakarta, Seoul, and Tokyo.
 Why Join Us
 Inspiring creativity is at the core of TikTok's mission. Our innovative product is built to help people authentically express themselves, discover and connect – and our global, diverse teams make that possible. Together, we create value for our communities, inspire creativity and bring joy \- a mission we work towards every day.
 We strive to do great things with great people. We lead with curiosity, humility, and a desire to make impact in a rapidly growing tech company. Every challenge is an opportunity to learn and innovate as one team. We're resilient and embrace challenges as they come. By constantly iterating and fostering an "Always Day 1" mindset, we achieve meaningful breakthroughs for ourselves, our company, and our users. When we create and grow together, the possibilities are limitless. Join us.
 Diversity \&amp; Inclusion
 TikTok is committed to creating an inclusive space where employees are valued for their skills, experiences, and unique perspectives. Our platform connects people from across the globe and so does our workplace. At TikTok, our mission is to inspire creativity and bring joy. To achieve that goal, we are committed to celebrating our diverse voices and to creating an environment that reflects the many communities we reach. We are passionate about this and hope you are too.
 TikTok Accommodation
 TikTok is committed to providing reasonable accommodations in our recruitment processes for candidates with disabilities, pregnancy, sincerely held religious beliefs or other reasons protected by applicable laws. If you need assistance or a reasonable accommodation, please reach out to us at https://tinyurl.com/RA\-request</t>
        </is>
      </c>
    </row>
    <row r="83">
      <c r="A83" t="inlineStr">
        <is>
          <t>li-4236734727</t>
        </is>
      </c>
      <c r="B83" t="inlineStr">
        <is>
          <t>Agentic AI Engineer</t>
        </is>
      </c>
      <c r="C83" t="inlineStr">
        <is>
          <t>DPR Construction</t>
        </is>
      </c>
      <c r="D83" t="inlineStr">
        <is>
          <t>linkedin</t>
        </is>
      </c>
      <c r="E83">
        <f>HYPERLINK("https://www.linkedin.com/jobs/view/4236734727", "https://www.linkedin.com/jobs/view/4236734727")</f>
        <v/>
      </c>
      <c r="F83">
        <f>HYPERLINK("https://mydpr.wd5.myworkdayjobs.com/en-US/11212017/job/Orlando-FL/Agentic-AI-Engineer_JR-11926/apply?source=LinkedIn&amp;urlHash=Gknd", "https://mydpr.wd5.myworkdayjobs.com/en-US/11212017/job/Orlando-FL/Agentic-AI-Engineer_JR-11926/apply?source=LinkedIn&amp;urlHash=Gknd")</f>
        <v/>
      </c>
      <c r="G83" t="inlineStr">
        <is>
          <t>Tampa, FL</t>
        </is>
      </c>
      <c r="H83" t="inlineStr"/>
      <c r="I83" t="inlineStr">
        <is>
          <t>**Job Description**
 Join a dynamic and fast\-evolving team that is building next\-generation AI\-based tools and agent systems for the construction Industry. Our AI and Data Team is focused on designing intelligent AI agents and copilots using modern AI/ML techniques.
 You will work closely with cross\-functional teams, including business stakeholders, data engineers, and technical leads, to ensure alignment between business needs and data architecture and define data models for specific focus areas.
**Responsibilities**
* Build end\-to\-end Gen AI solutions \- develop, refine, and implement advanced Gen AI models and ensure the successful delivery of projects.
* Develop and execute comprehensive plans to integrate AI technologies into business processes, aimed at enhancing operational efficiency and boosting employee productivity.
* Utilize Python and other data manipulation languages proficiently to prepare and manipulate data.
* Understand the business requirements and translate into Gen AI solution design that successfully meets the business objectives.
* Collaborate with stakeholders, present findings to non\-technical audiences and provide strategic recommendations.
* Ensure the scalability, reliability, and security of AI solutions by implementing best practices for AI model development, deployment, and maintenance.
* Drive innovation by exploring new AI applications and solutions that can benefit the enterprise, leading research and development efforts to keep DPR at the forefront of AI technology.
* Follow the roadmap for AI initiatives, ensuring they align with organizational goals and show measurable impact.
**Qualifications**
* At least 3 years of experience with Software Development, Machine Learning.
* At least 2 years of experience Generative AI, specifically with Large Language Models (LLM).
* Experience with generative AI concepts such as Retrieval\-Augmented Generation (RAG), agentic workflows, training LLMs with structured and unstructured data sets.
* Experience with Data Connectors and API gateways that support seamless communication between systems.
* Deep subject matter expertise in AI technologies, including but not limited to Copilot Studio, OpenAI, Semantic Kernels, Azure AI Foundry, Google Gemini, Microsoft 365, and M365 Copilot or Anthropic or AWS platforms.
* Familiarity with Cloud computing skills.
* Strong programming skills in Python and experience with AI/ML frameworks.
* Proficiency in vector databases and embedding models for retrieval tasks.
* Understanding of Knowledge Graph is a plus.
* Strong problem\-solving and strategic thinking abilities.
* Strong communicator with the ability to present ideas clearly and influence stakeholders — with a passion for enabling data\-driven transformation.
 Work Conditions
* Prolonged periods of sitting and/or standing at a computer screen.
* Must be able to sit or stand for long periods of time.
* Must be able to lift 15 pounds at times.
* Occasional domestic travel, via airplane, will be required for meetings.
 This is a hybrid role with most time being spent working from home. Attendance at important meetings and events at the local DPR office is required.
 DPR Construction is a forward\-thinking, self\-performing general contractor specializing in technically complex and sustainable projects for the advanced technology, life sciences, healthcare, higher education and commercial markets. Founded in 1990, DPR is a great story of entrepreneurial success as a private, employee\-owned company that has grown into a multi\-billion\-dollar family of companies with offices around the world.
 Working at DPR, you'll have the chance to try new things, explore unique paths and shape your future. Here, we build opportunity together—by harnessing our talents, enabling curiosity and pursuing our collective ambition to make the best ideas happen. We are proud to be recognized as a great place to work by our talented teammates and leading news organizations like U.S. News and World Report, Forbes, Fast Company and Newsweek.
 Explore our open opportunities at www.dpr.com/careers.</t>
        </is>
      </c>
    </row>
    <row r="84">
      <c r="A84" t="inlineStr">
        <is>
          <t>li-4369454975</t>
        </is>
      </c>
      <c r="B84" t="inlineStr">
        <is>
          <t>Principal AI/ML Engineer - Remote</t>
        </is>
      </c>
      <c r="C84" t="inlineStr">
        <is>
          <t>ExecutivePlacements.com</t>
        </is>
      </c>
      <c r="D84" t="inlineStr">
        <is>
          <t>linkedin</t>
        </is>
      </c>
      <c r="E84">
        <f>HYPERLINK("https://www.linkedin.com/jobs/view/4369454975", "https://www.linkedin.com/jobs/view/4369454975")</f>
        <v/>
      </c>
      <c r="F84">
        <f>HYPERLINK("https://www.executiveplacements.com/JF/Principal-AIML-Engineer\u002d\u002d-Remote-jobs-in-Austin-Texas-a435500bf9b4.asp?sid=linkedin&amp;urlHash=6tv1", "https://www.executiveplacements.com/JF/Principal-AIML-Engineer\u002d\u002d-Remote-jobs-in-Austin-Texas-a435500bf9b4.asp?sid=linkedin&amp;urlHash=6tv1")</f>
        <v/>
      </c>
      <c r="G84" t="inlineStr">
        <is>
          <t>Austin, TX</t>
        </is>
      </c>
      <c r="H84" t="inlineStr"/>
      <c r="I84" t="inlineStr">
        <is>
          <t>Optum Tech is a global leader in health care innovation. Our teams develop cutting\-edge solutions that help people live healthier lives and help make the health system work better for everyone. From advanced data analytics and AI to cybersecurity, we use innovative approaches to solve some of health care's most complex challenges. Your contributions here have the potential to change lives. Ready to build the next breakthrough? Join us to start
 **Caring. Connecting. Growing together.**
 Optum AI is UnitedHealth Group's enterprise AI team. We are AI/ML scientists and engineers with deep expertise in AI/ML engineering for health care. We develop AI/ML solutions for the highest impact opportunitiesacross UnitedHealth Group businesses including UnitedHealthcare, Optum Financial, Optum Health, Optum Insight,and Optum Rx. In addition to transforming the health care journey through responsible AI/ML innovation, our charter also includes developing and supporting an enterprise AI/ML development platform.
 You'll enjoy the flexibility to work remotely \* from anywhere within the U.S. as you take on some tough challenges. For all hires in the Minneapolis or Washington, D.C. area, you will be required to work in the office a minimum of four days per week.
**Primary Responsibilities**
* Drive end\-to\-end Machine Learning projects that have a high degree of ambiguity, scale and complexity
* Build Machine Learning models, perform proof\-of\-concept, experiment, optimize, and deploy your models into production; work closely with software engineers to assist in productionizing the ML models
* Perform hands\-on analysis and modeling of healthcare data sets to develop insights that increase business value
* Run A/B experiments, gather data, and perform statistical analysis
* Establish scalable, efficient, automated processes for large\-scale data analysis, machine\-learning model development, model validation and serving
* Research and implement innovative machine learning approaches
* Mentor and help recruit AI/ML scientists and machine learning engineers to the team
* Present findings and insights to senior leadership and at internal venues
* Be the thought leader in cutting\-edge AI research and proactively pursue IP submissions
 You'll be rewarded and recognized for your performance in an environment that will challenge you and give you clear direction on what it takes to succeed in your role as well as provide development for other roles you may be interested in.
**Required Qualifications**
* PhD in AI, computer science, data science, applied math or related technical fields
* 10\+ years of industry/academic experience in machine learning or a related field
* 5\+ years of building models for business application experience
* 5\+ years leading technical teams
* Experienced mathematical background, especially in optimization theory, stochastic algorithms, and/or numerical methods
* Experience with state\-of\-the\-art algorithms and topologies including, but not limited to: GNNs, GANs, Transformers, deep and wide, SSMs, LLMs among others
* Experience with LLM alignment (DPO, PPO among others)
* Solid Python programming skills and experience with deep learning frameworks such as PyTorch or TensorFlow
* In\-depth knowledge in Generative AI technology and Large Language Models (LLM) with focus in LLM optimization
* Advanced understanding of Deep Learning with applications in NLP and multimodal modeling
**Preferred Qualifications**
* Experience in AI/ML in the healthcare and or Fintech sector
* Experience working with cross\-functional and distributed teams in a global and diverse environment
* Experience in establishing AI/ML best practices, standards, and ethics
* All employees working remotely will be required to adhere to UnitedHealth Group's Telecommuter Policy
 Pay is based on several factors including but not limited to local labor markets, education, work experience, certifications, etc. In addition to your salary, we offer benefits such as, a comprehensive benefits package, incentive and recognition programs, equity stock purchase and k contribution (all benefits are subject to eligibility requirements). No matter where or when you begin a career with us, you'll find a far\-reaching choice of benefits and incentives. The salary for this role will range from $, to $, annually based on full\-time employment. We comply with all minimum wage laws as applicable.
**Application Deadline:** 
 This will be posted for a minimum of 2 business days or until a sufficient candidate pool has been collected. Job posting may come down early due to volume of applicants.
 At UnitedHealth Group, our mission is to help people live healthier lives and make the health system work better for everyone. We believe everyone\-of every race, gender, sexuality, age, location and income\-deserves the opportunity to live their healthiest life. Today, however, there are still far too many barriers to good health which are disproportionately experienced by people of color, historically marginalized groups and those with lower incomes. We are committed to mitigating our impact on the environment and enabling and delivering equitable care that addresses health disparities and improves health outcomes \- an enterprise priority reflected in our mission.
 UnitedHealth Group is an Equal Employment Opportunity employer under applicable law and qualified applicants will receive consideration for employment without regard to race, national origin, religion, age, color, sex, sexual orientation, gender identity, disability, or protected veteran status, or any other characteristic protected by local, state, or federal laws, rules, or regulations.
 UnitedHealth Group is a drug\-free workplace. Candidates are required to pass a drug test before beginning employment.</t>
        </is>
      </c>
    </row>
    <row r="85">
      <c r="A85" t="inlineStr">
        <is>
          <t>li-4369606115</t>
        </is>
      </c>
      <c r="B85" t="inlineStr">
        <is>
          <t>Applied AI Engineer-Associate</t>
        </is>
      </c>
      <c r="C85" t="inlineStr">
        <is>
          <t>JPMorganChase</t>
        </is>
      </c>
      <c r="D85" t="inlineStr">
        <is>
          <t>linkedin</t>
        </is>
      </c>
      <c r="E85">
        <f>HYPERLINK("https://www.linkedin.com/jobs/view/4369606115", "https://www.linkedin.com/jobs/view/4369606115")</f>
        <v/>
      </c>
      <c r="F85">
        <f>HYPERLINK("https://JPMorganChase.contacthr.com/150920994&amp;urlHash=JQrD", "https://JPMorganChase.contacthr.com/150920994&amp;urlHash=JQrD")</f>
        <v/>
      </c>
      <c r="G85" t="inlineStr">
        <is>
          <t>Wilmington, DE</t>
        </is>
      </c>
      <c r="H85" t="inlineStr"/>
      <c r="I85" t="inlineStr">
        <is>
          <t>**Job Description**
 As Applied AI Engineer\-Associate at JPMorganChase within the Consumer \&amp; Community Banking Machine Learning, you are an integral part of an agile team that works to enhance, build, and deliver trusted market\-leading technology products in a secure, stable, and scalable way. Drive significant business impact through your capabilities and contributions, and apply deep technical expertise and problem\-solving methodologies to tackle a diverse array of challenges that span multiple technologies and applications.
**Job Responsibilities**
* Regularly provides technical guidance and direction to support the business and its technical teams, contractors, and vendors
* Develops secure and high\-quality production code, and reviews and debugs code written by others
* Drives decisions that influence the product design, application functionality, and technical operations and processes
* Serves as a function\-wide subject matter expert in one or more areas of focus
* Actively contributes to the engineering community as an advocate of firmwide frameworks, tools, and practices of the Software Development Life Cycle
* Influences peers and project decision\-makers to consider the use and application of leading\-edge technologies
* Drive innovation in machine learning solutions, ensuring scalability, flexibility, and future\-proof architecture
* Act as a thought leader and trusted advisor to executive leadership, providing strategic recommendations on machine learning initiatives and solutions
* Architect and oversee the development of next\-generation machine learning models and systems leveraging cutting\-edge technologies
* Ensure the platform supports complex use cases, including real\-time predictions, big data processing, and advanced analytics
* Promote software and model quality, integrity, and security across the organization
**Required Qualifications, Capabilities, And Skills**
* Formal training or certification on software engineering concepts and 1\+ years applied AI experience
* Proven track record of building and scaling software and or machine learning platforms in high\-growth or enterprise environments
* 3 plus years of hands\-on experience and expertise in software development frameworks and tools such as Java, Python and JavaScript
* Deep understanding of distributed systems, cloud\-native architectures, and modern machine learning technologies
* Experience in cloud platforms such as AWS, GCP, or Azure
* Knowledgeable in machine learning frameworks, ML Ops tools and practices
* Strong proficiency in engineering programming languages (e.g., Python, Java) and infrastructure as code (e.g., Terraform, CloudFormation)
* Proficient in building AI Agents (e.g., LangChain, LangGraph, AutoGen), integration of tools (e.g., API) and RAG based solutions (e.g., open search)
* Hands\-on experience with software development pipeline and orchestration tools (e.g., Jenkins, GitLab CI/CD)
* Exceptional ability to communicate complex technical concepts to both technical and non\-technical audiences
* Hands\-on experience with big data, pipeline, orchestration tools and real\-time processing frameworks
**Preferred Qualifications, Capabilities, And Skills**
* Certified as AWS Solutions Architect, Certified Developer, or similar certification
**ABOUT US**
 Chase is a leading financial services firm, helping nearly half of America’s households and small businesses achieve their financial goals through a broad range of financial products. Our mission is to create engaged, lifelong relationships and put our customers at the heart of everything we do. We also help small businesses, nonprofits and cities grow, delivering solutions to solve all their financial needs.
 We offer a competitive total rewards package including base salary determined based on the role, experience, skill set and location. Those in eligible roles may receive commission\-based pay and/or discretionary incentive compensation, paid in the form of cash and/or forfeitable equity, awarded in recognition of individual achievements and contributions. We also offer a range of benefits and programs to meet employee needs, based on eligibility. These benefits include comprehensive health care coverage, on\-site health and wellness centers, a retirement savings plan, backup childcare, tuition reimbursement, mental health support, financial coaching and more. Additional details about total compensation and benefits will be provided during the hiring process.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
 Equal Opportunity Employer/Disability/Veterans
**About The Team**
 Our Consumer \&amp; Community Banking division serves our Chase customers through a range of financial services, including personal banking, credit cards, mortgages, auto financing, investment advice, small business loans and payment processing. We’re proud to lead the U.S. in credit card sales and deposit growth and have the most\-used digital solutions – all while ranking first in customer satisfaction.
 The CCB Data \&amp; Analytics team responsibly leverages data across Chase to build competitive advantages for the businesses while providing value and protection for customers. The team encompasses a variety of disciplines from data governance and strategy to reporting, data science and machine learning. We have a strong partnership with Technology, which provides cutting edge data and analytics infrastructure. The team powers Chase with insights to create the best customer and business outcomes.</t>
        </is>
      </c>
    </row>
    <row r="86">
      <c r="A86" t="inlineStr">
        <is>
          <t>li-4236739499</t>
        </is>
      </c>
      <c r="B86" t="inlineStr">
        <is>
          <t>Agentic AI Engineer</t>
        </is>
      </c>
      <c r="C86" t="inlineStr">
        <is>
          <t>DPR Construction</t>
        </is>
      </c>
      <c r="D86" t="inlineStr">
        <is>
          <t>linkedin</t>
        </is>
      </c>
      <c r="E86">
        <f>HYPERLINK("https://www.linkedin.com/jobs/view/4236739499", "https://www.linkedin.com/jobs/view/4236739499")</f>
        <v/>
      </c>
      <c r="F86">
        <f>HYPERLINK("https://mydpr.wd5.myworkdayjobs.com/en-US/11212017/job/Orlando-FL/Agentic-AI-Engineer_JR-11926/apply?source=LinkedIn&amp;urlHash=Gknd", "https://mydpr.wd5.myworkdayjobs.com/en-US/11212017/job/Orlando-FL/Agentic-AI-Engineer_JR-11926/apply?source=LinkedIn&amp;urlHash=Gknd")</f>
        <v/>
      </c>
      <c r="G86" t="inlineStr">
        <is>
          <t>Nashville, TN</t>
        </is>
      </c>
      <c r="H86" t="inlineStr"/>
      <c r="I86" t="inlineStr">
        <is>
          <t>**Job Description**
 Join a dynamic and fast\-evolving team that is building next\-generation AI\-based tools and agent systems for the construction Industry. Our AI and Data Team is focused on designing intelligent AI agents and copilots using modern AI/ML techniques.
 You will work closely with cross\-functional teams, including business stakeholders, data engineers, and technical leads, to ensure alignment between business needs and data architecture and define data models for specific focus areas.
**Responsibilities**
* Build end\-to\-end Gen AI solutions \- develop, refine, and implement advanced Gen AI models and ensure the successful delivery of projects.
* Develop and execute comprehensive plans to integrate AI technologies into business processes, aimed at enhancing operational efficiency and boosting employee productivity.
* Utilize Python and other data manipulation languages proficiently to prepare and manipulate data.
* Understand the business requirements and translate into Gen AI solution design that successfully meets the business objectives.
* Collaborate with stakeholders, present findings to non\-technical audiences and provide strategic recommendations.
* Ensure the scalability, reliability, and security of AI solutions by implementing best practices for AI model development, deployment, and maintenance.
* Drive innovation by exploring new AI applications and solutions that can benefit the enterprise, leading research and development efforts to keep DPR at the forefront of AI technology.
* Follow the roadmap for AI initiatives, ensuring they align with organizational goals and show measurable impact.
**Qualifications**
* At least 3 years of experience with Software Development, Machine Learning.
* At least 2 years of experience Generative AI, specifically with Large Language Models (LLM).
* Experience with generative AI concepts such as Retrieval\-Augmented Generation (RAG), agentic workflows, training LLMs with structured and unstructured data sets.
* Experience with Data Connectors and API gateways that support seamless communication between systems.
* Deep subject matter expertise in AI technologies, including but not limited to Copilot Studio, OpenAI, Semantic Kernels, Azure AI Foundry, Google Gemini, Microsoft 365, and M365 Copilot or Anthropic or AWS platforms.
* Familiarity with Cloud computing skills.
* Strong programming skills in Python and experience with AI/ML frameworks.
* Proficiency in vector databases and embedding models for retrieval tasks.
* Understanding of Knowledge Graph is a plus.
* Strong problem\-solving and strategic thinking abilities.
* Strong communicator with the ability to present ideas clearly and influence stakeholders — with a passion for enabling data\-driven transformation.
 Work Conditions
* Prolonged periods of sitting and/or standing at a computer screen.
* Must be able to sit or stand for long periods of time.
* Must be able to lift 15 pounds at times.
* Occasional domestic travel, via airplane, will be required for meetings.
 This is a hybrid role with most time being spent working from home. Attendance at important meetings and events at the local DPR office is required.
 DPR Construction is a forward\-thinking, self\-performing general contractor specializing in technically complex and sustainable projects for the advanced technology, life sciences, healthcare, higher education and commercial markets. Founded in 1990, DPR is a great story of entrepreneurial success as a private, employee\-owned company that has grown into a multi\-billion\-dollar family of companies with offices around the world.
 Working at DPR, you'll have the chance to try new things, explore unique paths and shape your future. Here, we build opportunity together—by harnessing our talents, enabling curiosity and pursuing our collective ambition to make the best ideas happen. We are proud to be recognized as a great place to work by our talented teammates and leading news organizations like U.S. News and World Report, Forbes, Fast Company and Newsweek.
 Explore our open opportunities at www.dpr.com/careers.</t>
        </is>
      </c>
    </row>
    <row r="87">
      <c r="A87" t="inlineStr">
        <is>
          <t>li-4369468901</t>
        </is>
      </c>
      <c r="B87" t="inlineStr">
        <is>
          <t>Senior AI Engineer - Agentic AI</t>
        </is>
      </c>
      <c r="C87" t="inlineStr">
        <is>
          <t>American Express</t>
        </is>
      </c>
      <c r="D87" t="inlineStr">
        <is>
          <t>linkedin</t>
        </is>
      </c>
      <c r="E87">
        <f>HYPERLINK("https://www.linkedin.com/jobs/view/4369468901", "https://www.linkedin.com/jobs/view/4369468901")</f>
        <v/>
      </c>
      <c r="F87">
        <f>HYPERLINK("https://aexp.eightfold.ai/careers/job/40032365?hl=en&amp;utm_source=linkedin&amp;domain=aexp.com&amp;urlHash=o3U9", "https://aexp.eightfold.ai/careers/job/40032365?hl=en&amp;utm_source=linkedin&amp;domain=aexp.com&amp;urlHash=o3U9")</f>
        <v/>
      </c>
      <c r="G87" t="inlineStr">
        <is>
          <t>New York, NY</t>
        </is>
      </c>
      <c r="H87" t="inlineStr"/>
      <c r="I87" t="inlineStr">
        <is>
          <t>*American Express invites you to share your resume so you can be considered for future Agentic AI opportunities in Enterprise Technology Services organization.*
 At American Express, our culture is built on a 175\-year history of innovation, shared
 values
 and Leadership Behaviors, and an unwavering commitment to back our customers, communities, and colleagues. As part of Team Amex, you'll experience this powerful backing with comprehensive support for your holistic well\-being and many opportunities to learn new skills, develop as a leader, and grow your career.
 Here, your voice and ideas matter, your work makes an impact, and together, you will help us define the future of American Express.
 AI is reshaping the future of commerce and redefining the experiences our commercial customers and card members expect. Within Amex Technology, we are building platforms, products, and governance that enable agentic AI systems to operate responsibly and at scale across the enterprise. 
 Our focus is on agentic AI development: designing intelligent, adaptive systems that can plan, reason, and act across complex workflows with appropriate levels of autonomy. These systems power autonomous workflows, decision support, and customer\-facing experiences—while meeting the high standards for security, explainability, reliability, and compliance required in financial services. 
 We partner closely with product, design, and business teams to deliver agentic capabilities that reduce operational friction, improve decision\-making, and transform how customers interact, transact, and grow. 
**The Role**
 As a Senior AI Engineer – Agentic AI, you will be a core builder responsible for turning complex, ambiguous problems into production\-grade agentic systems that operate on real financial data, serve real customers, and meet real regulatory requirements.
 You will work end to end: shaping solutions with product and design, building and shipping production code, and owning what you deliver after launch. The scope of this role spans customer\-facing LLM\-powered features, agentic systems that automate financial workflows, and internal AI capabilities that enable other engineers to build with AI safely and efficiently.
 This is not a research\-only role. We are looking for engineers who are comfortable operating with autonomy, exercising sound judgment, and pushing the technical envelope within the realities of a regulated financial environment.
**What You’ll Do** 
* Design, build, and ship LLM\-powered and agentic product features that change how customers manage their finances.
* Build agentic AI systems that reason over context, invoke tools, take real actions, and recover gracefully from failure.
* Architect and implement production\-grade RAG pipelines over sensitive financial data, with strict requirements for correctness, auditability, and safety.
* Contribute to shared AI infrastructure, including LLM services, agent orchestration frameworks, and evaluation and monitoring tooling, that scales agentic development across Amex Technology.
* Own the systems you build in production, including reliability, latency, cost, and failure modes.
* Work closely with product and design partners; engineers in this role are expected to think in terms of customer outcomes, not just technical execution.
**Technical Environment**
 We don’t hire to a narrow checklist, but candidates should be comfortable operating in a modern, enterprise\-scale environment with a strong emphasis on agentic AI.
**Core engineering stack** 
* Languages: Python, Go, TypeScript
* Cloud and infrastructure: AWS and/or GCP, Kubernetes
* APIs and services: REST, gRPC
* Distributed systems: event\-driven architectures, including Kafka
**Agentic AI and ML** 
* Commercial and open\-source LLMs integrated into agentic workflows
* Tooling for agent orchestration, retrieval\-augmented generation, vector storage, and evaluation
* Strong schema, validation, and state management practices
**AI\-assisted development** 
* Fluency with AI\-assisted and agentic development workflows for design, implementation, testing, debugging, and refactoring
* Thoughtful use of these tools while maintaining production\-quality engineering standards
 All systems are built to meet high standards for reliability, security, and auditability, reflecting the responsibility of deploying autonomous AI in a financial services environment.
**What We’re Looking For** 
* 5\+ years of software engineering experience, including meaningful production experience with LLMs or applied ML systems.
* A track record of shipping AI\-powered or agentic systems that real users depend on.
* Strong engineering fundamentals across backend systems, APIs, data pipelines, and cloud infrastructure.
* Hands\-on experience with modern LLM tooling and agentic patterns and architectures.
* Fluency with AI\-assisted and agentic development workflows.
* Strong sense of ownership and sound technical judgment.
* Comfort operating with ambiguity and turning it into shipped reliable product.
* A strong product mindset and customer orientation.
**Preferred Qualifications** 
* Experience building agentic systems in fintech or other regulated industries.
* Experience as a founding engineer or early technical contributor in high\-growth environments.
* Demonstrated ability to ship technically complex systems in regulated contexts that customers actively rely on.
* Meaningful open\-source contributions, particularly in AI or developer tooling.
 We back you with benefits that support your holistic well\-being so you can be and deliver your best. This means caring for you and your loved ones' physical, financial, and mental health, as well as providing the flexibility you need to thrive personally and professionally:
* Competitive base salaries
* Bonus incentives
* 6% Company Match on retirement savings plan
* Free financial coaching and financial well\-being support
* Comprehensive medical, dental, vision, life insurance, and disability benefits
* Flexible working model with hybrid, onsite or virtual arrangements depending on role and business need
* 20\+ weeks paid parental leave for all parents, regardless of gender, offered for pregnancy, adoption or surrogacy
* Free access to global on\-site wellness centers staffed with nurses and doctors (depending on location)
* Free and confidential counseling support through our Healthy Minds program
* Career development and training opportunities
 For a full list of Team Amex benefits, visit our
 Colleague Benefits Site
 .
 American Express is an equal opportunity employer and makes employment decisions without regard to race, color, religion, sex, sexual orientation, gender identity, national origin, veteran status, disability status, age, or any other status protected by law. American Express will consider for employment all qualified applicants, including those with arrest or conviction records, in accordance with the requirements of applicable state and local laws, including, but not limited to, the California Fair Chance Act, the Los Angeles County Fair Chance Ordinance for Employers, and the City of Los Angeles’ Fair Chance Initiative for Hiring Ordinance. For positions covered by federal and/or state banking regulations, American Express will comply with such regulations as it relates to the consideration of applicants with criminal convictions.
 We back our colleagues with the support they need to thrive, professionally and personally. That's why we have Amex Flex, our enterprise working model that provides greater flexibility to colleagues while ensuring we preserve the important aspects of our unique in\-person culture. Depending on role and business needs, colleagues will either work onsite, in a hybrid model (combination of in\-office and virtual days) or fully virtually.
 US Job Seekers \- Click to view the “
 Know Your Rights
 ” poster. If the link does not work, you may access the poster by copying and pasting the following URL in a new browser window:
 https://www.eeoc.gov/poster
 Depending on factors such as business unit requirements, the nature of the position, cost and applicable laws, 
 American Express may provide visa sponsorship for certain positions.</t>
        </is>
      </c>
    </row>
    <row r="88">
      <c r="A88" t="inlineStr">
        <is>
          <t>li-4362733307</t>
        </is>
      </c>
      <c r="B88" t="inlineStr">
        <is>
          <t>Senior Associate - AI Engineer</t>
        </is>
      </c>
      <c r="C88" t="inlineStr">
        <is>
          <t>New York Life Insurance Company</t>
        </is>
      </c>
      <c r="D88" t="inlineStr">
        <is>
          <t>linkedin</t>
        </is>
      </c>
      <c r="E88">
        <f>HYPERLINK("https://www.linkedin.com/jobs/view/4362733307", "https://www.linkedin.com/jobs/view/4362733307")</f>
        <v/>
      </c>
      <c r="F88">
        <f>HYPERLINK("https://careers.newyorklife.com/careers/job/30448704?utm_source=linkedin&amp;domain=newyorklife.com&amp;urlHash=7HyQ", "https://careers.newyorklife.com/careers/job/30448704?utm_source=linkedin&amp;domain=newyorklife.com&amp;urlHash=7HyQ")</f>
        <v/>
      </c>
      <c r="G88" t="inlineStr">
        <is>
          <t>New York, NY</t>
        </is>
      </c>
      <c r="H88" t="inlineStr"/>
      <c r="I88" t="inlineStr">
        <is>
          <t>**Location Designation:** 
 Hybrid \- 3 days per week
 Our New York Life culture has laid the foundation for over 180 years of commitment to our employees, agents, policy owners, and the communities where we live and work. Here you become a valued part of a welcoming, inclusive, and caring organization with a long\-standing legacy in stability and growth. The strength revolves around our diversified, multi\-dimensional business portfolio that goes beyond life insurance.
 As a Fortune 100 company and industry leader, we provide an environment where you can explore your career ambitions, offering opportunities to tackle meaningful challenges and stretch your skills while balancing work and life priorities. You will be part of an inclusive team guided by our belief to always be there for each other–providing the support and flexibility to grow and reach new heights while making an impact in the lives of others.
 You are our future, and we commit to investing in you accordingly.
 When you join New York Life, you are joining a company that values career development, collaboration, innovation, and inclusiveness. We want employees to feel proud about being part of a company that is committed to doing the right thing. You will have the opportunity to grow your career while developing personally and professionally through various resources and programs. New York Life is a relationship\-based company and appreciates how both virtual and in\-person interactions support our culture.
 New York Life’s AI and Data team delivers innovative data, insights and AI solutions for the organization. Our AI team works on a diverse portfolio of AI and GenAI projects, by combining agile and entrepreneurial drive with industry\-leading methods and tools. Our efforts are fully supported by executive leadership, and we work hand in hand with our Business Partners through all stages of model development from ideation to deployment. As it takes multiple skill sets to deliver AI models to production, our AI team includes product managers, data scientists, AI engineers, program managers, a model validation \&amp; governance group, and a communications \&amp; development group.
 You will work with Data Scientists and Platform Engineers to deliver AI and GenAI solutions to our business customers. You will influence design, implementation, and best practices for our AI solutions.
**What You’ll Do**
* Responsible for design and development of production grade AI solutions
* Ensuring all AI code conforms to software engineering best practices and coding standards
* Implementation of models with debugging, scaling and monitoring in mind
* Help set up ML experiments for server\-based hyperparameter tuning
* Work with Platform Engineers to develop pipelines and tools to automate model deployment
* Collaborate with the team on architecture and implementation
* Expertise in developing solution architectures that integrate ML models into real\-world systems
* Hands\-on prototyping of new technology and AI solutions
* Collaborate with product managers, data scientists and other engineers
* Review code to ensure solutions are properly designed and implemented
* Stay up to date with the latest AI trends/emerging technologies and look for opportunities to improve the stack
* Current understanding of LLMs and their use
**What You’ll Bring**
* 5\+ years of experience in Software Engineering with at least 2\-years hands on with implementing AI/ML solutions
* Experience in API development, best standards and practices
* Competency in Python
* Experience with machine learning libraries and frameworks such as sklearn, TensorFlow, PyTorch, or Keras
* Understanding of containerization (Docker \&amp; Linux experience)
* Passionate about technology transformations, innovation, and continuous improvement
* Experience with advanced natural language processing ( NLP ) techniques and tools, such as SpaCy, NLTK, or Hugging Face
* Strong knowledge of data structures, algorithms, and software engineering principles
* Experience with SQL and big data platforms such as Postgres, Redshift and Snowflake
* Experience with cloud compute environments (AWS) along with cloud\-native tools
* Experience with Agile/Scrum methodology and best practices
**Preferred**
* Previous work experience with Generative AI
* Understanding of use and implementation of Vector Databases
* Kubernetes container orchestration experience
* Exposure of MCP servers
**Pay Transparency**
 Salary Range: $124,000\-$177,000
 Overtime eligible: Exempt
 Discretionary bonus eligible: Yes
 Sales bonus eligible: No
 Actual base salary will be determined based on several factors but not limited to individual’s experience, skills, qualifications, and job location. Additionally, employees are eligible for an annual discretionary bonus. In addition to base salary, employees may also be eligible to participate in an incentive program.
**Our Benefits**
 We provide a full package of benefits for employees – and have unique offerings for a modern workforce, including leave programs, adoption assistance, and student loan repayment programs. Based on feedback from our employees, we continue to refine and add benefits to our offering, so that you can flourish both inside and outside of work. Click here to discover more about our comprehensive benefit options or visit our NYL Benefits Site.
**Our Commitment to Inclusion**
 At New York Life, fostering an inclusive workplace is fundamental to who we are and how we serve our communities. We have a longstanding commitment to creating an environment where individuals can contribute their best and succeed together. This foundation is rooted in our core values of humanity and integrity, ensuring that every employee feels valued and supported. By embracing a broad range of perspectives and experiences, we achieve greater success and fulfill our promise of providing financial security and peace of mind to families across all communities. Click here to learn more about New York Life’s leadership in this space.
 Recognized as one of
 *Fortune’s* 
 World’s Most Admired Companies, New York Life is committed to improving local communities through a culture of employee giving and volunteerism, supported by the Foundation. We're proud that due to our mutuality, we operate in the best interests of our policy owners. To learn more about career opportunities at New York Life, please visit the Careers page of www.NewYorkLife.com.
 Visit our LinkedIn to see how our employees and agents are leading the industry and impacting communities.
 Visit our Newsroom to learn more about how our company is constantly evolving to meet our clients' and employees’ needs.
 Job Requisition ID: 92281</t>
        </is>
      </c>
    </row>
    <row r="89">
      <c r="A89" t="inlineStr">
        <is>
          <t>li-4362770885</t>
        </is>
      </c>
      <c r="B89" t="inlineStr">
        <is>
          <t>Senior Associate - AI Engineer</t>
        </is>
      </c>
      <c r="C89" t="inlineStr">
        <is>
          <t>New York Life Insurance Company</t>
        </is>
      </c>
      <c r="D89" t="inlineStr">
        <is>
          <t>linkedin</t>
        </is>
      </c>
      <c r="E89">
        <f>HYPERLINK("https://www.linkedin.com/jobs/view/4362770885", "https://www.linkedin.com/jobs/view/4362770885")</f>
        <v/>
      </c>
      <c r="F89">
        <f>HYPERLINK("https://careers.newyorklife.com/careers/job/30448693?utm_source=linkedin&amp;domain=newyorklife.com&amp;urlHash=H03U", "https://careers.newyorklife.com/careers/job/30448693?utm_source=linkedin&amp;domain=newyorklife.com&amp;urlHash=H03U")</f>
        <v/>
      </c>
      <c r="G89" t="inlineStr">
        <is>
          <t>New York, NY</t>
        </is>
      </c>
      <c r="H89" t="inlineStr"/>
      <c r="I89" t="inlineStr">
        <is>
          <t>**Location Designation:** 
 Hybrid \- 3 days per week
 Our New York Life culture has laid the foundation for over 180 years of commitment to our employees, agents, policy owners, and the communities where we live and work. Here you become a valued part of a welcoming, inclusive, and caring organization with a long\-standing legacy in stability and growth. The strength revolves around our diversified, multi\-dimensional business portfolio that goes beyond life insurance.
 As a Fortune 100 company and industry leader, we provide an environment where you can explore your career ambitions, offering opportunities to tackle meaningful challenges and stretch your skills while balancing work and life priorities. You will be part of an inclusive team guided by our belief to always be there for each other–providing the support and flexibility to grow and reach new heights while making an impact in the lives of others.
 You are our future, and we commit to investing in you accordingly.
 When you join New York Life, you are joining a company that values career development, collaboration, innovation, and inclusiveness. We want employees to feel proud about being part of a company that is committed to doing the right thing. You will have the opportunity to grow your career while developing personally and professionally through various resources and programs. New York Life is a relationship\-based company and appreciates how both virtual and in\-person interactions support our culture.
 New York Life’s AI and Data team delivers innovative data, insights and AI solutions for the organization. Our AI team works on a diverse portfolio of AI and GenAI projects, by combining agile and entrepreneurial drive with industry\-leading methods and tools. Our efforts are fully supported by executive leadership, and we work hand in hand with our Business Partners through all stages of model development from ideation to deployment. As it takes multiple skill sets to deliver AI models to production, our AI team includes product managers, data scientists, AI engineers, program managers, a model validation \&amp; governance group, and a communications \&amp; development group.
 You will work with Data Scientists and Platform Engineers to deliver AI and GenAI solutions to our business customers. You will influence design, implementation, and best practices for our AI solutions.
**What You’ll Do**
* Responsible for design and development of production grade AI solutions
* Ensuring all AI code conforms to software engineering best practices and coding standards
* Implementation of models with debugging, scaling and monitoring in mind
* Help set up ML experiments for server\-based hyperparameter tuning
* Work with Platform Engineers to develop pipelines and tools to automate model deployment
* Collaborate with the team on architecture and implementation
* Expertise in developing solution architectures that integrate ML models into real\-world systems
* Hands\-on prototyping of new technology and AI solutions
* Collaborate with product managers, data scientists and other engineers
* Review code to ensure solutions are properly designed and implemented
* Stay up to date with the latest AI trends/emerging technologies and look for opportunities to improve the stack
* Current understanding of LLMs and their use
**What You’ll Bring:**
* 5\+ years of experience in Software Engineering with at least 2\-years hands on with implementing AI/ML solutions
* Experience in API development, best standards and practices
* Competency in Python
* Experience with machine learning libraries and frameworks such as sklearn, TensorFlow, PyTorch, or Keras
* Understanding of containerization (Docker \&amp; Linux experience)
* Passionate about technology transformations, innovation, and continuous improvement
* Experience with advanced natural language processing ( NLP ) techniques and tools, such as SpaCy, NLTK, or Hugging Face
* Strong knowledge of data structures, algorithms, and software engineering principles
* Experience with SQL and big data platforms such as Postgres, Redshift and Snowflake
* Experience with cloud compute environments (AWS) along with cloud\-native tools
* Experience with Agile/Scrum methodology and best practices
**Preferred**
* Previous work experience with Generative AI
* Understanding of use and implementation of Vector Databases
* Kubernetes container orchestration experience
* Exposure of MCP servers
**Pay Transparency**
 Salary Range: $124,000\-$177,000
 Overtime eligible: Exempt
 Discretionary bonus eligible: Yes
 Sales bonus eligible: No
 Actual base salary will be determined based on several factors but not limited to individual’s experience, skills, qualifications, and job location. Additionally, employees are eligible for an annual discretionary bonus. In addition to base salary, employees may also be eligible to participate in an incentive program.
**Our Benefits**
 We provide a full package of benefits for employees – and have unique offerings for a modern workforce, including leave programs, adoption assistance, and student loan repayment programs. Based on feedback from our employees, we continue to refine and add benefits to our offering, so that you can flourish both inside and outside of work. Click here to discover more about our comprehensive benefit options or visit our NYL Benefits Site.
**Our Commitment to Inclusion**
 At New York Life, fostering an inclusive workplace is fundamental to who we are and how we serve our communities. We have a longstanding commitment to creating an environment where individuals can contribute their best and succeed together. This foundation is rooted in our core values of humanity and integrity, ensuring that every employee feels valued and supported. By embracing a broad range of perspectives and experiences, we achieve greater success and fulfill our promise of providing financial security and peace of mind to families across all communities. Click here to learn more about New York Life’s leadership in this space.
 Recognized as one of
 *Fortune’s* 
 World’s Most Admired Companies, New York Life is committed to improving local communities through a culture of employee giving and volunteerism, supported by the Foundation. We're proud that due to our mutuality, we operate in the best interests of our policy owners. To learn more about career opportunities at New York Life, please visit the Careers page of www.NewYorkLife.com.
 Visit our LinkedIn to see how our employees and agents are leading the industry and impacting communities.
 Visit our Newsroom to learn more about how our company is constantly evolving to meet our clients' and employees’ needs.
 Job Requisition ID: 92280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2026-02-05T15:24:52Z</dcterms:created>
  <dcterms:modified xsi:type="dcterms:W3CDTF">2026-02-05T15:24:52Z</dcterms:modified>
</cp:coreProperties>
</file>